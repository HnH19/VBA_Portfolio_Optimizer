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lyes\Desktop\TSM\Cours\VBA for Finance\Project\"/>
    </mc:Choice>
  </mc:AlternateContent>
  <xr:revisionPtr revIDLastSave="0" documentId="13_ncr:1_{FD065A47-1F71-467F-96B2-CF2FB0F2259A}" xr6:coauthVersionLast="47" xr6:coauthVersionMax="47" xr10:uidLastSave="{00000000-0000-0000-0000-000000000000}"/>
  <bookViews>
    <workbookView xWindow="-108" yWindow="-108" windowWidth="23256" windowHeight="12576" activeTab="4" xr2:uid="{1E2AA70A-9EBE-412F-BC67-85AEF0980950}"/>
  </bookViews>
  <sheets>
    <sheet name="Input Sheet" sheetId="13" r:id="rId1"/>
    <sheet name="Simulation Chart" sheetId="347" r:id="rId2"/>
    <sheet name="Backtest performance" sheetId="348" r:id="rId3"/>
    <sheet name="Output Sheet" sheetId="14" r:id="rId4"/>
    <sheet name="Tickers" sheetId="40" r:id="rId5"/>
    <sheet name="Assets Returns" sheetId="346" r:id="rId6"/>
    <sheet name="Stocks Key Metrics" sheetId="345" r:id="rId7"/>
    <sheet name="Initialisation" sheetId="344" state="hidden" r:id="rId8"/>
    <sheet name="Yahoo" sheetId="343" r:id="rId9"/>
  </sheets>
  <functionGroups builtInGroupCount="19"/>
  <externalReferences>
    <externalReference r:id="rId10"/>
  </externalReferences>
  <definedNames>
    <definedName name="AAPL">'Assets Returns'!$D$2:$D$128</definedName>
    <definedName name="ACN">#REF!</definedName>
    <definedName name="ADBE">[1]Consolidate!$P$2:$P$38</definedName>
    <definedName name="AI.PA">'Assets Returns'!$A$2:$A$128</definedName>
    <definedName name="AIR.PA">[1]Consolidate!$O$2:$O$38</definedName>
    <definedName name="AMAT">#REF!</definedName>
    <definedName name="AMD">#REF!</definedName>
    <definedName name="AMZN">#REF!</definedName>
    <definedName name="ATVI">[1]Consolidate!$K$2:$K$38</definedName>
    <definedName name="AXP">[1]Consolidate!$A$2:$A$38</definedName>
    <definedName name="BIDU">#REF!</definedName>
    <definedName name="COST">[1]Consolidate!$H$2:$H$38</definedName>
    <definedName name="covariances">Initialisation!$B$17:$E$20</definedName>
    <definedName name="EndD">Tickers!$C$4</definedName>
    <definedName name="endDate">#REF!</definedName>
    <definedName name="F">[1]Consolidate!$C$2:$C$38</definedName>
    <definedName name="FB">#REF!</definedName>
    <definedName name="GE">[1]Consolidate!$G$2:$G$38</definedName>
    <definedName name="GLE.PA">#REF!</definedName>
    <definedName name="GOLD">#REF!</definedName>
    <definedName name="HD">#REF!</definedName>
    <definedName name="IBM">[1]Consolidate!$D$2:$D$38</definedName>
    <definedName name="JNJ">#REF!</definedName>
    <definedName name="JPM">#REF!</definedName>
    <definedName name="LUV">[1]Consolidate!$J$2:$J$38</definedName>
    <definedName name="MA">#REF!</definedName>
    <definedName name="maxReturn">Initialisation!$C$8</definedName>
    <definedName name="MC.PA">#REF!</definedName>
    <definedName name="meanReturn">Initialisation!$D$10</definedName>
    <definedName name="means">Initialisation!$B$5:$E$5</definedName>
    <definedName name="minReturn">Initialisation!$C$7</definedName>
    <definedName name="MSFT">'Assets Returns'!$C$2:$C$128</definedName>
    <definedName name="NKE">#REF!</definedName>
    <definedName name="NVDA">'Assets Returns'!$B$2:$B$128</definedName>
    <definedName name="ORCL">[1]Consolidate!$E$2:$E$38</definedName>
    <definedName name="PFE">#REF!</definedName>
    <definedName name="portfolioStdev">Initialisation!$D$14</definedName>
    <definedName name="portfolioVariance">Initialisation!$D$12</definedName>
    <definedName name="RequiredReturn">Initialisation!$F$10</definedName>
    <definedName name="SED.L">#REF!</definedName>
    <definedName name="startD">Tickers!$C$2</definedName>
    <definedName name="startdate">LUV</definedName>
    <definedName name="SU.PA">#REF!</definedName>
    <definedName name="sumOfWeights">Initialisation!$G$7</definedName>
    <definedName name="TSLA">#REF!</definedName>
    <definedName name="V">#REF!</definedName>
    <definedName name="WAVE.PA">#REF!</definedName>
    <definedName name="weights">Initialisation!$B$4:$E$4</definedName>
    <definedName name="WMT">#REF!</definedName>
    <definedName name="XOM">[1]Consolidate!$I$2:$I$38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" i="13" l="1"/>
  <c r="F10" i="13"/>
  <c r="E10" i="13"/>
  <c r="D10" i="13"/>
  <c r="C10" i="13"/>
  <c r="F9" i="13"/>
  <c r="E9" i="13"/>
  <c r="D9" i="13"/>
  <c r="C9" i="13"/>
  <c r="F8" i="13"/>
  <c r="E8" i="13"/>
  <c r="D8" i="13"/>
  <c r="C8" i="13"/>
  <c r="F7" i="13"/>
  <c r="E7" i="13"/>
  <c r="D7" i="13"/>
  <c r="C7" i="13"/>
  <c r="D14" i="344"/>
  <c r="D12" i="344" a="1"/>
  <c r="D12" i="344"/>
  <c r="D10" i="344"/>
  <c r="G7" i="344"/>
  <c r="C8" i="344"/>
  <c r="C7" i="344"/>
  <c r="E20" i="344"/>
  <c r="E19" i="344"/>
  <c r="E18" i="344"/>
  <c r="E17" i="344"/>
  <c r="E5" i="344"/>
  <c r="D20" i="344"/>
  <c r="D19" i="344"/>
  <c r="D18" i="344"/>
  <c r="D17" i="344"/>
  <c r="D5" i="344"/>
  <c r="C20" i="344"/>
  <c r="C19" i="344"/>
  <c r="C18" i="344"/>
  <c r="C17" i="344"/>
  <c r="C5" i="344"/>
  <c r="B20" i="344"/>
  <c r="B19" i="344"/>
  <c r="B18" i="344"/>
  <c r="B17" i="344"/>
  <c r="B5" i="344"/>
  <c r="E11" i="345"/>
  <c r="E10" i="345"/>
  <c r="E9" i="345"/>
  <c r="E8" i="345"/>
  <c r="E5" i="345"/>
  <c r="E4" i="345"/>
  <c r="D11" i="345"/>
  <c r="D10" i="345"/>
  <c r="D9" i="345"/>
  <c r="D8" i="345"/>
  <c r="D5" i="345"/>
  <c r="D4" i="345"/>
  <c r="C11" i="345"/>
  <c r="C10" i="345"/>
  <c r="C9" i="345"/>
  <c r="C8" i="345"/>
  <c r="C5" i="345"/>
  <c r="C4" i="345"/>
  <c r="B11" i="345"/>
  <c r="B10" i="345"/>
  <c r="B9" i="345"/>
  <c r="B8" i="345"/>
  <c r="B5" i="345"/>
  <c r="B4" i="345"/>
  <c r="I2" i="343"/>
  <c r="I3" i="343"/>
  <c r="I4" i="343"/>
  <c r="I5" i="343"/>
  <c r="I6" i="343"/>
  <c r="I7" i="343"/>
  <c r="I8" i="343"/>
  <c r="I9" i="343"/>
  <c r="I10" i="343"/>
  <c r="I11" i="343"/>
  <c r="I12" i="343"/>
  <c r="I13" i="343"/>
  <c r="I14" i="343"/>
  <c r="I15" i="343"/>
  <c r="I16" i="343"/>
  <c r="I17" i="343"/>
  <c r="I18" i="343"/>
  <c r="I19" i="343"/>
  <c r="I20" i="343"/>
  <c r="I21" i="343"/>
  <c r="I22" i="343"/>
  <c r="I23" i="343"/>
  <c r="I24" i="343"/>
  <c r="I25" i="343"/>
  <c r="I26" i="343"/>
  <c r="I27" i="343"/>
  <c r="I28" i="343"/>
  <c r="I29" i="343"/>
  <c r="I30" i="343"/>
  <c r="I31" i="343"/>
  <c r="I32" i="343"/>
  <c r="I33" i="343"/>
  <c r="I34" i="343"/>
  <c r="I35" i="343"/>
  <c r="I36" i="343"/>
  <c r="I37" i="343"/>
  <c r="I38" i="343"/>
  <c r="I39" i="343"/>
  <c r="I40" i="343"/>
  <c r="I41" i="343"/>
  <c r="I42" i="343"/>
  <c r="I43" i="343"/>
  <c r="I44" i="343"/>
  <c r="I45" i="343"/>
  <c r="I46" i="343"/>
  <c r="I47" i="343"/>
  <c r="I48" i="343"/>
  <c r="I49" i="343"/>
  <c r="I50" i="343"/>
  <c r="I51" i="343"/>
  <c r="I52" i="343"/>
  <c r="I53" i="343"/>
  <c r="I54" i="343"/>
  <c r="I55" i="343"/>
  <c r="I56" i="343"/>
  <c r="I57" i="343"/>
  <c r="I58" i="343"/>
  <c r="I59" i="343"/>
  <c r="I60" i="343"/>
  <c r="I61" i="343"/>
  <c r="I62" i="343"/>
  <c r="I63" i="343"/>
  <c r="I64" i="343"/>
  <c r="I65" i="343"/>
  <c r="I66" i="343"/>
  <c r="I67" i="343"/>
  <c r="I68" i="343"/>
  <c r="I69" i="343"/>
  <c r="I70" i="343"/>
  <c r="I71" i="343"/>
  <c r="I72" i="343"/>
  <c r="I73" i="343"/>
  <c r="I74" i="343"/>
  <c r="I75" i="343"/>
  <c r="I76" i="343"/>
  <c r="I77" i="343"/>
  <c r="I78" i="343"/>
  <c r="I79" i="343"/>
  <c r="I80" i="343"/>
  <c r="I81" i="343"/>
  <c r="I82" i="343"/>
  <c r="I83" i="343"/>
  <c r="I84" i="343"/>
  <c r="I85" i="343"/>
  <c r="I86" i="343"/>
  <c r="I87" i="343"/>
  <c r="I88" i="343"/>
  <c r="I89" i="343"/>
  <c r="I90" i="343"/>
  <c r="I91" i="343"/>
  <c r="I92" i="343"/>
  <c r="I93" i="343"/>
  <c r="I94" i="343"/>
  <c r="I95" i="343"/>
  <c r="I96" i="343"/>
  <c r="I97" i="343"/>
  <c r="I98" i="343"/>
  <c r="I99" i="343"/>
  <c r="I100" i="343"/>
  <c r="I101" i="343"/>
  <c r="I102" i="343"/>
  <c r="I103" i="343"/>
  <c r="I104" i="343"/>
  <c r="I105" i="343"/>
  <c r="I106" i="343"/>
  <c r="I107" i="343"/>
  <c r="I108" i="343"/>
  <c r="I109" i="343"/>
  <c r="I110" i="343"/>
  <c r="I111" i="343"/>
  <c r="I112" i="343"/>
  <c r="I113" i="343"/>
  <c r="I114" i="343"/>
  <c r="I115" i="343"/>
  <c r="I116" i="343"/>
  <c r="I117" i="343"/>
  <c r="I118" i="343"/>
  <c r="I119" i="343"/>
  <c r="I120" i="343"/>
  <c r="I121" i="343"/>
  <c r="I122" i="343"/>
  <c r="I123" i="343"/>
  <c r="I124" i="343"/>
  <c r="I125" i="343"/>
  <c r="I126" i="343"/>
  <c r="I127" i="343"/>
  <c r="I128" i="343"/>
</calcChain>
</file>

<file path=xl/sharedStrings.xml><?xml version="1.0" encoding="utf-8"?>
<sst xmlns="http://schemas.openxmlformats.org/spreadsheetml/2006/main" count="89" uniqueCount="48">
  <si>
    <t>Sum Check</t>
  </si>
  <si>
    <t>Yahoo</t>
  </si>
  <si>
    <t>AI.PA</t>
  </si>
  <si>
    <t>MSFT</t>
  </si>
  <si>
    <t>Summary measures for stock returns</t>
  </si>
  <si>
    <t>Stocks</t>
  </si>
  <si>
    <t>Returns mean</t>
  </si>
  <si>
    <t>Standard Deviation</t>
  </si>
  <si>
    <t>Correlations</t>
  </si>
  <si>
    <t>Weights</t>
  </si>
  <si>
    <t>Minimum Return:</t>
  </si>
  <si>
    <t>Weights Sum:</t>
  </si>
  <si>
    <t>Maximum Return:</t>
  </si>
  <si>
    <t>Constraint on Mean Return:</t>
  </si>
  <si>
    <t>&gt;=</t>
  </si>
  <si>
    <t>Portfolio variance:</t>
  </si>
  <si>
    <t>Portfolio standard deviation:</t>
  </si>
  <si>
    <t>Covariances</t>
  </si>
  <si>
    <t>AAPL</t>
  </si>
  <si>
    <t>Pct Chg</t>
  </si>
  <si>
    <t>https://www.alphavantage.co/</t>
  </si>
  <si>
    <t>API key for requests</t>
  </si>
  <si>
    <t>Returns</t>
  </si>
  <si>
    <t>Risk-free Rate</t>
  </si>
  <si>
    <t>Number of iterations</t>
  </si>
  <si>
    <t>Number of stocks</t>
  </si>
  <si>
    <t>Iterations</t>
  </si>
  <si>
    <t>Sharpe Ratio</t>
  </si>
  <si>
    <t>Average returns</t>
  </si>
  <si>
    <t>Simulations</t>
  </si>
  <si>
    <t>Start Date</t>
  </si>
  <si>
    <t>End Date</t>
  </si>
  <si>
    <t>Average Returns</t>
  </si>
  <si>
    <t>17/10/2020</t>
  </si>
  <si>
    <t>NVDA</t>
  </si>
  <si>
    <t>Output Sheet</t>
  </si>
  <si>
    <t>Optimized Portfolio Parameters</t>
  </si>
  <si>
    <t>Portfolio Selection Initialisation</t>
  </si>
  <si>
    <t>Tickers</t>
  </si>
  <si>
    <t>Input Sheet</t>
  </si>
  <si>
    <t>Covariances Matrix</t>
  </si>
  <si>
    <t>SD8EUIZATJUGG55L</t>
  </si>
  <si>
    <t>Tickers Sheet</t>
  </si>
  <si>
    <t>17/01/2010</t>
  </si>
  <si>
    <t>Total</t>
  </si>
  <si>
    <t>Capital Market Line</t>
  </si>
  <si>
    <t>https://github.com/jardieljr/vba_project</t>
  </si>
  <si>
    <t>For detailed explanations and analysis of both our models, please access the Github link above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</si>
</sst>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48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u/>
      <sz val="15"/>
      <color theme="10"/>
      <name val="Calibri"/>
      <family val="2"/>
      <scheme val="minor"/>
    </font>
    <font>
      <b/>
      <i/>
      <u/>
      <sz val="24"/>
      <color theme="1"/>
      <name val="Calibri Light"/>
      <family val="2"/>
      <scheme val="major"/>
    </font>
  </fonts>
  <fills count="1629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001F"/>
        <bgColor indexed="64"/>
      </patternFill>
    </fill>
    <fill>
      <patternFill patternType="solid">
        <fgColor rgb="FF000020"/>
        <bgColor indexed="64"/>
      </patternFill>
    </fill>
    <fill>
      <patternFill patternType="solid">
        <fgColor rgb="FF000021"/>
        <bgColor indexed="64"/>
      </patternFill>
    </fill>
    <fill>
      <patternFill patternType="solid">
        <fgColor rgb="FF000022"/>
        <bgColor indexed="64"/>
      </patternFill>
    </fill>
    <fill>
      <patternFill patternType="solid">
        <fgColor rgb="FF000023"/>
        <bgColor indexed="64"/>
      </patternFill>
    </fill>
    <fill>
      <patternFill patternType="solid">
        <fgColor rgb="FF000024"/>
        <bgColor indexed="64"/>
      </patternFill>
    </fill>
    <fill>
      <patternFill patternType="solid">
        <fgColor rgb="FF000025"/>
        <bgColor indexed="64"/>
      </patternFill>
    </fill>
    <fill>
      <patternFill patternType="solid">
        <fgColor rgb="FF000026"/>
        <bgColor indexed="64"/>
      </patternFill>
    </fill>
    <fill>
      <patternFill patternType="solid">
        <fgColor rgb="FF000027"/>
        <bgColor indexed="64"/>
      </patternFill>
    </fill>
    <fill>
      <patternFill patternType="solid">
        <fgColor rgb="FF000028"/>
        <bgColor indexed="64"/>
      </patternFill>
    </fill>
    <fill>
      <patternFill patternType="solid">
        <fgColor rgb="FF000029"/>
        <bgColor indexed="64"/>
      </patternFill>
    </fill>
    <fill>
      <patternFill patternType="solid">
        <fgColor rgb="FF00002A"/>
        <bgColor indexed="64"/>
      </patternFill>
    </fill>
    <fill>
      <patternFill patternType="solid">
        <fgColor rgb="FF00002B"/>
        <bgColor indexed="64"/>
      </patternFill>
    </fill>
    <fill>
      <patternFill patternType="solid">
        <fgColor rgb="FF00002C"/>
        <bgColor indexed="64"/>
      </patternFill>
    </fill>
    <fill>
      <patternFill patternType="solid">
        <fgColor rgb="FF00002D"/>
        <bgColor indexed="64"/>
      </patternFill>
    </fill>
    <fill>
      <patternFill patternType="solid">
        <fgColor rgb="FF00002E"/>
        <bgColor indexed="64"/>
      </patternFill>
    </fill>
    <fill>
      <patternFill patternType="solid">
        <fgColor rgb="FF00002F"/>
        <bgColor indexed="64"/>
      </patternFill>
    </fill>
    <fill>
      <patternFill patternType="solid">
        <fgColor rgb="FF000030"/>
        <bgColor indexed="64"/>
      </patternFill>
    </fill>
    <fill>
      <patternFill patternType="solid">
        <fgColor rgb="FF000031"/>
        <bgColor indexed="64"/>
      </patternFill>
    </fill>
    <fill>
      <patternFill patternType="solid">
        <fgColor rgb="FF000032"/>
        <bgColor indexed="64"/>
      </patternFill>
    </fill>
    <fill>
      <patternFill patternType="solid">
        <fgColor rgb="FF000033"/>
        <bgColor indexed="64"/>
      </patternFill>
    </fill>
    <fill>
      <patternFill patternType="solid">
        <fgColor rgb="FF000034"/>
        <bgColor indexed="64"/>
      </patternFill>
    </fill>
    <fill>
      <patternFill patternType="solid">
        <fgColor rgb="FF000035"/>
        <bgColor indexed="64"/>
      </patternFill>
    </fill>
    <fill>
      <patternFill patternType="solid">
        <fgColor rgb="FF000036"/>
        <bgColor indexed="64"/>
      </patternFill>
    </fill>
    <fill>
      <patternFill patternType="solid">
        <fgColor rgb="FF000037"/>
        <bgColor indexed="64"/>
      </patternFill>
    </fill>
    <fill>
      <patternFill patternType="solid">
        <fgColor rgb="FF000038"/>
        <bgColor indexed="64"/>
      </patternFill>
    </fill>
    <fill>
      <patternFill patternType="solid">
        <fgColor rgb="FF000039"/>
        <bgColor indexed="64"/>
      </patternFill>
    </fill>
    <fill>
      <patternFill patternType="solid">
        <fgColor rgb="FF00003A"/>
        <bgColor indexed="64"/>
      </patternFill>
    </fill>
    <fill>
      <patternFill patternType="solid">
        <fgColor rgb="FF00003B"/>
        <bgColor indexed="64"/>
      </patternFill>
    </fill>
    <fill>
      <patternFill patternType="solid">
        <fgColor rgb="FF00003C"/>
        <bgColor indexed="64"/>
      </patternFill>
    </fill>
    <fill>
      <patternFill patternType="solid">
        <fgColor rgb="FF00003D"/>
        <bgColor indexed="64"/>
      </patternFill>
    </fill>
    <fill>
      <patternFill patternType="solid">
        <fgColor rgb="FF00003E"/>
        <bgColor indexed="64"/>
      </patternFill>
    </fill>
    <fill>
      <patternFill patternType="solid">
        <fgColor rgb="FF00003F"/>
        <bgColor indexed="64"/>
      </patternFill>
    </fill>
    <fill>
      <patternFill patternType="solid">
        <fgColor rgb="FF000040"/>
        <bgColor indexed="64"/>
      </patternFill>
    </fill>
    <fill>
      <patternFill patternType="solid">
        <fgColor rgb="FF000041"/>
        <bgColor indexed="64"/>
      </patternFill>
    </fill>
    <fill>
      <patternFill patternType="solid">
        <fgColor rgb="FF000042"/>
        <bgColor indexed="64"/>
      </patternFill>
    </fill>
    <fill>
      <patternFill patternType="solid">
        <fgColor rgb="FF000043"/>
        <bgColor indexed="64"/>
      </patternFill>
    </fill>
    <fill>
      <patternFill patternType="solid">
        <fgColor rgb="FF000044"/>
        <bgColor indexed="64"/>
      </patternFill>
    </fill>
    <fill>
      <patternFill patternType="solid">
        <fgColor rgb="FF000045"/>
        <bgColor indexed="64"/>
      </patternFill>
    </fill>
    <fill>
      <patternFill patternType="solid">
        <fgColor rgb="FF000046"/>
        <bgColor indexed="64"/>
      </patternFill>
    </fill>
    <fill>
      <patternFill patternType="solid">
        <fgColor rgb="FF000047"/>
        <bgColor indexed="64"/>
      </patternFill>
    </fill>
    <fill>
      <patternFill patternType="solid">
        <fgColor rgb="FF000048"/>
        <bgColor indexed="64"/>
      </patternFill>
    </fill>
    <fill>
      <patternFill patternType="solid">
        <fgColor rgb="FF000049"/>
        <bgColor indexed="64"/>
      </patternFill>
    </fill>
    <fill>
      <patternFill patternType="solid">
        <fgColor rgb="FF00004A"/>
        <bgColor indexed="64"/>
      </patternFill>
    </fill>
    <fill>
      <patternFill patternType="solid">
        <fgColor rgb="FF00004B"/>
        <bgColor indexed="64"/>
      </patternFill>
    </fill>
    <fill>
      <patternFill patternType="solid">
        <fgColor rgb="FF00004C"/>
        <bgColor indexed="64"/>
      </patternFill>
    </fill>
    <fill>
      <patternFill patternType="solid">
        <fgColor rgb="FF00004D"/>
        <bgColor indexed="64"/>
      </patternFill>
    </fill>
    <fill>
      <patternFill patternType="solid">
        <fgColor rgb="FF00004E"/>
        <bgColor indexed="64"/>
      </patternFill>
    </fill>
    <fill>
      <patternFill patternType="solid">
        <fgColor rgb="FF00004F"/>
        <bgColor indexed="64"/>
      </patternFill>
    </fill>
    <fill>
      <patternFill patternType="solid">
        <fgColor rgb="FF000050"/>
        <bgColor indexed="64"/>
      </patternFill>
    </fill>
    <fill>
      <patternFill patternType="solid">
        <fgColor rgb="FF000051"/>
        <bgColor indexed="64"/>
      </patternFill>
    </fill>
    <fill>
      <patternFill patternType="solid">
        <fgColor rgb="FF000052"/>
        <bgColor indexed="64"/>
      </patternFill>
    </fill>
    <fill>
      <patternFill patternType="solid">
        <fgColor rgb="FF000053"/>
        <bgColor indexed="64"/>
      </patternFill>
    </fill>
    <fill>
      <patternFill patternType="solid">
        <fgColor rgb="FF000054"/>
        <bgColor indexed="64"/>
      </patternFill>
    </fill>
    <fill>
      <patternFill patternType="solid">
        <fgColor rgb="FF000055"/>
        <bgColor indexed="64"/>
      </patternFill>
    </fill>
    <fill>
      <patternFill patternType="solid">
        <fgColor rgb="FF000056"/>
        <bgColor indexed="64"/>
      </patternFill>
    </fill>
    <fill>
      <patternFill patternType="solid">
        <fgColor rgb="FF000057"/>
        <bgColor indexed="64"/>
      </patternFill>
    </fill>
    <fill>
      <patternFill patternType="solid">
        <fgColor rgb="FF000058"/>
        <bgColor indexed="64"/>
      </patternFill>
    </fill>
    <fill>
      <patternFill patternType="solid">
        <fgColor rgb="FF000059"/>
        <bgColor indexed="64"/>
      </patternFill>
    </fill>
    <fill>
      <patternFill patternType="solid">
        <fgColor rgb="FF00005A"/>
        <bgColor indexed="64"/>
      </patternFill>
    </fill>
    <fill>
      <patternFill patternType="solid">
        <fgColor rgb="FF00005B"/>
        <bgColor indexed="64"/>
      </patternFill>
    </fill>
    <fill>
      <patternFill patternType="solid">
        <fgColor rgb="FF00005C"/>
        <bgColor indexed="64"/>
      </patternFill>
    </fill>
    <fill>
      <patternFill patternType="solid">
        <fgColor rgb="FF00005D"/>
        <bgColor indexed="64"/>
      </patternFill>
    </fill>
    <fill>
      <patternFill patternType="solid">
        <fgColor rgb="FF00005E"/>
        <bgColor indexed="64"/>
      </patternFill>
    </fill>
    <fill>
      <patternFill patternType="solid">
        <fgColor rgb="FF00005F"/>
        <bgColor indexed="64"/>
      </patternFill>
    </fill>
    <fill>
      <patternFill patternType="solid">
        <fgColor rgb="FF000060"/>
        <bgColor indexed="64"/>
      </patternFill>
    </fill>
    <fill>
      <patternFill patternType="solid">
        <fgColor rgb="FF000061"/>
        <bgColor indexed="64"/>
      </patternFill>
    </fill>
    <fill>
      <patternFill patternType="solid">
        <fgColor rgb="FF000062"/>
        <bgColor indexed="64"/>
      </patternFill>
    </fill>
    <fill>
      <patternFill patternType="solid">
        <fgColor rgb="FF000063"/>
        <bgColor indexed="64"/>
      </patternFill>
    </fill>
    <fill>
      <patternFill patternType="solid">
        <fgColor rgb="FF000064"/>
        <bgColor indexed="64"/>
      </patternFill>
    </fill>
    <fill>
      <patternFill patternType="solid">
        <fgColor rgb="FF000065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rgb="FF000067"/>
        <bgColor indexed="64"/>
      </patternFill>
    </fill>
    <fill>
      <patternFill patternType="solid">
        <fgColor rgb="FF000068"/>
        <bgColor indexed="64"/>
      </patternFill>
    </fill>
    <fill>
      <patternFill patternType="solid">
        <fgColor rgb="FF000069"/>
        <bgColor indexed="64"/>
      </patternFill>
    </fill>
    <fill>
      <patternFill patternType="solid">
        <fgColor rgb="FF00006A"/>
        <bgColor indexed="64"/>
      </patternFill>
    </fill>
    <fill>
      <patternFill patternType="solid">
        <fgColor rgb="FF00006B"/>
        <bgColor indexed="64"/>
      </patternFill>
    </fill>
    <fill>
      <patternFill patternType="solid">
        <fgColor rgb="FF00006C"/>
        <bgColor indexed="64"/>
      </patternFill>
    </fill>
    <fill>
      <patternFill patternType="solid">
        <fgColor rgb="FF00006D"/>
        <bgColor indexed="64"/>
      </patternFill>
    </fill>
    <fill>
      <patternFill patternType="solid">
        <fgColor rgb="FF00006E"/>
        <bgColor indexed="64"/>
      </patternFill>
    </fill>
    <fill>
      <patternFill patternType="solid">
        <fgColor rgb="FF00006F"/>
        <bgColor indexed="64"/>
      </patternFill>
    </fill>
    <fill>
      <patternFill patternType="solid">
        <fgColor rgb="FF000070"/>
        <bgColor indexed="64"/>
      </patternFill>
    </fill>
    <fill>
      <patternFill patternType="solid">
        <fgColor rgb="FF000071"/>
        <bgColor indexed="64"/>
      </patternFill>
    </fill>
    <fill>
      <patternFill patternType="solid">
        <fgColor rgb="FF000072"/>
        <bgColor indexed="64"/>
      </patternFill>
    </fill>
    <fill>
      <patternFill patternType="solid">
        <fgColor rgb="FF000073"/>
        <bgColor indexed="64"/>
      </patternFill>
    </fill>
    <fill>
      <patternFill patternType="solid">
        <fgColor rgb="FF000074"/>
        <bgColor indexed="64"/>
      </patternFill>
    </fill>
    <fill>
      <patternFill patternType="solid">
        <fgColor rgb="FF000075"/>
        <bgColor indexed="64"/>
      </patternFill>
    </fill>
    <fill>
      <patternFill patternType="solid">
        <fgColor rgb="FF000076"/>
        <bgColor indexed="64"/>
      </patternFill>
    </fill>
    <fill>
      <patternFill patternType="solid">
        <fgColor rgb="FF000077"/>
        <bgColor indexed="64"/>
      </patternFill>
    </fill>
    <fill>
      <patternFill patternType="solid">
        <fgColor rgb="FF000078"/>
        <bgColor indexed="64"/>
      </patternFill>
    </fill>
    <fill>
      <patternFill patternType="solid">
        <fgColor rgb="FF000079"/>
        <bgColor indexed="64"/>
      </patternFill>
    </fill>
    <fill>
      <patternFill patternType="solid">
        <fgColor rgb="FF00007A"/>
        <bgColor indexed="64"/>
      </patternFill>
    </fill>
    <fill>
      <patternFill patternType="solid">
        <fgColor rgb="FF00007B"/>
        <bgColor indexed="64"/>
      </patternFill>
    </fill>
    <fill>
      <patternFill patternType="solid">
        <fgColor rgb="FF00007C"/>
        <bgColor indexed="64"/>
      </patternFill>
    </fill>
    <fill>
      <patternFill patternType="solid">
        <fgColor rgb="FF00007D"/>
        <bgColor indexed="64"/>
      </patternFill>
    </fill>
    <fill>
      <patternFill patternType="solid">
        <fgColor rgb="FF00007E"/>
        <bgColor indexed="64"/>
      </patternFill>
    </fill>
    <fill>
      <patternFill patternType="solid">
        <fgColor rgb="FF00007F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81"/>
        <bgColor indexed="64"/>
      </patternFill>
    </fill>
    <fill>
      <patternFill patternType="solid">
        <fgColor rgb="FF000082"/>
        <bgColor indexed="64"/>
      </patternFill>
    </fill>
    <fill>
      <patternFill patternType="solid">
        <fgColor rgb="FF000083"/>
        <bgColor indexed="64"/>
      </patternFill>
    </fill>
    <fill>
      <patternFill patternType="solid">
        <fgColor rgb="FF000084"/>
        <bgColor indexed="64"/>
      </patternFill>
    </fill>
    <fill>
      <patternFill patternType="solid">
        <fgColor rgb="FF000085"/>
        <bgColor indexed="64"/>
      </patternFill>
    </fill>
    <fill>
      <patternFill patternType="solid">
        <fgColor rgb="FF000086"/>
        <bgColor indexed="64"/>
      </patternFill>
    </fill>
    <fill>
      <patternFill patternType="solid">
        <fgColor rgb="FF000087"/>
        <bgColor indexed="64"/>
      </patternFill>
    </fill>
    <fill>
      <patternFill patternType="solid">
        <fgColor rgb="FF000088"/>
        <bgColor indexed="64"/>
      </patternFill>
    </fill>
    <fill>
      <patternFill patternType="solid">
        <fgColor rgb="FF000089"/>
        <bgColor indexed="64"/>
      </patternFill>
    </fill>
    <fill>
      <patternFill patternType="solid">
        <fgColor rgb="FF00008A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008C"/>
        <bgColor indexed="64"/>
      </patternFill>
    </fill>
    <fill>
      <patternFill patternType="solid">
        <fgColor rgb="FF00008D"/>
        <bgColor indexed="64"/>
      </patternFill>
    </fill>
    <fill>
      <patternFill patternType="solid">
        <fgColor rgb="FF00008E"/>
        <bgColor indexed="64"/>
      </patternFill>
    </fill>
    <fill>
      <patternFill patternType="solid">
        <fgColor rgb="FF00008F"/>
        <bgColor indexed="64"/>
      </patternFill>
    </fill>
    <fill>
      <patternFill patternType="solid">
        <fgColor rgb="FF000090"/>
        <bgColor indexed="64"/>
      </patternFill>
    </fill>
    <fill>
      <patternFill patternType="solid">
        <fgColor rgb="FF000091"/>
        <bgColor indexed="64"/>
      </patternFill>
    </fill>
    <fill>
      <patternFill patternType="solid">
        <fgColor rgb="FF000092"/>
        <bgColor indexed="64"/>
      </patternFill>
    </fill>
    <fill>
      <patternFill patternType="solid">
        <fgColor rgb="FF000093"/>
        <bgColor indexed="64"/>
      </patternFill>
    </fill>
    <fill>
      <patternFill patternType="solid">
        <fgColor rgb="FF000094"/>
        <bgColor indexed="64"/>
      </patternFill>
    </fill>
    <fill>
      <patternFill patternType="solid">
        <fgColor rgb="FF000095"/>
        <bgColor indexed="64"/>
      </patternFill>
    </fill>
    <fill>
      <patternFill patternType="solid">
        <fgColor rgb="FF000096"/>
        <bgColor indexed="64"/>
      </patternFill>
    </fill>
    <fill>
      <patternFill patternType="solid">
        <fgColor rgb="FF000097"/>
        <bgColor indexed="64"/>
      </patternFill>
    </fill>
    <fill>
      <patternFill patternType="solid">
        <fgColor rgb="FF000098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rgb="FF00009A"/>
        <bgColor indexed="64"/>
      </patternFill>
    </fill>
    <fill>
      <patternFill patternType="solid">
        <fgColor rgb="FF00009B"/>
        <bgColor indexed="64"/>
      </patternFill>
    </fill>
    <fill>
      <patternFill patternType="solid">
        <fgColor rgb="FF00009C"/>
        <bgColor indexed="64"/>
      </patternFill>
    </fill>
    <fill>
      <patternFill patternType="solid">
        <fgColor rgb="FF00009D"/>
        <bgColor indexed="64"/>
      </patternFill>
    </fill>
    <fill>
      <patternFill patternType="solid">
        <fgColor rgb="FF00009E"/>
        <bgColor indexed="64"/>
      </patternFill>
    </fill>
    <fill>
      <patternFill patternType="solid">
        <fgColor rgb="FF00009F"/>
        <bgColor indexed="64"/>
      </patternFill>
    </fill>
    <fill>
      <patternFill patternType="solid">
        <fgColor rgb="FF0000A0"/>
        <bgColor indexed="64"/>
      </patternFill>
    </fill>
    <fill>
      <patternFill patternType="solid">
        <fgColor rgb="FF0000A1"/>
        <bgColor indexed="64"/>
      </patternFill>
    </fill>
    <fill>
      <patternFill patternType="solid">
        <fgColor rgb="FF0000A2"/>
        <bgColor indexed="64"/>
      </patternFill>
    </fill>
    <fill>
      <patternFill patternType="solid">
        <fgColor rgb="FF0000A3"/>
        <bgColor indexed="64"/>
      </patternFill>
    </fill>
    <fill>
      <patternFill patternType="solid">
        <fgColor rgb="FF0000A4"/>
        <bgColor indexed="64"/>
      </patternFill>
    </fill>
    <fill>
      <patternFill patternType="solid">
        <fgColor rgb="FF0000A5"/>
        <bgColor indexed="64"/>
      </patternFill>
    </fill>
    <fill>
      <patternFill patternType="solid">
        <fgColor rgb="FF0000A6"/>
        <bgColor indexed="64"/>
      </patternFill>
    </fill>
    <fill>
      <patternFill patternType="solid">
        <fgColor rgb="FF0000A7"/>
        <bgColor indexed="64"/>
      </patternFill>
    </fill>
    <fill>
      <patternFill patternType="solid">
        <fgColor rgb="FF0000A8"/>
        <bgColor indexed="64"/>
      </patternFill>
    </fill>
    <fill>
      <patternFill patternType="solid">
        <fgColor rgb="FF0000A9"/>
        <bgColor indexed="64"/>
      </patternFill>
    </fill>
    <fill>
      <patternFill patternType="solid">
        <fgColor rgb="FF0000AA"/>
        <bgColor indexed="64"/>
      </patternFill>
    </fill>
    <fill>
      <patternFill patternType="solid">
        <fgColor rgb="FF0000AB"/>
        <bgColor indexed="64"/>
      </patternFill>
    </fill>
    <fill>
      <patternFill patternType="solid">
        <fgColor rgb="FF0000AC"/>
        <bgColor indexed="64"/>
      </patternFill>
    </fill>
    <fill>
      <patternFill patternType="solid">
        <fgColor rgb="FF0000AD"/>
        <bgColor indexed="64"/>
      </patternFill>
    </fill>
    <fill>
      <patternFill patternType="solid">
        <fgColor rgb="FF0000AE"/>
        <bgColor indexed="64"/>
      </patternFill>
    </fill>
    <fill>
      <patternFill patternType="solid">
        <fgColor rgb="FF0000AF"/>
        <bgColor indexed="64"/>
      </patternFill>
    </fill>
    <fill>
      <patternFill patternType="solid">
        <fgColor rgb="FF0000B0"/>
        <bgColor indexed="64"/>
      </patternFill>
    </fill>
    <fill>
      <patternFill patternType="solid">
        <fgColor rgb="FF0000B1"/>
        <bgColor indexed="64"/>
      </patternFill>
    </fill>
    <fill>
      <patternFill patternType="solid">
        <fgColor rgb="FF0000B2"/>
        <bgColor indexed="64"/>
      </patternFill>
    </fill>
    <fill>
      <patternFill patternType="solid">
        <fgColor rgb="FF0000B3"/>
        <bgColor indexed="64"/>
      </patternFill>
    </fill>
    <fill>
      <patternFill patternType="solid">
        <fgColor rgb="FF0000B4"/>
        <bgColor indexed="64"/>
      </patternFill>
    </fill>
    <fill>
      <patternFill patternType="solid">
        <fgColor rgb="FF0000B5"/>
        <bgColor indexed="64"/>
      </patternFill>
    </fill>
    <fill>
      <patternFill patternType="solid">
        <fgColor rgb="FF0000B6"/>
        <bgColor indexed="64"/>
      </patternFill>
    </fill>
    <fill>
      <patternFill patternType="solid">
        <fgColor rgb="FF0000B7"/>
        <bgColor indexed="64"/>
      </patternFill>
    </fill>
    <fill>
      <patternFill patternType="solid">
        <fgColor rgb="FF0000B8"/>
        <bgColor indexed="64"/>
      </patternFill>
    </fill>
    <fill>
      <patternFill patternType="solid">
        <fgColor rgb="FF0000B9"/>
        <bgColor indexed="64"/>
      </patternFill>
    </fill>
    <fill>
      <patternFill patternType="solid">
        <fgColor rgb="FF0000BA"/>
        <bgColor indexed="64"/>
      </patternFill>
    </fill>
    <fill>
      <patternFill patternType="solid">
        <fgColor rgb="FF0000BB"/>
        <bgColor indexed="64"/>
      </patternFill>
    </fill>
    <fill>
      <patternFill patternType="solid">
        <fgColor rgb="FF0000BC"/>
        <bgColor indexed="64"/>
      </patternFill>
    </fill>
    <fill>
      <patternFill patternType="solid">
        <fgColor rgb="FF0000BD"/>
        <bgColor indexed="64"/>
      </patternFill>
    </fill>
    <fill>
      <patternFill patternType="solid">
        <fgColor rgb="FF0000BE"/>
        <bgColor indexed="64"/>
      </patternFill>
    </fill>
    <fill>
      <patternFill patternType="solid">
        <fgColor rgb="FF0000BF"/>
        <bgColor indexed="64"/>
      </patternFill>
    </fill>
    <fill>
      <patternFill patternType="solid">
        <fgColor rgb="FF0000C0"/>
        <bgColor indexed="64"/>
      </patternFill>
    </fill>
    <fill>
      <patternFill patternType="solid">
        <fgColor rgb="FF0000C1"/>
        <bgColor indexed="64"/>
      </patternFill>
    </fill>
    <fill>
      <patternFill patternType="solid">
        <fgColor rgb="FF0000C2"/>
        <bgColor indexed="64"/>
      </patternFill>
    </fill>
    <fill>
      <patternFill patternType="solid">
        <fgColor rgb="FF0000C3"/>
        <bgColor indexed="64"/>
      </patternFill>
    </fill>
    <fill>
      <patternFill patternType="solid">
        <fgColor rgb="FF0000C4"/>
        <bgColor indexed="64"/>
      </patternFill>
    </fill>
    <fill>
      <patternFill patternType="solid">
        <fgColor rgb="FF0000C5"/>
        <bgColor indexed="64"/>
      </patternFill>
    </fill>
    <fill>
      <patternFill patternType="solid">
        <fgColor rgb="FF0000C6"/>
        <bgColor indexed="64"/>
      </patternFill>
    </fill>
    <fill>
      <patternFill patternType="solid">
        <fgColor rgb="FF0000C7"/>
        <bgColor indexed="64"/>
      </patternFill>
    </fill>
    <fill>
      <patternFill patternType="solid">
        <fgColor rgb="FF0000C8"/>
        <bgColor indexed="64"/>
      </patternFill>
    </fill>
    <fill>
      <patternFill patternType="solid">
        <fgColor rgb="FF0000C9"/>
        <bgColor indexed="64"/>
      </patternFill>
    </fill>
    <fill>
      <patternFill patternType="solid">
        <fgColor rgb="FF0000CA"/>
        <bgColor indexed="64"/>
      </patternFill>
    </fill>
    <fill>
      <patternFill patternType="solid">
        <fgColor rgb="FF0000CB"/>
        <bgColor indexed="64"/>
      </patternFill>
    </fill>
    <fill>
      <patternFill patternType="solid">
        <fgColor rgb="FF0000CC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0000CE"/>
        <bgColor indexed="64"/>
      </patternFill>
    </fill>
    <fill>
      <patternFill patternType="solid">
        <fgColor rgb="FF0000CF"/>
        <bgColor indexed="64"/>
      </patternFill>
    </fill>
    <fill>
      <patternFill patternType="solid">
        <fgColor rgb="FF0000D0"/>
        <bgColor indexed="64"/>
      </patternFill>
    </fill>
    <fill>
      <patternFill patternType="solid">
        <fgColor rgb="FF0000D1"/>
        <bgColor indexed="64"/>
      </patternFill>
    </fill>
    <fill>
      <patternFill patternType="solid">
        <fgColor rgb="FF0000D2"/>
        <bgColor indexed="64"/>
      </patternFill>
    </fill>
    <fill>
      <patternFill patternType="solid">
        <fgColor rgb="FF0000D3"/>
        <bgColor indexed="64"/>
      </patternFill>
    </fill>
    <fill>
      <patternFill patternType="solid">
        <fgColor rgb="FF0000D4"/>
        <bgColor indexed="64"/>
      </patternFill>
    </fill>
    <fill>
      <patternFill patternType="solid">
        <fgColor rgb="FF0000D5"/>
        <bgColor indexed="64"/>
      </patternFill>
    </fill>
    <fill>
      <patternFill patternType="solid">
        <fgColor rgb="FF0000D6"/>
        <bgColor indexed="64"/>
      </patternFill>
    </fill>
    <fill>
      <patternFill patternType="solid">
        <fgColor rgb="FF0000D7"/>
        <bgColor indexed="64"/>
      </patternFill>
    </fill>
    <fill>
      <patternFill patternType="solid">
        <fgColor rgb="FF0000D8"/>
        <bgColor indexed="64"/>
      </patternFill>
    </fill>
    <fill>
      <patternFill patternType="solid">
        <fgColor rgb="FF0000D9"/>
        <bgColor indexed="64"/>
      </patternFill>
    </fill>
    <fill>
      <patternFill patternType="solid">
        <fgColor rgb="FF0000DA"/>
        <bgColor indexed="64"/>
      </patternFill>
    </fill>
    <fill>
      <patternFill patternType="solid">
        <fgColor rgb="FF0000DB"/>
        <bgColor indexed="64"/>
      </patternFill>
    </fill>
    <fill>
      <patternFill patternType="solid">
        <fgColor rgb="FF0000DC"/>
        <bgColor indexed="64"/>
      </patternFill>
    </fill>
    <fill>
      <patternFill patternType="solid">
        <fgColor rgb="FF0000DD"/>
        <bgColor indexed="64"/>
      </patternFill>
    </fill>
    <fill>
      <patternFill patternType="solid">
        <fgColor rgb="FF0000DE"/>
        <bgColor indexed="64"/>
      </patternFill>
    </fill>
    <fill>
      <patternFill patternType="solid">
        <fgColor rgb="FF0000DF"/>
        <bgColor indexed="64"/>
      </patternFill>
    </fill>
    <fill>
      <patternFill patternType="solid">
        <fgColor rgb="FF0000E0"/>
        <bgColor indexed="64"/>
      </patternFill>
    </fill>
    <fill>
      <patternFill patternType="solid">
        <fgColor rgb="FF0000E1"/>
        <bgColor indexed="64"/>
      </patternFill>
    </fill>
    <fill>
      <patternFill patternType="solid">
        <fgColor rgb="FF0000E2"/>
        <bgColor indexed="64"/>
      </patternFill>
    </fill>
    <fill>
      <patternFill patternType="solid">
        <fgColor rgb="FF0000E3"/>
        <bgColor indexed="64"/>
      </patternFill>
    </fill>
    <fill>
      <patternFill patternType="solid">
        <fgColor rgb="FF0000E4"/>
        <bgColor indexed="64"/>
      </patternFill>
    </fill>
    <fill>
      <patternFill patternType="solid">
        <fgColor rgb="FF0000E5"/>
        <bgColor indexed="64"/>
      </patternFill>
    </fill>
    <fill>
      <patternFill patternType="solid">
        <fgColor rgb="FF0000E6"/>
        <bgColor indexed="64"/>
      </patternFill>
    </fill>
    <fill>
      <patternFill patternType="solid">
        <fgColor rgb="FF0000E7"/>
        <bgColor indexed="64"/>
      </patternFill>
    </fill>
    <fill>
      <patternFill patternType="solid">
        <fgColor rgb="FF0000E8"/>
        <bgColor indexed="64"/>
      </patternFill>
    </fill>
    <fill>
      <patternFill patternType="solid">
        <fgColor rgb="FF0000E9"/>
        <bgColor indexed="64"/>
      </patternFill>
    </fill>
    <fill>
      <patternFill patternType="solid">
        <fgColor rgb="FF0000EA"/>
        <bgColor indexed="64"/>
      </patternFill>
    </fill>
    <fill>
      <patternFill patternType="solid">
        <fgColor rgb="FF0000EB"/>
        <bgColor indexed="64"/>
      </patternFill>
    </fill>
    <fill>
      <patternFill patternType="solid">
        <fgColor rgb="FF0000EC"/>
        <bgColor indexed="64"/>
      </patternFill>
    </fill>
    <fill>
      <patternFill patternType="solid">
        <fgColor rgb="FF0000ED"/>
        <bgColor indexed="64"/>
      </patternFill>
    </fill>
    <fill>
      <patternFill patternType="solid">
        <fgColor rgb="FF0000EE"/>
        <bgColor indexed="64"/>
      </patternFill>
    </fill>
    <fill>
      <patternFill patternType="solid">
        <fgColor rgb="FF0000EF"/>
        <bgColor indexed="64"/>
      </patternFill>
    </fill>
    <fill>
      <patternFill patternType="solid">
        <fgColor rgb="FF0000F0"/>
        <bgColor indexed="64"/>
      </patternFill>
    </fill>
    <fill>
      <patternFill patternType="solid">
        <fgColor rgb="FF0000F1"/>
        <bgColor indexed="64"/>
      </patternFill>
    </fill>
    <fill>
      <patternFill patternType="solid">
        <fgColor rgb="FF0000F2"/>
        <bgColor indexed="64"/>
      </patternFill>
    </fill>
    <fill>
      <patternFill patternType="solid">
        <fgColor rgb="FF0000F3"/>
        <bgColor indexed="64"/>
      </patternFill>
    </fill>
    <fill>
      <patternFill patternType="solid">
        <fgColor rgb="FF0000F4"/>
        <bgColor indexed="64"/>
      </patternFill>
    </fill>
    <fill>
      <patternFill patternType="solid">
        <fgColor rgb="FF0000F5"/>
        <bgColor indexed="64"/>
      </patternFill>
    </fill>
    <fill>
      <patternFill patternType="solid">
        <fgColor rgb="FF0000F6"/>
        <bgColor indexed="64"/>
      </patternFill>
    </fill>
    <fill>
      <patternFill patternType="solid">
        <fgColor rgb="FF0000F7"/>
        <bgColor indexed="64"/>
      </patternFill>
    </fill>
    <fill>
      <patternFill patternType="solid">
        <fgColor rgb="FF0000F8"/>
        <bgColor indexed="64"/>
      </patternFill>
    </fill>
    <fill>
      <patternFill patternType="solid">
        <fgColor rgb="FF0000F9"/>
        <bgColor indexed="64"/>
      </patternFill>
    </fill>
    <fill>
      <patternFill patternType="solid">
        <fgColor rgb="FF0000FA"/>
        <bgColor indexed="64"/>
      </patternFill>
    </fill>
    <fill>
      <patternFill patternType="solid">
        <fgColor rgb="FF0000FB"/>
        <bgColor indexed="64"/>
      </patternFill>
    </fill>
    <fill>
      <patternFill patternType="solid">
        <fgColor rgb="FF0000FC"/>
        <bgColor indexed="64"/>
      </patternFill>
    </fill>
    <fill>
      <patternFill patternType="solid">
        <fgColor rgb="FF0000FD"/>
        <bgColor indexed="64"/>
      </patternFill>
    </fill>
    <fill>
      <patternFill patternType="solid">
        <fgColor rgb="FF0000FE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100"/>
        <bgColor indexed="64"/>
      </patternFill>
    </fill>
    <fill>
      <patternFill patternType="solid">
        <fgColor rgb="FF000101"/>
        <bgColor indexed="64"/>
      </patternFill>
    </fill>
    <fill>
      <patternFill patternType="solid">
        <fgColor rgb="FF000102"/>
        <bgColor indexed="64"/>
      </patternFill>
    </fill>
    <fill>
      <patternFill patternType="solid">
        <fgColor rgb="FF000103"/>
        <bgColor indexed="64"/>
      </patternFill>
    </fill>
    <fill>
      <patternFill patternType="solid">
        <fgColor rgb="FF000104"/>
        <bgColor indexed="64"/>
      </patternFill>
    </fill>
    <fill>
      <patternFill patternType="solid">
        <fgColor rgb="FF000105"/>
        <bgColor indexed="64"/>
      </patternFill>
    </fill>
    <fill>
      <patternFill patternType="solid">
        <fgColor rgb="FF000106"/>
        <bgColor indexed="64"/>
      </patternFill>
    </fill>
    <fill>
      <patternFill patternType="solid">
        <fgColor rgb="FF000107"/>
        <bgColor indexed="64"/>
      </patternFill>
    </fill>
    <fill>
      <patternFill patternType="solid">
        <fgColor rgb="FF000108"/>
        <bgColor indexed="64"/>
      </patternFill>
    </fill>
    <fill>
      <patternFill patternType="solid">
        <fgColor rgb="FF000109"/>
        <bgColor indexed="64"/>
      </patternFill>
    </fill>
    <fill>
      <patternFill patternType="solid">
        <fgColor rgb="FF00010A"/>
        <bgColor indexed="64"/>
      </patternFill>
    </fill>
    <fill>
      <patternFill patternType="solid">
        <fgColor rgb="FF00010B"/>
        <bgColor indexed="64"/>
      </patternFill>
    </fill>
    <fill>
      <patternFill patternType="solid">
        <fgColor rgb="FF00010C"/>
        <bgColor indexed="64"/>
      </patternFill>
    </fill>
    <fill>
      <patternFill patternType="solid">
        <fgColor rgb="FF00010D"/>
        <bgColor indexed="64"/>
      </patternFill>
    </fill>
    <fill>
      <patternFill patternType="solid">
        <fgColor rgb="FF00010E"/>
        <bgColor indexed="64"/>
      </patternFill>
    </fill>
    <fill>
      <patternFill patternType="solid">
        <fgColor rgb="FF00010F"/>
        <bgColor indexed="64"/>
      </patternFill>
    </fill>
    <fill>
      <patternFill patternType="solid">
        <fgColor rgb="FF000110"/>
        <bgColor indexed="64"/>
      </patternFill>
    </fill>
    <fill>
      <patternFill patternType="solid">
        <fgColor rgb="FF000111"/>
        <bgColor indexed="64"/>
      </patternFill>
    </fill>
    <fill>
      <patternFill patternType="solid">
        <fgColor rgb="FF000112"/>
        <bgColor indexed="64"/>
      </patternFill>
    </fill>
    <fill>
      <patternFill patternType="solid">
        <fgColor rgb="FF000113"/>
        <bgColor indexed="64"/>
      </patternFill>
    </fill>
    <fill>
      <patternFill patternType="solid">
        <fgColor rgb="FF000114"/>
        <bgColor indexed="64"/>
      </patternFill>
    </fill>
    <fill>
      <patternFill patternType="solid">
        <fgColor rgb="FF000115"/>
        <bgColor indexed="64"/>
      </patternFill>
    </fill>
    <fill>
      <patternFill patternType="solid">
        <fgColor rgb="FF000116"/>
        <bgColor indexed="64"/>
      </patternFill>
    </fill>
    <fill>
      <patternFill patternType="solid">
        <fgColor rgb="FF000117"/>
        <bgColor indexed="64"/>
      </patternFill>
    </fill>
    <fill>
      <patternFill patternType="solid">
        <fgColor rgb="FF000118"/>
        <bgColor indexed="64"/>
      </patternFill>
    </fill>
    <fill>
      <patternFill patternType="solid">
        <fgColor rgb="FF000119"/>
        <bgColor indexed="64"/>
      </patternFill>
    </fill>
    <fill>
      <patternFill patternType="solid">
        <fgColor rgb="FF00011A"/>
        <bgColor indexed="64"/>
      </patternFill>
    </fill>
    <fill>
      <patternFill patternType="solid">
        <fgColor rgb="FF00011B"/>
        <bgColor indexed="64"/>
      </patternFill>
    </fill>
    <fill>
      <patternFill patternType="solid">
        <fgColor rgb="FF00011C"/>
        <bgColor indexed="64"/>
      </patternFill>
    </fill>
    <fill>
      <patternFill patternType="solid">
        <fgColor rgb="FF00011D"/>
        <bgColor indexed="64"/>
      </patternFill>
    </fill>
    <fill>
      <patternFill patternType="solid">
        <fgColor rgb="FF00011E"/>
        <bgColor indexed="64"/>
      </patternFill>
    </fill>
    <fill>
      <patternFill patternType="solid">
        <fgColor rgb="FF00011F"/>
        <bgColor indexed="64"/>
      </patternFill>
    </fill>
    <fill>
      <patternFill patternType="solid">
        <fgColor rgb="FF000120"/>
        <bgColor indexed="64"/>
      </patternFill>
    </fill>
    <fill>
      <patternFill patternType="solid">
        <fgColor rgb="FF000121"/>
        <bgColor indexed="64"/>
      </patternFill>
    </fill>
    <fill>
      <patternFill patternType="solid">
        <fgColor rgb="FF000122"/>
        <bgColor indexed="64"/>
      </patternFill>
    </fill>
    <fill>
      <patternFill patternType="solid">
        <fgColor rgb="FF000123"/>
        <bgColor indexed="64"/>
      </patternFill>
    </fill>
    <fill>
      <patternFill patternType="solid">
        <fgColor rgb="FF000124"/>
        <bgColor indexed="64"/>
      </patternFill>
    </fill>
    <fill>
      <patternFill patternType="solid">
        <fgColor rgb="FF000125"/>
        <bgColor indexed="64"/>
      </patternFill>
    </fill>
    <fill>
      <patternFill patternType="solid">
        <fgColor rgb="FF000126"/>
        <bgColor indexed="64"/>
      </patternFill>
    </fill>
    <fill>
      <patternFill patternType="solid">
        <fgColor rgb="FF000127"/>
        <bgColor indexed="64"/>
      </patternFill>
    </fill>
    <fill>
      <patternFill patternType="solid">
        <fgColor rgb="FF000128"/>
        <bgColor indexed="64"/>
      </patternFill>
    </fill>
    <fill>
      <patternFill patternType="solid">
        <fgColor rgb="FF000129"/>
        <bgColor indexed="64"/>
      </patternFill>
    </fill>
    <fill>
      <patternFill patternType="solid">
        <fgColor rgb="FF00012A"/>
        <bgColor indexed="64"/>
      </patternFill>
    </fill>
    <fill>
      <patternFill patternType="solid">
        <fgColor rgb="FF00012B"/>
        <bgColor indexed="64"/>
      </patternFill>
    </fill>
    <fill>
      <patternFill patternType="solid">
        <fgColor rgb="FF00012C"/>
        <bgColor indexed="64"/>
      </patternFill>
    </fill>
    <fill>
      <patternFill patternType="solid">
        <fgColor rgb="FF00012D"/>
        <bgColor indexed="64"/>
      </patternFill>
    </fill>
    <fill>
      <patternFill patternType="solid">
        <fgColor rgb="FF00012E"/>
        <bgColor indexed="64"/>
      </patternFill>
    </fill>
    <fill>
      <patternFill patternType="solid">
        <fgColor rgb="FF00012F"/>
        <bgColor indexed="64"/>
      </patternFill>
    </fill>
    <fill>
      <patternFill patternType="solid">
        <fgColor rgb="FF000130"/>
        <bgColor indexed="64"/>
      </patternFill>
    </fill>
    <fill>
      <patternFill patternType="solid">
        <fgColor rgb="FF000131"/>
        <bgColor indexed="64"/>
      </patternFill>
    </fill>
    <fill>
      <patternFill patternType="solid">
        <fgColor rgb="FF000132"/>
        <bgColor indexed="64"/>
      </patternFill>
    </fill>
    <fill>
      <patternFill patternType="solid">
        <fgColor rgb="FF000133"/>
        <bgColor indexed="64"/>
      </patternFill>
    </fill>
    <fill>
      <patternFill patternType="solid">
        <fgColor rgb="FF000134"/>
        <bgColor indexed="64"/>
      </patternFill>
    </fill>
    <fill>
      <patternFill patternType="solid">
        <fgColor rgb="FF000135"/>
        <bgColor indexed="64"/>
      </patternFill>
    </fill>
    <fill>
      <patternFill patternType="solid">
        <fgColor rgb="FF000136"/>
        <bgColor indexed="64"/>
      </patternFill>
    </fill>
    <fill>
      <patternFill patternType="solid">
        <fgColor rgb="FF000137"/>
        <bgColor indexed="64"/>
      </patternFill>
    </fill>
    <fill>
      <patternFill patternType="solid">
        <fgColor rgb="FF000138"/>
        <bgColor indexed="64"/>
      </patternFill>
    </fill>
    <fill>
      <patternFill patternType="solid">
        <fgColor rgb="FF000139"/>
        <bgColor indexed="64"/>
      </patternFill>
    </fill>
    <fill>
      <patternFill patternType="solid">
        <fgColor rgb="FF00013A"/>
        <bgColor indexed="64"/>
      </patternFill>
    </fill>
    <fill>
      <patternFill patternType="solid">
        <fgColor rgb="FF00013B"/>
        <bgColor indexed="64"/>
      </patternFill>
    </fill>
    <fill>
      <patternFill patternType="solid">
        <fgColor rgb="FF00013C"/>
        <bgColor indexed="64"/>
      </patternFill>
    </fill>
    <fill>
      <patternFill patternType="solid">
        <fgColor rgb="FF00013D"/>
        <bgColor indexed="64"/>
      </patternFill>
    </fill>
    <fill>
      <patternFill patternType="solid">
        <fgColor rgb="FF00013E"/>
        <bgColor indexed="64"/>
      </patternFill>
    </fill>
    <fill>
      <patternFill patternType="solid">
        <fgColor rgb="FF00013F"/>
        <bgColor indexed="64"/>
      </patternFill>
    </fill>
    <fill>
      <patternFill patternType="solid">
        <fgColor rgb="FF000140"/>
        <bgColor indexed="64"/>
      </patternFill>
    </fill>
    <fill>
      <patternFill patternType="solid">
        <fgColor rgb="FF000141"/>
        <bgColor indexed="64"/>
      </patternFill>
    </fill>
    <fill>
      <patternFill patternType="solid">
        <fgColor rgb="FF000142"/>
        <bgColor indexed="64"/>
      </patternFill>
    </fill>
    <fill>
      <patternFill patternType="solid">
        <fgColor rgb="FF000143"/>
        <bgColor indexed="64"/>
      </patternFill>
    </fill>
    <fill>
      <patternFill patternType="solid">
        <fgColor rgb="FF000144"/>
        <bgColor indexed="64"/>
      </patternFill>
    </fill>
    <fill>
      <patternFill patternType="solid">
        <fgColor rgb="FF000145"/>
        <bgColor indexed="64"/>
      </patternFill>
    </fill>
    <fill>
      <patternFill patternType="solid">
        <fgColor rgb="FF000146"/>
        <bgColor indexed="64"/>
      </patternFill>
    </fill>
    <fill>
      <patternFill patternType="solid">
        <fgColor rgb="FF000147"/>
        <bgColor indexed="64"/>
      </patternFill>
    </fill>
    <fill>
      <patternFill patternType="solid">
        <fgColor rgb="FF000148"/>
        <bgColor indexed="64"/>
      </patternFill>
    </fill>
    <fill>
      <patternFill patternType="solid">
        <fgColor rgb="FF000149"/>
        <bgColor indexed="64"/>
      </patternFill>
    </fill>
    <fill>
      <patternFill patternType="solid">
        <fgColor rgb="FF00014A"/>
        <bgColor indexed="64"/>
      </patternFill>
    </fill>
    <fill>
      <patternFill patternType="solid">
        <fgColor rgb="FF00014B"/>
        <bgColor indexed="64"/>
      </patternFill>
    </fill>
    <fill>
      <patternFill patternType="solid">
        <fgColor rgb="FF00014C"/>
        <bgColor indexed="64"/>
      </patternFill>
    </fill>
    <fill>
      <patternFill patternType="solid">
        <fgColor rgb="FF00014D"/>
        <bgColor indexed="64"/>
      </patternFill>
    </fill>
    <fill>
      <patternFill patternType="solid">
        <fgColor rgb="FF00014E"/>
        <bgColor indexed="64"/>
      </patternFill>
    </fill>
    <fill>
      <patternFill patternType="solid">
        <fgColor rgb="FF00014F"/>
        <bgColor indexed="64"/>
      </patternFill>
    </fill>
    <fill>
      <patternFill patternType="solid">
        <fgColor rgb="FF000150"/>
        <bgColor indexed="64"/>
      </patternFill>
    </fill>
    <fill>
      <patternFill patternType="solid">
        <fgColor rgb="FF000151"/>
        <bgColor indexed="64"/>
      </patternFill>
    </fill>
    <fill>
      <patternFill patternType="solid">
        <fgColor rgb="FF000152"/>
        <bgColor indexed="64"/>
      </patternFill>
    </fill>
    <fill>
      <patternFill patternType="solid">
        <fgColor rgb="FF000153"/>
        <bgColor indexed="64"/>
      </patternFill>
    </fill>
    <fill>
      <patternFill patternType="solid">
        <fgColor rgb="FF000154"/>
        <bgColor indexed="64"/>
      </patternFill>
    </fill>
    <fill>
      <patternFill patternType="solid">
        <fgColor rgb="FF000155"/>
        <bgColor indexed="64"/>
      </patternFill>
    </fill>
    <fill>
      <patternFill patternType="solid">
        <fgColor rgb="FF000156"/>
        <bgColor indexed="64"/>
      </patternFill>
    </fill>
    <fill>
      <patternFill patternType="solid">
        <fgColor rgb="FF000157"/>
        <bgColor indexed="64"/>
      </patternFill>
    </fill>
    <fill>
      <patternFill patternType="solid">
        <fgColor rgb="FF000158"/>
        <bgColor indexed="64"/>
      </patternFill>
    </fill>
    <fill>
      <patternFill patternType="solid">
        <fgColor rgb="FF000159"/>
        <bgColor indexed="64"/>
      </patternFill>
    </fill>
    <fill>
      <patternFill patternType="solid">
        <fgColor rgb="FF00015A"/>
        <bgColor indexed="64"/>
      </patternFill>
    </fill>
    <fill>
      <patternFill patternType="solid">
        <fgColor rgb="FF00015B"/>
        <bgColor indexed="64"/>
      </patternFill>
    </fill>
    <fill>
      <patternFill patternType="solid">
        <fgColor rgb="FF00015C"/>
        <bgColor indexed="64"/>
      </patternFill>
    </fill>
    <fill>
      <patternFill patternType="solid">
        <fgColor rgb="FF00015D"/>
        <bgColor indexed="64"/>
      </patternFill>
    </fill>
    <fill>
      <patternFill patternType="solid">
        <fgColor rgb="FF00015E"/>
        <bgColor indexed="64"/>
      </patternFill>
    </fill>
    <fill>
      <patternFill patternType="solid">
        <fgColor rgb="FF00015F"/>
        <bgColor indexed="64"/>
      </patternFill>
    </fill>
    <fill>
      <patternFill patternType="solid">
        <fgColor rgb="FF000160"/>
        <bgColor indexed="64"/>
      </patternFill>
    </fill>
    <fill>
      <patternFill patternType="solid">
        <fgColor rgb="FF000161"/>
        <bgColor indexed="64"/>
      </patternFill>
    </fill>
    <fill>
      <patternFill patternType="solid">
        <fgColor rgb="FF000162"/>
        <bgColor indexed="64"/>
      </patternFill>
    </fill>
    <fill>
      <patternFill patternType="solid">
        <fgColor rgb="FF000163"/>
        <bgColor indexed="64"/>
      </patternFill>
    </fill>
    <fill>
      <patternFill patternType="solid">
        <fgColor rgb="FF000164"/>
        <bgColor indexed="64"/>
      </patternFill>
    </fill>
    <fill>
      <patternFill patternType="solid">
        <fgColor rgb="FF000165"/>
        <bgColor indexed="64"/>
      </patternFill>
    </fill>
    <fill>
      <patternFill patternType="solid">
        <fgColor rgb="FF000166"/>
        <bgColor indexed="64"/>
      </patternFill>
    </fill>
    <fill>
      <patternFill patternType="solid">
        <fgColor rgb="FF000167"/>
        <bgColor indexed="64"/>
      </patternFill>
    </fill>
    <fill>
      <patternFill patternType="solid">
        <fgColor rgb="FF000168"/>
        <bgColor indexed="64"/>
      </patternFill>
    </fill>
    <fill>
      <patternFill patternType="solid">
        <fgColor rgb="FF000169"/>
        <bgColor indexed="64"/>
      </patternFill>
    </fill>
    <fill>
      <patternFill patternType="solid">
        <fgColor rgb="FF00016A"/>
        <bgColor indexed="64"/>
      </patternFill>
    </fill>
    <fill>
      <patternFill patternType="solid">
        <fgColor rgb="FF00016B"/>
        <bgColor indexed="64"/>
      </patternFill>
    </fill>
    <fill>
      <patternFill patternType="solid">
        <fgColor rgb="FF00016C"/>
        <bgColor indexed="64"/>
      </patternFill>
    </fill>
    <fill>
      <patternFill patternType="solid">
        <fgColor rgb="FF00016D"/>
        <bgColor indexed="64"/>
      </patternFill>
    </fill>
    <fill>
      <patternFill patternType="solid">
        <fgColor rgb="FF00016E"/>
        <bgColor indexed="64"/>
      </patternFill>
    </fill>
    <fill>
      <patternFill patternType="solid">
        <fgColor rgb="FF00016F"/>
        <bgColor indexed="64"/>
      </patternFill>
    </fill>
    <fill>
      <patternFill patternType="solid">
        <fgColor rgb="FF000170"/>
        <bgColor indexed="64"/>
      </patternFill>
    </fill>
    <fill>
      <patternFill patternType="solid">
        <fgColor rgb="FF000171"/>
        <bgColor indexed="64"/>
      </patternFill>
    </fill>
    <fill>
      <patternFill patternType="solid">
        <fgColor rgb="FF000172"/>
        <bgColor indexed="64"/>
      </patternFill>
    </fill>
    <fill>
      <patternFill patternType="solid">
        <fgColor rgb="FF000173"/>
        <bgColor indexed="64"/>
      </patternFill>
    </fill>
    <fill>
      <patternFill patternType="solid">
        <fgColor rgb="FF000174"/>
        <bgColor indexed="64"/>
      </patternFill>
    </fill>
    <fill>
      <patternFill patternType="solid">
        <fgColor rgb="FF000175"/>
        <bgColor indexed="64"/>
      </patternFill>
    </fill>
    <fill>
      <patternFill patternType="solid">
        <fgColor rgb="FF000176"/>
        <bgColor indexed="64"/>
      </patternFill>
    </fill>
    <fill>
      <patternFill patternType="solid">
        <fgColor rgb="FF000177"/>
        <bgColor indexed="64"/>
      </patternFill>
    </fill>
    <fill>
      <patternFill patternType="solid">
        <fgColor rgb="FF000178"/>
        <bgColor indexed="64"/>
      </patternFill>
    </fill>
    <fill>
      <patternFill patternType="solid">
        <fgColor rgb="FF000179"/>
        <bgColor indexed="64"/>
      </patternFill>
    </fill>
    <fill>
      <patternFill patternType="solid">
        <fgColor rgb="FF00017A"/>
        <bgColor indexed="64"/>
      </patternFill>
    </fill>
    <fill>
      <patternFill patternType="solid">
        <fgColor rgb="FF00017B"/>
        <bgColor indexed="64"/>
      </patternFill>
    </fill>
    <fill>
      <patternFill patternType="solid">
        <fgColor rgb="FF00017C"/>
        <bgColor indexed="64"/>
      </patternFill>
    </fill>
    <fill>
      <patternFill patternType="solid">
        <fgColor rgb="FF00017D"/>
        <bgColor indexed="64"/>
      </patternFill>
    </fill>
    <fill>
      <patternFill patternType="solid">
        <fgColor rgb="FF00017E"/>
        <bgColor indexed="64"/>
      </patternFill>
    </fill>
    <fill>
      <patternFill patternType="solid">
        <fgColor rgb="FF00017F"/>
        <bgColor indexed="64"/>
      </patternFill>
    </fill>
    <fill>
      <patternFill patternType="solid">
        <fgColor rgb="FF000180"/>
        <bgColor indexed="64"/>
      </patternFill>
    </fill>
    <fill>
      <patternFill patternType="solid">
        <fgColor rgb="FF000181"/>
        <bgColor indexed="64"/>
      </patternFill>
    </fill>
    <fill>
      <patternFill patternType="solid">
        <fgColor rgb="FF000182"/>
        <bgColor indexed="64"/>
      </patternFill>
    </fill>
    <fill>
      <patternFill patternType="solid">
        <fgColor rgb="FF000183"/>
        <bgColor indexed="64"/>
      </patternFill>
    </fill>
    <fill>
      <patternFill patternType="solid">
        <fgColor rgb="FF000184"/>
        <bgColor indexed="64"/>
      </patternFill>
    </fill>
    <fill>
      <patternFill patternType="solid">
        <fgColor rgb="FF000185"/>
        <bgColor indexed="64"/>
      </patternFill>
    </fill>
    <fill>
      <patternFill patternType="solid">
        <fgColor rgb="FF000186"/>
        <bgColor indexed="64"/>
      </patternFill>
    </fill>
    <fill>
      <patternFill patternType="solid">
        <fgColor rgb="FF000187"/>
        <bgColor indexed="64"/>
      </patternFill>
    </fill>
    <fill>
      <patternFill patternType="solid">
        <fgColor rgb="FF000188"/>
        <bgColor indexed="64"/>
      </patternFill>
    </fill>
    <fill>
      <patternFill patternType="solid">
        <fgColor rgb="FF000189"/>
        <bgColor indexed="64"/>
      </patternFill>
    </fill>
    <fill>
      <patternFill patternType="solid">
        <fgColor rgb="FF00018A"/>
        <bgColor indexed="64"/>
      </patternFill>
    </fill>
    <fill>
      <patternFill patternType="solid">
        <fgColor rgb="FF00018B"/>
        <bgColor indexed="64"/>
      </patternFill>
    </fill>
    <fill>
      <patternFill patternType="solid">
        <fgColor rgb="FF00018C"/>
        <bgColor indexed="64"/>
      </patternFill>
    </fill>
    <fill>
      <patternFill patternType="solid">
        <fgColor rgb="FF00018D"/>
        <bgColor indexed="64"/>
      </patternFill>
    </fill>
    <fill>
      <patternFill patternType="solid">
        <fgColor rgb="FF00018E"/>
        <bgColor indexed="64"/>
      </patternFill>
    </fill>
    <fill>
      <patternFill patternType="solid">
        <fgColor rgb="FF00018F"/>
        <bgColor indexed="64"/>
      </patternFill>
    </fill>
    <fill>
      <patternFill patternType="solid">
        <fgColor rgb="FF000190"/>
        <bgColor indexed="64"/>
      </patternFill>
    </fill>
    <fill>
      <patternFill patternType="solid">
        <fgColor rgb="FF000191"/>
        <bgColor indexed="64"/>
      </patternFill>
    </fill>
    <fill>
      <patternFill patternType="solid">
        <fgColor rgb="FF000192"/>
        <bgColor indexed="64"/>
      </patternFill>
    </fill>
    <fill>
      <patternFill patternType="solid">
        <fgColor rgb="FF000193"/>
        <bgColor indexed="64"/>
      </patternFill>
    </fill>
    <fill>
      <patternFill patternType="solid">
        <fgColor rgb="FF000194"/>
        <bgColor indexed="64"/>
      </patternFill>
    </fill>
    <fill>
      <patternFill patternType="solid">
        <fgColor rgb="FF000195"/>
        <bgColor indexed="64"/>
      </patternFill>
    </fill>
    <fill>
      <patternFill patternType="solid">
        <fgColor rgb="FF000196"/>
        <bgColor indexed="64"/>
      </patternFill>
    </fill>
    <fill>
      <patternFill patternType="solid">
        <fgColor rgb="FF000197"/>
        <bgColor indexed="64"/>
      </patternFill>
    </fill>
    <fill>
      <patternFill patternType="solid">
        <fgColor rgb="FF000198"/>
        <bgColor indexed="64"/>
      </patternFill>
    </fill>
    <fill>
      <patternFill patternType="solid">
        <fgColor rgb="FF000199"/>
        <bgColor indexed="64"/>
      </patternFill>
    </fill>
    <fill>
      <patternFill patternType="solid">
        <fgColor rgb="FF00019A"/>
        <bgColor indexed="64"/>
      </patternFill>
    </fill>
    <fill>
      <patternFill patternType="solid">
        <fgColor rgb="FF00019B"/>
        <bgColor indexed="64"/>
      </patternFill>
    </fill>
    <fill>
      <patternFill patternType="solid">
        <fgColor rgb="FF00019C"/>
        <bgColor indexed="64"/>
      </patternFill>
    </fill>
    <fill>
      <patternFill patternType="solid">
        <fgColor rgb="FF00019D"/>
        <bgColor indexed="64"/>
      </patternFill>
    </fill>
    <fill>
      <patternFill patternType="solid">
        <fgColor rgb="FF00019E"/>
        <bgColor indexed="64"/>
      </patternFill>
    </fill>
    <fill>
      <patternFill patternType="solid">
        <fgColor rgb="FF00019F"/>
        <bgColor indexed="64"/>
      </patternFill>
    </fill>
    <fill>
      <patternFill patternType="solid">
        <fgColor rgb="FF0001A0"/>
        <bgColor indexed="64"/>
      </patternFill>
    </fill>
    <fill>
      <patternFill patternType="solid">
        <fgColor rgb="FF0001A1"/>
        <bgColor indexed="64"/>
      </patternFill>
    </fill>
    <fill>
      <patternFill patternType="solid">
        <fgColor rgb="FF0001A2"/>
        <bgColor indexed="64"/>
      </patternFill>
    </fill>
    <fill>
      <patternFill patternType="solid">
        <fgColor rgb="FF0001A3"/>
        <bgColor indexed="64"/>
      </patternFill>
    </fill>
    <fill>
      <patternFill patternType="solid">
        <fgColor rgb="FF0001A4"/>
        <bgColor indexed="64"/>
      </patternFill>
    </fill>
    <fill>
      <patternFill patternType="solid">
        <fgColor rgb="FF0001A5"/>
        <bgColor indexed="64"/>
      </patternFill>
    </fill>
    <fill>
      <patternFill patternType="solid">
        <fgColor rgb="FF0001A6"/>
        <bgColor indexed="64"/>
      </patternFill>
    </fill>
    <fill>
      <patternFill patternType="solid">
        <fgColor rgb="FF0001A7"/>
        <bgColor indexed="64"/>
      </patternFill>
    </fill>
    <fill>
      <patternFill patternType="solid">
        <fgColor rgb="FF0001A8"/>
        <bgColor indexed="64"/>
      </patternFill>
    </fill>
    <fill>
      <patternFill patternType="solid">
        <fgColor rgb="FF0001A9"/>
        <bgColor indexed="64"/>
      </patternFill>
    </fill>
    <fill>
      <patternFill patternType="solid">
        <fgColor rgb="FF0001AA"/>
        <bgColor indexed="64"/>
      </patternFill>
    </fill>
    <fill>
      <patternFill patternType="solid">
        <fgColor rgb="FF0001AB"/>
        <bgColor indexed="64"/>
      </patternFill>
    </fill>
    <fill>
      <patternFill patternType="solid">
        <fgColor rgb="FF0001AC"/>
        <bgColor indexed="64"/>
      </patternFill>
    </fill>
    <fill>
      <patternFill patternType="solid">
        <fgColor rgb="FF0001AD"/>
        <bgColor indexed="64"/>
      </patternFill>
    </fill>
    <fill>
      <patternFill patternType="solid">
        <fgColor rgb="FF0001AE"/>
        <bgColor indexed="64"/>
      </patternFill>
    </fill>
    <fill>
      <patternFill patternType="solid">
        <fgColor rgb="FF0001AF"/>
        <bgColor indexed="64"/>
      </patternFill>
    </fill>
    <fill>
      <patternFill patternType="solid">
        <fgColor rgb="FF0001B0"/>
        <bgColor indexed="64"/>
      </patternFill>
    </fill>
    <fill>
      <patternFill patternType="solid">
        <fgColor rgb="FF0001B1"/>
        <bgColor indexed="64"/>
      </patternFill>
    </fill>
    <fill>
      <patternFill patternType="solid">
        <fgColor rgb="FF0001B2"/>
        <bgColor indexed="64"/>
      </patternFill>
    </fill>
    <fill>
      <patternFill patternType="solid">
        <fgColor rgb="FF0001B3"/>
        <bgColor indexed="64"/>
      </patternFill>
    </fill>
    <fill>
      <patternFill patternType="solid">
        <fgColor rgb="FF0001B4"/>
        <bgColor indexed="64"/>
      </patternFill>
    </fill>
    <fill>
      <patternFill patternType="solid">
        <fgColor rgb="FF0001B5"/>
        <bgColor indexed="64"/>
      </patternFill>
    </fill>
    <fill>
      <patternFill patternType="solid">
        <fgColor rgb="FF0001B6"/>
        <bgColor indexed="64"/>
      </patternFill>
    </fill>
    <fill>
      <patternFill patternType="solid">
        <fgColor rgb="FF0001B7"/>
        <bgColor indexed="64"/>
      </patternFill>
    </fill>
    <fill>
      <patternFill patternType="solid">
        <fgColor rgb="FF0001B8"/>
        <bgColor indexed="64"/>
      </patternFill>
    </fill>
    <fill>
      <patternFill patternType="solid">
        <fgColor rgb="FF0001B9"/>
        <bgColor indexed="64"/>
      </patternFill>
    </fill>
    <fill>
      <patternFill patternType="solid">
        <fgColor rgb="FF0001BA"/>
        <bgColor indexed="64"/>
      </patternFill>
    </fill>
    <fill>
      <patternFill patternType="solid">
        <fgColor rgb="FF0001BB"/>
        <bgColor indexed="64"/>
      </patternFill>
    </fill>
    <fill>
      <patternFill patternType="solid">
        <fgColor rgb="FF0001BC"/>
        <bgColor indexed="64"/>
      </patternFill>
    </fill>
    <fill>
      <patternFill patternType="solid">
        <fgColor rgb="FF0001BD"/>
        <bgColor indexed="64"/>
      </patternFill>
    </fill>
    <fill>
      <patternFill patternType="solid">
        <fgColor rgb="FF0001BE"/>
        <bgColor indexed="64"/>
      </patternFill>
    </fill>
    <fill>
      <patternFill patternType="solid">
        <fgColor rgb="FF0001BF"/>
        <bgColor indexed="64"/>
      </patternFill>
    </fill>
    <fill>
      <patternFill patternType="solid">
        <fgColor rgb="FF0001C0"/>
        <bgColor indexed="64"/>
      </patternFill>
    </fill>
    <fill>
      <patternFill patternType="solid">
        <fgColor rgb="FF0001C1"/>
        <bgColor indexed="64"/>
      </patternFill>
    </fill>
    <fill>
      <patternFill patternType="solid">
        <fgColor rgb="FF0001C2"/>
        <bgColor indexed="64"/>
      </patternFill>
    </fill>
    <fill>
      <patternFill patternType="solid">
        <fgColor rgb="FF0001C3"/>
        <bgColor indexed="64"/>
      </patternFill>
    </fill>
    <fill>
      <patternFill patternType="solid">
        <fgColor rgb="FF0001C4"/>
        <bgColor indexed="64"/>
      </patternFill>
    </fill>
    <fill>
      <patternFill patternType="solid">
        <fgColor rgb="FF0001C5"/>
        <bgColor indexed="64"/>
      </patternFill>
    </fill>
    <fill>
      <patternFill patternType="solid">
        <fgColor rgb="FF0001C6"/>
        <bgColor indexed="64"/>
      </patternFill>
    </fill>
    <fill>
      <patternFill patternType="solid">
        <fgColor rgb="FF0001C7"/>
        <bgColor indexed="64"/>
      </patternFill>
    </fill>
    <fill>
      <patternFill patternType="solid">
        <fgColor rgb="FF0001C8"/>
        <bgColor indexed="64"/>
      </patternFill>
    </fill>
    <fill>
      <patternFill patternType="solid">
        <fgColor rgb="FF0001C9"/>
        <bgColor indexed="64"/>
      </patternFill>
    </fill>
    <fill>
      <patternFill patternType="solid">
        <fgColor rgb="FF0001CA"/>
        <bgColor indexed="64"/>
      </patternFill>
    </fill>
    <fill>
      <patternFill patternType="solid">
        <fgColor rgb="FF0001CB"/>
        <bgColor indexed="64"/>
      </patternFill>
    </fill>
    <fill>
      <patternFill patternType="solid">
        <fgColor rgb="FF0001CC"/>
        <bgColor indexed="64"/>
      </patternFill>
    </fill>
    <fill>
      <patternFill patternType="solid">
        <fgColor rgb="FF0001CD"/>
        <bgColor indexed="64"/>
      </patternFill>
    </fill>
    <fill>
      <patternFill patternType="solid">
        <fgColor rgb="FF0001CE"/>
        <bgColor indexed="64"/>
      </patternFill>
    </fill>
    <fill>
      <patternFill patternType="solid">
        <fgColor rgb="FF0001CF"/>
        <bgColor indexed="64"/>
      </patternFill>
    </fill>
    <fill>
      <patternFill patternType="solid">
        <fgColor rgb="FF0001D0"/>
        <bgColor indexed="64"/>
      </patternFill>
    </fill>
    <fill>
      <patternFill patternType="solid">
        <fgColor rgb="FF0001D1"/>
        <bgColor indexed="64"/>
      </patternFill>
    </fill>
    <fill>
      <patternFill patternType="solid">
        <fgColor rgb="FF0001D2"/>
        <bgColor indexed="64"/>
      </patternFill>
    </fill>
    <fill>
      <patternFill patternType="solid">
        <fgColor rgb="FF0001D3"/>
        <bgColor indexed="64"/>
      </patternFill>
    </fill>
    <fill>
      <patternFill patternType="solid">
        <fgColor rgb="FF0001D4"/>
        <bgColor indexed="64"/>
      </patternFill>
    </fill>
    <fill>
      <patternFill patternType="solid">
        <fgColor rgb="FF0001D5"/>
        <bgColor indexed="64"/>
      </patternFill>
    </fill>
    <fill>
      <patternFill patternType="solid">
        <fgColor rgb="FF0001D6"/>
        <bgColor indexed="64"/>
      </patternFill>
    </fill>
    <fill>
      <patternFill patternType="solid">
        <fgColor rgb="FF0001D7"/>
        <bgColor indexed="64"/>
      </patternFill>
    </fill>
    <fill>
      <patternFill patternType="solid">
        <fgColor rgb="FF0001D8"/>
        <bgColor indexed="64"/>
      </patternFill>
    </fill>
    <fill>
      <patternFill patternType="solid">
        <fgColor rgb="FF0001D9"/>
        <bgColor indexed="64"/>
      </patternFill>
    </fill>
    <fill>
      <patternFill patternType="solid">
        <fgColor rgb="FF0001DA"/>
        <bgColor indexed="64"/>
      </patternFill>
    </fill>
    <fill>
      <patternFill patternType="solid">
        <fgColor rgb="FF0001DB"/>
        <bgColor indexed="64"/>
      </patternFill>
    </fill>
    <fill>
      <patternFill patternType="solid">
        <fgColor rgb="FF0001DC"/>
        <bgColor indexed="64"/>
      </patternFill>
    </fill>
    <fill>
      <patternFill patternType="solid">
        <fgColor rgb="FF0001DD"/>
        <bgColor indexed="64"/>
      </patternFill>
    </fill>
    <fill>
      <patternFill patternType="solid">
        <fgColor rgb="FF0001DE"/>
        <bgColor indexed="64"/>
      </patternFill>
    </fill>
    <fill>
      <patternFill patternType="solid">
        <fgColor rgb="FF0001DF"/>
        <bgColor indexed="64"/>
      </patternFill>
    </fill>
    <fill>
      <patternFill patternType="solid">
        <fgColor rgb="FF0001E0"/>
        <bgColor indexed="64"/>
      </patternFill>
    </fill>
    <fill>
      <patternFill patternType="solid">
        <fgColor rgb="FF0001E1"/>
        <bgColor indexed="64"/>
      </patternFill>
    </fill>
    <fill>
      <patternFill patternType="solid">
        <fgColor rgb="FF0001E2"/>
        <bgColor indexed="64"/>
      </patternFill>
    </fill>
    <fill>
      <patternFill patternType="solid">
        <fgColor rgb="FF0001E3"/>
        <bgColor indexed="64"/>
      </patternFill>
    </fill>
    <fill>
      <patternFill patternType="solid">
        <fgColor rgb="FF0001E4"/>
        <bgColor indexed="64"/>
      </patternFill>
    </fill>
    <fill>
      <patternFill patternType="solid">
        <fgColor rgb="FF0001E5"/>
        <bgColor indexed="64"/>
      </patternFill>
    </fill>
    <fill>
      <patternFill patternType="solid">
        <fgColor rgb="FF0001E6"/>
        <bgColor indexed="64"/>
      </patternFill>
    </fill>
    <fill>
      <patternFill patternType="solid">
        <fgColor rgb="FF0001E7"/>
        <bgColor indexed="64"/>
      </patternFill>
    </fill>
    <fill>
      <patternFill patternType="solid">
        <fgColor rgb="FF0001E8"/>
        <bgColor indexed="64"/>
      </patternFill>
    </fill>
    <fill>
      <patternFill patternType="solid">
        <fgColor rgb="FF0001E9"/>
        <bgColor indexed="64"/>
      </patternFill>
    </fill>
    <fill>
      <patternFill patternType="solid">
        <fgColor rgb="FF0001EA"/>
        <bgColor indexed="64"/>
      </patternFill>
    </fill>
    <fill>
      <patternFill patternType="solid">
        <fgColor rgb="FF0001EB"/>
        <bgColor indexed="64"/>
      </patternFill>
    </fill>
    <fill>
      <patternFill patternType="solid">
        <fgColor rgb="FF0001EC"/>
        <bgColor indexed="64"/>
      </patternFill>
    </fill>
    <fill>
      <patternFill patternType="solid">
        <fgColor rgb="FF0001ED"/>
        <bgColor indexed="64"/>
      </patternFill>
    </fill>
    <fill>
      <patternFill patternType="solid">
        <fgColor rgb="FF0001EE"/>
        <bgColor indexed="64"/>
      </patternFill>
    </fill>
    <fill>
      <patternFill patternType="solid">
        <fgColor rgb="FF0001EF"/>
        <bgColor indexed="64"/>
      </patternFill>
    </fill>
    <fill>
      <patternFill patternType="solid">
        <fgColor rgb="FF0001F0"/>
        <bgColor indexed="64"/>
      </patternFill>
    </fill>
    <fill>
      <patternFill patternType="solid">
        <fgColor rgb="FF0001F1"/>
        <bgColor indexed="64"/>
      </patternFill>
    </fill>
    <fill>
      <patternFill patternType="solid">
        <fgColor rgb="FF0001F2"/>
        <bgColor indexed="64"/>
      </patternFill>
    </fill>
    <fill>
      <patternFill patternType="solid">
        <fgColor rgb="FF0001F3"/>
        <bgColor indexed="64"/>
      </patternFill>
    </fill>
    <fill>
      <patternFill patternType="solid">
        <fgColor rgb="FF0001F4"/>
        <bgColor indexed="64"/>
      </patternFill>
    </fill>
    <fill>
      <patternFill patternType="solid">
        <fgColor rgb="FF0001F5"/>
        <bgColor indexed="64"/>
      </patternFill>
    </fill>
    <fill>
      <patternFill patternType="solid">
        <fgColor rgb="FF0001F6"/>
        <bgColor indexed="64"/>
      </patternFill>
    </fill>
    <fill>
      <patternFill patternType="solid">
        <fgColor rgb="FF0001F7"/>
        <bgColor indexed="64"/>
      </patternFill>
    </fill>
    <fill>
      <patternFill patternType="solid">
        <fgColor rgb="FF0001F8"/>
        <bgColor indexed="64"/>
      </patternFill>
    </fill>
    <fill>
      <patternFill patternType="solid">
        <fgColor rgb="FF0001F9"/>
        <bgColor indexed="64"/>
      </patternFill>
    </fill>
    <fill>
      <patternFill patternType="solid">
        <fgColor rgb="FF0001FA"/>
        <bgColor indexed="64"/>
      </patternFill>
    </fill>
    <fill>
      <patternFill patternType="solid">
        <fgColor rgb="FF0001FB"/>
        <bgColor indexed="64"/>
      </patternFill>
    </fill>
    <fill>
      <patternFill patternType="solid">
        <fgColor rgb="FF0001FC"/>
        <bgColor indexed="64"/>
      </patternFill>
    </fill>
    <fill>
      <patternFill patternType="solid">
        <fgColor rgb="FF0001FD"/>
        <bgColor indexed="64"/>
      </patternFill>
    </fill>
    <fill>
      <patternFill patternType="solid">
        <fgColor rgb="FF0001FE"/>
        <bgColor indexed="64"/>
      </patternFill>
    </fill>
    <fill>
      <patternFill patternType="solid">
        <fgColor rgb="FF0001FF"/>
        <bgColor indexed="64"/>
      </patternFill>
    </fill>
    <fill>
      <patternFill patternType="solid">
        <fgColor rgb="FF000200"/>
        <bgColor indexed="64"/>
      </patternFill>
    </fill>
    <fill>
      <patternFill patternType="solid">
        <fgColor rgb="FF000201"/>
        <bgColor indexed="64"/>
      </patternFill>
    </fill>
    <fill>
      <patternFill patternType="solid">
        <fgColor rgb="FF000202"/>
        <bgColor indexed="64"/>
      </patternFill>
    </fill>
    <fill>
      <patternFill patternType="solid">
        <fgColor rgb="FF000203"/>
        <bgColor indexed="64"/>
      </patternFill>
    </fill>
    <fill>
      <patternFill patternType="solid">
        <fgColor rgb="FF000204"/>
        <bgColor indexed="64"/>
      </patternFill>
    </fill>
    <fill>
      <patternFill patternType="solid">
        <fgColor rgb="FF000205"/>
        <bgColor indexed="64"/>
      </patternFill>
    </fill>
    <fill>
      <patternFill patternType="solid">
        <fgColor rgb="FF000206"/>
        <bgColor indexed="64"/>
      </patternFill>
    </fill>
    <fill>
      <patternFill patternType="solid">
        <fgColor rgb="FF000207"/>
        <bgColor indexed="64"/>
      </patternFill>
    </fill>
    <fill>
      <patternFill patternType="solid">
        <fgColor rgb="FF000208"/>
        <bgColor indexed="64"/>
      </patternFill>
    </fill>
    <fill>
      <patternFill patternType="solid">
        <fgColor rgb="FF000209"/>
        <bgColor indexed="64"/>
      </patternFill>
    </fill>
    <fill>
      <patternFill patternType="solid">
        <fgColor rgb="FF00020A"/>
        <bgColor indexed="64"/>
      </patternFill>
    </fill>
    <fill>
      <patternFill patternType="solid">
        <fgColor rgb="FF00020B"/>
        <bgColor indexed="64"/>
      </patternFill>
    </fill>
    <fill>
      <patternFill patternType="solid">
        <fgColor rgb="FF00020C"/>
        <bgColor indexed="64"/>
      </patternFill>
    </fill>
    <fill>
      <patternFill patternType="solid">
        <fgColor rgb="FF00020D"/>
        <bgColor indexed="64"/>
      </patternFill>
    </fill>
    <fill>
      <patternFill patternType="solid">
        <fgColor rgb="FF00020E"/>
        <bgColor indexed="64"/>
      </patternFill>
    </fill>
    <fill>
      <patternFill patternType="solid">
        <fgColor rgb="FF00020F"/>
        <bgColor indexed="64"/>
      </patternFill>
    </fill>
    <fill>
      <patternFill patternType="solid">
        <fgColor rgb="FF000210"/>
        <bgColor indexed="64"/>
      </patternFill>
    </fill>
    <fill>
      <patternFill patternType="solid">
        <fgColor rgb="FF000211"/>
        <bgColor indexed="64"/>
      </patternFill>
    </fill>
    <fill>
      <patternFill patternType="solid">
        <fgColor rgb="FF000212"/>
        <bgColor indexed="64"/>
      </patternFill>
    </fill>
    <fill>
      <patternFill patternType="solid">
        <fgColor rgb="FF000213"/>
        <bgColor indexed="64"/>
      </patternFill>
    </fill>
    <fill>
      <patternFill patternType="solid">
        <fgColor rgb="FF000214"/>
        <bgColor indexed="64"/>
      </patternFill>
    </fill>
    <fill>
      <patternFill patternType="solid">
        <fgColor rgb="FF000215"/>
        <bgColor indexed="64"/>
      </patternFill>
    </fill>
    <fill>
      <patternFill patternType="solid">
        <fgColor rgb="FF000216"/>
        <bgColor indexed="64"/>
      </patternFill>
    </fill>
    <fill>
      <patternFill patternType="solid">
        <fgColor rgb="FF000217"/>
        <bgColor indexed="64"/>
      </patternFill>
    </fill>
    <fill>
      <patternFill patternType="solid">
        <fgColor rgb="FF000218"/>
        <bgColor indexed="64"/>
      </patternFill>
    </fill>
    <fill>
      <patternFill patternType="solid">
        <fgColor rgb="FF000219"/>
        <bgColor indexed="64"/>
      </patternFill>
    </fill>
    <fill>
      <patternFill patternType="solid">
        <fgColor rgb="FF00021A"/>
        <bgColor indexed="64"/>
      </patternFill>
    </fill>
    <fill>
      <patternFill patternType="solid">
        <fgColor rgb="FF00021B"/>
        <bgColor indexed="64"/>
      </patternFill>
    </fill>
    <fill>
      <patternFill patternType="solid">
        <fgColor rgb="FF00021C"/>
        <bgColor indexed="64"/>
      </patternFill>
    </fill>
    <fill>
      <patternFill patternType="solid">
        <fgColor rgb="FF00021D"/>
        <bgColor indexed="64"/>
      </patternFill>
    </fill>
    <fill>
      <patternFill patternType="solid">
        <fgColor rgb="FF00021E"/>
        <bgColor indexed="64"/>
      </patternFill>
    </fill>
    <fill>
      <patternFill patternType="solid">
        <fgColor rgb="FF00021F"/>
        <bgColor indexed="64"/>
      </patternFill>
    </fill>
    <fill>
      <patternFill patternType="solid">
        <fgColor rgb="FF000220"/>
        <bgColor indexed="64"/>
      </patternFill>
    </fill>
    <fill>
      <patternFill patternType="solid">
        <fgColor rgb="FF000221"/>
        <bgColor indexed="64"/>
      </patternFill>
    </fill>
    <fill>
      <patternFill patternType="solid">
        <fgColor rgb="FF000222"/>
        <bgColor indexed="64"/>
      </patternFill>
    </fill>
    <fill>
      <patternFill patternType="solid">
        <fgColor rgb="FF000223"/>
        <bgColor indexed="64"/>
      </patternFill>
    </fill>
    <fill>
      <patternFill patternType="solid">
        <fgColor rgb="FF000224"/>
        <bgColor indexed="64"/>
      </patternFill>
    </fill>
    <fill>
      <patternFill patternType="solid">
        <fgColor rgb="FF000225"/>
        <bgColor indexed="64"/>
      </patternFill>
    </fill>
    <fill>
      <patternFill patternType="solid">
        <fgColor rgb="FF000226"/>
        <bgColor indexed="64"/>
      </patternFill>
    </fill>
    <fill>
      <patternFill patternType="solid">
        <fgColor rgb="FF000227"/>
        <bgColor indexed="64"/>
      </patternFill>
    </fill>
    <fill>
      <patternFill patternType="solid">
        <fgColor rgb="FF000228"/>
        <bgColor indexed="64"/>
      </patternFill>
    </fill>
    <fill>
      <patternFill patternType="solid">
        <fgColor rgb="FF000229"/>
        <bgColor indexed="64"/>
      </patternFill>
    </fill>
    <fill>
      <patternFill patternType="solid">
        <fgColor rgb="FF00022A"/>
        <bgColor indexed="64"/>
      </patternFill>
    </fill>
    <fill>
      <patternFill patternType="solid">
        <fgColor rgb="FF00022B"/>
        <bgColor indexed="64"/>
      </patternFill>
    </fill>
    <fill>
      <patternFill patternType="solid">
        <fgColor rgb="FF00022C"/>
        <bgColor indexed="64"/>
      </patternFill>
    </fill>
    <fill>
      <patternFill patternType="solid">
        <fgColor rgb="FF00022D"/>
        <bgColor indexed="64"/>
      </patternFill>
    </fill>
    <fill>
      <patternFill patternType="solid">
        <fgColor rgb="FF00022E"/>
        <bgColor indexed="64"/>
      </patternFill>
    </fill>
    <fill>
      <patternFill patternType="solid">
        <fgColor rgb="FF00022F"/>
        <bgColor indexed="64"/>
      </patternFill>
    </fill>
    <fill>
      <patternFill patternType="solid">
        <fgColor rgb="FF000230"/>
        <bgColor indexed="64"/>
      </patternFill>
    </fill>
    <fill>
      <patternFill patternType="solid">
        <fgColor rgb="FF000231"/>
        <bgColor indexed="64"/>
      </patternFill>
    </fill>
    <fill>
      <patternFill patternType="solid">
        <fgColor rgb="FF000232"/>
        <bgColor indexed="64"/>
      </patternFill>
    </fill>
    <fill>
      <patternFill patternType="solid">
        <fgColor rgb="FF000233"/>
        <bgColor indexed="64"/>
      </patternFill>
    </fill>
    <fill>
      <patternFill patternType="solid">
        <fgColor rgb="FF000234"/>
        <bgColor indexed="64"/>
      </patternFill>
    </fill>
    <fill>
      <patternFill patternType="solid">
        <fgColor rgb="FF000235"/>
        <bgColor indexed="64"/>
      </patternFill>
    </fill>
    <fill>
      <patternFill patternType="solid">
        <fgColor rgb="FF000236"/>
        <bgColor indexed="64"/>
      </patternFill>
    </fill>
    <fill>
      <patternFill patternType="solid">
        <fgColor rgb="FF000237"/>
        <bgColor indexed="64"/>
      </patternFill>
    </fill>
    <fill>
      <patternFill patternType="solid">
        <fgColor rgb="FF000238"/>
        <bgColor indexed="64"/>
      </patternFill>
    </fill>
    <fill>
      <patternFill patternType="solid">
        <fgColor rgb="FF000239"/>
        <bgColor indexed="64"/>
      </patternFill>
    </fill>
    <fill>
      <patternFill patternType="solid">
        <fgColor rgb="FF00023A"/>
        <bgColor indexed="64"/>
      </patternFill>
    </fill>
    <fill>
      <patternFill patternType="solid">
        <fgColor rgb="FF00023B"/>
        <bgColor indexed="64"/>
      </patternFill>
    </fill>
    <fill>
      <patternFill patternType="solid">
        <fgColor rgb="FF00023C"/>
        <bgColor indexed="64"/>
      </patternFill>
    </fill>
    <fill>
      <patternFill patternType="solid">
        <fgColor rgb="FF00023D"/>
        <bgColor indexed="64"/>
      </patternFill>
    </fill>
    <fill>
      <patternFill patternType="solid">
        <fgColor rgb="FF00023E"/>
        <bgColor indexed="64"/>
      </patternFill>
    </fill>
    <fill>
      <patternFill patternType="solid">
        <fgColor rgb="FF00023F"/>
        <bgColor indexed="64"/>
      </patternFill>
    </fill>
    <fill>
      <patternFill patternType="solid">
        <fgColor rgb="FF000240"/>
        <bgColor indexed="64"/>
      </patternFill>
    </fill>
    <fill>
      <patternFill patternType="solid">
        <fgColor rgb="FF000241"/>
        <bgColor indexed="64"/>
      </patternFill>
    </fill>
    <fill>
      <patternFill patternType="solid">
        <fgColor rgb="FF000242"/>
        <bgColor indexed="64"/>
      </patternFill>
    </fill>
    <fill>
      <patternFill patternType="solid">
        <fgColor rgb="FF000243"/>
        <bgColor indexed="64"/>
      </patternFill>
    </fill>
    <fill>
      <patternFill patternType="solid">
        <fgColor rgb="FF000244"/>
        <bgColor indexed="64"/>
      </patternFill>
    </fill>
    <fill>
      <patternFill patternType="solid">
        <fgColor rgb="FF000245"/>
        <bgColor indexed="64"/>
      </patternFill>
    </fill>
    <fill>
      <patternFill patternType="solid">
        <fgColor rgb="FF000246"/>
        <bgColor indexed="64"/>
      </patternFill>
    </fill>
    <fill>
      <patternFill patternType="solid">
        <fgColor rgb="FF000247"/>
        <bgColor indexed="64"/>
      </patternFill>
    </fill>
    <fill>
      <patternFill patternType="solid">
        <fgColor rgb="FF000248"/>
        <bgColor indexed="64"/>
      </patternFill>
    </fill>
    <fill>
      <patternFill patternType="solid">
        <fgColor rgb="FF000249"/>
        <bgColor indexed="64"/>
      </patternFill>
    </fill>
    <fill>
      <patternFill patternType="solid">
        <fgColor rgb="FF00024A"/>
        <bgColor indexed="64"/>
      </patternFill>
    </fill>
    <fill>
      <patternFill patternType="solid">
        <fgColor rgb="FF00024B"/>
        <bgColor indexed="64"/>
      </patternFill>
    </fill>
    <fill>
      <patternFill patternType="solid">
        <fgColor rgb="FF00024C"/>
        <bgColor indexed="64"/>
      </patternFill>
    </fill>
    <fill>
      <patternFill patternType="solid">
        <fgColor rgb="FF00024D"/>
        <bgColor indexed="64"/>
      </patternFill>
    </fill>
    <fill>
      <patternFill patternType="solid">
        <fgColor rgb="FF00024E"/>
        <bgColor indexed="64"/>
      </patternFill>
    </fill>
    <fill>
      <patternFill patternType="solid">
        <fgColor rgb="FF00024F"/>
        <bgColor indexed="64"/>
      </patternFill>
    </fill>
    <fill>
      <patternFill patternType="solid">
        <fgColor rgb="FF000250"/>
        <bgColor indexed="64"/>
      </patternFill>
    </fill>
    <fill>
      <patternFill patternType="solid">
        <fgColor rgb="FF000251"/>
        <bgColor indexed="64"/>
      </patternFill>
    </fill>
    <fill>
      <patternFill patternType="solid">
        <fgColor rgb="FF000252"/>
        <bgColor indexed="64"/>
      </patternFill>
    </fill>
    <fill>
      <patternFill patternType="solid">
        <fgColor rgb="FF000253"/>
        <bgColor indexed="64"/>
      </patternFill>
    </fill>
    <fill>
      <patternFill patternType="solid">
        <fgColor rgb="FF000254"/>
        <bgColor indexed="64"/>
      </patternFill>
    </fill>
    <fill>
      <patternFill patternType="solid">
        <fgColor rgb="FF000255"/>
        <bgColor indexed="64"/>
      </patternFill>
    </fill>
    <fill>
      <patternFill patternType="solid">
        <fgColor rgb="FF000256"/>
        <bgColor indexed="64"/>
      </patternFill>
    </fill>
    <fill>
      <patternFill patternType="solid">
        <fgColor rgb="FF000257"/>
        <bgColor indexed="64"/>
      </patternFill>
    </fill>
    <fill>
      <patternFill patternType="solid">
        <fgColor rgb="FF000258"/>
        <bgColor indexed="64"/>
      </patternFill>
    </fill>
    <fill>
      <patternFill patternType="solid">
        <fgColor rgb="FF000259"/>
        <bgColor indexed="64"/>
      </patternFill>
    </fill>
    <fill>
      <patternFill patternType="solid">
        <fgColor rgb="FF00025A"/>
        <bgColor indexed="64"/>
      </patternFill>
    </fill>
    <fill>
      <patternFill patternType="solid">
        <fgColor rgb="FF00025B"/>
        <bgColor indexed="64"/>
      </patternFill>
    </fill>
    <fill>
      <patternFill patternType="solid">
        <fgColor rgb="FF00025C"/>
        <bgColor indexed="64"/>
      </patternFill>
    </fill>
    <fill>
      <patternFill patternType="solid">
        <fgColor rgb="FF00025D"/>
        <bgColor indexed="64"/>
      </patternFill>
    </fill>
    <fill>
      <patternFill patternType="solid">
        <fgColor rgb="FF00025E"/>
        <bgColor indexed="64"/>
      </patternFill>
    </fill>
    <fill>
      <patternFill patternType="solid">
        <fgColor rgb="FF00025F"/>
        <bgColor indexed="64"/>
      </patternFill>
    </fill>
    <fill>
      <patternFill patternType="solid">
        <fgColor rgb="FF000260"/>
        <bgColor indexed="64"/>
      </patternFill>
    </fill>
    <fill>
      <patternFill patternType="solid">
        <fgColor rgb="FF000261"/>
        <bgColor indexed="64"/>
      </patternFill>
    </fill>
    <fill>
      <patternFill patternType="solid">
        <fgColor rgb="FF000262"/>
        <bgColor indexed="64"/>
      </patternFill>
    </fill>
    <fill>
      <patternFill patternType="solid">
        <fgColor rgb="FF000263"/>
        <bgColor indexed="64"/>
      </patternFill>
    </fill>
    <fill>
      <patternFill patternType="solid">
        <fgColor rgb="FF000264"/>
        <bgColor indexed="64"/>
      </patternFill>
    </fill>
    <fill>
      <patternFill patternType="solid">
        <fgColor rgb="FF000265"/>
        <bgColor indexed="64"/>
      </patternFill>
    </fill>
    <fill>
      <patternFill patternType="solid">
        <fgColor rgb="FF000266"/>
        <bgColor indexed="64"/>
      </patternFill>
    </fill>
    <fill>
      <patternFill patternType="solid">
        <fgColor rgb="FF000267"/>
        <bgColor indexed="64"/>
      </patternFill>
    </fill>
    <fill>
      <patternFill patternType="solid">
        <fgColor rgb="FF000268"/>
        <bgColor indexed="64"/>
      </patternFill>
    </fill>
    <fill>
      <patternFill patternType="solid">
        <fgColor rgb="FF000269"/>
        <bgColor indexed="64"/>
      </patternFill>
    </fill>
    <fill>
      <patternFill patternType="solid">
        <fgColor rgb="FF00026A"/>
        <bgColor indexed="64"/>
      </patternFill>
    </fill>
    <fill>
      <patternFill patternType="solid">
        <fgColor rgb="FF00026B"/>
        <bgColor indexed="64"/>
      </patternFill>
    </fill>
    <fill>
      <patternFill patternType="solid">
        <fgColor rgb="FF00026C"/>
        <bgColor indexed="64"/>
      </patternFill>
    </fill>
    <fill>
      <patternFill patternType="solid">
        <fgColor rgb="FF00026D"/>
        <bgColor indexed="64"/>
      </patternFill>
    </fill>
    <fill>
      <patternFill patternType="solid">
        <fgColor rgb="FF00026E"/>
        <bgColor indexed="64"/>
      </patternFill>
    </fill>
    <fill>
      <patternFill patternType="solid">
        <fgColor rgb="FF00026F"/>
        <bgColor indexed="64"/>
      </patternFill>
    </fill>
    <fill>
      <patternFill patternType="solid">
        <fgColor rgb="FF000270"/>
        <bgColor indexed="64"/>
      </patternFill>
    </fill>
    <fill>
      <patternFill patternType="solid">
        <fgColor rgb="FF000271"/>
        <bgColor indexed="64"/>
      </patternFill>
    </fill>
    <fill>
      <patternFill patternType="solid">
        <fgColor rgb="FF000272"/>
        <bgColor indexed="64"/>
      </patternFill>
    </fill>
    <fill>
      <patternFill patternType="solid">
        <fgColor rgb="FF000273"/>
        <bgColor indexed="64"/>
      </patternFill>
    </fill>
    <fill>
      <patternFill patternType="solid">
        <fgColor rgb="FF000274"/>
        <bgColor indexed="64"/>
      </patternFill>
    </fill>
    <fill>
      <patternFill patternType="solid">
        <fgColor rgb="FF000275"/>
        <bgColor indexed="64"/>
      </patternFill>
    </fill>
    <fill>
      <patternFill patternType="solid">
        <fgColor rgb="FF000276"/>
        <bgColor indexed="64"/>
      </patternFill>
    </fill>
    <fill>
      <patternFill patternType="solid">
        <fgColor rgb="FF000277"/>
        <bgColor indexed="64"/>
      </patternFill>
    </fill>
    <fill>
      <patternFill patternType="solid">
        <fgColor rgb="FF000278"/>
        <bgColor indexed="64"/>
      </patternFill>
    </fill>
    <fill>
      <patternFill patternType="solid">
        <fgColor rgb="FF000279"/>
        <bgColor indexed="64"/>
      </patternFill>
    </fill>
    <fill>
      <patternFill patternType="solid">
        <fgColor rgb="FF00027A"/>
        <bgColor indexed="64"/>
      </patternFill>
    </fill>
    <fill>
      <patternFill patternType="solid">
        <fgColor rgb="FF00027B"/>
        <bgColor indexed="64"/>
      </patternFill>
    </fill>
    <fill>
      <patternFill patternType="solid">
        <fgColor rgb="FF00027C"/>
        <bgColor indexed="64"/>
      </patternFill>
    </fill>
    <fill>
      <patternFill patternType="solid">
        <fgColor rgb="FF00027D"/>
        <bgColor indexed="64"/>
      </patternFill>
    </fill>
    <fill>
      <patternFill patternType="solid">
        <fgColor rgb="FF00027E"/>
        <bgColor indexed="64"/>
      </patternFill>
    </fill>
    <fill>
      <patternFill patternType="solid">
        <fgColor rgb="FF00027F"/>
        <bgColor indexed="64"/>
      </patternFill>
    </fill>
    <fill>
      <patternFill patternType="solid">
        <fgColor rgb="FF000280"/>
        <bgColor indexed="64"/>
      </patternFill>
    </fill>
    <fill>
      <patternFill patternType="solid">
        <fgColor rgb="FF000281"/>
        <bgColor indexed="64"/>
      </patternFill>
    </fill>
    <fill>
      <patternFill patternType="solid">
        <fgColor rgb="FF000282"/>
        <bgColor indexed="64"/>
      </patternFill>
    </fill>
    <fill>
      <patternFill patternType="solid">
        <fgColor rgb="FF000283"/>
        <bgColor indexed="64"/>
      </patternFill>
    </fill>
    <fill>
      <patternFill patternType="solid">
        <fgColor rgb="FF000284"/>
        <bgColor indexed="64"/>
      </patternFill>
    </fill>
    <fill>
      <patternFill patternType="solid">
        <fgColor rgb="FF000285"/>
        <bgColor indexed="64"/>
      </patternFill>
    </fill>
    <fill>
      <patternFill patternType="solid">
        <fgColor rgb="FF000286"/>
        <bgColor indexed="64"/>
      </patternFill>
    </fill>
    <fill>
      <patternFill patternType="solid">
        <fgColor rgb="FF000287"/>
        <bgColor indexed="64"/>
      </patternFill>
    </fill>
    <fill>
      <patternFill patternType="solid">
        <fgColor rgb="FF000288"/>
        <bgColor indexed="64"/>
      </patternFill>
    </fill>
    <fill>
      <patternFill patternType="solid">
        <fgColor rgb="FF000289"/>
        <bgColor indexed="64"/>
      </patternFill>
    </fill>
    <fill>
      <patternFill patternType="solid">
        <fgColor rgb="FF00028A"/>
        <bgColor indexed="64"/>
      </patternFill>
    </fill>
    <fill>
      <patternFill patternType="solid">
        <fgColor rgb="FF00028B"/>
        <bgColor indexed="64"/>
      </patternFill>
    </fill>
    <fill>
      <patternFill patternType="solid">
        <fgColor rgb="FF00028C"/>
        <bgColor indexed="64"/>
      </patternFill>
    </fill>
    <fill>
      <patternFill patternType="solid">
        <fgColor rgb="FF00028D"/>
        <bgColor indexed="64"/>
      </patternFill>
    </fill>
    <fill>
      <patternFill patternType="solid">
        <fgColor rgb="FF00028E"/>
        <bgColor indexed="64"/>
      </patternFill>
    </fill>
    <fill>
      <patternFill patternType="solid">
        <fgColor rgb="FF00028F"/>
        <bgColor indexed="64"/>
      </patternFill>
    </fill>
    <fill>
      <patternFill patternType="solid">
        <fgColor rgb="FF000290"/>
        <bgColor indexed="64"/>
      </patternFill>
    </fill>
    <fill>
      <patternFill patternType="solid">
        <fgColor rgb="FF000291"/>
        <bgColor indexed="64"/>
      </patternFill>
    </fill>
    <fill>
      <patternFill patternType="solid">
        <fgColor rgb="FF000292"/>
        <bgColor indexed="64"/>
      </patternFill>
    </fill>
    <fill>
      <patternFill patternType="solid">
        <fgColor rgb="FF000293"/>
        <bgColor indexed="64"/>
      </patternFill>
    </fill>
    <fill>
      <patternFill patternType="solid">
        <fgColor rgb="FF000294"/>
        <bgColor indexed="64"/>
      </patternFill>
    </fill>
    <fill>
      <patternFill patternType="solid">
        <fgColor rgb="FF000295"/>
        <bgColor indexed="64"/>
      </patternFill>
    </fill>
    <fill>
      <patternFill patternType="solid">
        <fgColor rgb="FF000296"/>
        <bgColor indexed="64"/>
      </patternFill>
    </fill>
    <fill>
      <patternFill patternType="solid">
        <fgColor rgb="FF000297"/>
        <bgColor indexed="64"/>
      </patternFill>
    </fill>
    <fill>
      <patternFill patternType="solid">
        <fgColor rgb="FF000298"/>
        <bgColor indexed="64"/>
      </patternFill>
    </fill>
    <fill>
      <patternFill patternType="solid">
        <fgColor rgb="FF000299"/>
        <bgColor indexed="64"/>
      </patternFill>
    </fill>
    <fill>
      <patternFill patternType="solid">
        <fgColor rgb="FF00029A"/>
        <bgColor indexed="64"/>
      </patternFill>
    </fill>
    <fill>
      <patternFill patternType="solid">
        <fgColor rgb="FF00029B"/>
        <bgColor indexed="64"/>
      </patternFill>
    </fill>
    <fill>
      <patternFill patternType="solid">
        <fgColor rgb="FF00029C"/>
        <bgColor indexed="64"/>
      </patternFill>
    </fill>
    <fill>
      <patternFill patternType="solid">
        <fgColor rgb="FF00029D"/>
        <bgColor indexed="64"/>
      </patternFill>
    </fill>
    <fill>
      <patternFill patternType="solid">
        <fgColor rgb="FF00029E"/>
        <bgColor indexed="64"/>
      </patternFill>
    </fill>
    <fill>
      <patternFill patternType="solid">
        <fgColor rgb="FF00029F"/>
        <bgColor indexed="64"/>
      </patternFill>
    </fill>
    <fill>
      <patternFill patternType="solid">
        <fgColor rgb="FF0002A0"/>
        <bgColor indexed="64"/>
      </patternFill>
    </fill>
    <fill>
      <patternFill patternType="solid">
        <fgColor rgb="FF0002A1"/>
        <bgColor indexed="64"/>
      </patternFill>
    </fill>
    <fill>
      <patternFill patternType="solid">
        <fgColor rgb="FF0002A2"/>
        <bgColor indexed="64"/>
      </patternFill>
    </fill>
    <fill>
      <patternFill patternType="solid">
        <fgColor rgb="FF0002A3"/>
        <bgColor indexed="64"/>
      </patternFill>
    </fill>
    <fill>
      <patternFill patternType="solid">
        <fgColor rgb="FF0002A4"/>
        <bgColor indexed="64"/>
      </patternFill>
    </fill>
    <fill>
      <patternFill patternType="solid">
        <fgColor rgb="FF0002A5"/>
        <bgColor indexed="64"/>
      </patternFill>
    </fill>
    <fill>
      <patternFill patternType="solid">
        <fgColor rgb="FF0002A6"/>
        <bgColor indexed="64"/>
      </patternFill>
    </fill>
    <fill>
      <patternFill patternType="solid">
        <fgColor rgb="FF0002A7"/>
        <bgColor indexed="64"/>
      </patternFill>
    </fill>
    <fill>
      <patternFill patternType="solid">
        <fgColor rgb="FF0002A8"/>
        <bgColor indexed="64"/>
      </patternFill>
    </fill>
    <fill>
      <patternFill patternType="solid">
        <fgColor rgb="FF0002A9"/>
        <bgColor indexed="64"/>
      </patternFill>
    </fill>
    <fill>
      <patternFill patternType="solid">
        <fgColor rgb="FF0002AA"/>
        <bgColor indexed="64"/>
      </patternFill>
    </fill>
    <fill>
      <patternFill patternType="solid">
        <fgColor rgb="FF0002AB"/>
        <bgColor indexed="64"/>
      </patternFill>
    </fill>
    <fill>
      <patternFill patternType="solid">
        <fgColor rgb="FF0002AC"/>
        <bgColor indexed="64"/>
      </patternFill>
    </fill>
    <fill>
      <patternFill patternType="solid">
        <fgColor rgb="FF0002AD"/>
        <bgColor indexed="64"/>
      </patternFill>
    </fill>
    <fill>
      <patternFill patternType="solid">
        <fgColor rgb="FF0002AE"/>
        <bgColor indexed="64"/>
      </patternFill>
    </fill>
    <fill>
      <patternFill patternType="solid">
        <fgColor rgb="FF0002AF"/>
        <bgColor indexed="64"/>
      </patternFill>
    </fill>
    <fill>
      <patternFill patternType="solid">
        <fgColor rgb="FF0002B0"/>
        <bgColor indexed="64"/>
      </patternFill>
    </fill>
    <fill>
      <patternFill patternType="solid">
        <fgColor rgb="FF0002B1"/>
        <bgColor indexed="64"/>
      </patternFill>
    </fill>
    <fill>
      <patternFill patternType="solid">
        <fgColor rgb="FF0002B2"/>
        <bgColor indexed="64"/>
      </patternFill>
    </fill>
    <fill>
      <patternFill patternType="solid">
        <fgColor rgb="FF0002B3"/>
        <bgColor indexed="64"/>
      </patternFill>
    </fill>
    <fill>
      <patternFill patternType="solid">
        <fgColor rgb="FF0002B4"/>
        <bgColor indexed="64"/>
      </patternFill>
    </fill>
    <fill>
      <patternFill patternType="solid">
        <fgColor rgb="FF0002B5"/>
        <bgColor indexed="64"/>
      </patternFill>
    </fill>
    <fill>
      <patternFill patternType="solid">
        <fgColor rgb="FF0002B6"/>
        <bgColor indexed="64"/>
      </patternFill>
    </fill>
    <fill>
      <patternFill patternType="solid">
        <fgColor rgb="FF0002B7"/>
        <bgColor indexed="64"/>
      </patternFill>
    </fill>
    <fill>
      <patternFill patternType="solid">
        <fgColor rgb="FF0002B8"/>
        <bgColor indexed="64"/>
      </patternFill>
    </fill>
    <fill>
      <patternFill patternType="solid">
        <fgColor rgb="FF0002B9"/>
        <bgColor indexed="64"/>
      </patternFill>
    </fill>
    <fill>
      <patternFill patternType="solid">
        <fgColor rgb="FF0002BA"/>
        <bgColor indexed="64"/>
      </patternFill>
    </fill>
    <fill>
      <patternFill patternType="solid">
        <fgColor rgb="FF0002BB"/>
        <bgColor indexed="64"/>
      </patternFill>
    </fill>
    <fill>
      <patternFill patternType="solid">
        <fgColor rgb="FF0002BC"/>
        <bgColor indexed="64"/>
      </patternFill>
    </fill>
    <fill>
      <patternFill patternType="solid">
        <fgColor rgb="FF0002BD"/>
        <bgColor indexed="64"/>
      </patternFill>
    </fill>
    <fill>
      <patternFill patternType="solid">
        <fgColor rgb="FF0002BE"/>
        <bgColor indexed="64"/>
      </patternFill>
    </fill>
    <fill>
      <patternFill patternType="solid">
        <fgColor rgb="FF0002BF"/>
        <bgColor indexed="64"/>
      </patternFill>
    </fill>
    <fill>
      <patternFill patternType="solid">
        <fgColor rgb="FF0002C0"/>
        <bgColor indexed="64"/>
      </patternFill>
    </fill>
    <fill>
      <patternFill patternType="solid">
        <fgColor rgb="FF0002C1"/>
        <bgColor indexed="64"/>
      </patternFill>
    </fill>
    <fill>
      <patternFill patternType="solid">
        <fgColor rgb="FF0002C2"/>
        <bgColor indexed="64"/>
      </patternFill>
    </fill>
    <fill>
      <patternFill patternType="solid">
        <fgColor rgb="FF0002C3"/>
        <bgColor indexed="64"/>
      </patternFill>
    </fill>
    <fill>
      <patternFill patternType="solid">
        <fgColor rgb="FF0002C4"/>
        <bgColor indexed="64"/>
      </patternFill>
    </fill>
    <fill>
      <patternFill patternType="solid">
        <fgColor rgb="FF0002C5"/>
        <bgColor indexed="64"/>
      </patternFill>
    </fill>
    <fill>
      <patternFill patternType="solid">
        <fgColor rgb="FF0002C6"/>
        <bgColor indexed="64"/>
      </patternFill>
    </fill>
    <fill>
      <patternFill patternType="solid">
        <fgColor rgb="FF0002C7"/>
        <bgColor indexed="64"/>
      </patternFill>
    </fill>
    <fill>
      <patternFill patternType="solid">
        <fgColor rgb="FF0002C8"/>
        <bgColor indexed="64"/>
      </patternFill>
    </fill>
    <fill>
      <patternFill patternType="solid">
        <fgColor rgb="FF0002C9"/>
        <bgColor indexed="64"/>
      </patternFill>
    </fill>
    <fill>
      <patternFill patternType="solid">
        <fgColor rgb="FF0002CA"/>
        <bgColor indexed="64"/>
      </patternFill>
    </fill>
    <fill>
      <patternFill patternType="solid">
        <fgColor rgb="FF0002CB"/>
        <bgColor indexed="64"/>
      </patternFill>
    </fill>
    <fill>
      <patternFill patternType="solid">
        <fgColor rgb="FF0002CC"/>
        <bgColor indexed="64"/>
      </patternFill>
    </fill>
    <fill>
      <patternFill patternType="solid">
        <fgColor rgb="FF0002CD"/>
        <bgColor indexed="64"/>
      </patternFill>
    </fill>
    <fill>
      <patternFill patternType="solid">
        <fgColor rgb="FF0002CE"/>
        <bgColor indexed="64"/>
      </patternFill>
    </fill>
    <fill>
      <patternFill patternType="solid">
        <fgColor rgb="FF0002CF"/>
        <bgColor indexed="64"/>
      </patternFill>
    </fill>
    <fill>
      <patternFill patternType="solid">
        <fgColor rgb="FF0002D0"/>
        <bgColor indexed="64"/>
      </patternFill>
    </fill>
    <fill>
      <patternFill patternType="solid">
        <fgColor rgb="FF0002D1"/>
        <bgColor indexed="64"/>
      </patternFill>
    </fill>
    <fill>
      <patternFill patternType="solid">
        <fgColor rgb="FF0002D2"/>
        <bgColor indexed="64"/>
      </patternFill>
    </fill>
    <fill>
      <patternFill patternType="solid">
        <fgColor rgb="FF0002D3"/>
        <bgColor indexed="64"/>
      </patternFill>
    </fill>
    <fill>
      <patternFill patternType="solid">
        <fgColor rgb="FF0002D4"/>
        <bgColor indexed="64"/>
      </patternFill>
    </fill>
    <fill>
      <patternFill patternType="solid">
        <fgColor rgb="FF0002D5"/>
        <bgColor indexed="64"/>
      </patternFill>
    </fill>
    <fill>
      <patternFill patternType="solid">
        <fgColor rgb="FF0002D6"/>
        <bgColor indexed="64"/>
      </patternFill>
    </fill>
    <fill>
      <patternFill patternType="solid">
        <fgColor rgb="FF0002D7"/>
        <bgColor indexed="64"/>
      </patternFill>
    </fill>
    <fill>
      <patternFill patternType="solid">
        <fgColor rgb="FF0002D8"/>
        <bgColor indexed="64"/>
      </patternFill>
    </fill>
    <fill>
      <patternFill patternType="solid">
        <fgColor rgb="FF0002D9"/>
        <bgColor indexed="64"/>
      </patternFill>
    </fill>
    <fill>
      <patternFill patternType="solid">
        <fgColor rgb="FF0002DA"/>
        <bgColor indexed="64"/>
      </patternFill>
    </fill>
    <fill>
      <patternFill patternType="solid">
        <fgColor rgb="FF0002DB"/>
        <bgColor indexed="64"/>
      </patternFill>
    </fill>
    <fill>
      <patternFill patternType="solid">
        <fgColor rgb="FF0002DC"/>
        <bgColor indexed="64"/>
      </patternFill>
    </fill>
    <fill>
      <patternFill patternType="solid">
        <fgColor rgb="FF0002DD"/>
        <bgColor indexed="64"/>
      </patternFill>
    </fill>
    <fill>
      <patternFill patternType="solid">
        <fgColor rgb="FF0002DE"/>
        <bgColor indexed="64"/>
      </patternFill>
    </fill>
    <fill>
      <patternFill patternType="solid">
        <fgColor rgb="FF0002DF"/>
        <bgColor indexed="64"/>
      </patternFill>
    </fill>
    <fill>
      <patternFill patternType="solid">
        <fgColor rgb="FF0002E0"/>
        <bgColor indexed="64"/>
      </patternFill>
    </fill>
    <fill>
      <patternFill patternType="solid">
        <fgColor rgb="FF0002E1"/>
        <bgColor indexed="64"/>
      </patternFill>
    </fill>
    <fill>
      <patternFill patternType="solid">
        <fgColor rgb="FF0002E2"/>
        <bgColor indexed="64"/>
      </patternFill>
    </fill>
    <fill>
      <patternFill patternType="solid">
        <fgColor rgb="FF0002E3"/>
        <bgColor indexed="64"/>
      </patternFill>
    </fill>
    <fill>
      <patternFill patternType="solid">
        <fgColor rgb="FF0002E4"/>
        <bgColor indexed="64"/>
      </patternFill>
    </fill>
    <fill>
      <patternFill patternType="solid">
        <fgColor rgb="FF0002E5"/>
        <bgColor indexed="64"/>
      </patternFill>
    </fill>
    <fill>
      <patternFill patternType="solid">
        <fgColor rgb="FF0002E6"/>
        <bgColor indexed="64"/>
      </patternFill>
    </fill>
    <fill>
      <patternFill patternType="solid">
        <fgColor rgb="FF0002E7"/>
        <bgColor indexed="64"/>
      </patternFill>
    </fill>
    <fill>
      <patternFill patternType="solid">
        <fgColor rgb="FF0002E8"/>
        <bgColor indexed="64"/>
      </patternFill>
    </fill>
    <fill>
      <patternFill patternType="solid">
        <fgColor rgb="FF0002E9"/>
        <bgColor indexed="64"/>
      </patternFill>
    </fill>
    <fill>
      <patternFill patternType="solid">
        <fgColor rgb="FF0002EA"/>
        <bgColor indexed="64"/>
      </patternFill>
    </fill>
    <fill>
      <patternFill patternType="solid">
        <fgColor rgb="FF0002EB"/>
        <bgColor indexed="64"/>
      </patternFill>
    </fill>
    <fill>
      <patternFill patternType="solid">
        <fgColor rgb="FF0002EC"/>
        <bgColor indexed="64"/>
      </patternFill>
    </fill>
    <fill>
      <patternFill patternType="solid">
        <fgColor rgb="FF0002ED"/>
        <bgColor indexed="64"/>
      </patternFill>
    </fill>
    <fill>
      <patternFill patternType="solid">
        <fgColor rgb="FF0002EE"/>
        <bgColor indexed="64"/>
      </patternFill>
    </fill>
    <fill>
      <patternFill patternType="solid">
        <fgColor rgb="FF0002EF"/>
        <bgColor indexed="64"/>
      </patternFill>
    </fill>
    <fill>
      <patternFill patternType="solid">
        <fgColor rgb="FF0002F0"/>
        <bgColor indexed="64"/>
      </patternFill>
    </fill>
    <fill>
      <patternFill patternType="solid">
        <fgColor rgb="FF0002F1"/>
        <bgColor indexed="64"/>
      </patternFill>
    </fill>
    <fill>
      <patternFill patternType="solid">
        <fgColor rgb="FF0002F2"/>
        <bgColor indexed="64"/>
      </patternFill>
    </fill>
    <fill>
      <patternFill patternType="solid">
        <fgColor rgb="FF0002F3"/>
        <bgColor indexed="64"/>
      </patternFill>
    </fill>
    <fill>
      <patternFill patternType="solid">
        <fgColor rgb="FF0002F4"/>
        <bgColor indexed="64"/>
      </patternFill>
    </fill>
    <fill>
      <patternFill patternType="solid">
        <fgColor rgb="FF0002F5"/>
        <bgColor indexed="64"/>
      </patternFill>
    </fill>
    <fill>
      <patternFill patternType="solid">
        <fgColor rgb="FF0002F6"/>
        <bgColor indexed="64"/>
      </patternFill>
    </fill>
    <fill>
      <patternFill patternType="solid">
        <fgColor rgb="FF0002F7"/>
        <bgColor indexed="64"/>
      </patternFill>
    </fill>
    <fill>
      <patternFill patternType="solid">
        <fgColor rgb="FF0002F8"/>
        <bgColor indexed="64"/>
      </patternFill>
    </fill>
    <fill>
      <patternFill patternType="solid">
        <fgColor rgb="FF0002F9"/>
        <bgColor indexed="64"/>
      </patternFill>
    </fill>
    <fill>
      <patternFill patternType="solid">
        <fgColor rgb="FF0002FA"/>
        <bgColor indexed="64"/>
      </patternFill>
    </fill>
    <fill>
      <patternFill patternType="solid">
        <fgColor rgb="FF0002FB"/>
        <bgColor indexed="64"/>
      </patternFill>
    </fill>
    <fill>
      <patternFill patternType="solid">
        <fgColor rgb="FF0002FC"/>
        <bgColor indexed="64"/>
      </patternFill>
    </fill>
    <fill>
      <patternFill patternType="solid">
        <fgColor rgb="FF0002FD"/>
        <bgColor indexed="64"/>
      </patternFill>
    </fill>
    <fill>
      <patternFill patternType="solid">
        <fgColor rgb="FF0002FE"/>
        <bgColor indexed="64"/>
      </patternFill>
    </fill>
    <fill>
      <patternFill patternType="solid">
        <fgColor rgb="FF0002FF"/>
        <bgColor indexed="64"/>
      </patternFill>
    </fill>
    <fill>
      <patternFill patternType="solid">
        <fgColor rgb="FF000300"/>
        <bgColor indexed="64"/>
      </patternFill>
    </fill>
    <fill>
      <patternFill patternType="solid">
        <fgColor rgb="FF000301"/>
        <bgColor indexed="64"/>
      </patternFill>
    </fill>
    <fill>
      <patternFill patternType="solid">
        <fgColor rgb="FF000302"/>
        <bgColor indexed="64"/>
      </patternFill>
    </fill>
    <fill>
      <patternFill patternType="solid">
        <fgColor rgb="FF000303"/>
        <bgColor indexed="64"/>
      </patternFill>
    </fill>
    <fill>
      <patternFill patternType="solid">
        <fgColor rgb="FF000304"/>
        <bgColor indexed="64"/>
      </patternFill>
    </fill>
    <fill>
      <patternFill patternType="solid">
        <fgColor rgb="FF000305"/>
        <bgColor indexed="64"/>
      </patternFill>
    </fill>
    <fill>
      <patternFill patternType="solid">
        <fgColor rgb="FF000306"/>
        <bgColor indexed="64"/>
      </patternFill>
    </fill>
    <fill>
      <patternFill patternType="solid">
        <fgColor rgb="FF000307"/>
        <bgColor indexed="64"/>
      </patternFill>
    </fill>
    <fill>
      <patternFill patternType="solid">
        <fgColor rgb="FF000308"/>
        <bgColor indexed="64"/>
      </patternFill>
    </fill>
    <fill>
      <patternFill patternType="solid">
        <fgColor rgb="FF000309"/>
        <bgColor indexed="64"/>
      </patternFill>
    </fill>
    <fill>
      <patternFill patternType="solid">
        <fgColor rgb="FF00030A"/>
        <bgColor indexed="64"/>
      </patternFill>
    </fill>
    <fill>
      <patternFill patternType="solid">
        <fgColor rgb="FF00030B"/>
        <bgColor indexed="64"/>
      </patternFill>
    </fill>
    <fill>
      <patternFill patternType="solid">
        <fgColor rgb="FF00030C"/>
        <bgColor indexed="64"/>
      </patternFill>
    </fill>
    <fill>
      <patternFill patternType="solid">
        <fgColor rgb="FF00030D"/>
        <bgColor indexed="64"/>
      </patternFill>
    </fill>
    <fill>
      <patternFill patternType="solid">
        <fgColor rgb="FF00030E"/>
        <bgColor indexed="64"/>
      </patternFill>
    </fill>
    <fill>
      <patternFill patternType="solid">
        <fgColor rgb="FF00030F"/>
        <bgColor indexed="64"/>
      </patternFill>
    </fill>
    <fill>
      <patternFill patternType="solid">
        <fgColor rgb="FF000310"/>
        <bgColor indexed="64"/>
      </patternFill>
    </fill>
    <fill>
      <patternFill patternType="solid">
        <fgColor rgb="FF000311"/>
        <bgColor indexed="64"/>
      </patternFill>
    </fill>
    <fill>
      <patternFill patternType="solid">
        <fgColor rgb="FF000312"/>
        <bgColor indexed="64"/>
      </patternFill>
    </fill>
    <fill>
      <patternFill patternType="solid">
        <fgColor rgb="FF000313"/>
        <bgColor indexed="64"/>
      </patternFill>
    </fill>
    <fill>
      <patternFill patternType="solid">
        <fgColor rgb="FF000314"/>
        <bgColor indexed="64"/>
      </patternFill>
    </fill>
    <fill>
      <patternFill patternType="solid">
        <fgColor rgb="FF000315"/>
        <bgColor indexed="64"/>
      </patternFill>
    </fill>
    <fill>
      <patternFill patternType="solid">
        <fgColor rgb="FF000316"/>
        <bgColor indexed="64"/>
      </patternFill>
    </fill>
    <fill>
      <patternFill patternType="solid">
        <fgColor rgb="FF000317"/>
        <bgColor indexed="64"/>
      </patternFill>
    </fill>
    <fill>
      <patternFill patternType="solid">
        <fgColor rgb="FF000318"/>
        <bgColor indexed="64"/>
      </patternFill>
    </fill>
    <fill>
      <patternFill patternType="solid">
        <fgColor rgb="FF000319"/>
        <bgColor indexed="64"/>
      </patternFill>
    </fill>
    <fill>
      <patternFill patternType="solid">
        <fgColor rgb="FF00031A"/>
        <bgColor indexed="64"/>
      </patternFill>
    </fill>
    <fill>
      <patternFill patternType="solid">
        <fgColor rgb="FF00031B"/>
        <bgColor indexed="64"/>
      </patternFill>
    </fill>
    <fill>
      <patternFill patternType="solid">
        <fgColor rgb="FF00031C"/>
        <bgColor indexed="64"/>
      </patternFill>
    </fill>
    <fill>
      <patternFill patternType="solid">
        <fgColor rgb="FF00031D"/>
        <bgColor indexed="64"/>
      </patternFill>
    </fill>
    <fill>
      <patternFill patternType="solid">
        <fgColor rgb="FF00031E"/>
        <bgColor indexed="64"/>
      </patternFill>
    </fill>
    <fill>
      <patternFill patternType="solid">
        <fgColor rgb="FF00031F"/>
        <bgColor indexed="64"/>
      </patternFill>
    </fill>
    <fill>
      <patternFill patternType="solid">
        <fgColor rgb="FF000320"/>
        <bgColor indexed="64"/>
      </patternFill>
    </fill>
    <fill>
      <patternFill patternType="solid">
        <fgColor rgb="FF000321"/>
        <bgColor indexed="64"/>
      </patternFill>
    </fill>
    <fill>
      <patternFill patternType="solid">
        <fgColor rgb="FF000322"/>
        <bgColor indexed="64"/>
      </patternFill>
    </fill>
    <fill>
      <patternFill patternType="solid">
        <fgColor rgb="FF000323"/>
        <bgColor indexed="64"/>
      </patternFill>
    </fill>
    <fill>
      <patternFill patternType="solid">
        <fgColor rgb="FF000324"/>
        <bgColor indexed="64"/>
      </patternFill>
    </fill>
    <fill>
      <patternFill patternType="solid">
        <fgColor rgb="FF000325"/>
        <bgColor indexed="64"/>
      </patternFill>
    </fill>
    <fill>
      <patternFill patternType="solid">
        <fgColor rgb="FF000326"/>
        <bgColor indexed="64"/>
      </patternFill>
    </fill>
    <fill>
      <patternFill patternType="solid">
        <fgColor rgb="FF000327"/>
        <bgColor indexed="64"/>
      </patternFill>
    </fill>
    <fill>
      <patternFill patternType="solid">
        <fgColor rgb="FF000328"/>
        <bgColor indexed="64"/>
      </patternFill>
    </fill>
    <fill>
      <patternFill patternType="solid">
        <fgColor rgb="FF000329"/>
        <bgColor indexed="64"/>
      </patternFill>
    </fill>
    <fill>
      <patternFill patternType="solid">
        <fgColor rgb="FF00032A"/>
        <bgColor indexed="64"/>
      </patternFill>
    </fill>
    <fill>
      <patternFill patternType="solid">
        <fgColor rgb="FF00032B"/>
        <bgColor indexed="64"/>
      </patternFill>
    </fill>
    <fill>
      <patternFill patternType="solid">
        <fgColor rgb="FF00032C"/>
        <bgColor indexed="64"/>
      </patternFill>
    </fill>
    <fill>
      <patternFill patternType="solid">
        <fgColor rgb="FF00032D"/>
        <bgColor indexed="64"/>
      </patternFill>
    </fill>
    <fill>
      <patternFill patternType="solid">
        <fgColor rgb="FF00032E"/>
        <bgColor indexed="64"/>
      </patternFill>
    </fill>
    <fill>
      <patternFill patternType="solid">
        <fgColor rgb="FF00032F"/>
        <bgColor indexed="64"/>
      </patternFill>
    </fill>
    <fill>
      <patternFill patternType="solid">
        <fgColor rgb="FF000330"/>
        <bgColor indexed="64"/>
      </patternFill>
    </fill>
    <fill>
      <patternFill patternType="solid">
        <fgColor rgb="FF000331"/>
        <bgColor indexed="64"/>
      </patternFill>
    </fill>
    <fill>
      <patternFill patternType="solid">
        <fgColor rgb="FF000332"/>
        <bgColor indexed="64"/>
      </patternFill>
    </fill>
    <fill>
      <patternFill patternType="solid">
        <fgColor rgb="FF000333"/>
        <bgColor indexed="64"/>
      </patternFill>
    </fill>
    <fill>
      <patternFill patternType="solid">
        <fgColor rgb="FF000334"/>
        <bgColor indexed="64"/>
      </patternFill>
    </fill>
    <fill>
      <patternFill patternType="solid">
        <fgColor rgb="FF000335"/>
        <bgColor indexed="64"/>
      </patternFill>
    </fill>
    <fill>
      <patternFill patternType="solid">
        <fgColor rgb="FF000336"/>
        <bgColor indexed="64"/>
      </patternFill>
    </fill>
    <fill>
      <patternFill patternType="solid">
        <fgColor rgb="FF000337"/>
        <bgColor indexed="64"/>
      </patternFill>
    </fill>
    <fill>
      <patternFill patternType="solid">
        <fgColor rgb="FF000338"/>
        <bgColor indexed="64"/>
      </patternFill>
    </fill>
    <fill>
      <patternFill patternType="solid">
        <fgColor rgb="FF000339"/>
        <bgColor indexed="64"/>
      </patternFill>
    </fill>
    <fill>
      <patternFill patternType="solid">
        <fgColor rgb="FF00033A"/>
        <bgColor indexed="64"/>
      </patternFill>
    </fill>
    <fill>
      <patternFill patternType="solid">
        <fgColor rgb="FF00033B"/>
        <bgColor indexed="64"/>
      </patternFill>
    </fill>
    <fill>
      <patternFill patternType="solid">
        <fgColor rgb="FF00033C"/>
        <bgColor indexed="64"/>
      </patternFill>
    </fill>
    <fill>
      <patternFill patternType="solid">
        <fgColor rgb="FF00033D"/>
        <bgColor indexed="64"/>
      </patternFill>
    </fill>
    <fill>
      <patternFill patternType="solid">
        <fgColor rgb="FF00033E"/>
        <bgColor indexed="64"/>
      </patternFill>
    </fill>
    <fill>
      <patternFill patternType="solid">
        <fgColor rgb="FF00033F"/>
        <bgColor indexed="64"/>
      </patternFill>
    </fill>
    <fill>
      <patternFill patternType="solid">
        <fgColor rgb="FF000340"/>
        <bgColor indexed="64"/>
      </patternFill>
    </fill>
    <fill>
      <patternFill patternType="solid">
        <fgColor rgb="FF000341"/>
        <bgColor indexed="64"/>
      </patternFill>
    </fill>
    <fill>
      <patternFill patternType="solid">
        <fgColor rgb="FF000342"/>
        <bgColor indexed="64"/>
      </patternFill>
    </fill>
    <fill>
      <patternFill patternType="solid">
        <fgColor rgb="FF000343"/>
        <bgColor indexed="64"/>
      </patternFill>
    </fill>
    <fill>
      <patternFill patternType="solid">
        <fgColor rgb="FF000344"/>
        <bgColor indexed="64"/>
      </patternFill>
    </fill>
    <fill>
      <patternFill patternType="solid">
        <fgColor rgb="FF000345"/>
        <bgColor indexed="64"/>
      </patternFill>
    </fill>
    <fill>
      <patternFill patternType="solid">
        <fgColor rgb="FF000346"/>
        <bgColor indexed="64"/>
      </patternFill>
    </fill>
    <fill>
      <patternFill patternType="solid">
        <fgColor rgb="FF000347"/>
        <bgColor indexed="64"/>
      </patternFill>
    </fill>
    <fill>
      <patternFill patternType="solid">
        <fgColor rgb="FF000348"/>
        <bgColor indexed="64"/>
      </patternFill>
    </fill>
    <fill>
      <patternFill patternType="solid">
        <fgColor rgb="FF000349"/>
        <bgColor indexed="64"/>
      </patternFill>
    </fill>
    <fill>
      <patternFill patternType="solid">
        <fgColor rgb="FF00034A"/>
        <bgColor indexed="64"/>
      </patternFill>
    </fill>
    <fill>
      <patternFill patternType="solid">
        <fgColor rgb="FF00034B"/>
        <bgColor indexed="64"/>
      </patternFill>
    </fill>
    <fill>
      <patternFill patternType="solid">
        <fgColor rgb="FF00034C"/>
        <bgColor indexed="64"/>
      </patternFill>
    </fill>
    <fill>
      <patternFill patternType="solid">
        <fgColor rgb="FF00034D"/>
        <bgColor indexed="64"/>
      </patternFill>
    </fill>
    <fill>
      <patternFill patternType="solid">
        <fgColor rgb="FF00034E"/>
        <bgColor indexed="64"/>
      </patternFill>
    </fill>
    <fill>
      <patternFill patternType="solid">
        <fgColor rgb="FF00034F"/>
        <bgColor indexed="64"/>
      </patternFill>
    </fill>
    <fill>
      <patternFill patternType="solid">
        <fgColor rgb="FF000350"/>
        <bgColor indexed="64"/>
      </patternFill>
    </fill>
    <fill>
      <patternFill patternType="solid">
        <fgColor rgb="FF000351"/>
        <bgColor indexed="64"/>
      </patternFill>
    </fill>
    <fill>
      <patternFill patternType="solid">
        <fgColor rgb="FF000352"/>
        <bgColor indexed="64"/>
      </patternFill>
    </fill>
    <fill>
      <patternFill patternType="solid">
        <fgColor rgb="FF000353"/>
        <bgColor indexed="64"/>
      </patternFill>
    </fill>
    <fill>
      <patternFill patternType="solid">
        <fgColor rgb="FF000354"/>
        <bgColor indexed="64"/>
      </patternFill>
    </fill>
    <fill>
      <patternFill patternType="solid">
        <fgColor rgb="FF000355"/>
        <bgColor indexed="64"/>
      </patternFill>
    </fill>
    <fill>
      <patternFill patternType="solid">
        <fgColor rgb="FF000356"/>
        <bgColor indexed="64"/>
      </patternFill>
    </fill>
    <fill>
      <patternFill patternType="solid">
        <fgColor rgb="FF000357"/>
        <bgColor indexed="64"/>
      </patternFill>
    </fill>
    <fill>
      <patternFill patternType="solid">
        <fgColor rgb="FF000358"/>
        <bgColor indexed="64"/>
      </patternFill>
    </fill>
    <fill>
      <patternFill patternType="solid">
        <fgColor rgb="FF000359"/>
        <bgColor indexed="64"/>
      </patternFill>
    </fill>
    <fill>
      <patternFill patternType="solid">
        <fgColor rgb="FF00035A"/>
        <bgColor indexed="64"/>
      </patternFill>
    </fill>
    <fill>
      <patternFill patternType="solid">
        <fgColor rgb="FF00035B"/>
        <bgColor indexed="64"/>
      </patternFill>
    </fill>
    <fill>
      <patternFill patternType="solid">
        <fgColor rgb="FF00035C"/>
        <bgColor indexed="64"/>
      </patternFill>
    </fill>
    <fill>
      <patternFill patternType="solid">
        <fgColor rgb="FF00035D"/>
        <bgColor indexed="64"/>
      </patternFill>
    </fill>
    <fill>
      <patternFill patternType="solid">
        <fgColor rgb="FF00035E"/>
        <bgColor indexed="64"/>
      </patternFill>
    </fill>
    <fill>
      <patternFill patternType="solid">
        <fgColor rgb="FF00035F"/>
        <bgColor indexed="64"/>
      </patternFill>
    </fill>
    <fill>
      <patternFill patternType="solid">
        <fgColor rgb="FF000360"/>
        <bgColor indexed="64"/>
      </patternFill>
    </fill>
    <fill>
      <patternFill patternType="solid">
        <fgColor rgb="FF000361"/>
        <bgColor indexed="64"/>
      </patternFill>
    </fill>
    <fill>
      <patternFill patternType="solid">
        <fgColor rgb="FF000362"/>
        <bgColor indexed="64"/>
      </patternFill>
    </fill>
    <fill>
      <patternFill patternType="solid">
        <fgColor rgb="FF000363"/>
        <bgColor indexed="64"/>
      </patternFill>
    </fill>
    <fill>
      <patternFill patternType="solid">
        <fgColor rgb="FF000364"/>
        <bgColor indexed="64"/>
      </patternFill>
    </fill>
    <fill>
      <patternFill patternType="solid">
        <fgColor rgb="FF000365"/>
        <bgColor indexed="64"/>
      </patternFill>
    </fill>
    <fill>
      <patternFill patternType="solid">
        <fgColor rgb="FF000366"/>
        <bgColor indexed="64"/>
      </patternFill>
    </fill>
    <fill>
      <patternFill patternType="solid">
        <fgColor rgb="FF000367"/>
        <bgColor indexed="64"/>
      </patternFill>
    </fill>
    <fill>
      <patternFill patternType="solid">
        <fgColor rgb="FF000368"/>
        <bgColor indexed="64"/>
      </patternFill>
    </fill>
    <fill>
      <patternFill patternType="solid">
        <fgColor rgb="FF000369"/>
        <bgColor indexed="64"/>
      </patternFill>
    </fill>
    <fill>
      <patternFill patternType="solid">
        <fgColor rgb="FF00036A"/>
        <bgColor indexed="64"/>
      </patternFill>
    </fill>
    <fill>
      <patternFill patternType="solid">
        <fgColor rgb="FF00036B"/>
        <bgColor indexed="64"/>
      </patternFill>
    </fill>
    <fill>
      <patternFill patternType="solid">
        <fgColor rgb="FF00036C"/>
        <bgColor indexed="64"/>
      </patternFill>
    </fill>
    <fill>
      <patternFill patternType="solid">
        <fgColor rgb="FF00036D"/>
        <bgColor indexed="64"/>
      </patternFill>
    </fill>
    <fill>
      <patternFill patternType="solid">
        <fgColor rgb="FF00036E"/>
        <bgColor indexed="64"/>
      </patternFill>
    </fill>
    <fill>
      <patternFill patternType="solid">
        <fgColor rgb="FF00036F"/>
        <bgColor indexed="64"/>
      </patternFill>
    </fill>
    <fill>
      <patternFill patternType="solid">
        <fgColor rgb="FF000370"/>
        <bgColor indexed="64"/>
      </patternFill>
    </fill>
    <fill>
      <patternFill patternType="solid">
        <fgColor rgb="FF000371"/>
        <bgColor indexed="64"/>
      </patternFill>
    </fill>
    <fill>
      <patternFill patternType="solid">
        <fgColor rgb="FF000372"/>
        <bgColor indexed="64"/>
      </patternFill>
    </fill>
    <fill>
      <patternFill patternType="solid">
        <fgColor rgb="FF000373"/>
        <bgColor indexed="64"/>
      </patternFill>
    </fill>
    <fill>
      <patternFill patternType="solid">
        <fgColor rgb="FF000374"/>
        <bgColor indexed="64"/>
      </patternFill>
    </fill>
    <fill>
      <patternFill patternType="solid">
        <fgColor rgb="FF000375"/>
        <bgColor indexed="64"/>
      </patternFill>
    </fill>
    <fill>
      <patternFill patternType="solid">
        <fgColor rgb="FF000376"/>
        <bgColor indexed="64"/>
      </patternFill>
    </fill>
    <fill>
      <patternFill patternType="solid">
        <fgColor rgb="FF000377"/>
        <bgColor indexed="64"/>
      </patternFill>
    </fill>
    <fill>
      <patternFill patternType="solid">
        <fgColor rgb="FF000378"/>
        <bgColor indexed="64"/>
      </patternFill>
    </fill>
    <fill>
      <patternFill patternType="solid">
        <fgColor rgb="FF000379"/>
        <bgColor indexed="64"/>
      </patternFill>
    </fill>
    <fill>
      <patternFill patternType="solid">
        <fgColor rgb="FF00037A"/>
        <bgColor indexed="64"/>
      </patternFill>
    </fill>
    <fill>
      <patternFill patternType="solid">
        <fgColor rgb="FF00037B"/>
        <bgColor indexed="64"/>
      </patternFill>
    </fill>
    <fill>
      <patternFill patternType="solid">
        <fgColor rgb="FF00037C"/>
        <bgColor indexed="64"/>
      </patternFill>
    </fill>
    <fill>
      <patternFill patternType="solid">
        <fgColor rgb="FF00037D"/>
        <bgColor indexed="64"/>
      </patternFill>
    </fill>
    <fill>
      <patternFill patternType="solid">
        <fgColor rgb="FF00037E"/>
        <bgColor indexed="64"/>
      </patternFill>
    </fill>
    <fill>
      <patternFill patternType="solid">
        <fgColor rgb="FF00037F"/>
        <bgColor indexed="64"/>
      </patternFill>
    </fill>
    <fill>
      <patternFill patternType="solid">
        <fgColor rgb="FF000380"/>
        <bgColor indexed="64"/>
      </patternFill>
    </fill>
    <fill>
      <patternFill patternType="solid">
        <fgColor rgb="FF000381"/>
        <bgColor indexed="64"/>
      </patternFill>
    </fill>
    <fill>
      <patternFill patternType="solid">
        <fgColor rgb="FF000382"/>
        <bgColor indexed="64"/>
      </patternFill>
    </fill>
    <fill>
      <patternFill patternType="solid">
        <fgColor rgb="FF000383"/>
        <bgColor indexed="64"/>
      </patternFill>
    </fill>
    <fill>
      <patternFill patternType="solid">
        <fgColor rgb="FF000384"/>
        <bgColor indexed="64"/>
      </patternFill>
    </fill>
    <fill>
      <patternFill patternType="solid">
        <fgColor rgb="FF000385"/>
        <bgColor indexed="64"/>
      </patternFill>
    </fill>
    <fill>
      <patternFill patternType="solid">
        <fgColor rgb="FF000386"/>
        <bgColor indexed="64"/>
      </patternFill>
    </fill>
    <fill>
      <patternFill patternType="solid">
        <fgColor rgb="FF000387"/>
        <bgColor indexed="64"/>
      </patternFill>
    </fill>
    <fill>
      <patternFill patternType="solid">
        <fgColor rgb="FF000388"/>
        <bgColor indexed="64"/>
      </patternFill>
    </fill>
    <fill>
      <patternFill patternType="solid">
        <fgColor rgb="FF000389"/>
        <bgColor indexed="64"/>
      </patternFill>
    </fill>
    <fill>
      <patternFill patternType="solid">
        <fgColor rgb="FF00038A"/>
        <bgColor indexed="64"/>
      </patternFill>
    </fill>
    <fill>
      <patternFill patternType="solid">
        <fgColor rgb="FF00038B"/>
        <bgColor indexed="64"/>
      </patternFill>
    </fill>
    <fill>
      <patternFill patternType="solid">
        <fgColor rgb="FF00038C"/>
        <bgColor indexed="64"/>
      </patternFill>
    </fill>
    <fill>
      <patternFill patternType="solid">
        <fgColor rgb="FF00038D"/>
        <bgColor indexed="64"/>
      </patternFill>
    </fill>
    <fill>
      <patternFill patternType="solid">
        <fgColor rgb="FF00038E"/>
        <bgColor indexed="64"/>
      </patternFill>
    </fill>
    <fill>
      <patternFill patternType="solid">
        <fgColor rgb="FF00038F"/>
        <bgColor indexed="64"/>
      </patternFill>
    </fill>
    <fill>
      <patternFill patternType="solid">
        <fgColor rgb="FF000390"/>
        <bgColor indexed="64"/>
      </patternFill>
    </fill>
    <fill>
      <patternFill patternType="solid">
        <fgColor rgb="FF000391"/>
        <bgColor indexed="64"/>
      </patternFill>
    </fill>
    <fill>
      <patternFill patternType="solid">
        <fgColor rgb="FF000392"/>
        <bgColor indexed="64"/>
      </patternFill>
    </fill>
    <fill>
      <patternFill patternType="solid">
        <fgColor rgb="FF000393"/>
        <bgColor indexed="64"/>
      </patternFill>
    </fill>
    <fill>
      <patternFill patternType="solid">
        <fgColor rgb="FF000394"/>
        <bgColor indexed="64"/>
      </patternFill>
    </fill>
    <fill>
      <patternFill patternType="solid">
        <fgColor rgb="FF000395"/>
        <bgColor indexed="64"/>
      </patternFill>
    </fill>
    <fill>
      <patternFill patternType="solid">
        <fgColor rgb="FF000396"/>
        <bgColor indexed="64"/>
      </patternFill>
    </fill>
    <fill>
      <patternFill patternType="solid">
        <fgColor rgb="FF000397"/>
        <bgColor indexed="64"/>
      </patternFill>
    </fill>
    <fill>
      <patternFill patternType="solid">
        <fgColor rgb="FF000398"/>
        <bgColor indexed="64"/>
      </patternFill>
    </fill>
    <fill>
      <patternFill patternType="solid">
        <fgColor rgb="FF000399"/>
        <bgColor indexed="64"/>
      </patternFill>
    </fill>
    <fill>
      <patternFill patternType="solid">
        <fgColor rgb="FF00039A"/>
        <bgColor indexed="64"/>
      </patternFill>
    </fill>
    <fill>
      <patternFill patternType="solid">
        <fgColor rgb="FF00039B"/>
        <bgColor indexed="64"/>
      </patternFill>
    </fill>
    <fill>
      <patternFill patternType="solid">
        <fgColor rgb="FF00039C"/>
        <bgColor indexed="64"/>
      </patternFill>
    </fill>
    <fill>
      <patternFill patternType="solid">
        <fgColor rgb="FF00039D"/>
        <bgColor indexed="64"/>
      </patternFill>
    </fill>
    <fill>
      <patternFill patternType="solid">
        <fgColor rgb="FF00039E"/>
        <bgColor indexed="64"/>
      </patternFill>
    </fill>
    <fill>
      <patternFill patternType="solid">
        <fgColor rgb="FF00039F"/>
        <bgColor indexed="64"/>
      </patternFill>
    </fill>
    <fill>
      <patternFill patternType="solid">
        <fgColor rgb="FF0003A0"/>
        <bgColor indexed="64"/>
      </patternFill>
    </fill>
    <fill>
      <patternFill patternType="solid">
        <fgColor rgb="FF0003A1"/>
        <bgColor indexed="64"/>
      </patternFill>
    </fill>
    <fill>
      <patternFill patternType="solid">
        <fgColor rgb="FF0003A2"/>
        <bgColor indexed="64"/>
      </patternFill>
    </fill>
    <fill>
      <patternFill patternType="solid">
        <fgColor rgb="FF0003A3"/>
        <bgColor indexed="64"/>
      </patternFill>
    </fill>
    <fill>
      <patternFill patternType="solid">
        <fgColor rgb="FF0003A4"/>
        <bgColor indexed="64"/>
      </patternFill>
    </fill>
    <fill>
      <patternFill patternType="solid">
        <fgColor rgb="FF0003A5"/>
        <bgColor indexed="64"/>
      </patternFill>
    </fill>
    <fill>
      <patternFill patternType="solid">
        <fgColor rgb="FF0003A6"/>
        <bgColor indexed="64"/>
      </patternFill>
    </fill>
    <fill>
      <patternFill patternType="solid">
        <fgColor rgb="FF0003A7"/>
        <bgColor indexed="64"/>
      </patternFill>
    </fill>
    <fill>
      <patternFill patternType="solid">
        <fgColor rgb="FF0003A8"/>
        <bgColor indexed="64"/>
      </patternFill>
    </fill>
    <fill>
      <patternFill patternType="solid">
        <fgColor rgb="FF0003A9"/>
        <bgColor indexed="64"/>
      </patternFill>
    </fill>
    <fill>
      <patternFill patternType="solid">
        <fgColor rgb="FF0003AA"/>
        <bgColor indexed="64"/>
      </patternFill>
    </fill>
    <fill>
      <patternFill patternType="solid">
        <fgColor rgb="FF0003AB"/>
        <bgColor indexed="64"/>
      </patternFill>
    </fill>
    <fill>
      <patternFill patternType="solid">
        <fgColor rgb="FF0003AC"/>
        <bgColor indexed="64"/>
      </patternFill>
    </fill>
    <fill>
      <patternFill patternType="solid">
        <fgColor rgb="FF0003AD"/>
        <bgColor indexed="64"/>
      </patternFill>
    </fill>
    <fill>
      <patternFill patternType="solid">
        <fgColor rgb="FF0003AE"/>
        <bgColor indexed="64"/>
      </patternFill>
    </fill>
    <fill>
      <patternFill patternType="solid">
        <fgColor rgb="FF0003AF"/>
        <bgColor indexed="64"/>
      </patternFill>
    </fill>
    <fill>
      <patternFill patternType="solid">
        <fgColor rgb="FF0003B0"/>
        <bgColor indexed="64"/>
      </patternFill>
    </fill>
    <fill>
      <patternFill patternType="solid">
        <fgColor rgb="FF0003B1"/>
        <bgColor indexed="64"/>
      </patternFill>
    </fill>
    <fill>
      <patternFill patternType="solid">
        <fgColor rgb="FF0003B2"/>
        <bgColor indexed="64"/>
      </patternFill>
    </fill>
    <fill>
      <patternFill patternType="solid">
        <fgColor rgb="FF0003B3"/>
        <bgColor indexed="64"/>
      </patternFill>
    </fill>
    <fill>
      <patternFill patternType="solid">
        <fgColor rgb="FF0003B4"/>
        <bgColor indexed="64"/>
      </patternFill>
    </fill>
    <fill>
      <patternFill patternType="solid">
        <fgColor rgb="FF0003B5"/>
        <bgColor indexed="64"/>
      </patternFill>
    </fill>
    <fill>
      <patternFill patternType="solid">
        <fgColor rgb="FF0003B6"/>
        <bgColor indexed="64"/>
      </patternFill>
    </fill>
    <fill>
      <patternFill patternType="solid">
        <fgColor rgb="FF0003B7"/>
        <bgColor indexed="64"/>
      </patternFill>
    </fill>
    <fill>
      <patternFill patternType="solid">
        <fgColor rgb="FF0003B8"/>
        <bgColor indexed="64"/>
      </patternFill>
    </fill>
    <fill>
      <patternFill patternType="solid">
        <fgColor rgb="FF0003B9"/>
        <bgColor indexed="64"/>
      </patternFill>
    </fill>
    <fill>
      <patternFill patternType="solid">
        <fgColor rgb="FF0003BA"/>
        <bgColor indexed="64"/>
      </patternFill>
    </fill>
    <fill>
      <patternFill patternType="solid">
        <fgColor rgb="FF0003BB"/>
        <bgColor indexed="64"/>
      </patternFill>
    </fill>
    <fill>
      <patternFill patternType="solid">
        <fgColor rgb="FF0003BC"/>
        <bgColor indexed="64"/>
      </patternFill>
    </fill>
    <fill>
      <patternFill patternType="solid">
        <fgColor rgb="FF0003BD"/>
        <bgColor indexed="64"/>
      </patternFill>
    </fill>
    <fill>
      <patternFill patternType="solid">
        <fgColor rgb="FF0003BE"/>
        <bgColor indexed="64"/>
      </patternFill>
    </fill>
    <fill>
      <patternFill patternType="solid">
        <fgColor rgb="FF0003BF"/>
        <bgColor indexed="64"/>
      </patternFill>
    </fill>
    <fill>
      <patternFill patternType="solid">
        <fgColor rgb="FF0003C0"/>
        <bgColor indexed="64"/>
      </patternFill>
    </fill>
    <fill>
      <patternFill patternType="solid">
        <fgColor rgb="FF0003C1"/>
        <bgColor indexed="64"/>
      </patternFill>
    </fill>
    <fill>
      <patternFill patternType="solid">
        <fgColor rgb="FF0003C2"/>
        <bgColor indexed="64"/>
      </patternFill>
    </fill>
    <fill>
      <patternFill patternType="solid">
        <fgColor rgb="FF0003C3"/>
        <bgColor indexed="64"/>
      </patternFill>
    </fill>
    <fill>
      <patternFill patternType="solid">
        <fgColor rgb="FF0003C4"/>
        <bgColor indexed="64"/>
      </patternFill>
    </fill>
    <fill>
      <patternFill patternType="solid">
        <fgColor rgb="FF0003C5"/>
        <bgColor indexed="64"/>
      </patternFill>
    </fill>
    <fill>
      <patternFill patternType="solid">
        <fgColor rgb="FF0003C6"/>
        <bgColor indexed="64"/>
      </patternFill>
    </fill>
    <fill>
      <patternFill patternType="solid">
        <fgColor rgb="FF0003C7"/>
        <bgColor indexed="64"/>
      </patternFill>
    </fill>
    <fill>
      <patternFill patternType="solid">
        <fgColor rgb="FF0003C8"/>
        <bgColor indexed="64"/>
      </patternFill>
    </fill>
    <fill>
      <patternFill patternType="solid">
        <fgColor rgb="FF0003C9"/>
        <bgColor indexed="64"/>
      </patternFill>
    </fill>
    <fill>
      <patternFill patternType="solid">
        <fgColor rgb="FF0003CA"/>
        <bgColor indexed="64"/>
      </patternFill>
    </fill>
    <fill>
      <patternFill patternType="solid">
        <fgColor rgb="FF0003CB"/>
        <bgColor indexed="64"/>
      </patternFill>
    </fill>
    <fill>
      <patternFill patternType="solid">
        <fgColor rgb="FF0003CC"/>
        <bgColor indexed="64"/>
      </patternFill>
    </fill>
    <fill>
      <patternFill patternType="solid">
        <fgColor rgb="FF0003CD"/>
        <bgColor indexed="64"/>
      </patternFill>
    </fill>
    <fill>
      <patternFill patternType="solid">
        <fgColor rgb="FF0003CE"/>
        <bgColor indexed="64"/>
      </patternFill>
    </fill>
    <fill>
      <patternFill patternType="solid">
        <fgColor rgb="FF0003CF"/>
        <bgColor indexed="64"/>
      </patternFill>
    </fill>
    <fill>
      <patternFill patternType="solid">
        <fgColor rgb="FF0003D0"/>
        <bgColor indexed="64"/>
      </patternFill>
    </fill>
    <fill>
      <patternFill patternType="solid">
        <fgColor rgb="FF0003D1"/>
        <bgColor indexed="64"/>
      </patternFill>
    </fill>
    <fill>
      <patternFill patternType="solid">
        <fgColor rgb="FF0003D2"/>
        <bgColor indexed="64"/>
      </patternFill>
    </fill>
    <fill>
      <patternFill patternType="solid">
        <fgColor rgb="FF0003D3"/>
        <bgColor indexed="64"/>
      </patternFill>
    </fill>
    <fill>
      <patternFill patternType="solid">
        <fgColor rgb="FF0003D4"/>
        <bgColor indexed="64"/>
      </patternFill>
    </fill>
    <fill>
      <patternFill patternType="solid">
        <fgColor rgb="FF0003D5"/>
        <bgColor indexed="64"/>
      </patternFill>
    </fill>
    <fill>
      <patternFill patternType="solid">
        <fgColor rgb="FF0003D6"/>
        <bgColor indexed="64"/>
      </patternFill>
    </fill>
    <fill>
      <patternFill patternType="solid">
        <fgColor rgb="FF0003D7"/>
        <bgColor indexed="64"/>
      </patternFill>
    </fill>
    <fill>
      <patternFill patternType="solid">
        <fgColor rgb="FF0003D8"/>
        <bgColor indexed="64"/>
      </patternFill>
    </fill>
    <fill>
      <patternFill patternType="solid">
        <fgColor rgb="FF0003D9"/>
        <bgColor indexed="64"/>
      </patternFill>
    </fill>
    <fill>
      <patternFill patternType="solid">
        <fgColor rgb="FF0003DA"/>
        <bgColor indexed="64"/>
      </patternFill>
    </fill>
    <fill>
      <patternFill patternType="solid">
        <fgColor rgb="FF0003DB"/>
        <bgColor indexed="64"/>
      </patternFill>
    </fill>
    <fill>
      <patternFill patternType="solid">
        <fgColor rgb="FF0003DC"/>
        <bgColor indexed="64"/>
      </patternFill>
    </fill>
    <fill>
      <patternFill patternType="solid">
        <fgColor rgb="FF0003DD"/>
        <bgColor indexed="64"/>
      </patternFill>
    </fill>
    <fill>
      <patternFill patternType="solid">
        <fgColor rgb="FF0003DE"/>
        <bgColor indexed="64"/>
      </patternFill>
    </fill>
    <fill>
      <patternFill patternType="solid">
        <fgColor rgb="FF0003DF"/>
        <bgColor indexed="64"/>
      </patternFill>
    </fill>
    <fill>
      <patternFill patternType="solid">
        <fgColor rgb="FF0003E0"/>
        <bgColor indexed="64"/>
      </patternFill>
    </fill>
    <fill>
      <patternFill patternType="solid">
        <fgColor rgb="FF0003E1"/>
        <bgColor indexed="64"/>
      </patternFill>
    </fill>
    <fill>
      <patternFill patternType="solid">
        <fgColor rgb="FF0003E2"/>
        <bgColor indexed="64"/>
      </patternFill>
    </fill>
    <fill>
      <patternFill patternType="solid">
        <fgColor rgb="FF0003E3"/>
        <bgColor indexed="64"/>
      </patternFill>
    </fill>
    <fill>
      <patternFill patternType="solid">
        <fgColor rgb="FF0003E4"/>
        <bgColor indexed="64"/>
      </patternFill>
    </fill>
    <fill>
      <patternFill patternType="solid">
        <fgColor rgb="FF0003E5"/>
        <bgColor indexed="64"/>
      </patternFill>
    </fill>
    <fill>
      <patternFill patternType="solid">
        <fgColor rgb="FF0003E6"/>
        <bgColor indexed="64"/>
      </patternFill>
    </fill>
    <fill>
      <patternFill patternType="solid">
        <fgColor rgb="FF0003E7"/>
        <bgColor indexed="64"/>
      </patternFill>
    </fill>
    <fill>
      <patternFill patternType="solid">
        <fgColor rgb="FF0003E8"/>
        <bgColor indexed="64"/>
      </patternFill>
    </fill>
    <fill>
      <patternFill patternType="solid">
        <fgColor rgb="FF0003E9"/>
        <bgColor indexed="64"/>
      </patternFill>
    </fill>
    <fill>
      <patternFill patternType="solid">
        <fgColor rgb="FF0003EA"/>
        <bgColor indexed="64"/>
      </patternFill>
    </fill>
    <fill>
      <patternFill patternType="solid">
        <fgColor rgb="FF0003EB"/>
        <bgColor indexed="64"/>
      </patternFill>
    </fill>
    <fill>
      <patternFill patternType="solid">
        <fgColor rgb="FF0003EC"/>
        <bgColor indexed="64"/>
      </patternFill>
    </fill>
    <fill>
      <patternFill patternType="solid">
        <fgColor rgb="FF0003ED"/>
        <bgColor indexed="64"/>
      </patternFill>
    </fill>
    <fill>
      <patternFill patternType="solid">
        <fgColor rgb="FF0003EE"/>
        <bgColor indexed="64"/>
      </patternFill>
    </fill>
    <fill>
      <patternFill patternType="solid">
        <fgColor rgb="FF0003EF"/>
        <bgColor indexed="64"/>
      </patternFill>
    </fill>
    <fill>
      <patternFill patternType="solid">
        <fgColor rgb="FF0003F0"/>
        <bgColor indexed="64"/>
      </patternFill>
    </fill>
    <fill>
      <patternFill patternType="solid">
        <fgColor rgb="FF0003F1"/>
        <bgColor indexed="64"/>
      </patternFill>
    </fill>
    <fill>
      <patternFill patternType="solid">
        <fgColor rgb="FF0003F2"/>
        <bgColor indexed="64"/>
      </patternFill>
    </fill>
    <fill>
      <patternFill patternType="solid">
        <fgColor rgb="FF0003F3"/>
        <bgColor indexed="64"/>
      </patternFill>
    </fill>
    <fill>
      <patternFill patternType="solid">
        <fgColor rgb="FF0003F4"/>
        <bgColor indexed="64"/>
      </patternFill>
    </fill>
    <fill>
      <patternFill patternType="solid">
        <fgColor rgb="FF0003F5"/>
        <bgColor indexed="64"/>
      </patternFill>
    </fill>
    <fill>
      <patternFill patternType="solid">
        <fgColor rgb="FF0003F6"/>
        <bgColor indexed="64"/>
      </patternFill>
    </fill>
    <fill>
      <patternFill patternType="solid">
        <fgColor rgb="FF0003F7"/>
        <bgColor indexed="64"/>
      </patternFill>
    </fill>
    <fill>
      <patternFill patternType="solid">
        <fgColor rgb="FF0003F8"/>
        <bgColor indexed="64"/>
      </patternFill>
    </fill>
    <fill>
      <patternFill patternType="solid">
        <fgColor rgb="FF0003F9"/>
        <bgColor indexed="64"/>
      </patternFill>
    </fill>
    <fill>
      <patternFill patternType="solid">
        <fgColor rgb="FF0003FA"/>
        <bgColor indexed="64"/>
      </patternFill>
    </fill>
    <fill>
      <patternFill patternType="solid">
        <fgColor rgb="FF0003FB"/>
        <bgColor indexed="64"/>
      </patternFill>
    </fill>
    <fill>
      <patternFill patternType="solid">
        <fgColor rgb="FF0003FC"/>
        <bgColor indexed="64"/>
      </patternFill>
    </fill>
    <fill>
      <patternFill patternType="solid">
        <fgColor rgb="FF0003FD"/>
        <bgColor indexed="64"/>
      </patternFill>
    </fill>
    <fill>
      <patternFill patternType="solid">
        <fgColor rgb="FF0003FE"/>
        <bgColor indexed="64"/>
      </patternFill>
    </fill>
    <fill>
      <patternFill patternType="solid">
        <fgColor rgb="FF0003FF"/>
        <bgColor indexed="64"/>
      </patternFill>
    </fill>
    <fill>
      <patternFill patternType="solid">
        <fgColor rgb="FF000400"/>
        <bgColor indexed="64"/>
      </patternFill>
    </fill>
    <fill>
      <patternFill patternType="solid">
        <fgColor rgb="FF000401"/>
        <bgColor indexed="64"/>
      </patternFill>
    </fill>
    <fill>
      <patternFill patternType="solid">
        <fgColor rgb="FF000402"/>
        <bgColor indexed="64"/>
      </patternFill>
    </fill>
    <fill>
      <patternFill patternType="solid">
        <fgColor rgb="FF000403"/>
        <bgColor indexed="64"/>
      </patternFill>
    </fill>
    <fill>
      <patternFill patternType="solid">
        <fgColor rgb="FF000404"/>
        <bgColor indexed="64"/>
      </patternFill>
    </fill>
    <fill>
      <patternFill patternType="solid">
        <fgColor rgb="FF000405"/>
        <bgColor indexed="64"/>
      </patternFill>
    </fill>
    <fill>
      <patternFill patternType="solid">
        <fgColor rgb="FF000406"/>
        <bgColor indexed="64"/>
      </patternFill>
    </fill>
    <fill>
      <patternFill patternType="solid">
        <fgColor rgb="FF000407"/>
        <bgColor indexed="64"/>
      </patternFill>
    </fill>
    <fill>
      <patternFill patternType="solid">
        <fgColor rgb="FF000408"/>
        <bgColor indexed="64"/>
      </patternFill>
    </fill>
    <fill>
      <patternFill patternType="solid">
        <fgColor rgb="FF000409"/>
        <bgColor indexed="64"/>
      </patternFill>
    </fill>
    <fill>
      <patternFill patternType="solid">
        <fgColor rgb="FF00040A"/>
        <bgColor indexed="64"/>
      </patternFill>
    </fill>
    <fill>
      <patternFill patternType="solid">
        <fgColor rgb="FF00040B"/>
        <bgColor indexed="64"/>
      </patternFill>
    </fill>
    <fill>
      <patternFill patternType="solid">
        <fgColor rgb="FF00040C"/>
        <bgColor indexed="64"/>
      </patternFill>
    </fill>
    <fill>
      <patternFill patternType="solid">
        <fgColor rgb="FF00040D"/>
        <bgColor indexed="64"/>
      </patternFill>
    </fill>
    <fill>
      <patternFill patternType="solid">
        <fgColor rgb="FF00040E"/>
        <bgColor indexed="64"/>
      </patternFill>
    </fill>
    <fill>
      <patternFill patternType="solid">
        <fgColor rgb="FF00040F"/>
        <bgColor indexed="64"/>
      </patternFill>
    </fill>
    <fill>
      <patternFill patternType="solid">
        <fgColor rgb="FF000410"/>
        <bgColor indexed="64"/>
      </patternFill>
    </fill>
    <fill>
      <patternFill patternType="solid">
        <fgColor rgb="FF000411"/>
        <bgColor indexed="64"/>
      </patternFill>
    </fill>
    <fill>
      <patternFill patternType="solid">
        <fgColor rgb="FF000412"/>
        <bgColor indexed="64"/>
      </patternFill>
    </fill>
    <fill>
      <patternFill patternType="solid">
        <fgColor rgb="FF000413"/>
        <bgColor indexed="64"/>
      </patternFill>
    </fill>
    <fill>
      <patternFill patternType="solid">
        <fgColor rgb="FF000414"/>
        <bgColor indexed="64"/>
      </patternFill>
    </fill>
    <fill>
      <patternFill patternType="solid">
        <fgColor rgb="FF000415"/>
        <bgColor indexed="64"/>
      </patternFill>
    </fill>
    <fill>
      <patternFill patternType="solid">
        <fgColor rgb="FF000416"/>
        <bgColor indexed="64"/>
      </patternFill>
    </fill>
    <fill>
      <patternFill patternType="solid">
        <fgColor rgb="FF000417"/>
        <bgColor indexed="64"/>
      </patternFill>
    </fill>
    <fill>
      <patternFill patternType="solid">
        <fgColor rgb="FF000418"/>
        <bgColor indexed="64"/>
      </patternFill>
    </fill>
    <fill>
      <patternFill patternType="solid">
        <fgColor rgb="FF000419"/>
        <bgColor indexed="64"/>
      </patternFill>
    </fill>
    <fill>
      <patternFill patternType="solid">
        <fgColor rgb="FF00041A"/>
        <bgColor indexed="64"/>
      </patternFill>
    </fill>
    <fill>
      <patternFill patternType="solid">
        <fgColor rgb="FF00041B"/>
        <bgColor indexed="64"/>
      </patternFill>
    </fill>
    <fill>
      <patternFill patternType="solid">
        <fgColor rgb="FF00041C"/>
        <bgColor indexed="64"/>
      </patternFill>
    </fill>
    <fill>
      <patternFill patternType="solid">
        <fgColor rgb="FF00041D"/>
        <bgColor indexed="64"/>
      </patternFill>
    </fill>
    <fill>
      <patternFill patternType="solid">
        <fgColor rgb="FF00041E"/>
        <bgColor indexed="64"/>
      </patternFill>
    </fill>
    <fill>
      <patternFill patternType="solid">
        <fgColor rgb="FF00041F"/>
        <bgColor indexed="64"/>
      </patternFill>
    </fill>
    <fill>
      <patternFill patternType="solid">
        <fgColor rgb="FF000420"/>
        <bgColor indexed="64"/>
      </patternFill>
    </fill>
    <fill>
      <patternFill patternType="solid">
        <fgColor rgb="FF000421"/>
        <bgColor indexed="64"/>
      </patternFill>
    </fill>
    <fill>
      <patternFill patternType="solid">
        <fgColor rgb="FF000422"/>
        <bgColor indexed="64"/>
      </patternFill>
    </fill>
    <fill>
      <patternFill patternType="solid">
        <fgColor rgb="FF000423"/>
        <bgColor indexed="64"/>
      </patternFill>
    </fill>
    <fill>
      <patternFill patternType="solid">
        <fgColor rgb="FF000424"/>
        <bgColor indexed="64"/>
      </patternFill>
    </fill>
    <fill>
      <patternFill patternType="solid">
        <fgColor rgb="FF000425"/>
        <bgColor indexed="64"/>
      </patternFill>
    </fill>
    <fill>
      <patternFill patternType="solid">
        <fgColor rgb="FF000426"/>
        <bgColor indexed="64"/>
      </patternFill>
    </fill>
    <fill>
      <patternFill patternType="solid">
        <fgColor rgb="FF000427"/>
        <bgColor indexed="64"/>
      </patternFill>
    </fill>
    <fill>
      <patternFill patternType="solid">
        <fgColor rgb="FF000428"/>
        <bgColor indexed="64"/>
      </patternFill>
    </fill>
    <fill>
      <patternFill patternType="solid">
        <fgColor rgb="FF000429"/>
        <bgColor indexed="64"/>
      </patternFill>
    </fill>
    <fill>
      <patternFill patternType="solid">
        <fgColor rgb="FF00042A"/>
        <bgColor indexed="64"/>
      </patternFill>
    </fill>
    <fill>
      <patternFill patternType="solid">
        <fgColor rgb="FF00042B"/>
        <bgColor indexed="64"/>
      </patternFill>
    </fill>
    <fill>
      <patternFill patternType="solid">
        <fgColor rgb="FF00042C"/>
        <bgColor indexed="64"/>
      </patternFill>
    </fill>
    <fill>
      <patternFill patternType="solid">
        <fgColor rgb="FF00042D"/>
        <bgColor indexed="64"/>
      </patternFill>
    </fill>
    <fill>
      <patternFill patternType="solid">
        <fgColor rgb="FF00042E"/>
        <bgColor indexed="64"/>
      </patternFill>
    </fill>
    <fill>
      <patternFill patternType="solid">
        <fgColor rgb="FF00042F"/>
        <bgColor indexed="64"/>
      </patternFill>
    </fill>
    <fill>
      <patternFill patternType="solid">
        <fgColor rgb="FF000430"/>
        <bgColor indexed="64"/>
      </patternFill>
    </fill>
    <fill>
      <patternFill patternType="solid">
        <fgColor rgb="FF000431"/>
        <bgColor indexed="64"/>
      </patternFill>
    </fill>
    <fill>
      <patternFill patternType="solid">
        <fgColor rgb="FF000432"/>
        <bgColor indexed="64"/>
      </patternFill>
    </fill>
    <fill>
      <patternFill patternType="solid">
        <fgColor rgb="FF000433"/>
        <bgColor indexed="64"/>
      </patternFill>
    </fill>
    <fill>
      <patternFill patternType="solid">
        <fgColor rgb="FF000434"/>
        <bgColor indexed="64"/>
      </patternFill>
    </fill>
    <fill>
      <patternFill patternType="solid">
        <fgColor rgb="FF000435"/>
        <bgColor indexed="64"/>
      </patternFill>
    </fill>
    <fill>
      <patternFill patternType="solid">
        <fgColor rgb="FF000436"/>
        <bgColor indexed="64"/>
      </patternFill>
    </fill>
    <fill>
      <patternFill patternType="solid">
        <fgColor rgb="FF000437"/>
        <bgColor indexed="64"/>
      </patternFill>
    </fill>
    <fill>
      <patternFill patternType="solid">
        <fgColor rgb="FF000438"/>
        <bgColor indexed="64"/>
      </patternFill>
    </fill>
    <fill>
      <patternFill patternType="solid">
        <fgColor rgb="FF000439"/>
        <bgColor indexed="64"/>
      </patternFill>
    </fill>
    <fill>
      <patternFill patternType="solid">
        <fgColor rgb="FF00043A"/>
        <bgColor indexed="64"/>
      </patternFill>
    </fill>
    <fill>
      <patternFill patternType="solid">
        <fgColor rgb="FF00043B"/>
        <bgColor indexed="64"/>
      </patternFill>
    </fill>
    <fill>
      <patternFill patternType="solid">
        <fgColor rgb="FF00043C"/>
        <bgColor indexed="64"/>
      </patternFill>
    </fill>
    <fill>
      <patternFill patternType="solid">
        <fgColor rgb="FF00043D"/>
        <bgColor indexed="64"/>
      </patternFill>
    </fill>
    <fill>
      <patternFill patternType="solid">
        <fgColor rgb="FF00043E"/>
        <bgColor indexed="64"/>
      </patternFill>
    </fill>
    <fill>
      <patternFill patternType="solid">
        <fgColor rgb="FF00043F"/>
        <bgColor indexed="64"/>
      </patternFill>
    </fill>
    <fill>
      <patternFill patternType="solid">
        <fgColor rgb="FF000440"/>
        <bgColor indexed="64"/>
      </patternFill>
    </fill>
    <fill>
      <patternFill patternType="solid">
        <fgColor rgb="FF000441"/>
        <bgColor indexed="64"/>
      </patternFill>
    </fill>
    <fill>
      <patternFill patternType="solid">
        <fgColor rgb="FF000442"/>
        <bgColor indexed="64"/>
      </patternFill>
    </fill>
    <fill>
      <patternFill patternType="solid">
        <fgColor rgb="FF000443"/>
        <bgColor indexed="64"/>
      </patternFill>
    </fill>
    <fill>
      <patternFill patternType="solid">
        <fgColor rgb="FF000444"/>
        <bgColor indexed="64"/>
      </patternFill>
    </fill>
    <fill>
      <patternFill patternType="solid">
        <fgColor rgb="FF000445"/>
        <bgColor indexed="64"/>
      </patternFill>
    </fill>
    <fill>
      <patternFill patternType="solid">
        <fgColor rgb="FF000446"/>
        <bgColor indexed="64"/>
      </patternFill>
    </fill>
    <fill>
      <patternFill patternType="solid">
        <fgColor rgb="FF000447"/>
        <bgColor indexed="64"/>
      </patternFill>
    </fill>
    <fill>
      <patternFill patternType="solid">
        <fgColor rgb="FF000448"/>
        <bgColor indexed="64"/>
      </patternFill>
    </fill>
    <fill>
      <patternFill patternType="solid">
        <fgColor rgb="FF000449"/>
        <bgColor indexed="64"/>
      </patternFill>
    </fill>
    <fill>
      <patternFill patternType="solid">
        <fgColor rgb="FF00044A"/>
        <bgColor indexed="64"/>
      </patternFill>
    </fill>
    <fill>
      <patternFill patternType="solid">
        <fgColor rgb="FF00044B"/>
        <bgColor indexed="64"/>
      </patternFill>
    </fill>
    <fill>
      <patternFill patternType="solid">
        <fgColor rgb="FF00044C"/>
        <bgColor indexed="64"/>
      </patternFill>
    </fill>
    <fill>
      <patternFill patternType="solid">
        <fgColor rgb="FF00044D"/>
        <bgColor indexed="64"/>
      </patternFill>
    </fill>
    <fill>
      <patternFill patternType="solid">
        <fgColor rgb="FF00044E"/>
        <bgColor indexed="64"/>
      </patternFill>
    </fill>
    <fill>
      <patternFill patternType="solid">
        <fgColor rgb="FF00044F"/>
        <bgColor indexed="64"/>
      </patternFill>
    </fill>
    <fill>
      <patternFill patternType="solid">
        <fgColor rgb="FF000450"/>
        <bgColor indexed="64"/>
      </patternFill>
    </fill>
    <fill>
      <patternFill patternType="solid">
        <fgColor rgb="FF000451"/>
        <bgColor indexed="64"/>
      </patternFill>
    </fill>
    <fill>
      <patternFill patternType="solid">
        <fgColor rgb="FF000452"/>
        <bgColor indexed="64"/>
      </patternFill>
    </fill>
    <fill>
      <patternFill patternType="solid">
        <fgColor rgb="FF000453"/>
        <bgColor indexed="64"/>
      </patternFill>
    </fill>
    <fill>
      <patternFill patternType="solid">
        <fgColor rgb="FF000454"/>
        <bgColor indexed="64"/>
      </patternFill>
    </fill>
    <fill>
      <patternFill patternType="solid">
        <fgColor rgb="FF000455"/>
        <bgColor indexed="64"/>
      </patternFill>
    </fill>
    <fill>
      <patternFill patternType="solid">
        <fgColor rgb="FF000456"/>
        <bgColor indexed="64"/>
      </patternFill>
    </fill>
    <fill>
      <patternFill patternType="solid">
        <fgColor rgb="FF000457"/>
        <bgColor indexed="64"/>
      </patternFill>
    </fill>
    <fill>
      <patternFill patternType="solid">
        <fgColor rgb="FF000458"/>
        <bgColor indexed="64"/>
      </patternFill>
    </fill>
    <fill>
      <patternFill patternType="solid">
        <fgColor rgb="FF000459"/>
        <bgColor indexed="64"/>
      </patternFill>
    </fill>
    <fill>
      <patternFill patternType="solid">
        <fgColor rgb="FF00045A"/>
        <bgColor indexed="64"/>
      </patternFill>
    </fill>
    <fill>
      <patternFill patternType="solid">
        <fgColor rgb="FF00045B"/>
        <bgColor indexed="64"/>
      </patternFill>
    </fill>
    <fill>
      <patternFill patternType="solid">
        <fgColor rgb="FF00045C"/>
        <bgColor indexed="64"/>
      </patternFill>
    </fill>
    <fill>
      <patternFill patternType="solid">
        <fgColor rgb="FF00045D"/>
        <bgColor indexed="64"/>
      </patternFill>
    </fill>
    <fill>
      <patternFill patternType="solid">
        <fgColor rgb="FF00045E"/>
        <bgColor indexed="64"/>
      </patternFill>
    </fill>
    <fill>
      <patternFill patternType="solid">
        <fgColor rgb="FF00045F"/>
        <bgColor indexed="64"/>
      </patternFill>
    </fill>
    <fill>
      <patternFill patternType="solid">
        <fgColor rgb="FF000460"/>
        <bgColor indexed="64"/>
      </patternFill>
    </fill>
    <fill>
      <patternFill patternType="solid">
        <fgColor rgb="FF000461"/>
        <bgColor indexed="64"/>
      </patternFill>
    </fill>
    <fill>
      <patternFill patternType="solid">
        <fgColor rgb="FF000462"/>
        <bgColor indexed="64"/>
      </patternFill>
    </fill>
    <fill>
      <patternFill patternType="solid">
        <fgColor rgb="FF000463"/>
        <bgColor indexed="64"/>
      </patternFill>
    </fill>
    <fill>
      <patternFill patternType="solid">
        <fgColor rgb="FF000464"/>
        <bgColor indexed="64"/>
      </patternFill>
    </fill>
    <fill>
      <patternFill patternType="solid">
        <fgColor rgb="FF000465"/>
        <bgColor indexed="64"/>
      </patternFill>
    </fill>
    <fill>
      <patternFill patternType="solid">
        <fgColor rgb="FF000466"/>
        <bgColor indexed="64"/>
      </patternFill>
    </fill>
    <fill>
      <patternFill patternType="solid">
        <fgColor rgb="FF000467"/>
        <bgColor indexed="64"/>
      </patternFill>
    </fill>
    <fill>
      <patternFill patternType="solid">
        <fgColor rgb="FF000468"/>
        <bgColor indexed="64"/>
      </patternFill>
    </fill>
    <fill>
      <patternFill patternType="solid">
        <fgColor rgb="FF000469"/>
        <bgColor indexed="64"/>
      </patternFill>
    </fill>
    <fill>
      <patternFill patternType="solid">
        <fgColor rgb="FF00046A"/>
        <bgColor indexed="64"/>
      </patternFill>
    </fill>
    <fill>
      <patternFill patternType="solid">
        <fgColor rgb="FF00046B"/>
        <bgColor indexed="64"/>
      </patternFill>
    </fill>
    <fill>
      <patternFill patternType="solid">
        <fgColor rgb="FF00046C"/>
        <bgColor indexed="64"/>
      </patternFill>
    </fill>
    <fill>
      <patternFill patternType="solid">
        <fgColor rgb="FF00046D"/>
        <bgColor indexed="64"/>
      </patternFill>
    </fill>
    <fill>
      <patternFill patternType="solid">
        <fgColor rgb="FF00046E"/>
        <bgColor indexed="64"/>
      </patternFill>
    </fill>
    <fill>
      <patternFill patternType="solid">
        <fgColor rgb="FF00046F"/>
        <bgColor indexed="64"/>
      </patternFill>
    </fill>
    <fill>
      <patternFill patternType="solid">
        <fgColor rgb="FF000470"/>
        <bgColor indexed="64"/>
      </patternFill>
    </fill>
    <fill>
      <patternFill patternType="solid">
        <fgColor rgb="FF000471"/>
        <bgColor indexed="64"/>
      </patternFill>
    </fill>
    <fill>
      <patternFill patternType="solid">
        <fgColor rgb="FF000472"/>
        <bgColor indexed="64"/>
      </patternFill>
    </fill>
    <fill>
      <patternFill patternType="solid">
        <fgColor rgb="FF000473"/>
        <bgColor indexed="64"/>
      </patternFill>
    </fill>
    <fill>
      <patternFill patternType="solid">
        <fgColor rgb="FF000474"/>
        <bgColor indexed="64"/>
      </patternFill>
    </fill>
    <fill>
      <patternFill patternType="solid">
        <fgColor rgb="FF000475"/>
        <bgColor indexed="64"/>
      </patternFill>
    </fill>
    <fill>
      <patternFill patternType="solid">
        <fgColor rgb="FF000476"/>
        <bgColor indexed="64"/>
      </patternFill>
    </fill>
    <fill>
      <patternFill patternType="solid">
        <fgColor rgb="FF000477"/>
        <bgColor indexed="64"/>
      </patternFill>
    </fill>
    <fill>
      <patternFill patternType="solid">
        <fgColor rgb="FF000478"/>
        <bgColor indexed="64"/>
      </patternFill>
    </fill>
    <fill>
      <patternFill patternType="solid">
        <fgColor rgb="FF000479"/>
        <bgColor indexed="64"/>
      </patternFill>
    </fill>
    <fill>
      <patternFill patternType="solid">
        <fgColor rgb="FF00047A"/>
        <bgColor indexed="64"/>
      </patternFill>
    </fill>
    <fill>
      <patternFill patternType="solid">
        <fgColor rgb="FF00047B"/>
        <bgColor indexed="64"/>
      </patternFill>
    </fill>
    <fill>
      <patternFill patternType="solid">
        <fgColor rgb="FF00047C"/>
        <bgColor indexed="64"/>
      </patternFill>
    </fill>
    <fill>
      <patternFill patternType="solid">
        <fgColor rgb="FF00047D"/>
        <bgColor indexed="64"/>
      </patternFill>
    </fill>
    <fill>
      <patternFill patternType="solid">
        <fgColor rgb="FF00047E"/>
        <bgColor indexed="64"/>
      </patternFill>
    </fill>
    <fill>
      <patternFill patternType="solid">
        <fgColor rgb="FF00047F"/>
        <bgColor indexed="64"/>
      </patternFill>
    </fill>
    <fill>
      <patternFill patternType="solid">
        <fgColor rgb="FF000480"/>
        <bgColor indexed="64"/>
      </patternFill>
    </fill>
    <fill>
      <patternFill patternType="solid">
        <fgColor rgb="FF000481"/>
        <bgColor indexed="64"/>
      </patternFill>
    </fill>
    <fill>
      <patternFill patternType="solid">
        <fgColor rgb="FF000482"/>
        <bgColor indexed="64"/>
      </patternFill>
    </fill>
    <fill>
      <patternFill patternType="solid">
        <fgColor rgb="FF000483"/>
        <bgColor indexed="64"/>
      </patternFill>
    </fill>
    <fill>
      <patternFill patternType="solid">
        <fgColor rgb="FF000484"/>
        <bgColor indexed="64"/>
      </patternFill>
    </fill>
    <fill>
      <patternFill patternType="solid">
        <fgColor rgb="FF000485"/>
        <bgColor indexed="64"/>
      </patternFill>
    </fill>
    <fill>
      <patternFill patternType="solid">
        <fgColor rgb="FF000486"/>
        <bgColor indexed="64"/>
      </patternFill>
    </fill>
    <fill>
      <patternFill patternType="solid">
        <fgColor rgb="FF000487"/>
        <bgColor indexed="64"/>
      </patternFill>
    </fill>
    <fill>
      <patternFill patternType="solid">
        <fgColor rgb="FF000488"/>
        <bgColor indexed="64"/>
      </patternFill>
    </fill>
    <fill>
      <patternFill patternType="solid">
        <fgColor rgb="FF000489"/>
        <bgColor indexed="64"/>
      </patternFill>
    </fill>
    <fill>
      <patternFill patternType="solid">
        <fgColor rgb="FF00048A"/>
        <bgColor indexed="64"/>
      </patternFill>
    </fill>
    <fill>
      <patternFill patternType="solid">
        <fgColor rgb="FF00048B"/>
        <bgColor indexed="64"/>
      </patternFill>
    </fill>
    <fill>
      <patternFill patternType="solid">
        <fgColor rgb="FF00048C"/>
        <bgColor indexed="64"/>
      </patternFill>
    </fill>
    <fill>
      <patternFill patternType="solid">
        <fgColor rgb="FF00048D"/>
        <bgColor indexed="64"/>
      </patternFill>
    </fill>
    <fill>
      <patternFill patternType="solid">
        <fgColor rgb="FF00048E"/>
        <bgColor indexed="64"/>
      </patternFill>
    </fill>
    <fill>
      <patternFill patternType="solid">
        <fgColor rgb="FF00048F"/>
        <bgColor indexed="64"/>
      </patternFill>
    </fill>
    <fill>
      <patternFill patternType="solid">
        <fgColor rgb="FF000490"/>
        <bgColor indexed="64"/>
      </patternFill>
    </fill>
    <fill>
      <patternFill patternType="solid">
        <fgColor rgb="FF000491"/>
        <bgColor indexed="64"/>
      </patternFill>
    </fill>
    <fill>
      <patternFill patternType="solid">
        <fgColor rgb="FF000492"/>
        <bgColor indexed="64"/>
      </patternFill>
    </fill>
    <fill>
      <patternFill patternType="solid">
        <fgColor rgb="FF000493"/>
        <bgColor indexed="64"/>
      </patternFill>
    </fill>
    <fill>
      <patternFill patternType="solid">
        <fgColor rgb="FF000494"/>
        <bgColor indexed="64"/>
      </patternFill>
    </fill>
    <fill>
      <patternFill patternType="solid">
        <fgColor rgb="FF000495"/>
        <bgColor indexed="64"/>
      </patternFill>
    </fill>
    <fill>
      <patternFill patternType="solid">
        <fgColor rgb="FF000496"/>
        <bgColor indexed="64"/>
      </patternFill>
    </fill>
    <fill>
      <patternFill patternType="solid">
        <fgColor rgb="FF000497"/>
        <bgColor indexed="64"/>
      </patternFill>
    </fill>
    <fill>
      <patternFill patternType="solid">
        <fgColor rgb="FF000498"/>
        <bgColor indexed="64"/>
      </patternFill>
    </fill>
    <fill>
      <patternFill patternType="solid">
        <fgColor rgb="FF000499"/>
        <bgColor indexed="64"/>
      </patternFill>
    </fill>
    <fill>
      <patternFill patternType="solid">
        <fgColor rgb="FF00049A"/>
        <bgColor indexed="64"/>
      </patternFill>
    </fill>
    <fill>
      <patternFill patternType="solid">
        <fgColor rgb="FF00049B"/>
        <bgColor indexed="64"/>
      </patternFill>
    </fill>
    <fill>
      <patternFill patternType="solid">
        <fgColor rgb="FF00049C"/>
        <bgColor indexed="64"/>
      </patternFill>
    </fill>
    <fill>
      <patternFill patternType="solid">
        <fgColor rgb="FF00049D"/>
        <bgColor indexed="64"/>
      </patternFill>
    </fill>
    <fill>
      <patternFill patternType="solid">
        <fgColor rgb="FF00049E"/>
        <bgColor indexed="64"/>
      </patternFill>
    </fill>
    <fill>
      <patternFill patternType="solid">
        <fgColor rgb="FF00049F"/>
        <bgColor indexed="64"/>
      </patternFill>
    </fill>
    <fill>
      <patternFill patternType="solid">
        <fgColor rgb="FF0004A0"/>
        <bgColor indexed="64"/>
      </patternFill>
    </fill>
    <fill>
      <patternFill patternType="solid">
        <fgColor rgb="FF0004A1"/>
        <bgColor indexed="64"/>
      </patternFill>
    </fill>
    <fill>
      <patternFill patternType="solid">
        <fgColor rgb="FF0004A2"/>
        <bgColor indexed="64"/>
      </patternFill>
    </fill>
    <fill>
      <patternFill patternType="solid">
        <fgColor rgb="FF0004A3"/>
        <bgColor indexed="64"/>
      </patternFill>
    </fill>
    <fill>
      <patternFill patternType="solid">
        <fgColor rgb="FF0004A4"/>
        <bgColor indexed="64"/>
      </patternFill>
    </fill>
    <fill>
      <patternFill patternType="solid">
        <fgColor rgb="FF0004A5"/>
        <bgColor indexed="64"/>
      </patternFill>
    </fill>
    <fill>
      <patternFill patternType="solid">
        <fgColor rgb="FF0004A6"/>
        <bgColor indexed="64"/>
      </patternFill>
    </fill>
    <fill>
      <patternFill patternType="solid">
        <fgColor rgb="FF0004A7"/>
        <bgColor indexed="64"/>
      </patternFill>
    </fill>
    <fill>
      <patternFill patternType="solid">
        <fgColor rgb="FF0004A8"/>
        <bgColor indexed="64"/>
      </patternFill>
    </fill>
    <fill>
      <patternFill patternType="solid">
        <fgColor rgb="FF0004A9"/>
        <bgColor indexed="64"/>
      </patternFill>
    </fill>
    <fill>
      <patternFill patternType="solid">
        <fgColor rgb="FF0004AA"/>
        <bgColor indexed="64"/>
      </patternFill>
    </fill>
    <fill>
      <patternFill patternType="solid">
        <fgColor rgb="FF0004AB"/>
        <bgColor indexed="64"/>
      </patternFill>
    </fill>
    <fill>
      <patternFill patternType="solid">
        <fgColor rgb="FF0004AC"/>
        <bgColor indexed="64"/>
      </patternFill>
    </fill>
    <fill>
      <patternFill patternType="solid">
        <fgColor rgb="FF0004AD"/>
        <bgColor indexed="64"/>
      </patternFill>
    </fill>
    <fill>
      <patternFill patternType="solid">
        <fgColor rgb="FF0004AE"/>
        <bgColor indexed="64"/>
      </patternFill>
    </fill>
    <fill>
      <patternFill patternType="solid">
        <fgColor rgb="FF0004AF"/>
        <bgColor indexed="64"/>
      </patternFill>
    </fill>
    <fill>
      <patternFill patternType="solid">
        <fgColor rgb="FF0004B0"/>
        <bgColor indexed="64"/>
      </patternFill>
    </fill>
    <fill>
      <patternFill patternType="solid">
        <fgColor rgb="FF0004B1"/>
        <bgColor indexed="64"/>
      </patternFill>
    </fill>
    <fill>
      <patternFill patternType="solid">
        <fgColor rgb="FF0004B2"/>
        <bgColor indexed="64"/>
      </patternFill>
    </fill>
    <fill>
      <patternFill patternType="solid">
        <fgColor rgb="FF0004B3"/>
        <bgColor indexed="64"/>
      </patternFill>
    </fill>
    <fill>
      <patternFill patternType="solid">
        <fgColor rgb="FF0004B4"/>
        <bgColor indexed="64"/>
      </patternFill>
    </fill>
    <fill>
      <patternFill patternType="solid">
        <fgColor rgb="FF0004B5"/>
        <bgColor indexed="64"/>
      </patternFill>
    </fill>
    <fill>
      <patternFill patternType="solid">
        <fgColor rgb="FF0004B6"/>
        <bgColor indexed="64"/>
      </patternFill>
    </fill>
    <fill>
      <patternFill patternType="solid">
        <fgColor rgb="FF0004B7"/>
        <bgColor indexed="64"/>
      </patternFill>
    </fill>
    <fill>
      <patternFill patternType="solid">
        <fgColor rgb="FF0004B8"/>
        <bgColor indexed="64"/>
      </patternFill>
    </fill>
    <fill>
      <patternFill patternType="solid">
        <fgColor rgb="FF0004B9"/>
        <bgColor indexed="64"/>
      </patternFill>
    </fill>
    <fill>
      <patternFill patternType="solid">
        <fgColor rgb="FF0004BA"/>
        <bgColor indexed="64"/>
      </patternFill>
    </fill>
    <fill>
      <patternFill patternType="solid">
        <fgColor rgb="FF0004BB"/>
        <bgColor indexed="64"/>
      </patternFill>
    </fill>
    <fill>
      <patternFill patternType="solid">
        <fgColor rgb="FF0004BC"/>
        <bgColor indexed="64"/>
      </patternFill>
    </fill>
    <fill>
      <patternFill patternType="solid">
        <fgColor rgb="FF0004BD"/>
        <bgColor indexed="64"/>
      </patternFill>
    </fill>
    <fill>
      <patternFill patternType="solid">
        <fgColor rgb="FF0004BE"/>
        <bgColor indexed="64"/>
      </patternFill>
    </fill>
    <fill>
      <patternFill patternType="solid">
        <fgColor rgb="FF0004BF"/>
        <bgColor indexed="64"/>
      </patternFill>
    </fill>
    <fill>
      <patternFill patternType="solid">
        <fgColor rgb="FF0004C0"/>
        <bgColor indexed="64"/>
      </patternFill>
    </fill>
    <fill>
      <patternFill patternType="solid">
        <fgColor rgb="FF0004C1"/>
        <bgColor indexed="64"/>
      </patternFill>
    </fill>
    <fill>
      <patternFill patternType="solid">
        <fgColor rgb="FF0004C2"/>
        <bgColor indexed="64"/>
      </patternFill>
    </fill>
    <fill>
      <patternFill patternType="solid">
        <fgColor rgb="FF0004C3"/>
        <bgColor indexed="64"/>
      </patternFill>
    </fill>
    <fill>
      <patternFill patternType="solid">
        <fgColor rgb="FF0004C4"/>
        <bgColor indexed="64"/>
      </patternFill>
    </fill>
    <fill>
      <patternFill patternType="solid">
        <fgColor rgb="FF0004C5"/>
        <bgColor indexed="64"/>
      </patternFill>
    </fill>
    <fill>
      <patternFill patternType="solid">
        <fgColor rgb="FF0004C6"/>
        <bgColor indexed="64"/>
      </patternFill>
    </fill>
    <fill>
      <patternFill patternType="solid">
        <fgColor rgb="FF0004C7"/>
        <bgColor indexed="64"/>
      </patternFill>
    </fill>
    <fill>
      <patternFill patternType="solid">
        <fgColor rgb="FF0004C8"/>
        <bgColor indexed="64"/>
      </patternFill>
    </fill>
    <fill>
      <patternFill patternType="solid">
        <fgColor rgb="FF0004C9"/>
        <bgColor indexed="64"/>
      </patternFill>
    </fill>
    <fill>
      <patternFill patternType="solid">
        <fgColor rgb="FF0004CA"/>
        <bgColor indexed="64"/>
      </patternFill>
    </fill>
    <fill>
      <patternFill patternType="solid">
        <fgColor rgb="FF0004CB"/>
        <bgColor indexed="64"/>
      </patternFill>
    </fill>
    <fill>
      <patternFill patternType="solid">
        <fgColor rgb="FF0004CC"/>
        <bgColor indexed="64"/>
      </patternFill>
    </fill>
    <fill>
      <patternFill patternType="solid">
        <fgColor rgb="FF0004CD"/>
        <bgColor indexed="64"/>
      </patternFill>
    </fill>
    <fill>
      <patternFill patternType="solid">
        <fgColor rgb="FF0004CE"/>
        <bgColor indexed="64"/>
      </patternFill>
    </fill>
    <fill>
      <patternFill patternType="solid">
        <fgColor rgb="FF0004CF"/>
        <bgColor indexed="64"/>
      </patternFill>
    </fill>
    <fill>
      <patternFill patternType="solid">
        <fgColor rgb="FF0004D0"/>
        <bgColor indexed="64"/>
      </patternFill>
    </fill>
    <fill>
      <patternFill patternType="solid">
        <fgColor rgb="FF0004D1"/>
        <bgColor indexed="64"/>
      </patternFill>
    </fill>
    <fill>
      <patternFill patternType="solid">
        <fgColor rgb="FF0004D2"/>
        <bgColor indexed="64"/>
      </patternFill>
    </fill>
    <fill>
      <patternFill patternType="solid">
        <fgColor rgb="FF0004D3"/>
        <bgColor indexed="64"/>
      </patternFill>
    </fill>
    <fill>
      <patternFill patternType="solid">
        <fgColor rgb="FF0004D4"/>
        <bgColor indexed="64"/>
      </patternFill>
    </fill>
    <fill>
      <patternFill patternType="solid">
        <fgColor rgb="FF0004D5"/>
        <bgColor indexed="64"/>
      </patternFill>
    </fill>
    <fill>
      <patternFill patternType="solid">
        <fgColor rgb="FF0004D6"/>
        <bgColor indexed="64"/>
      </patternFill>
    </fill>
    <fill>
      <patternFill patternType="solid">
        <fgColor rgb="FF0004D7"/>
        <bgColor indexed="64"/>
      </patternFill>
    </fill>
    <fill>
      <patternFill patternType="solid">
        <fgColor rgb="FF0004D8"/>
        <bgColor indexed="64"/>
      </patternFill>
    </fill>
    <fill>
      <patternFill patternType="solid">
        <fgColor rgb="FF0004D9"/>
        <bgColor indexed="64"/>
      </patternFill>
    </fill>
    <fill>
      <patternFill patternType="solid">
        <fgColor rgb="FF0004DA"/>
        <bgColor indexed="64"/>
      </patternFill>
    </fill>
    <fill>
      <patternFill patternType="solid">
        <fgColor rgb="FF0004DB"/>
        <bgColor indexed="64"/>
      </patternFill>
    </fill>
    <fill>
      <patternFill patternType="solid">
        <fgColor rgb="FF0004DC"/>
        <bgColor indexed="64"/>
      </patternFill>
    </fill>
    <fill>
      <patternFill patternType="solid">
        <fgColor rgb="FF0004DD"/>
        <bgColor indexed="64"/>
      </patternFill>
    </fill>
    <fill>
      <patternFill patternType="solid">
        <fgColor rgb="FF0004DE"/>
        <bgColor indexed="64"/>
      </patternFill>
    </fill>
    <fill>
      <patternFill patternType="solid">
        <fgColor rgb="FF0004DF"/>
        <bgColor indexed="64"/>
      </patternFill>
    </fill>
    <fill>
      <patternFill patternType="solid">
        <fgColor rgb="FF0004E0"/>
        <bgColor indexed="64"/>
      </patternFill>
    </fill>
    <fill>
      <patternFill patternType="solid">
        <fgColor rgb="FF0004E1"/>
        <bgColor indexed="64"/>
      </patternFill>
    </fill>
    <fill>
      <patternFill patternType="solid">
        <fgColor rgb="FF0004E2"/>
        <bgColor indexed="64"/>
      </patternFill>
    </fill>
    <fill>
      <patternFill patternType="solid">
        <fgColor rgb="FF0004E3"/>
        <bgColor indexed="64"/>
      </patternFill>
    </fill>
    <fill>
      <patternFill patternType="solid">
        <fgColor rgb="FF0004E4"/>
        <bgColor indexed="64"/>
      </patternFill>
    </fill>
    <fill>
      <patternFill patternType="solid">
        <fgColor rgb="FF0004E5"/>
        <bgColor indexed="64"/>
      </patternFill>
    </fill>
    <fill>
      <patternFill patternType="solid">
        <fgColor rgb="FF0004E6"/>
        <bgColor indexed="64"/>
      </patternFill>
    </fill>
    <fill>
      <patternFill patternType="solid">
        <fgColor rgb="FF0004E7"/>
        <bgColor indexed="64"/>
      </patternFill>
    </fill>
    <fill>
      <patternFill patternType="solid">
        <fgColor rgb="FF0004E8"/>
        <bgColor indexed="64"/>
      </patternFill>
    </fill>
    <fill>
      <patternFill patternType="solid">
        <fgColor rgb="FF0004E9"/>
        <bgColor indexed="64"/>
      </patternFill>
    </fill>
    <fill>
      <patternFill patternType="solid">
        <fgColor rgb="FF0004EA"/>
        <bgColor indexed="64"/>
      </patternFill>
    </fill>
    <fill>
      <patternFill patternType="solid">
        <fgColor rgb="FF0004EB"/>
        <bgColor indexed="64"/>
      </patternFill>
    </fill>
    <fill>
      <patternFill patternType="solid">
        <fgColor rgb="FF0004EC"/>
        <bgColor indexed="64"/>
      </patternFill>
    </fill>
    <fill>
      <patternFill patternType="solid">
        <fgColor rgb="FF0004ED"/>
        <bgColor indexed="64"/>
      </patternFill>
    </fill>
    <fill>
      <patternFill patternType="solid">
        <fgColor rgb="FF0004EE"/>
        <bgColor indexed="64"/>
      </patternFill>
    </fill>
    <fill>
      <patternFill patternType="solid">
        <fgColor rgb="FF0004EF"/>
        <bgColor indexed="64"/>
      </patternFill>
    </fill>
    <fill>
      <patternFill patternType="solid">
        <fgColor rgb="FF0004F0"/>
        <bgColor indexed="64"/>
      </patternFill>
    </fill>
    <fill>
      <patternFill patternType="solid">
        <fgColor rgb="FF0004F1"/>
        <bgColor indexed="64"/>
      </patternFill>
    </fill>
    <fill>
      <patternFill patternType="solid">
        <fgColor rgb="FF0004F2"/>
        <bgColor indexed="64"/>
      </patternFill>
    </fill>
    <fill>
      <patternFill patternType="solid">
        <fgColor rgb="FF0004F3"/>
        <bgColor indexed="64"/>
      </patternFill>
    </fill>
    <fill>
      <patternFill patternType="solid">
        <fgColor rgb="FF0004F4"/>
        <bgColor indexed="64"/>
      </patternFill>
    </fill>
    <fill>
      <patternFill patternType="solid">
        <fgColor rgb="FF0004F5"/>
        <bgColor indexed="64"/>
      </patternFill>
    </fill>
    <fill>
      <patternFill patternType="solid">
        <fgColor rgb="FF0004F6"/>
        <bgColor indexed="64"/>
      </patternFill>
    </fill>
    <fill>
      <patternFill patternType="solid">
        <fgColor rgb="FF0004F7"/>
        <bgColor indexed="64"/>
      </patternFill>
    </fill>
    <fill>
      <patternFill patternType="solid">
        <fgColor rgb="FF0004F8"/>
        <bgColor indexed="64"/>
      </patternFill>
    </fill>
    <fill>
      <patternFill patternType="solid">
        <fgColor rgb="FF0004F9"/>
        <bgColor indexed="64"/>
      </patternFill>
    </fill>
    <fill>
      <patternFill patternType="solid">
        <fgColor rgb="FF0004FA"/>
        <bgColor indexed="64"/>
      </patternFill>
    </fill>
    <fill>
      <patternFill patternType="solid">
        <fgColor rgb="FF0004FB"/>
        <bgColor indexed="64"/>
      </patternFill>
    </fill>
    <fill>
      <patternFill patternType="solid">
        <fgColor rgb="FF0004FC"/>
        <bgColor indexed="64"/>
      </patternFill>
    </fill>
    <fill>
      <patternFill patternType="solid">
        <fgColor rgb="FF0004FD"/>
        <bgColor indexed="64"/>
      </patternFill>
    </fill>
    <fill>
      <patternFill patternType="solid">
        <fgColor rgb="FF0004FE"/>
        <bgColor indexed="64"/>
      </patternFill>
    </fill>
    <fill>
      <patternFill patternType="solid">
        <fgColor rgb="FF0004FF"/>
        <bgColor indexed="64"/>
      </patternFill>
    </fill>
    <fill>
      <patternFill patternType="solid">
        <fgColor rgb="FF000500"/>
        <bgColor indexed="64"/>
      </patternFill>
    </fill>
    <fill>
      <patternFill patternType="solid">
        <fgColor rgb="FF000501"/>
        <bgColor indexed="64"/>
      </patternFill>
    </fill>
    <fill>
      <patternFill patternType="solid">
        <fgColor rgb="FF000502"/>
        <bgColor indexed="64"/>
      </patternFill>
    </fill>
    <fill>
      <patternFill patternType="solid">
        <fgColor rgb="FF000503"/>
        <bgColor indexed="64"/>
      </patternFill>
    </fill>
    <fill>
      <patternFill patternType="solid">
        <fgColor rgb="FF000504"/>
        <bgColor indexed="64"/>
      </patternFill>
    </fill>
    <fill>
      <patternFill patternType="solid">
        <fgColor rgb="FF000505"/>
        <bgColor indexed="64"/>
      </patternFill>
    </fill>
    <fill>
      <patternFill patternType="solid">
        <fgColor rgb="FF000506"/>
        <bgColor indexed="64"/>
      </patternFill>
    </fill>
    <fill>
      <patternFill patternType="solid">
        <fgColor rgb="FF000507"/>
        <bgColor indexed="64"/>
      </patternFill>
    </fill>
    <fill>
      <patternFill patternType="solid">
        <fgColor rgb="FF000508"/>
        <bgColor indexed="64"/>
      </patternFill>
    </fill>
    <fill>
      <patternFill patternType="solid">
        <fgColor rgb="FF000509"/>
        <bgColor indexed="64"/>
      </patternFill>
    </fill>
    <fill>
      <patternFill patternType="solid">
        <fgColor rgb="FF00050A"/>
        <bgColor indexed="64"/>
      </patternFill>
    </fill>
    <fill>
      <patternFill patternType="solid">
        <fgColor rgb="FF00050B"/>
        <bgColor indexed="64"/>
      </patternFill>
    </fill>
    <fill>
      <patternFill patternType="solid">
        <fgColor rgb="FF00050C"/>
        <bgColor indexed="64"/>
      </patternFill>
    </fill>
    <fill>
      <patternFill patternType="solid">
        <fgColor rgb="FF00050D"/>
        <bgColor indexed="64"/>
      </patternFill>
    </fill>
    <fill>
      <patternFill patternType="solid">
        <fgColor rgb="FF00050E"/>
        <bgColor indexed="64"/>
      </patternFill>
    </fill>
    <fill>
      <patternFill patternType="solid">
        <fgColor rgb="FF00050F"/>
        <bgColor indexed="64"/>
      </patternFill>
    </fill>
    <fill>
      <patternFill patternType="solid">
        <fgColor rgb="FF000510"/>
        <bgColor indexed="64"/>
      </patternFill>
    </fill>
    <fill>
      <patternFill patternType="solid">
        <fgColor rgb="FF000511"/>
        <bgColor indexed="64"/>
      </patternFill>
    </fill>
    <fill>
      <patternFill patternType="solid">
        <fgColor rgb="FF000512"/>
        <bgColor indexed="64"/>
      </patternFill>
    </fill>
    <fill>
      <patternFill patternType="solid">
        <fgColor rgb="FF000513"/>
        <bgColor indexed="64"/>
      </patternFill>
    </fill>
    <fill>
      <patternFill patternType="solid">
        <fgColor rgb="FF000514"/>
        <bgColor indexed="64"/>
      </patternFill>
    </fill>
    <fill>
      <patternFill patternType="solid">
        <fgColor rgb="FF000515"/>
        <bgColor indexed="64"/>
      </patternFill>
    </fill>
    <fill>
      <patternFill patternType="solid">
        <fgColor rgb="FF000516"/>
        <bgColor indexed="64"/>
      </patternFill>
    </fill>
    <fill>
      <patternFill patternType="solid">
        <fgColor rgb="FF000517"/>
        <bgColor indexed="64"/>
      </patternFill>
    </fill>
    <fill>
      <patternFill patternType="solid">
        <fgColor rgb="FF000518"/>
        <bgColor indexed="64"/>
      </patternFill>
    </fill>
    <fill>
      <patternFill patternType="solid">
        <fgColor rgb="FF000519"/>
        <bgColor indexed="64"/>
      </patternFill>
    </fill>
    <fill>
      <patternFill patternType="solid">
        <fgColor rgb="FF00051A"/>
        <bgColor indexed="64"/>
      </patternFill>
    </fill>
    <fill>
      <patternFill patternType="solid">
        <fgColor rgb="FF00051B"/>
        <bgColor indexed="64"/>
      </patternFill>
    </fill>
    <fill>
      <patternFill patternType="solid">
        <fgColor rgb="FF00051C"/>
        <bgColor indexed="64"/>
      </patternFill>
    </fill>
    <fill>
      <patternFill patternType="solid">
        <fgColor rgb="FF00051D"/>
        <bgColor indexed="64"/>
      </patternFill>
    </fill>
    <fill>
      <patternFill patternType="solid">
        <fgColor rgb="FF00051E"/>
        <bgColor indexed="64"/>
      </patternFill>
    </fill>
    <fill>
      <patternFill patternType="solid">
        <fgColor rgb="FF00051F"/>
        <bgColor indexed="64"/>
      </patternFill>
    </fill>
    <fill>
      <patternFill patternType="solid">
        <fgColor rgb="FF000520"/>
        <bgColor indexed="64"/>
      </patternFill>
    </fill>
    <fill>
      <patternFill patternType="solid">
        <fgColor rgb="FF000521"/>
        <bgColor indexed="64"/>
      </patternFill>
    </fill>
    <fill>
      <patternFill patternType="solid">
        <fgColor rgb="FF000522"/>
        <bgColor indexed="64"/>
      </patternFill>
    </fill>
    <fill>
      <patternFill patternType="solid">
        <fgColor rgb="FF000523"/>
        <bgColor indexed="64"/>
      </patternFill>
    </fill>
    <fill>
      <patternFill patternType="solid">
        <fgColor rgb="FF000524"/>
        <bgColor indexed="64"/>
      </patternFill>
    </fill>
    <fill>
      <patternFill patternType="solid">
        <fgColor rgb="FF000525"/>
        <bgColor indexed="64"/>
      </patternFill>
    </fill>
    <fill>
      <patternFill patternType="solid">
        <fgColor rgb="FF000526"/>
        <bgColor indexed="64"/>
      </patternFill>
    </fill>
    <fill>
      <patternFill patternType="solid">
        <fgColor rgb="FF000527"/>
        <bgColor indexed="64"/>
      </patternFill>
    </fill>
    <fill>
      <patternFill patternType="solid">
        <fgColor rgb="FF000528"/>
        <bgColor indexed="64"/>
      </patternFill>
    </fill>
    <fill>
      <patternFill patternType="solid">
        <fgColor rgb="FF000529"/>
        <bgColor indexed="64"/>
      </patternFill>
    </fill>
    <fill>
      <patternFill patternType="solid">
        <fgColor rgb="FF00052A"/>
        <bgColor indexed="64"/>
      </patternFill>
    </fill>
    <fill>
      <patternFill patternType="solid">
        <fgColor rgb="FF00052B"/>
        <bgColor indexed="64"/>
      </patternFill>
    </fill>
    <fill>
      <patternFill patternType="solid">
        <fgColor rgb="FF00052C"/>
        <bgColor indexed="64"/>
      </patternFill>
    </fill>
    <fill>
      <patternFill patternType="solid">
        <fgColor rgb="FF00052D"/>
        <bgColor indexed="64"/>
      </patternFill>
    </fill>
    <fill>
      <patternFill patternType="solid">
        <fgColor rgb="FF00052E"/>
        <bgColor indexed="64"/>
      </patternFill>
    </fill>
    <fill>
      <patternFill patternType="solid">
        <fgColor rgb="FF00052F"/>
        <bgColor indexed="64"/>
      </patternFill>
    </fill>
    <fill>
      <patternFill patternType="solid">
        <fgColor rgb="FF000530"/>
        <bgColor indexed="64"/>
      </patternFill>
    </fill>
    <fill>
      <patternFill patternType="solid">
        <fgColor rgb="FF000531"/>
        <bgColor indexed="64"/>
      </patternFill>
    </fill>
    <fill>
      <patternFill patternType="solid">
        <fgColor rgb="FF000532"/>
        <bgColor indexed="64"/>
      </patternFill>
    </fill>
    <fill>
      <patternFill patternType="solid">
        <fgColor rgb="FF000533"/>
        <bgColor indexed="64"/>
      </patternFill>
    </fill>
    <fill>
      <patternFill patternType="solid">
        <fgColor rgb="FF000534"/>
        <bgColor indexed="64"/>
      </patternFill>
    </fill>
    <fill>
      <patternFill patternType="solid">
        <fgColor rgb="FF000535"/>
        <bgColor indexed="64"/>
      </patternFill>
    </fill>
    <fill>
      <patternFill patternType="solid">
        <fgColor rgb="FF000536"/>
        <bgColor indexed="64"/>
      </patternFill>
    </fill>
    <fill>
      <patternFill patternType="solid">
        <fgColor rgb="FF000537"/>
        <bgColor indexed="64"/>
      </patternFill>
    </fill>
    <fill>
      <patternFill patternType="solid">
        <fgColor rgb="FF000538"/>
        <bgColor indexed="64"/>
      </patternFill>
    </fill>
    <fill>
      <patternFill patternType="solid">
        <fgColor rgb="FF000539"/>
        <bgColor indexed="64"/>
      </patternFill>
    </fill>
    <fill>
      <patternFill patternType="solid">
        <fgColor rgb="FF00053A"/>
        <bgColor indexed="64"/>
      </patternFill>
    </fill>
    <fill>
      <patternFill patternType="solid">
        <fgColor rgb="FF00053B"/>
        <bgColor indexed="64"/>
      </patternFill>
    </fill>
    <fill>
      <patternFill patternType="solid">
        <fgColor rgb="FF00053C"/>
        <bgColor indexed="64"/>
      </patternFill>
    </fill>
    <fill>
      <patternFill patternType="solid">
        <fgColor rgb="FF00053D"/>
        <bgColor indexed="64"/>
      </patternFill>
    </fill>
    <fill>
      <patternFill patternType="solid">
        <fgColor rgb="FF00053E"/>
        <bgColor indexed="64"/>
      </patternFill>
    </fill>
    <fill>
      <patternFill patternType="solid">
        <fgColor rgb="FF00053F"/>
        <bgColor indexed="64"/>
      </patternFill>
    </fill>
    <fill>
      <patternFill patternType="solid">
        <fgColor rgb="FF000540"/>
        <bgColor indexed="64"/>
      </patternFill>
    </fill>
    <fill>
      <patternFill patternType="solid">
        <fgColor rgb="FF000541"/>
        <bgColor indexed="64"/>
      </patternFill>
    </fill>
    <fill>
      <patternFill patternType="solid">
        <fgColor rgb="FF000542"/>
        <bgColor indexed="64"/>
      </patternFill>
    </fill>
    <fill>
      <patternFill patternType="solid">
        <fgColor rgb="FF000543"/>
        <bgColor indexed="64"/>
      </patternFill>
    </fill>
    <fill>
      <patternFill patternType="solid">
        <fgColor rgb="FF000544"/>
        <bgColor indexed="64"/>
      </patternFill>
    </fill>
    <fill>
      <patternFill patternType="solid">
        <fgColor rgb="FF000545"/>
        <bgColor indexed="64"/>
      </patternFill>
    </fill>
    <fill>
      <patternFill patternType="solid">
        <fgColor rgb="FF000546"/>
        <bgColor indexed="64"/>
      </patternFill>
    </fill>
    <fill>
      <patternFill patternType="solid">
        <fgColor rgb="FF000547"/>
        <bgColor indexed="64"/>
      </patternFill>
    </fill>
    <fill>
      <patternFill patternType="solid">
        <fgColor rgb="FF000548"/>
        <bgColor indexed="64"/>
      </patternFill>
    </fill>
    <fill>
      <patternFill patternType="solid">
        <fgColor rgb="FF000549"/>
        <bgColor indexed="64"/>
      </patternFill>
    </fill>
    <fill>
      <patternFill patternType="solid">
        <fgColor rgb="FF00054A"/>
        <bgColor indexed="64"/>
      </patternFill>
    </fill>
    <fill>
      <patternFill patternType="solid">
        <fgColor rgb="FF00054B"/>
        <bgColor indexed="64"/>
      </patternFill>
    </fill>
    <fill>
      <patternFill patternType="solid">
        <fgColor rgb="FF00054C"/>
        <bgColor indexed="64"/>
      </patternFill>
    </fill>
    <fill>
      <patternFill patternType="solid">
        <fgColor rgb="FF00054D"/>
        <bgColor indexed="64"/>
      </patternFill>
    </fill>
    <fill>
      <patternFill patternType="solid">
        <fgColor rgb="FF00054E"/>
        <bgColor indexed="64"/>
      </patternFill>
    </fill>
    <fill>
      <patternFill patternType="solid">
        <fgColor rgb="FF00054F"/>
        <bgColor indexed="64"/>
      </patternFill>
    </fill>
    <fill>
      <patternFill patternType="solid">
        <fgColor rgb="FF000550"/>
        <bgColor indexed="64"/>
      </patternFill>
    </fill>
    <fill>
      <patternFill patternType="solid">
        <fgColor rgb="FF000551"/>
        <bgColor indexed="64"/>
      </patternFill>
    </fill>
    <fill>
      <patternFill patternType="solid">
        <fgColor rgb="FF000552"/>
        <bgColor indexed="64"/>
      </patternFill>
    </fill>
    <fill>
      <patternFill patternType="solid">
        <fgColor rgb="FF000553"/>
        <bgColor indexed="64"/>
      </patternFill>
    </fill>
    <fill>
      <patternFill patternType="solid">
        <fgColor rgb="FF000554"/>
        <bgColor indexed="64"/>
      </patternFill>
    </fill>
    <fill>
      <patternFill patternType="solid">
        <fgColor rgb="FF000555"/>
        <bgColor indexed="64"/>
      </patternFill>
    </fill>
    <fill>
      <patternFill patternType="solid">
        <fgColor rgb="FF000556"/>
        <bgColor indexed="64"/>
      </patternFill>
    </fill>
    <fill>
      <patternFill patternType="solid">
        <fgColor rgb="FF000557"/>
        <bgColor indexed="64"/>
      </patternFill>
    </fill>
    <fill>
      <patternFill patternType="solid">
        <fgColor rgb="FF000558"/>
        <bgColor indexed="64"/>
      </patternFill>
    </fill>
    <fill>
      <patternFill patternType="solid">
        <fgColor rgb="FF000559"/>
        <bgColor indexed="64"/>
      </patternFill>
    </fill>
    <fill>
      <patternFill patternType="solid">
        <fgColor rgb="FF00055A"/>
        <bgColor indexed="64"/>
      </patternFill>
    </fill>
    <fill>
      <patternFill patternType="solid">
        <fgColor rgb="FF00055B"/>
        <bgColor indexed="64"/>
      </patternFill>
    </fill>
    <fill>
      <patternFill patternType="solid">
        <fgColor rgb="FF00055C"/>
        <bgColor indexed="64"/>
      </patternFill>
    </fill>
    <fill>
      <patternFill patternType="solid">
        <fgColor rgb="FF00055D"/>
        <bgColor indexed="64"/>
      </patternFill>
    </fill>
    <fill>
      <patternFill patternType="solid">
        <fgColor rgb="FF00055E"/>
        <bgColor indexed="64"/>
      </patternFill>
    </fill>
    <fill>
      <patternFill patternType="solid">
        <fgColor rgb="FF00055F"/>
        <bgColor indexed="64"/>
      </patternFill>
    </fill>
    <fill>
      <patternFill patternType="solid">
        <fgColor rgb="FF000560"/>
        <bgColor indexed="64"/>
      </patternFill>
    </fill>
    <fill>
      <patternFill patternType="solid">
        <fgColor rgb="FF000561"/>
        <bgColor indexed="64"/>
      </patternFill>
    </fill>
    <fill>
      <patternFill patternType="solid">
        <fgColor rgb="FF000562"/>
        <bgColor indexed="64"/>
      </patternFill>
    </fill>
    <fill>
      <patternFill patternType="solid">
        <fgColor rgb="FF000563"/>
        <bgColor indexed="64"/>
      </patternFill>
    </fill>
    <fill>
      <patternFill patternType="solid">
        <fgColor rgb="FF000564"/>
        <bgColor indexed="64"/>
      </patternFill>
    </fill>
    <fill>
      <patternFill patternType="solid">
        <fgColor rgb="FF000565"/>
        <bgColor indexed="64"/>
      </patternFill>
    </fill>
    <fill>
      <patternFill patternType="solid">
        <fgColor rgb="FF000566"/>
        <bgColor indexed="64"/>
      </patternFill>
    </fill>
    <fill>
      <patternFill patternType="solid">
        <fgColor rgb="FF000567"/>
        <bgColor indexed="64"/>
      </patternFill>
    </fill>
    <fill>
      <patternFill patternType="solid">
        <fgColor rgb="FF000568"/>
        <bgColor indexed="64"/>
      </patternFill>
    </fill>
    <fill>
      <patternFill patternType="solid">
        <fgColor rgb="FF000569"/>
        <bgColor indexed="64"/>
      </patternFill>
    </fill>
    <fill>
      <patternFill patternType="solid">
        <fgColor rgb="FF00056A"/>
        <bgColor indexed="64"/>
      </patternFill>
    </fill>
    <fill>
      <patternFill patternType="solid">
        <fgColor rgb="FF00056B"/>
        <bgColor indexed="64"/>
      </patternFill>
    </fill>
    <fill>
      <patternFill patternType="solid">
        <fgColor rgb="FF00056C"/>
        <bgColor indexed="64"/>
      </patternFill>
    </fill>
    <fill>
      <patternFill patternType="solid">
        <fgColor rgb="FF00056D"/>
        <bgColor indexed="64"/>
      </patternFill>
    </fill>
    <fill>
      <patternFill patternType="solid">
        <fgColor rgb="FF00056E"/>
        <bgColor indexed="64"/>
      </patternFill>
    </fill>
    <fill>
      <patternFill patternType="solid">
        <fgColor rgb="FF00056F"/>
        <bgColor indexed="64"/>
      </patternFill>
    </fill>
    <fill>
      <patternFill patternType="solid">
        <fgColor rgb="FF000570"/>
        <bgColor indexed="64"/>
      </patternFill>
    </fill>
    <fill>
      <patternFill patternType="solid">
        <fgColor rgb="FF000571"/>
        <bgColor indexed="64"/>
      </patternFill>
    </fill>
    <fill>
      <patternFill patternType="solid">
        <fgColor rgb="FF000572"/>
        <bgColor indexed="64"/>
      </patternFill>
    </fill>
    <fill>
      <patternFill patternType="solid">
        <fgColor rgb="FF000573"/>
        <bgColor indexed="64"/>
      </patternFill>
    </fill>
    <fill>
      <patternFill patternType="solid">
        <fgColor rgb="FF000574"/>
        <bgColor indexed="64"/>
      </patternFill>
    </fill>
    <fill>
      <patternFill patternType="solid">
        <fgColor rgb="FF000575"/>
        <bgColor indexed="64"/>
      </patternFill>
    </fill>
    <fill>
      <patternFill patternType="solid">
        <fgColor rgb="FF000576"/>
        <bgColor indexed="64"/>
      </patternFill>
    </fill>
    <fill>
      <patternFill patternType="solid">
        <fgColor rgb="FF000577"/>
        <bgColor indexed="64"/>
      </patternFill>
    </fill>
    <fill>
      <patternFill patternType="solid">
        <fgColor rgb="FF000578"/>
        <bgColor indexed="64"/>
      </patternFill>
    </fill>
    <fill>
      <patternFill patternType="solid">
        <fgColor rgb="FF000579"/>
        <bgColor indexed="64"/>
      </patternFill>
    </fill>
    <fill>
      <patternFill patternType="solid">
        <fgColor rgb="FF00057A"/>
        <bgColor indexed="64"/>
      </patternFill>
    </fill>
    <fill>
      <patternFill patternType="solid">
        <fgColor rgb="FF00057B"/>
        <bgColor indexed="64"/>
      </patternFill>
    </fill>
    <fill>
      <patternFill patternType="solid">
        <fgColor rgb="FF00057C"/>
        <bgColor indexed="64"/>
      </patternFill>
    </fill>
    <fill>
      <patternFill patternType="solid">
        <fgColor rgb="FF00057D"/>
        <bgColor indexed="64"/>
      </patternFill>
    </fill>
    <fill>
      <patternFill patternType="solid">
        <fgColor rgb="FF00057E"/>
        <bgColor indexed="64"/>
      </patternFill>
    </fill>
    <fill>
      <patternFill patternType="solid">
        <fgColor rgb="FF00057F"/>
        <bgColor indexed="64"/>
      </patternFill>
    </fill>
    <fill>
      <patternFill patternType="solid">
        <fgColor rgb="FF000580"/>
        <bgColor indexed="64"/>
      </patternFill>
    </fill>
    <fill>
      <patternFill patternType="solid">
        <fgColor rgb="FF000581"/>
        <bgColor indexed="64"/>
      </patternFill>
    </fill>
    <fill>
      <patternFill patternType="solid">
        <fgColor rgb="FF000582"/>
        <bgColor indexed="64"/>
      </patternFill>
    </fill>
    <fill>
      <patternFill patternType="solid">
        <fgColor rgb="FF000583"/>
        <bgColor indexed="64"/>
      </patternFill>
    </fill>
    <fill>
      <patternFill patternType="solid">
        <fgColor rgb="FF000584"/>
        <bgColor indexed="64"/>
      </patternFill>
    </fill>
    <fill>
      <patternFill patternType="solid">
        <fgColor rgb="FF000585"/>
        <bgColor indexed="64"/>
      </patternFill>
    </fill>
    <fill>
      <patternFill patternType="solid">
        <fgColor rgb="FF000586"/>
        <bgColor indexed="64"/>
      </patternFill>
    </fill>
    <fill>
      <patternFill patternType="solid">
        <fgColor rgb="FF000587"/>
        <bgColor indexed="64"/>
      </patternFill>
    </fill>
    <fill>
      <patternFill patternType="solid">
        <fgColor rgb="FF000588"/>
        <bgColor indexed="64"/>
      </patternFill>
    </fill>
    <fill>
      <patternFill patternType="solid">
        <fgColor rgb="FF000589"/>
        <bgColor indexed="64"/>
      </patternFill>
    </fill>
    <fill>
      <patternFill patternType="solid">
        <fgColor rgb="FF00058A"/>
        <bgColor indexed="64"/>
      </patternFill>
    </fill>
    <fill>
      <patternFill patternType="solid">
        <fgColor rgb="FF00058B"/>
        <bgColor indexed="64"/>
      </patternFill>
    </fill>
    <fill>
      <patternFill patternType="solid">
        <fgColor rgb="FF00058C"/>
        <bgColor indexed="64"/>
      </patternFill>
    </fill>
    <fill>
      <patternFill patternType="solid">
        <fgColor rgb="FF00058D"/>
        <bgColor indexed="64"/>
      </patternFill>
    </fill>
    <fill>
      <patternFill patternType="solid">
        <fgColor rgb="FF00058E"/>
        <bgColor indexed="64"/>
      </patternFill>
    </fill>
    <fill>
      <patternFill patternType="solid">
        <fgColor rgb="FF00058F"/>
        <bgColor indexed="64"/>
      </patternFill>
    </fill>
    <fill>
      <patternFill patternType="solid">
        <fgColor rgb="FF000590"/>
        <bgColor indexed="64"/>
      </patternFill>
    </fill>
    <fill>
      <patternFill patternType="solid">
        <fgColor rgb="FF000591"/>
        <bgColor indexed="64"/>
      </patternFill>
    </fill>
    <fill>
      <patternFill patternType="solid">
        <fgColor rgb="FF000592"/>
        <bgColor indexed="64"/>
      </patternFill>
    </fill>
    <fill>
      <patternFill patternType="solid">
        <fgColor rgb="FF000593"/>
        <bgColor indexed="64"/>
      </patternFill>
    </fill>
    <fill>
      <patternFill patternType="solid">
        <fgColor rgb="FF000594"/>
        <bgColor indexed="64"/>
      </patternFill>
    </fill>
    <fill>
      <patternFill patternType="solid">
        <fgColor rgb="FF000595"/>
        <bgColor indexed="64"/>
      </patternFill>
    </fill>
    <fill>
      <patternFill patternType="solid">
        <fgColor rgb="FF000596"/>
        <bgColor indexed="64"/>
      </patternFill>
    </fill>
    <fill>
      <patternFill patternType="solid">
        <fgColor rgb="FF000597"/>
        <bgColor indexed="64"/>
      </patternFill>
    </fill>
    <fill>
      <patternFill patternType="solid">
        <fgColor rgb="FF000598"/>
        <bgColor indexed="64"/>
      </patternFill>
    </fill>
    <fill>
      <patternFill patternType="solid">
        <fgColor rgb="FF000599"/>
        <bgColor indexed="64"/>
      </patternFill>
    </fill>
    <fill>
      <patternFill patternType="solid">
        <fgColor rgb="FF00059A"/>
        <bgColor indexed="64"/>
      </patternFill>
    </fill>
    <fill>
      <patternFill patternType="solid">
        <fgColor rgb="FF00059B"/>
        <bgColor indexed="64"/>
      </patternFill>
    </fill>
    <fill>
      <patternFill patternType="solid">
        <fgColor rgb="FF00059C"/>
        <bgColor indexed="64"/>
      </patternFill>
    </fill>
    <fill>
      <patternFill patternType="solid">
        <fgColor rgb="FF00059D"/>
        <bgColor indexed="64"/>
      </patternFill>
    </fill>
    <fill>
      <patternFill patternType="solid">
        <fgColor rgb="FF00059E"/>
        <bgColor indexed="64"/>
      </patternFill>
    </fill>
    <fill>
      <patternFill patternType="solid">
        <fgColor rgb="FF00059F"/>
        <bgColor indexed="64"/>
      </patternFill>
    </fill>
    <fill>
      <patternFill patternType="solid">
        <fgColor rgb="FF0005A0"/>
        <bgColor indexed="64"/>
      </patternFill>
    </fill>
    <fill>
      <patternFill patternType="solid">
        <fgColor rgb="FF0005A1"/>
        <bgColor indexed="64"/>
      </patternFill>
    </fill>
    <fill>
      <patternFill patternType="solid">
        <fgColor rgb="FF0005A2"/>
        <bgColor indexed="64"/>
      </patternFill>
    </fill>
    <fill>
      <patternFill patternType="solid">
        <fgColor rgb="FF0005A3"/>
        <bgColor indexed="64"/>
      </patternFill>
    </fill>
    <fill>
      <patternFill patternType="solid">
        <fgColor rgb="FF0005A4"/>
        <bgColor indexed="64"/>
      </patternFill>
    </fill>
    <fill>
      <patternFill patternType="solid">
        <fgColor rgb="FF0005A5"/>
        <bgColor indexed="64"/>
      </patternFill>
    </fill>
    <fill>
      <patternFill patternType="solid">
        <fgColor rgb="FF0005A6"/>
        <bgColor indexed="64"/>
      </patternFill>
    </fill>
    <fill>
      <patternFill patternType="solid">
        <fgColor rgb="FF0005A7"/>
        <bgColor indexed="64"/>
      </patternFill>
    </fill>
    <fill>
      <patternFill patternType="solid">
        <fgColor rgb="FF0005A8"/>
        <bgColor indexed="64"/>
      </patternFill>
    </fill>
    <fill>
      <patternFill patternType="solid">
        <fgColor rgb="FF0005A9"/>
        <bgColor indexed="64"/>
      </patternFill>
    </fill>
    <fill>
      <patternFill patternType="solid">
        <fgColor rgb="FF0005AA"/>
        <bgColor indexed="64"/>
      </patternFill>
    </fill>
    <fill>
      <patternFill patternType="solid">
        <fgColor rgb="FF0005AB"/>
        <bgColor indexed="64"/>
      </patternFill>
    </fill>
    <fill>
      <patternFill patternType="solid">
        <fgColor rgb="FF0005AC"/>
        <bgColor indexed="64"/>
      </patternFill>
    </fill>
    <fill>
      <patternFill patternType="solid">
        <fgColor rgb="FF0005AD"/>
        <bgColor indexed="64"/>
      </patternFill>
    </fill>
    <fill>
      <patternFill patternType="solid">
        <fgColor rgb="FF0005AE"/>
        <bgColor indexed="64"/>
      </patternFill>
    </fill>
    <fill>
      <patternFill patternType="solid">
        <fgColor rgb="FF0005AF"/>
        <bgColor indexed="64"/>
      </patternFill>
    </fill>
    <fill>
      <patternFill patternType="solid">
        <fgColor rgb="FF0005B0"/>
        <bgColor indexed="64"/>
      </patternFill>
    </fill>
    <fill>
      <patternFill patternType="solid">
        <fgColor rgb="FF0005B1"/>
        <bgColor indexed="64"/>
      </patternFill>
    </fill>
    <fill>
      <patternFill patternType="solid">
        <fgColor rgb="FF0005B2"/>
        <bgColor indexed="64"/>
      </patternFill>
    </fill>
    <fill>
      <patternFill patternType="solid">
        <fgColor rgb="FF0005B3"/>
        <bgColor indexed="64"/>
      </patternFill>
    </fill>
    <fill>
      <patternFill patternType="solid">
        <fgColor rgb="FF0005B4"/>
        <bgColor indexed="64"/>
      </patternFill>
    </fill>
    <fill>
      <patternFill patternType="solid">
        <fgColor rgb="FF0005B5"/>
        <bgColor indexed="64"/>
      </patternFill>
    </fill>
    <fill>
      <patternFill patternType="solid">
        <fgColor rgb="FF0005B6"/>
        <bgColor indexed="64"/>
      </patternFill>
    </fill>
    <fill>
      <patternFill patternType="solid">
        <fgColor rgb="FF0005B7"/>
        <bgColor indexed="64"/>
      </patternFill>
    </fill>
    <fill>
      <patternFill patternType="solid">
        <fgColor rgb="FF0005B8"/>
        <bgColor indexed="64"/>
      </patternFill>
    </fill>
    <fill>
      <patternFill patternType="solid">
        <fgColor rgb="FF0005B9"/>
        <bgColor indexed="64"/>
      </patternFill>
    </fill>
    <fill>
      <patternFill patternType="solid">
        <fgColor rgb="FF0005BA"/>
        <bgColor indexed="64"/>
      </patternFill>
    </fill>
    <fill>
      <patternFill patternType="solid">
        <fgColor rgb="FF0005BB"/>
        <bgColor indexed="64"/>
      </patternFill>
    </fill>
    <fill>
      <patternFill patternType="solid">
        <fgColor rgb="FF0005BC"/>
        <bgColor indexed="64"/>
      </patternFill>
    </fill>
    <fill>
      <patternFill patternType="solid">
        <fgColor rgb="FF0005BD"/>
        <bgColor indexed="64"/>
      </patternFill>
    </fill>
    <fill>
      <patternFill patternType="solid">
        <fgColor rgb="FF0005BE"/>
        <bgColor indexed="64"/>
      </patternFill>
    </fill>
    <fill>
      <patternFill patternType="solid">
        <fgColor rgb="FF0005BF"/>
        <bgColor indexed="64"/>
      </patternFill>
    </fill>
    <fill>
      <patternFill patternType="solid">
        <fgColor rgb="FF0005C0"/>
        <bgColor indexed="64"/>
      </patternFill>
    </fill>
    <fill>
      <patternFill patternType="solid">
        <fgColor rgb="FF0005C1"/>
        <bgColor indexed="64"/>
      </patternFill>
    </fill>
    <fill>
      <patternFill patternType="solid">
        <fgColor rgb="FF0005C2"/>
        <bgColor indexed="64"/>
      </patternFill>
    </fill>
    <fill>
      <patternFill patternType="solid">
        <fgColor rgb="FF0005C3"/>
        <bgColor indexed="64"/>
      </patternFill>
    </fill>
    <fill>
      <patternFill patternType="solid">
        <fgColor rgb="FF0005C4"/>
        <bgColor indexed="64"/>
      </patternFill>
    </fill>
    <fill>
      <patternFill patternType="solid">
        <fgColor rgb="FF0005C5"/>
        <bgColor indexed="64"/>
      </patternFill>
    </fill>
    <fill>
      <patternFill patternType="solid">
        <fgColor rgb="FF0005C6"/>
        <bgColor indexed="64"/>
      </patternFill>
    </fill>
    <fill>
      <patternFill patternType="solid">
        <fgColor rgb="FF0005C7"/>
        <bgColor indexed="64"/>
      </patternFill>
    </fill>
    <fill>
      <patternFill patternType="solid">
        <fgColor rgb="FF0005C8"/>
        <bgColor indexed="64"/>
      </patternFill>
    </fill>
    <fill>
      <patternFill patternType="solid">
        <fgColor rgb="FF0005C9"/>
        <bgColor indexed="64"/>
      </patternFill>
    </fill>
    <fill>
      <patternFill patternType="solid">
        <fgColor rgb="FF0005CA"/>
        <bgColor indexed="64"/>
      </patternFill>
    </fill>
    <fill>
      <patternFill patternType="solid">
        <fgColor rgb="FF0005CB"/>
        <bgColor indexed="64"/>
      </patternFill>
    </fill>
    <fill>
      <patternFill patternType="solid">
        <fgColor rgb="FF0005CC"/>
        <bgColor indexed="64"/>
      </patternFill>
    </fill>
    <fill>
      <patternFill patternType="solid">
        <fgColor rgb="FF0005CD"/>
        <bgColor indexed="64"/>
      </patternFill>
    </fill>
    <fill>
      <patternFill patternType="solid">
        <fgColor rgb="FF0005CE"/>
        <bgColor indexed="64"/>
      </patternFill>
    </fill>
    <fill>
      <patternFill patternType="solid">
        <fgColor rgb="FF0005CF"/>
        <bgColor indexed="64"/>
      </patternFill>
    </fill>
    <fill>
      <patternFill patternType="solid">
        <fgColor rgb="FF0005D0"/>
        <bgColor indexed="64"/>
      </patternFill>
    </fill>
    <fill>
      <patternFill patternType="solid">
        <fgColor rgb="FF0005D1"/>
        <bgColor indexed="64"/>
      </patternFill>
    </fill>
    <fill>
      <patternFill patternType="solid">
        <fgColor rgb="FF0005D2"/>
        <bgColor indexed="64"/>
      </patternFill>
    </fill>
    <fill>
      <patternFill patternType="solid">
        <fgColor rgb="FF0005D3"/>
        <bgColor indexed="64"/>
      </patternFill>
    </fill>
    <fill>
      <patternFill patternType="solid">
        <fgColor rgb="FF0005D4"/>
        <bgColor indexed="64"/>
      </patternFill>
    </fill>
    <fill>
      <patternFill patternType="solid">
        <fgColor rgb="FF0005D5"/>
        <bgColor indexed="64"/>
      </patternFill>
    </fill>
    <fill>
      <patternFill patternType="solid">
        <fgColor rgb="FF0005D6"/>
        <bgColor indexed="64"/>
      </patternFill>
    </fill>
    <fill>
      <patternFill patternType="solid">
        <fgColor rgb="FF0005D7"/>
        <bgColor indexed="64"/>
      </patternFill>
    </fill>
    <fill>
      <patternFill patternType="solid">
        <fgColor rgb="FF0005D8"/>
        <bgColor indexed="64"/>
      </patternFill>
    </fill>
    <fill>
      <patternFill patternType="solid">
        <fgColor rgb="FF0005D9"/>
        <bgColor indexed="64"/>
      </patternFill>
    </fill>
    <fill>
      <patternFill patternType="solid">
        <fgColor rgb="FF0005DA"/>
        <bgColor indexed="64"/>
      </patternFill>
    </fill>
    <fill>
      <patternFill patternType="solid">
        <fgColor rgb="FF0005DB"/>
        <bgColor indexed="64"/>
      </patternFill>
    </fill>
    <fill>
      <patternFill patternType="solid">
        <fgColor rgb="FF0005DC"/>
        <bgColor indexed="64"/>
      </patternFill>
    </fill>
    <fill>
      <patternFill patternType="solid">
        <fgColor rgb="FF0005DD"/>
        <bgColor indexed="64"/>
      </patternFill>
    </fill>
    <fill>
      <patternFill patternType="solid">
        <fgColor rgb="FF0005DE"/>
        <bgColor indexed="64"/>
      </patternFill>
    </fill>
    <fill>
      <patternFill patternType="solid">
        <fgColor rgb="FF0005DF"/>
        <bgColor indexed="64"/>
      </patternFill>
    </fill>
    <fill>
      <patternFill patternType="solid">
        <fgColor rgb="FF0005E0"/>
        <bgColor indexed="64"/>
      </patternFill>
    </fill>
    <fill>
      <patternFill patternType="solid">
        <fgColor rgb="FF0005E1"/>
        <bgColor indexed="64"/>
      </patternFill>
    </fill>
    <fill>
      <patternFill patternType="solid">
        <fgColor rgb="FF0005E2"/>
        <bgColor indexed="64"/>
      </patternFill>
    </fill>
    <fill>
      <patternFill patternType="solid">
        <fgColor rgb="FF0005E3"/>
        <bgColor indexed="64"/>
      </patternFill>
    </fill>
    <fill>
      <patternFill patternType="solid">
        <fgColor rgb="FF0005E4"/>
        <bgColor indexed="64"/>
      </patternFill>
    </fill>
    <fill>
      <patternFill patternType="solid">
        <fgColor rgb="FF0005E5"/>
        <bgColor indexed="64"/>
      </patternFill>
    </fill>
    <fill>
      <patternFill patternType="solid">
        <fgColor rgb="FF0005E6"/>
        <bgColor indexed="64"/>
      </patternFill>
    </fill>
    <fill>
      <patternFill patternType="solid">
        <fgColor rgb="FF0005E7"/>
        <bgColor indexed="64"/>
      </patternFill>
    </fill>
    <fill>
      <patternFill patternType="solid">
        <fgColor rgb="FF0005E8"/>
        <bgColor indexed="64"/>
      </patternFill>
    </fill>
    <fill>
      <patternFill patternType="solid">
        <fgColor rgb="FF0005E9"/>
        <bgColor indexed="64"/>
      </patternFill>
    </fill>
    <fill>
      <patternFill patternType="solid">
        <fgColor rgb="FF0005EA"/>
        <bgColor indexed="64"/>
      </patternFill>
    </fill>
    <fill>
      <patternFill patternType="solid">
        <fgColor rgb="FF0005EB"/>
        <bgColor indexed="64"/>
      </patternFill>
    </fill>
    <fill>
      <patternFill patternType="solid">
        <fgColor rgb="FF0005EC"/>
        <bgColor indexed="64"/>
      </patternFill>
    </fill>
    <fill>
      <patternFill patternType="solid">
        <fgColor rgb="FF0005ED"/>
        <bgColor indexed="64"/>
      </patternFill>
    </fill>
    <fill>
      <patternFill patternType="solid">
        <fgColor rgb="FF0005EE"/>
        <bgColor indexed="64"/>
      </patternFill>
    </fill>
    <fill>
      <patternFill patternType="solid">
        <fgColor rgb="FF0005EF"/>
        <bgColor indexed="64"/>
      </patternFill>
    </fill>
    <fill>
      <patternFill patternType="solid">
        <fgColor rgb="FF0005F0"/>
        <bgColor indexed="64"/>
      </patternFill>
    </fill>
    <fill>
      <patternFill patternType="solid">
        <fgColor rgb="FF0005F1"/>
        <bgColor indexed="64"/>
      </patternFill>
    </fill>
    <fill>
      <patternFill patternType="solid">
        <fgColor rgb="FF0005F2"/>
        <bgColor indexed="64"/>
      </patternFill>
    </fill>
    <fill>
      <patternFill patternType="solid">
        <fgColor rgb="FF0005F3"/>
        <bgColor indexed="64"/>
      </patternFill>
    </fill>
    <fill>
      <patternFill patternType="solid">
        <fgColor rgb="FF0005F4"/>
        <bgColor indexed="64"/>
      </patternFill>
    </fill>
    <fill>
      <patternFill patternType="solid">
        <fgColor rgb="FF0005F5"/>
        <bgColor indexed="64"/>
      </patternFill>
    </fill>
    <fill>
      <patternFill patternType="solid">
        <fgColor rgb="FF0005F6"/>
        <bgColor indexed="64"/>
      </patternFill>
    </fill>
    <fill>
      <patternFill patternType="solid">
        <fgColor rgb="FF0005F7"/>
        <bgColor indexed="64"/>
      </patternFill>
    </fill>
    <fill>
      <patternFill patternType="solid">
        <fgColor rgb="FF0005F8"/>
        <bgColor indexed="64"/>
      </patternFill>
    </fill>
    <fill>
      <patternFill patternType="solid">
        <fgColor rgb="FF0005F9"/>
        <bgColor indexed="64"/>
      </patternFill>
    </fill>
    <fill>
      <patternFill patternType="solid">
        <fgColor rgb="FF0005FA"/>
        <bgColor indexed="64"/>
      </patternFill>
    </fill>
    <fill>
      <patternFill patternType="solid">
        <fgColor rgb="FF0005FB"/>
        <bgColor indexed="64"/>
      </patternFill>
    </fill>
    <fill>
      <patternFill patternType="solid">
        <fgColor rgb="FF0005FC"/>
        <bgColor indexed="64"/>
      </patternFill>
    </fill>
    <fill>
      <patternFill patternType="solid">
        <fgColor rgb="FF0005FD"/>
        <bgColor indexed="64"/>
      </patternFill>
    </fill>
    <fill>
      <patternFill patternType="solid">
        <fgColor rgb="FF0005FE"/>
        <bgColor indexed="64"/>
      </patternFill>
    </fill>
    <fill>
      <patternFill patternType="solid">
        <fgColor rgb="FF0005FF"/>
        <bgColor indexed="64"/>
      </patternFill>
    </fill>
    <fill>
      <patternFill patternType="solid">
        <fgColor rgb="FF000600"/>
        <bgColor indexed="64"/>
      </patternFill>
    </fill>
    <fill>
      <patternFill patternType="solid">
        <fgColor rgb="FF000601"/>
        <bgColor indexed="64"/>
      </patternFill>
    </fill>
    <fill>
      <patternFill patternType="solid">
        <fgColor rgb="FF000602"/>
        <bgColor indexed="64"/>
      </patternFill>
    </fill>
    <fill>
      <patternFill patternType="solid">
        <fgColor rgb="FF000603"/>
        <bgColor indexed="64"/>
      </patternFill>
    </fill>
    <fill>
      <patternFill patternType="solid">
        <fgColor rgb="FF000604"/>
        <bgColor indexed="64"/>
      </patternFill>
    </fill>
    <fill>
      <patternFill patternType="solid">
        <fgColor rgb="FF000605"/>
        <bgColor indexed="64"/>
      </patternFill>
    </fill>
    <fill>
      <patternFill patternType="solid">
        <fgColor rgb="FF000606"/>
        <bgColor indexed="64"/>
      </patternFill>
    </fill>
    <fill>
      <patternFill patternType="solid">
        <fgColor rgb="FF000607"/>
        <bgColor indexed="64"/>
      </patternFill>
    </fill>
    <fill>
      <patternFill patternType="solid">
        <fgColor rgb="FF000608"/>
        <bgColor indexed="64"/>
      </patternFill>
    </fill>
    <fill>
      <patternFill patternType="solid">
        <fgColor rgb="FF000609"/>
        <bgColor indexed="64"/>
      </patternFill>
    </fill>
    <fill>
      <patternFill patternType="solid">
        <fgColor rgb="FF00060A"/>
        <bgColor indexed="64"/>
      </patternFill>
    </fill>
    <fill>
      <patternFill patternType="solid">
        <fgColor rgb="FF00060B"/>
        <bgColor indexed="64"/>
      </patternFill>
    </fill>
    <fill>
      <patternFill patternType="solid">
        <fgColor rgb="FF00060C"/>
        <bgColor indexed="64"/>
      </patternFill>
    </fill>
    <fill>
      <patternFill patternType="solid">
        <fgColor rgb="FF00060D"/>
        <bgColor indexed="64"/>
      </patternFill>
    </fill>
    <fill>
      <patternFill patternType="solid">
        <fgColor rgb="FF00060E"/>
        <bgColor indexed="64"/>
      </patternFill>
    </fill>
    <fill>
      <patternFill patternType="solid">
        <fgColor rgb="FF00060F"/>
        <bgColor indexed="64"/>
      </patternFill>
    </fill>
    <fill>
      <patternFill patternType="solid">
        <fgColor rgb="FF000610"/>
        <bgColor indexed="64"/>
      </patternFill>
    </fill>
    <fill>
      <patternFill patternType="solid">
        <fgColor rgb="FF000611"/>
        <bgColor indexed="64"/>
      </patternFill>
    </fill>
    <fill>
      <patternFill patternType="solid">
        <fgColor rgb="FF000612"/>
        <bgColor indexed="64"/>
      </patternFill>
    </fill>
    <fill>
      <patternFill patternType="solid">
        <fgColor rgb="FF000613"/>
        <bgColor indexed="64"/>
      </patternFill>
    </fill>
    <fill>
      <patternFill patternType="solid">
        <fgColor rgb="FF000614"/>
        <bgColor indexed="64"/>
      </patternFill>
    </fill>
    <fill>
      <patternFill patternType="solid">
        <fgColor rgb="FF000615"/>
        <bgColor indexed="64"/>
      </patternFill>
    </fill>
    <fill>
      <patternFill patternType="solid">
        <fgColor rgb="FF000616"/>
        <bgColor indexed="64"/>
      </patternFill>
    </fill>
    <fill>
      <patternFill patternType="solid">
        <fgColor rgb="FF000617"/>
        <bgColor indexed="64"/>
      </patternFill>
    </fill>
    <fill>
      <patternFill patternType="solid">
        <fgColor rgb="FF000618"/>
        <bgColor indexed="64"/>
      </patternFill>
    </fill>
    <fill>
      <patternFill patternType="solid">
        <fgColor rgb="FF000619"/>
        <bgColor indexed="64"/>
      </patternFill>
    </fill>
    <fill>
      <patternFill patternType="solid">
        <fgColor rgb="FF00061A"/>
        <bgColor indexed="64"/>
      </patternFill>
    </fill>
    <fill>
      <patternFill patternType="solid">
        <fgColor rgb="FF00061B"/>
        <bgColor indexed="64"/>
      </patternFill>
    </fill>
    <fill>
      <patternFill patternType="solid">
        <fgColor rgb="FF00061C"/>
        <bgColor indexed="64"/>
      </patternFill>
    </fill>
    <fill>
      <patternFill patternType="solid">
        <fgColor rgb="FF00061D"/>
        <bgColor indexed="64"/>
      </patternFill>
    </fill>
    <fill>
      <patternFill patternType="solid">
        <fgColor rgb="FF00061E"/>
        <bgColor indexed="64"/>
      </patternFill>
    </fill>
    <fill>
      <patternFill patternType="solid">
        <fgColor rgb="FF00061F"/>
        <bgColor indexed="64"/>
      </patternFill>
    </fill>
    <fill>
      <patternFill patternType="solid">
        <fgColor rgb="FF000620"/>
        <bgColor indexed="64"/>
      </patternFill>
    </fill>
    <fill>
      <patternFill patternType="solid">
        <fgColor rgb="FF000621"/>
        <bgColor indexed="64"/>
      </patternFill>
    </fill>
    <fill>
      <patternFill patternType="solid">
        <fgColor rgb="FF000622"/>
        <bgColor indexed="64"/>
      </patternFill>
    </fill>
    <fill>
      <patternFill patternType="solid">
        <fgColor rgb="FF000623"/>
        <bgColor indexed="64"/>
      </patternFill>
    </fill>
    <fill>
      <patternFill patternType="solid">
        <fgColor rgb="FF000624"/>
        <bgColor indexed="64"/>
      </patternFill>
    </fill>
    <fill>
      <patternFill patternType="solid">
        <fgColor rgb="FF000625"/>
        <bgColor indexed="64"/>
      </patternFill>
    </fill>
    <fill>
      <patternFill patternType="solid">
        <fgColor rgb="FF000626"/>
        <bgColor indexed="64"/>
      </patternFill>
    </fill>
    <fill>
      <patternFill patternType="solid">
        <fgColor rgb="FF000627"/>
        <bgColor indexed="64"/>
      </patternFill>
    </fill>
    <fill>
      <patternFill patternType="solid">
        <fgColor rgb="FF000628"/>
        <bgColor indexed="64"/>
      </patternFill>
    </fill>
    <fill>
      <patternFill patternType="solid">
        <fgColor rgb="FF000629"/>
        <bgColor indexed="64"/>
      </patternFill>
    </fill>
    <fill>
      <patternFill patternType="solid">
        <fgColor rgb="FF00062A"/>
        <bgColor indexed="64"/>
      </patternFill>
    </fill>
    <fill>
      <patternFill patternType="solid">
        <fgColor rgb="FF00062B"/>
        <bgColor indexed="64"/>
      </patternFill>
    </fill>
    <fill>
      <patternFill patternType="solid">
        <fgColor rgb="FF00062C"/>
        <bgColor indexed="64"/>
      </patternFill>
    </fill>
    <fill>
      <patternFill patternType="solid">
        <fgColor rgb="FF00062D"/>
        <bgColor indexed="64"/>
      </patternFill>
    </fill>
    <fill>
      <patternFill patternType="solid">
        <fgColor rgb="FF00062E"/>
        <bgColor indexed="64"/>
      </patternFill>
    </fill>
    <fill>
      <patternFill patternType="solid">
        <fgColor rgb="FF00062F"/>
        <bgColor indexed="64"/>
      </patternFill>
    </fill>
    <fill>
      <patternFill patternType="solid">
        <fgColor rgb="FF000630"/>
        <bgColor indexed="64"/>
      </patternFill>
    </fill>
    <fill>
      <patternFill patternType="solid">
        <fgColor rgb="FF000631"/>
        <bgColor indexed="64"/>
      </patternFill>
    </fill>
    <fill>
      <patternFill patternType="solid">
        <fgColor rgb="FF000632"/>
        <bgColor indexed="64"/>
      </patternFill>
    </fill>
    <fill>
      <patternFill patternType="solid">
        <fgColor rgb="FF000633"/>
        <bgColor indexed="64"/>
      </patternFill>
    </fill>
    <fill>
      <patternFill patternType="solid">
        <fgColor rgb="FF000634"/>
        <bgColor indexed="64"/>
      </patternFill>
    </fill>
    <fill>
      <patternFill patternType="solid">
        <fgColor rgb="FF000635"/>
        <bgColor indexed="64"/>
      </patternFill>
    </fill>
    <fill>
      <patternFill patternType="solid">
        <fgColor rgb="FF000636"/>
        <bgColor indexed="64"/>
      </patternFill>
    </fill>
    <fill>
      <patternFill patternType="solid">
        <fgColor rgb="FF000637"/>
        <bgColor indexed="64"/>
      </patternFill>
    </fill>
    <fill>
      <patternFill patternType="solid">
        <fgColor rgb="FF000638"/>
        <bgColor indexed="64"/>
      </patternFill>
    </fill>
    <fill>
      <patternFill patternType="solid">
        <fgColor rgb="FF000639"/>
        <bgColor indexed="64"/>
      </patternFill>
    </fill>
    <fill>
      <patternFill patternType="solid">
        <fgColor rgb="FF00063A"/>
        <bgColor indexed="64"/>
      </patternFill>
    </fill>
    <fill>
      <patternFill patternType="solid">
        <fgColor rgb="FF00063B"/>
        <bgColor indexed="64"/>
      </patternFill>
    </fill>
    <fill>
      <patternFill patternType="solid">
        <fgColor rgb="FF00063C"/>
        <bgColor indexed="64"/>
      </patternFill>
    </fill>
    <fill>
      <patternFill patternType="solid">
        <fgColor rgb="FF00063D"/>
        <bgColor indexed="64"/>
      </patternFill>
    </fill>
    <fill>
      <patternFill patternType="solid">
        <fgColor rgb="FF00063E"/>
        <bgColor indexed="64"/>
      </patternFill>
    </fill>
    <fill>
      <patternFill patternType="solid">
        <fgColor rgb="FF00063F"/>
        <bgColor indexed="64"/>
      </patternFill>
    </fill>
    <fill>
      <patternFill patternType="solid">
        <fgColor rgb="FF000640"/>
        <bgColor indexed="64"/>
      </patternFill>
    </fill>
    <fill>
      <patternFill patternType="solid">
        <fgColor rgb="FF000641"/>
        <bgColor indexed="64"/>
      </patternFill>
    </fill>
    <fill>
      <patternFill patternType="solid">
        <fgColor rgb="FF000642"/>
        <bgColor indexed="64"/>
      </patternFill>
    </fill>
    <fill>
      <patternFill patternType="solid">
        <fgColor rgb="FF000643"/>
        <bgColor indexed="64"/>
      </patternFill>
    </fill>
    <fill>
      <patternFill patternType="solid">
        <fgColor rgb="FF000644"/>
        <bgColor indexed="64"/>
      </patternFill>
    </fill>
    <fill>
      <patternFill patternType="solid">
        <fgColor rgb="FF000645"/>
        <bgColor indexed="64"/>
      </patternFill>
    </fill>
    <fill>
      <patternFill patternType="solid">
        <fgColor rgb="FF000646"/>
        <bgColor indexed="64"/>
      </patternFill>
    </fill>
    <fill>
      <patternFill patternType="solid">
        <fgColor rgb="FF000647"/>
        <bgColor indexed="64"/>
      </patternFill>
    </fill>
    <fill>
      <patternFill patternType="solid">
        <fgColor rgb="FF000648"/>
        <bgColor indexed="64"/>
      </patternFill>
    </fill>
    <fill>
      <patternFill patternType="solid">
        <fgColor rgb="FF000649"/>
        <bgColor indexed="64"/>
      </patternFill>
    </fill>
    <fill>
      <patternFill patternType="solid">
        <fgColor rgb="FF00064A"/>
        <bgColor indexed="64"/>
      </patternFill>
    </fill>
    <fill>
      <patternFill patternType="solid">
        <fgColor rgb="FF00064B"/>
        <bgColor indexed="64"/>
      </patternFill>
    </fill>
    <fill>
      <patternFill patternType="solid">
        <fgColor rgb="FF00064C"/>
        <bgColor indexed="64"/>
      </patternFill>
    </fill>
    <fill>
      <patternFill patternType="solid">
        <fgColor rgb="FF00064D"/>
        <bgColor indexed="64"/>
      </patternFill>
    </fill>
    <fill>
      <patternFill patternType="solid">
        <fgColor rgb="FF00064E"/>
        <bgColor indexed="64"/>
      </patternFill>
    </fill>
    <fill>
      <patternFill patternType="solid">
        <fgColor rgb="FF00064F"/>
        <bgColor indexed="64"/>
      </patternFill>
    </fill>
    <fill>
      <patternFill patternType="solid">
        <fgColor rgb="FF000650"/>
        <bgColor indexed="64"/>
      </patternFill>
    </fill>
    <fill>
      <patternFill patternType="solid">
        <fgColor rgb="FF000651"/>
        <bgColor indexed="64"/>
      </patternFill>
    </fill>
    <fill>
      <patternFill patternType="solid">
        <fgColor rgb="FF000652"/>
        <bgColor indexed="64"/>
      </patternFill>
    </fill>
    <fill>
      <patternFill patternType="solid">
        <fgColor rgb="FF000653"/>
        <bgColor indexed="64"/>
      </patternFill>
    </fill>
    <fill>
      <patternFill patternType="solid">
        <fgColor rgb="FF000654"/>
        <bgColor indexed="64"/>
      </patternFill>
    </fill>
    <fill>
      <patternFill patternType="solid">
        <fgColor rgb="FF000655"/>
        <bgColor indexed="64"/>
      </patternFill>
    </fill>
    <fill>
      <patternFill patternType="solid">
        <fgColor rgb="FF000656"/>
        <bgColor indexed="64"/>
      </patternFill>
    </fill>
    <fill>
      <patternFill patternType="solid">
        <fgColor rgb="FF000657"/>
        <bgColor indexed="64"/>
      </patternFill>
    </fill>
    <fill>
      <patternFill patternType="solid">
        <fgColor rgb="FF000658"/>
        <bgColor indexed="64"/>
      </patternFill>
    </fill>
    <fill>
      <patternFill patternType="solid">
        <fgColor rgb="FF000659"/>
        <bgColor indexed="64"/>
      </patternFill>
    </fill>
    <fill>
      <patternFill patternType="solid">
        <fgColor rgb="FF00065A"/>
        <bgColor indexed="64"/>
      </patternFill>
    </fill>
    <fill>
      <patternFill patternType="solid">
        <fgColor rgb="FF00065B"/>
        <bgColor indexed="64"/>
      </patternFill>
    </fill>
    <fill>
      <patternFill patternType="solid">
        <fgColor rgb="FF00065C"/>
        <bgColor indexed="64"/>
      </patternFill>
    </fill>
    <fill>
      <patternFill patternType="solid">
        <fgColor rgb="FF00065D"/>
        <bgColor indexed="64"/>
      </patternFill>
    </fill>
    <fill>
      <patternFill patternType="solid">
        <fgColor rgb="FF00065E"/>
        <bgColor indexed="64"/>
      </patternFill>
    </fill>
    <fill>
      <patternFill patternType="solid">
        <fgColor rgb="FF00065F"/>
        <bgColor indexed="64"/>
      </patternFill>
    </fill>
    <fill>
      <patternFill patternType="solid">
        <fgColor rgb="FF000660"/>
        <bgColor indexed="64"/>
      </patternFill>
    </fill>
    <fill>
      <patternFill patternType="solid">
        <fgColor rgb="FF000661"/>
        <bgColor indexed="64"/>
      </patternFill>
    </fill>
    <fill>
      <patternFill patternType="solid">
        <fgColor rgb="FF000662"/>
        <bgColor indexed="64"/>
      </patternFill>
    </fill>
    <fill>
      <patternFill patternType="solid">
        <fgColor rgb="FF000663"/>
        <bgColor indexed="64"/>
      </patternFill>
    </fill>
    <fill>
      <patternFill patternType="solid">
        <fgColor rgb="FF000664"/>
        <bgColor indexed="64"/>
      </patternFill>
    </fill>
    <fill>
      <patternFill patternType="solid">
        <fgColor rgb="FF000665"/>
        <bgColor indexed="64"/>
      </patternFill>
    </fill>
    <fill>
      <patternFill patternType="solid">
        <fgColor rgb="FF000666"/>
        <bgColor indexed="64"/>
      </patternFill>
    </fill>
    <fill>
      <patternFill patternType="solid">
        <fgColor rgb="FF000667"/>
        <bgColor indexed="64"/>
      </patternFill>
    </fill>
    <fill>
      <patternFill patternType="solid">
        <fgColor rgb="FF000668"/>
        <bgColor indexed="64"/>
      </patternFill>
    </fill>
    <fill>
      <patternFill patternType="solid">
        <fgColor rgb="FF000669"/>
        <bgColor indexed="64"/>
      </patternFill>
    </fill>
    <fill>
      <patternFill patternType="solid">
        <fgColor rgb="FF00066A"/>
        <bgColor indexed="64"/>
      </patternFill>
    </fill>
    <fill>
      <patternFill patternType="solid">
        <fgColor rgb="FF00066B"/>
        <bgColor indexed="64"/>
      </patternFill>
    </fill>
    <fill>
      <patternFill patternType="solid">
        <fgColor rgb="FF00066C"/>
        <bgColor indexed="64"/>
      </patternFill>
    </fill>
    <fill>
      <patternFill patternType="solid">
        <fgColor rgb="FF00066D"/>
        <bgColor indexed="64"/>
      </patternFill>
    </fill>
    <fill>
      <patternFill patternType="solid">
        <fgColor rgb="FF00066E"/>
        <bgColor indexed="64"/>
      </patternFill>
    </fill>
    <fill>
      <patternFill patternType="solid">
        <fgColor rgb="FF00066F"/>
        <bgColor indexed="64"/>
      </patternFill>
    </fill>
    <fill>
      <patternFill patternType="solid">
        <fgColor rgb="FF000670"/>
        <bgColor indexed="64"/>
      </patternFill>
    </fill>
    <fill>
      <patternFill patternType="solid">
        <fgColor rgb="FF000671"/>
        <bgColor indexed="64"/>
      </patternFill>
    </fill>
    <fill>
      <patternFill patternType="solid">
        <fgColor rgb="FF000672"/>
        <bgColor indexed="64"/>
      </patternFill>
    </fill>
    <fill>
      <patternFill patternType="solid">
        <fgColor rgb="FF000673"/>
        <bgColor indexed="64"/>
      </patternFill>
    </fill>
    <fill>
      <patternFill patternType="solid">
        <fgColor rgb="FF000674"/>
        <bgColor indexed="64"/>
      </patternFill>
    </fill>
    <fill>
      <patternFill patternType="solid">
        <fgColor rgb="FF000675"/>
        <bgColor indexed="64"/>
      </patternFill>
    </fill>
    <fill>
      <patternFill patternType="solid">
        <fgColor rgb="FF000676"/>
        <bgColor indexed="64"/>
      </patternFill>
    </fill>
    <fill>
      <patternFill patternType="solid">
        <fgColor rgb="FF000677"/>
        <bgColor indexed="64"/>
      </patternFill>
    </fill>
    <fill>
      <patternFill patternType="solid">
        <fgColor rgb="FF000678"/>
        <bgColor indexed="64"/>
      </patternFill>
    </fill>
    <fill>
      <patternFill patternType="solid">
        <fgColor rgb="FF000679"/>
        <bgColor indexed="64"/>
      </patternFill>
    </fill>
    <fill>
      <patternFill patternType="solid">
        <fgColor rgb="FF00067A"/>
        <bgColor indexed="64"/>
      </patternFill>
    </fill>
    <fill>
      <patternFill patternType="solid">
        <fgColor rgb="FF00067B"/>
        <bgColor indexed="64"/>
      </patternFill>
    </fill>
    <fill>
      <patternFill patternType="solid">
        <fgColor rgb="FF00067C"/>
        <bgColor indexed="64"/>
      </patternFill>
    </fill>
    <fill>
      <patternFill patternType="solid">
        <fgColor rgb="FF00067D"/>
        <bgColor indexed="64"/>
      </patternFill>
    </fill>
    <fill>
      <patternFill patternType="solid">
        <fgColor rgb="FF00067E"/>
        <bgColor indexed="64"/>
      </patternFill>
    </fill>
    <fill>
      <patternFill patternType="solid">
        <fgColor rgb="FF00067F"/>
        <bgColor indexed="64"/>
      </patternFill>
    </fill>
    <fill>
      <patternFill patternType="solid">
        <fgColor rgb="FF000680"/>
        <bgColor indexed="64"/>
      </patternFill>
    </fill>
    <fill>
      <patternFill patternType="solid">
        <fgColor rgb="FF000681"/>
        <bgColor indexed="64"/>
      </patternFill>
    </fill>
    <fill>
      <patternFill patternType="solid">
        <fgColor rgb="FF000682"/>
        <bgColor indexed="64"/>
      </patternFill>
    </fill>
    <fill>
      <patternFill patternType="solid">
        <fgColor rgb="FF000683"/>
        <bgColor indexed="64"/>
      </patternFill>
    </fill>
    <fill>
      <patternFill patternType="solid">
        <fgColor rgb="FF000684"/>
        <bgColor indexed="64"/>
      </patternFill>
    </fill>
    <fill>
      <patternFill patternType="solid">
        <fgColor rgb="FF000685"/>
        <bgColor indexed="64"/>
      </patternFill>
    </fill>
    <fill>
      <patternFill patternType="solid">
        <fgColor rgb="FF000686"/>
        <bgColor indexed="64"/>
      </patternFill>
    </fill>
    <fill>
      <patternFill patternType="solid">
        <fgColor rgb="FF000687"/>
        <bgColor indexed="64"/>
      </patternFill>
    </fill>
    <fill>
      <patternFill patternType="solid">
        <fgColor rgb="FF000688"/>
        <bgColor indexed="64"/>
      </patternFill>
    </fill>
    <fill>
      <patternFill patternType="solid">
        <fgColor rgb="FF000689"/>
        <bgColor indexed="64"/>
      </patternFill>
    </fill>
    <fill>
      <patternFill patternType="solid">
        <fgColor rgb="FF00068A"/>
        <bgColor indexed="64"/>
      </patternFill>
    </fill>
    <fill>
      <patternFill patternType="solid">
        <fgColor rgb="FF00068B"/>
        <bgColor indexed="64"/>
      </patternFill>
    </fill>
    <fill>
      <patternFill patternType="solid">
        <fgColor rgb="FF00068C"/>
        <bgColor indexed="64"/>
      </patternFill>
    </fill>
    <fill>
      <patternFill patternType="solid">
        <fgColor rgb="FF00068D"/>
        <bgColor indexed="64"/>
      </patternFill>
    </fill>
    <fill>
      <patternFill patternType="solid">
        <fgColor rgb="FF00068E"/>
        <bgColor indexed="64"/>
      </patternFill>
    </fill>
    <fill>
      <patternFill patternType="solid">
        <fgColor rgb="FF00068F"/>
        <bgColor indexed="64"/>
      </patternFill>
    </fill>
    <fill>
      <patternFill patternType="solid">
        <fgColor rgb="FF000690"/>
        <bgColor indexed="64"/>
      </patternFill>
    </fill>
    <fill>
      <patternFill patternType="solid">
        <fgColor rgb="FF000691"/>
        <bgColor indexed="64"/>
      </patternFill>
    </fill>
    <fill>
      <patternFill patternType="solid">
        <fgColor rgb="FF000692"/>
        <bgColor indexed="64"/>
      </patternFill>
    </fill>
    <fill>
      <patternFill patternType="solid">
        <fgColor rgb="FF000693"/>
        <bgColor indexed="64"/>
      </patternFill>
    </fill>
    <fill>
      <patternFill patternType="solid">
        <fgColor rgb="FF000694"/>
        <bgColor indexed="64"/>
      </patternFill>
    </fill>
    <fill>
      <patternFill patternType="solid">
        <fgColor rgb="FF000695"/>
        <bgColor indexed="64"/>
      </patternFill>
    </fill>
    <fill>
      <patternFill patternType="solid">
        <fgColor rgb="FF000696"/>
        <bgColor indexed="64"/>
      </patternFill>
    </fill>
    <fill>
      <patternFill patternType="solid">
        <fgColor rgb="FF000697"/>
        <bgColor indexed="64"/>
      </patternFill>
    </fill>
    <fill>
      <patternFill patternType="solid">
        <fgColor rgb="FF000698"/>
        <bgColor indexed="64"/>
      </patternFill>
    </fill>
    <fill>
      <patternFill patternType="solid">
        <fgColor rgb="FF000699"/>
        <bgColor indexed="64"/>
      </patternFill>
    </fill>
    <fill>
      <patternFill patternType="solid">
        <fgColor rgb="FF00069A"/>
        <bgColor indexed="64"/>
      </patternFill>
    </fill>
    <fill>
      <patternFill patternType="solid">
        <fgColor rgb="FF00069B"/>
        <bgColor indexed="64"/>
      </patternFill>
    </fill>
    <fill>
      <patternFill patternType="solid">
        <fgColor rgb="FF00069C"/>
        <bgColor indexed="64"/>
      </patternFill>
    </fill>
    <fill>
      <patternFill patternType="solid">
        <fgColor rgb="FF00069D"/>
        <bgColor indexed="64"/>
      </patternFill>
    </fill>
    <fill>
      <patternFill patternType="solid">
        <fgColor rgb="FF00069E"/>
        <bgColor indexed="64"/>
      </patternFill>
    </fill>
    <fill>
      <patternFill patternType="solid">
        <fgColor rgb="FF00069F"/>
        <bgColor indexed="64"/>
      </patternFill>
    </fill>
    <fill>
      <patternFill patternType="solid">
        <fgColor rgb="FF0006A0"/>
        <bgColor indexed="64"/>
      </patternFill>
    </fill>
    <fill>
      <patternFill patternType="solid">
        <fgColor rgb="FF0006A1"/>
        <bgColor indexed="64"/>
      </patternFill>
    </fill>
    <fill>
      <patternFill patternType="solid">
        <fgColor rgb="FF0006A2"/>
        <bgColor indexed="64"/>
      </patternFill>
    </fill>
    <fill>
      <patternFill patternType="solid">
        <fgColor rgb="FF0006A3"/>
        <bgColor indexed="64"/>
      </patternFill>
    </fill>
    <fill>
      <patternFill patternType="solid">
        <fgColor rgb="FF0006A4"/>
        <bgColor indexed="64"/>
      </patternFill>
    </fill>
    <fill>
      <patternFill patternType="solid">
        <fgColor rgb="FF0006A5"/>
        <bgColor indexed="64"/>
      </patternFill>
    </fill>
    <fill>
      <patternFill patternType="solid">
        <fgColor rgb="FF0006A6"/>
        <bgColor indexed="64"/>
      </patternFill>
    </fill>
    <fill>
      <patternFill patternType="solid">
        <fgColor rgb="FF0006A7"/>
        <bgColor indexed="64"/>
      </patternFill>
    </fill>
    <fill>
      <patternFill patternType="solid">
        <fgColor rgb="FF0006A8"/>
        <bgColor indexed="64"/>
      </patternFill>
    </fill>
    <fill>
      <patternFill patternType="solid">
        <fgColor rgb="FF0006A9"/>
        <bgColor indexed="64"/>
      </patternFill>
    </fill>
    <fill>
      <patternFill patternType="solid">
        <fgColor rgb="FF0006AA"/>
        <bgColor indexed="64"/>
      </patternFill>
    </fill>
    <fill>
      <patternFill patternType="solid">
        <fgColor rgb="FF0006AB"/>
        <bgColor indexed="64"/>
      </patternFill>
    </fill>
    <fill>
      <patternFill patternType="solid">
        <fgColor rgb="FF0006AC"/>
        <bgColor indexed="64"/>
      </patternFill>
    </fill>
    <fill>
      <patternFill patternType="solid">
        <fgColor rgb="FF0006AD"/>
        <bgColor indexed="64"/>
      </patternFill>
    </fill>
    <fill>
      <patternFill patternType="solid">
        <fgColor rgb="FF0006AE"/>
        <bgColor indexed="64"/>
      </patternFill>
    </fill>
    <fill>
      <patternFill patternType="solid">
        <fgColor rgb="FF0006AF"/>
        <bgColor indexed="64"/>
      </patternFill>
    </fill>
    <fill>
      <patternFill patternType="solid">
        <fgColor rgb="FF0006B0"/>
        <bgColor indexed="64"/>
      </patternFill>
    </fill>
    <fill>
      <patternFill patternType="solid">
        <fgColor rgb="FF0006B1"/>
        <bgColor indexed="64"/>
      </patternFill>
    </fill>
    <fill>
      <patternFill patternType="solid">
        <fgColor rgb="FF0006B2"/>
        <bgColor indexed="64"/>
      </patternFill>
    </fill>
    <fill>
      <patternFill patternType="solid">
        <fgColor rgb="FF0006B3"/>
        <bgColor indexed="64"/>
      </patternFill>
    </fill>
    <fill>
      <patternFill patternType="solid">
        <fgColor rgb="FF0006B4"/>
        <bgColor indexed="64"/>
      </patternFill>
    </fill>
    <fill>
      <patternFill patternType="solid">
        <fgColor rgb="FF0006B5"/>
        <bgColor indexed="64"/>
      </patternFill>
    </fill>
    <fill>
      <patternFill patternType="solid">
        <fgColor rgb="FF0006B6"/>
        <bgColor indexed="64"/>
      </patternFill>
    </fill>
    <fill>
      <patternFill patternType="solid">
        <fgColor rgb="FF0006B7"/>
        <bgColor indexed="64"/>
      </patternFill>
    </fill>
    <fill>
      <patternFill patternType="solid">
        <fgColor rgb="FF0006B8"/>
        <bgColor indexed="64"/>
      </patternFill>
    </fill>
    <fill>
      <patternFill patternType="solid">
        <fgColor rgb="FF0006B9"/>
        <bgColor indexed="64"/>
      </patternFill>
    </fill>
    <fill>
      <patternFill patternType="solid">
        <fgColor rgb="FF0006BA"/>
        <bgColor indexed="64"/>
      </patternFill>
    </fill>
    <fill>
      <patternFill patternType="solid">
        <fgColor rgb="FF0006BB"/>
        <bgColor indexed="64"/>
      </patternFill>
    </fill>
    <fill>
      <patternFill patternType="solid">
        <fgColor rgb="FF0006BC"/>
        <bgColor indexed="64"/>
      </patternFill>
    </fill>
    <fill>
      <patternFill patternType="solid">
        <fgColor rgb="FF0006BD"/>
        <bgColor indexed="64"/>
      </patternFill>
    </fill>
    <fill>
      <patternFill patternType="solid">
        <fgColor rgb="FF0006BE"/>
        <bgColor indexed="64"/>
      </patternFill>
    </fill>
    <fill>
      <patternFill patternType="solid">
        <fgColor rgb="FF0006BF"/>
        <bgColor indexed="64"/>
      </patternFill>
    </fill>
    <fill>
      <patternFill patternType="solid">
        <fgColor rgb="FF0006C0"/>
        <bgColor indexed="64"/>
      </patternFill>
    </fill>
    <fill>
      <patternFill patternType="solid">
        <fgColor rgb="FF0006C1"/>
        <bgColor indexed="64"/>
      </patternFill>
    </fill>
    <fill>
      <patternFill patternType="solid">
        <fgColor rgb="FF0006C2"/>
        <bgColor indexed="64"/>
      </patternFill>
    </fill>
    <fill>
      <patternFill patternType="solid">
        <fgColor rgb="FF0006C3"/>
        <bgColor indexed="64"/>
      </patternFill>
    </fill>
    <fill>
      <patternFill patternType="solid">
        <fgColor rgb="FF0006C4"/>
        <bgColor indexed="64"/>
      </patternFill>
    </fill>
    <fill>
      <patternFill patternType="solid">
        <fgColor rgb="FF0006C5"/>
        <bgColor indexed="64"/>
      </patternFill>
    </fill>
    <fill>
      <patternFill patternType="solid">
        <fgColor rgb="FF0006C6"/>
        <bgColor indexed="64"/>
      </patternFill>
    </fill>
    <fill>
      <patternFill patternType="solid">
        <fgColor rgb="FF0006C7"/>
        <bgColor indexed="64"/>
      </patternFill>
    </fill>
    <fill>
      <patternFill patternType="solid">
        <fgColor rgb="FF0006C8"/>
        <bgColor indexed="64"/>
      </patternFill>
    </fill>
    <fill>
      <patternFill patternType="solid">
        <fgColor rgb="FF0006C9"/>
        <bgColor indexed="64"/>
      </patternFill>
    </fill>
    <fill>
      <patternFill patternType="solid">
        <fgColor rgb="FF0006CA"/>
        <bgColor indexed="64"/>
      </patternFill>
    </fill>
    <fill>
      <patternFill patternType="solid">
        <fgColor rgb="FF0006CB"/>
        <bgColor indexed="64"/>
      </patternFill>
    </fill>
    <fill>
      <patternFill patternType="solid">
        <fgColor rgb="FF0006CC"/>
        <bgColor indexed="64"/>
      </patternFill>
    </fill>
    <fill>
      <patternFill patternType="solid">
        <fgColor rgb="FF0006CD"/>
        <bgColor indexed="64"/>
      </patternFill>
    </fill>
    <fill>
      <patternFill patternType="solid">
        <fgColor rgb="FF0006CE"/>
        <bgColor indexed="64"/>
      </patternFill>
    </fill>
    <fill>
      <patternFill patternType="solid">
        <fgColor rgb="FF0006CF"/>
        <bgColor indexed="64"/>
      </patternFill>
    </fill>
    <fill>
      <patternFill patternType="solid">
        <fgColor rgb="FF0006D0"/>
        <bgColor indexed="64"/>
      </patternFill>
    </fill>
    <fill>
      <patternFill patternType="solid">
        <fgColor rgb="FF0006D1"/>
        <bgColor indexed="64"/>
      </patternFill>
    </fill>
    <fill>
      <patternFill patternType="solid">
        <fgColor rgb="FF0006D2"/>
        <bgColor indexed="64"/>
      </patternFill>
    </fill>
    <fill>
      <patternFill patternType="solid">
        <fgColor rgb="FF0006D3"/>
        <bgColor indexed="64"/>
      </patternFill>
    </fill>
    <fill>
      <patternFill patternType="solid">
        <fgColor rgb="FF0006D4"/>
        <bgColor indexed="64"/>
      </patternFill>
    </fill>
    <fill>
      <patternFill patternType="solid">
        <fgColor rgb="FF0006D5"/>
        <bgColor indexed="64"/>
      </patternFill>
    </fill>
    <fill>
      <patternFill patternType="solid">
        <fgColor rgb="FF0006D6"/>
        <bgColor indexed="64"/>
      </patternFill>
    </fill>
    <fill>
      <patternFill patternType="solid">
        <fgColor rgb="FF0006D7"/>
        <bgColor indexed="64"/>
      </patternFill>
    </fill>
    <fill>
      <patternFill patternType="solid">
        <fgColor rgb="FF0006D8"/>
        <bgColor indexed="64"/>
      </patternFill>
    </fill>
    <fill>
      <patternFill patternType="solid">
        <fgColor rgb="FF0006D9"/>
        <bgColor indexed="64"/>
      </patternFill>
    </fill>
    <fill>
      <patternFill patternType="solid">
        <fgColor rgb="FF0006DA"/>
        <bgColor indexed="64"/>
      </patternFill>
    </fill>
    <fill>
      <patternFill patternType="solid">
        <fgColor rgb="FF0006DB"/>
        <bgColor indexed="64"/>
      </patternFill>
    </fill>
    <fill>
      <patternFill patternType="solid">
        <fgColor rgb="FF0006DC"/>
        <bgColor indexed="64"/>
      </patternFill>
    </fill>
    <fill>
      <patternFill patternType="solid">
        <fgColor rgb="FF0006DD"/>
        <bgColor indexed="64"/>
      </patternFill>
    </fill>
    <fill>
      <patternFill patternType="solid">
        <fgColor rgb="FF0006DE"/>
        <bgColor indexed="64"/>
      </patternFill>
    </fill>
    <fill>
      <patternFill patternType="solid">
        <fgColor rgb="FF0006DF"/>
        <bgColor indexed="64"/>
      </patternFill>
    </fill>
    <fill>
      <patternFill patternType="solid">
        <fgColor rgb="FF0006E0"/>
        <bgColor indexed="64"/>
      </patternFill>
    </fill>
    <fill>
      <patternFill patternType="solid">
        <fgColor rgb="FF0006E1"/>
        <bgColor indexed="64"/>
      </patternFill>
    </fill>
    <fill>
      <patternFill patternType="solid">
        <fgColor rgb="FF0006E2"/>
        <bgColor indexed="64"/>
      </patternFill>
    </fill>
    <fill>
      <patternFill patternType="solid">
        <fgColor rgb="FF0006E3"/>
        <bgColor indexed="64"/>
      </patternFill>
    </fill>
    <fill>
      <patternFill patternType="solid">
        <fgColor rgb="FF0006E4"/>
        <bgColor indexed="64"/>
      </patternFill>
    </fill>
    <fill>
      <patternFill patternType="solid">
        <fgColor rgb="FF0006E5"/>
        <bgColor indexed="64"/>
      </patternFill>
    </fill>
    <fill>
      <patternFill patternType="solid">
        <fgColor rgb="FF0006E6"/>
        <bgColor indexed="64"/>
      </patternFill>
    </fill>
    <fill>
      <patternFill patternType="solid">
        <fgColor rgb="FF0006E7"/>
        <bgColor indexed="64"/>
      </patternFill>
    </fill>
    <fill>
      <patternFill patternType="solid">
        <fgColor rgb="FF0006E8"/>
        <bgColor indexed="64"/>
      </patternFill>
    </fill>
    <fill>
      <patternFill patternType="solid">
        <fgColor rgb="FF0006E9"/>
        <bgColor indexed="64"/>
      </patternFill>
    </fill>
    <fill>
      <patternFill patternType="solid">
        <fgColor rgb="FF0006EA"/>
        <bgColor indexed="64"/>
      </patternFill>
    </fill>
    <fill>
      <patternFill patternType="solid">
        <fgColor rgb="FF0006EB"/>
        <bgColor indexed="64"/>
      </patternFill>
    </fill>
    <fill>
      <patternFill patternType="solid">
        <fgColor rgb="FF0006EC"/>
        <bgColor indexed="64"/>
      </patternFill>
    </fill>
    <fill>
      <patternFill patternType="solid">
        <fgColor rgb="FF0006ED"/>
        <bgColor indexed="64"/>
      </patternFill>
    </fill>
    <fill>
      <patternFill patternType="solid">
        <fgColor rgb="FF0006EE"/>
        <bgColor indexed="64"/>
      </patternFill>
    </fill>
    <fill>
      <patternFill patternType="solid">
        <fgColor rgb="FF0006EF"/>
        <bgColor indexed="64"/>
      </patternFill>
    </fill>
    <fill>
      <patternFill patternType="solid">
        <fgColor rgb="FF0006F0"/>
        <bgColor indexed="64"/>
      </patternFill>
    </fill>
    <fill>
      <patternFill patternType="solid">
        <fgColor rgb="FF0006F1"/>
        <bgColor indexed="64"/>
      </patternFill>
    </fill>
    <fill>
      <patternFill patternType="solid">
        <fgColor rgb="FF0006F2"/>
        <bgColor indexed="64"/>
      </patternFill>
    </fill>
    <fill>
      <patternFill patternType="solid">
        <fgColor rgb="FF0006F3"/>
        <bgColor indexed="64"/>
      </patternFill>
    </fill>
    <fill>
      <patternFill patternType="solid">
        <fgColor rgb="FF0006F4"/>
        <bgColor indexed="64"/>
      </patternFill>
    </fill>
    <fill>
      <patternFill patternType="solid">
        <fgColor rgb="FF0006F5"/>
        <bgColor indexed="64"/>
      </patternFill>
    </fill>
    <fill>
      <patternFill patternType="solid">
        <fgColor rgb="FF0006F6"/>
        <bgColor indexed="64"/>
      </patternFill>
    </fill>
    <fill>
      <patternFill patternType="solid">
        <fgColor rgb="FF0006F7"/>
        <bgColor indexed="64"/>
      </patternFill>
    </fill>
    <fill>
      <patternFill patternType="solid">
        <fgColor rgb="FF0006F8"/>
        <bgColor indexed="64"/>
      </patternFill>
    </fill>
    <fill>
      <patternFill patternType="solid">
        <fgColor rgb="FF0006F9"/>
        <bgColor indexed="64"/>
      </patternFill>
    </fill>
    <fill>
      <patternFill patternType="solid">
        <fgColor rgb="FF0006FA"/>
        <bgColor indexed="64"/>
      </patternFill>
    </fill>
    <fill>
      <patternFill patternType="solid">
        <fgColor rgb="FF0006FB"/>
        <bgColor indexed="64"/>
      </patternFill>
    </fill>
    <fill>
      <patternFill patternType="solid">
        <fgColor rgb="FF0006FC"/>
        <bgColor indexed="64"/>
      </patternFill>
    </fill>
    <fill>
      <patternFill patternType="solid">
        <fgColor rgb="FF0006FD"/>
        <bgColor indexed="64"/>
      </patternFill>
    </fill>
    <fill>
      <patternFill patternType="solid">
        <fgColor rgb="FF0006FE"/>
        <bgColor indexed="64"/>
      </patternFill>
    </fill>
    <fill>
      <patternFill patternType="solid">
        <fgColor rgb="FF0006FF"/>
        <bgColor indexed="64"/>
      </patternFill>
    </fill>
    <fill>
      <patternFill patternType="solid">
        <fgColor rgb="FF000700"/>
        <bgColor indexed="64"/>
      </patternFill>
    </fill>
    <fill>
      <patternFill patternType="solid">
        <fgColor rgb="FF000701"/>
        <bgColor indexed="64"/>
      </patternFill>
    </fill>
    <fill>
      <patternFill patternType="solid">
        <fgColor rgb="FF000702"/>
        <bgColor indexed="64"/>
      </patternFill>
    </fill>
    <fill>
      <patternFill patternType="solid">
        <fgColor rgb="FF000703"/>
        <bgColor indexed="64"/>
      </patternFill>
    </fill>
    <fill>
      <patternFill patternType="solid">
        <fgColor rgb="FF000704"/>
        <bgColor indexed="64"/>
      </patternFill>
    </fill>
    <fill>
      <patternFill patternType="solid">
        <fgColor rgb="FF000705"/>
        <bgColor indexed="64"/>
      </patternFill>
    </fill>
    <fill>
      <patternFill patternType="solid">
        <fgColor rgb="FF000706"/>
        <bgColor indexed="64"/>
      </patternFill>
    </fill>
    <fill>
      <patternFill patternType="solid">
        <fgColor rgb="FF000707"/>
        <bgColor indexed="64"/>
      </patternFill>
    </fill>
    <fill>
      <patternFill patternType="solid">
        <fgColor rgb="FF000708"/>
        <bgColor indexed="64"/>
      </patternFill>
    </fill>
    <fill>
      <patternFill patternType="solid">
        <fgColor rgb="FF000709"/>
        <bgColor indexed="64"/>
      </patternFill>
    </fill>
    <fill>
      <patternFill patternType="solid">
        <fgColor rgb="FF00070A"/>
        <bgColor indexed="64"/>
      </patternFill>
    </fill>
    <fill>
      <patternFill patternType="solid">
        <fgColor rgb="FF00070B"/>
        <bgColor indexed="64"/>
      </patternFill>
    </fill>
    <fill>
      <patternFill patternType="solid">
        <fgColor rgb="FF00070C"/>
        <bgColor indexed="64"/>
      </patternFill>
    </fill>
    <fill>
      <patternFill patternType="solid">
        <fgColor rgb="FF00070D"/>
        <bgColor indexed="64"/>
      </patternFill>
    </fill>
    <fill>
      <patternFill patternType="solid">
        <fgColor rgb="FF00070E"/>
        <bgColor indexed="64"/>
      </patternFill>
    </fill>
    <fill>
      <patternFill patternType="solid">
        <fgColor rgb="FF00070F"/>
        <bgColor indexed="64"/>
      </patternFill>
    </fill>
    <fill>
      <patternFill patternType="solid">
        <fgColor rgb="FF000710"/>
        <bgColor indexed="64"/>
      </patternFill>
    </fill>
    <fill>
      <patternFill patternType="solid">
        <fgColor rgb="FF000711"/>
        <bgColor indexed="64"/>
      </patternFill>
    </fill>
    <fill>
      <patternFill patternType="solid">
        <fgColor rgb="FF000712"/>
        <bgColor indexed="64"/>
      </patternFill>
    </fill>
    <fill>
      <patternFill patternType="solid">
        <fgColor rgb="FF000713"/>
        <bgColor indexed="64"/>
      </patternFill>
    </fill>
    <fill>
      <patternFill patternType="solid">
        <fgColor rgb="FF000714"/>
        <bgColor indexed="64"/>
      </patternFill>
    </fill>
    <fill>
      <patternFill patternType="solid">
        <fgColor rgb="FF000715"/>
        <bgColor indexed="64"/>
      </patternFill>
    </fill>
    <fill>
      <patternFill patternType="solid">
        <fgColor rgb="FF000716"/>
        <bgColor indexed="64"/>
      </patternFill>
    </fill>
    <fill>
      <patternFill patternType="solid">
        <fgColor rgb="FF000717"/>
        <bgColor indexed="64"/>
      </patternFill>
    </fill>
    <fill>
      <patternFill patternType="solid">
        <fgColor rgb="FF000718"/>
        <bgColor indexed="64"/>
      </patternFill>
    </fill>
    <fill>
      <patternFill patternType="solid">
        <fgColor rgb="FF000719"/>
        <bgColor indexed="64"/>
      </patternFill>
    </fill>
    <fill>
      <patternFill patternType="solid">
        <fgColor rgb="FF00071A"/>
        <bgColor indexed="64"/>
      </patternFill>
    </fill>
    <fill>
      <patternFill patternType="solid">
        <fgColor rgb="FF00071B"/>
        <bgColor indexed="64"/>
      </patternFill>
    </fill>
    <fill>
      <patternFill patternType="solid">
        <fgColor rgb="FF00071C"/>
        <bgColor indexed="64"/>
      </patternFill>
    </fill>
    <fill>
      <patternFill patternType="solid">
        <fgColor rgb="FF00071D"/>
        <bgColor indexed="64"/>
      </patternFill>
    </fill>
    <fill>
      <patternFill patternType="solid">
        <fgColor rgb="FF00071E"/>
        <bgColor indexed="64"/>
      </patternFill>
    </fill>
    <fill>
      <patternFill patternType="solid">
        <fgColor rgb="FF00071F"/>
        <bgColor indexed="64"/>
      </patternFill>
    </fill>
    <fill>
      <patternFill patternType="solid">
        <fgColor rgb="FF000720"/>
        <bgColor indexed="64"/>
      </patternFill>
    </fill>
    <fill>
      <patternFill patternType="solid">
        <fgColor rgb="FF000721"/>
        <bgColor indexed="64"/>
      </patternFill>
    </fill>
    <fill>
      <patternFill patternType="solid">
        <fgColor rgb="FF000722"/>
        <bgColor indexed="64"/>
      </patternFill>
    </fill>
    <fill>
      <patternFill patternType="solid">
        <fgColor rgb="FF000723"/>
        <bgColor indexed="64"/>
      </patternFill>
    </fill>
    <fill>
      <patternFill patternType="solid">
        <fgColor rgb="FF000724"/>
        <bgColor indexed="64"/>
      </patternFill>
    </fill>
    <fill>
      <patternFill patternType="solid">
        <fgColor rgb="FF000725"/>
        <bgColor indexed="64"/>
      </patternFill>
    </fill>
    <fill>
      <patternFill patternType="solid">
        <fgColor rgb="FF000726"/>
        <bgColor indexed="64"/>
      </patternFill>
    </fill>
    <fill>
      <patternFill patternType="solid">
        <fgColor rgb="FF000727"/>
        <bgColor indexed="64"/>
      </patternFill>
    </fill>
    <fill>
      <patternFill patternType="solid">
        <fgColor rgb="FF000728"/>
        <bgColor indexed="64"/>
      </patternFill>
    </fill>
    <fill>
      <patternFill patternType="solid">
        <fgColor rgb="FF000729"/>
        <bgColor indexed="64"/>
      </patternFill>
    </fill>
    <fill>
      <patternFill patternType="solid">
        <fgColor rgb="FF00072A"/>
        <bgColor indexed="64"/>
      </patternFill>
    </fill>
    <fill>
      <patternFill patternType="solid">
        <fgColor rgb="FF00072B"/>
        <bgColor indexed="64"/>
      </patternFill>
    </fill>
    <fill>
      <patternFill patternType="solid">
        <fgColor rgb="FF00072C"/>
        <bgColor indexed="64"/>
      </patternFill>
    </fill>
    <fill>
      <patternFill patternType="solid">
        <fgColor rgb="FF00072D"/>
        <bgColor indexed="64"/>
      </patternFill>
    </fill>
    <fill>
      <patternFill patternType="solid">
        <fgColor rgb="FF00072E"/>
        <bgColor indexed="64"/>
      </patternFill>
    </fill>
    <fill>
      <patternFill patternType="solid">
        <fgColor rgb="FF00072F"/>
        <bgColor indexed="64"/>
      </patternFill>
    </fill>
    <fill>
      <patternFill patternType="solid">
        <fgColor rgb="FF000730"/>
        <bgColor indexed="64"/>
      </patternFill>
    </fill>
    <fill>
      <patternFill patternType="solid">
        <fgColor rgb="FF000731"/>
        <bgColor indexed="64"/>
      </patternFill>
    </fill>
    <fill>
      <patternFill patternType="solid">
        <fgColor rgb="FF000732"/>
        <bgColor indexed="64"/>
      </patternFill>
    </fill>
    <fill>
      <patternFill patternType="solid">
        <fgColor rgb="FF000733"/>
        <bgColor indexed="64"/>
      </patternFill>
    </fill>
    <fill>
      <patternFill patternType="solid">
        <fgColor rgb="FF000734"/>
        <bgColor indexed="64"/>
      </patternFill>
    </fill>
    <fill>
      <patternFill patternType="solid">
        <fgColor rgb="FF000735"/>
        <bgColor indexed="64"/>
      </patternFill>
    </fill>
    <fill>
      <patternFill patternType="solid">
        <fgColor rgb="FF000736"/>
        <bgColor indexed="64"/>
      </patternFill>
    </fill>
    <fill>
      <patternFill patternType="solid">
        <fgColor rgb="FF000737"/>
        <bgColor indexed="64"/>
      </patternFill>
    </fill>
    <fill>
      <patternFill patternType="solid">
        <fgColor rgb="FF000738"/>
        <bgColor indexed="64"/>
      </patternFill>
    </fill>
    <fill>
      <patternFill patternType="solid">
        <fgColor rgb="FF000739"/>
        <bgColor indexed="64"/>
      </patternFill>
    </fill>
    <fill>
      <patternFill patternType="solid">
        <fgColor rgb="FF00073A"/>
        <bgColor indexed="64"/>
      </patternFill>
    </fill>
    <fill>
      <patternFill patternType="solid">
        <fgColor rgb="FF00073B"/>
        <bgColor indexed="64"/>
      </patternFill>
    </fill>
    <fill>
      <patternFill patternType="solid">
        <fgColor rgb="FF00073C"/>
        <bgColor indexed="64"/>
      </patternFill>
    </fill>
    <fill>
      <patternFill patternType="solid">
        <fgColor rgb="FF00073D"/>
        <bgColor indexed="64"/>
      </patternFill>
    </fill>
    <fill>
      <patternFill patternType="solid">
        <fgColor rgb="FF00073E"/>
        <bgColor indexed="64"/>
      </patternFill>
    </fill>
    <fill>
      <patternFill patternType="solid">
        <fgColor rgb="FF00073F"/>
        <bgColor indexed="64"/>
      </patternFill>
    </fill>
    <fill>
      <patternFill patternType="solid">
        <fgColor rgb="FF000740"/>
        <bgColor indexed="64"/>
      </patternFill>
    </fill>
    <fill>
      <patternFill patternType="solid">
        <fgColor rgb="FF000741"/>
        <bgColor indexed="64"/>
      </patternFill>
    </fill>
    <fill>
      <patternFill patternType="solid">
        <fgColor rgb="FF000742"/>
        <bgColor indexed="64"/>
      </patternFill>
    </fill>
    <fill>
      <patternFill patternType="solid">
        <fgColor rgb="FF000743"/>
        <bgColor indexed="64"/>
      </patternFill>
    </fill>
    <fill>
      <patternFill patternType="solid">
        <fgColor rgb="FF000744"/>
        <bgColor indexed="64"/>
      </patternFill>
    </fill>
    <fill>
      <patternFill patternType="solid">
        <fgColor rgb="FF000745"/>
        <bgColor indexed="64"/>
      </patternFill>
    </fill>
    <fill>
      <patternFill patternType="solid">
        <fgColor rgb="FF000746"/>
        <bgColor indexed="64"/>
      </patternFill>
    </fill>
    <fill>
      <patternFill patternType="solid">
        <fgColor rgb="FF000747"/>
        <bgColor indexed="64"/>
      </patternFill>
    </fill>
    <fill>
      <patternFill patternType="solid">
        <fgColor rgb="FF000748"/>
        <bgColor indexed="64"/>
      </patternFill>
    </fill>
    <fill>
      <patternFill patternType="solid">
        <fgColor rgb="FF000749"/>
        <bgColor indexed="64"/>
      </patternFill>
    </fill>
    <fill>
      <patternFill patternType="solid">
        <fgColor rgb="FF00074A"/>
        <bgColor indexed="64"/>
      </patternFill>
    </fill>
    <fill>
      <patternFill patternType="solid">
        <fgColor rgb="FF00074B"/>
        <bgColor indexed="64"/>
      </patternFill>
    </fill>
    <fill>
      <patternFill patternType="solid">
        <fgColor rgb="FF00074C"/>
        <bgColor indexed="64"/>
      </patternFill>
    </fill>
    <fill>
      <patternFill patternType="solid">
        <fgColor rgb="FF00074D"/>
        <bgColor indexed="64"/>
      </patternFill>
    </fill>
    <fill>
      <patternFill patternType="solid">
        <fgColor rgb="FF00074E"/>
        <bgColor indexed="64"/>
      </patternFill>
    </fill>
    <fill>
      <patternFill patternType="solid">
        <fgColor rgb="FF00074F"/>
        <bgColor indexed="64"/>
      </patternFill>
    </fill>
    <fill>
      <patternFill patternType="solid">
        <fgColor rgb="FF000750"/>
        <bgColor indexed="64"/>
      </patternFill>
    </fill>
    <fill>
      <patternFill patternType="solid">
        <fgColor rgb="FF000751"/>
        <bgColor indexed="64"/>
      </patternFill>
    </fill>
    <fill>
      <patternFill patternType="solid">
        <fgColor rgb="FF000752"/>
        <bgColor indexed="64"/>
      </patternFill>
    </fill>
    <fill>
      <patternFill patternType="solid">
        <fgColor rgb="FF000753"/>
        <bgColor indexed="64"/>
      </patternFill>
    </fill>
    <fill>
      <patternFill patternType="solid">
        <fgColor rgb="FF000754"/>
        <bgColor indexed="64"/>
      </patternFill>
    </fill>
    <fill>
      <patternFill patternType="solid">
        <fgColor rgb="FF000755"/>
        <bgColor indexed="64"/>
      </patternFill>
    </fill>
    <fill>
      <patternFill patternType="solid">
        <fgColor rgb="FF000756"/>
        <bgColor indexed="64"/>
      </patternFill>
    </fill>
    <fill>
      <patternFill patternType="solid">
        <fgColor rgb="FF000757"/>
        <bgColor indexed="64"/>
      </patternFill>
    </fill>
    <fill>
      <patternFill patternType="solid">
        <fgColor rgb="FF000758"/>
        <bgColor indexed="64"/>
      </patternFill>
    </fill>
    <fill>
      <patternFill patternType="solid">
        <fgColor rgb="FF000759"/>
        <bgColor indexed="64"/>
      </patternFill>
    </fill>
    <fill>
      <patternFill patternType="solid">
        <fgColor rgb="FF00075A"/>
        <bgColor indexed="64"/>
      </patternFill>
    </fill>
    <fill>
      <patternFill patternType="solid">
        <fgColor rgb="FF00075B"/>
        <bgColor indexed="64"/>
      </patternFill>
    </fill>
    <fill>
      <patternFill patternType="solid">
        <fgColor rgb="FF00075C"/>
        <bgColor indexed="64"/>
      </patternFill>
    </fill>
    <fill>
      <patternFill patternType="solid">
        <fgColor rgb="FF00075D"/>
        <bgColor indexed="64"/>
      </patternFill>
    </fill>
    <fill>
      <patternFill patternType="solid">
        <fgColor rgb="FF00075E"/>
        <bgColor indexed="64"/>
      </patternFill>
    </fill>
    <fill>
      <patternFill patternType="solid">
        <fgColor rgb="FF00075F"/>
        <bgColor indexed="64"/>
      </patternFill>
    </fill>
    <fill>
      <patternFill patternType="solid">
        <fgColor rgb="FF000760"/>
        <bgColor indexed="64"/>
      </patternFill>
    </fill>
    <fill>
      <patternFill patternType="solid">
        <fgColor rgb="FF000761"/>
        <bgColor indexed="64"/>
      </patternFill>
    </fill>
    <fill>
      <patternFill patternType="solid">
        <fgColor rgb="FF000762"/>
        <bgColor indexed="64"/>
      </patternFill>
    </fill>
    <fill>
      <patternFill patternType="solid">
        <fgColor rgb="FF000763"/>
        <bgColor indexed="64"/>
      </patternFill>
    </fill>
    <fill>
      <patternFill patternType="solid">
        <fgColor rgb="FF000764"/>
        <bgColor indexed="64"/>
      </patternFill>
    </fill>
    <fill>
      <patternFill patternType="solid">
        <fgColor rgb="FF000765"/>
        <bgColor indexed="64"/>
      </patternFill>
    </fill>
    <fill>
      <patternFill patternType="solid">
        <fgColor rgb="FF000766"/>
        <bgColor indexed="64"/>
      </patternFill>
    </fill>
    <fill>
      <patternFill patternType="solid">
        <fgColor rgb="FF000767"/>
        <bgColor indexed="64"/>
      </patternFill>
    </fill>
    <fill>
      <patternFill patternType="solid">
        <fgColor rgb="FF000768"/>
        <bgColor indexed="64"/>
      </patternFill>
    </fill>
    <fill>
      <patternFill patternType="solid">
        <fgColor rgb="FF000769"/>
        <bgColor indexed="64"/>
      </patternFill>
    </fill>
    <fill>
      <patternFill patternType="solid">
        <fgColor rgb="FF00076A"/>
        <bgColor indexed="64"/>
      </patternFill>
    </fill>
    <fill>
      <patternFill patternType="solid">
        <fgColor rgb="FF00076B"/>
        <bgColor indexed="64"/>
      </patternFill>
    </fill>
    <fill>
      <patternFill patternType="solid">
        <fgColor rgb="FF00076C"/>
        <bgColor indexed="64"/>
      </patternFill>
    </fill>
    <fill>
      <patternFill patternType="solid">
        <fgColor rgb="FF00076D"/>
        <bgColor indexed="64"/>
      </patternFill>
    </fill>
    <fill>
      <patternFill patternType="solid">
        <fgColor rgb="FF00076E"/>
        <bgColor indexed="64"/>
      </patternFill>
    </fill>
    <fill>
      <patternFill patternType="solid">
        <fgColor rgb="FF00076F"/>
        <bgColor indexed="64"/>
      </patternFill>
    </fill>
    <fill>
      <patternFill patternType="solid">
        <fgColor rgb="FF000770"/>
        <bgColor indexed="64"/>
      </patternFill>
    </fill>
    <fill>
      <patternFill patternType="solid">
        <fgColor rgb="FF000771"/>
        <bgColor indexed="64"/>
      </patternFill>
    </fill>
    <fill>
      <patternFill patternType="solid">
        <fgColor rgb="FF000772"/>
        <bgColor indexed="64"/>
      </patternFill>
    </fill>
    <fill>
      <patternFill patternType="solid">
        <fgColor rgb="FF000773"/>
        <bgColor indexed="64"/>
      </patternFill>
    </fill>
    <fill>
      <patternFill patternType="solid">
        <fgColor rgb="FF000774"/>
        <bgColor indexed="64"/>
      </patternFill>
    </fill>
    <fill>
      <patternFill patternType="solid">
        <fgColor rgb="FF000775"/>
        <bgColor indexed="64"/>
      </patternFill>
    </fill>
    <fill>
      <patternFill patternType="solid">
        <fgColor rgb="FF000776"/>
        <bgColor indexed="64"/>
      </patternFill>
    </fill>
    <fill>
      <patternFill patternType="solid">
        <fgColor rgb="FF000777"/>
        <bgColor indexed="64"/>
      </patternFill>
    </fill>
    <fill>
      <patternFill patternType="solid">
        <fgColor rgb="FF000778"/>
        <bgColor indexed="64"/>
      </patternFill>
    </fill>
    <fill>
      <patternFill patternType="solid">
        <fgColor rgb="FF000779"/>
        <bgColor indexed="64"/>
      </patternFill>
    </fill>
    <fill>
      <patternFill patternType="solid">
        <fgColor rgb="FF00077A"/>
        <bgColor indexed="64"/>
      </patternFill>
    </fill>
    <fill>
      <patternFill patternType="solid">
        <fgColor rgb="FF00077B"/>
        <bgColor indexed="64"/>
      </patternFill>
    </fill>
    <fill>
      <patternFill patternType="solid">
        <fgColor rgb="FF00077C"/>
        <bgColor indexed="64"/>
      </patternFill>
    </fill>
    <fill>
      <patternFill patternType="solid">
        <fgColor rgb="FF00077D"/>
        <bgColor indexed="64"/>
      </patternFill>
    </fill>
    <fill>
      <patternFill patternType="solid">
        <fgColor rgb="FF00077E"/>
        <bgColor indexed="64"/>
      </patternFill>
    </fill>
    <fill>
      <patternFill patternType="solid">
        <fgColor rgb="FF00077F"/>
        <bgColor indexed="64"/>
      </patternFill>
    </fill>
    <fill>
      <patternFill patternType="solid">
        <fgColor rgb="FF000780"/>
        <bgColor indexed="64"/>
      </patternFill>
    </fill>
    <fill>
      <patternFill patternType="solid">
        <fgColor rgb="FF000781"/>
        <bgColor indexed="64"/>
      </patternFill>
    </fill>
    <fill>
      <patternFill patternType="solid">
        <fgColor rgb="FF000782"/>
        <bgColor indexed="64"/>
      </patternFill>
    </fill>
    <fill>
      <patternFill patternType="solid">
        <fgColor rgb="FF000783"/>
        <bgColor indexed="64"/>
      </patternFill>
    </fill>
    <fill>
      <patternFill patternType="solid">
        <fgColor rgb="FF000784"/>
        <bgColor indexed="64"/>
      </patternFill>
    </fill>
    <fill>
      <patternFill patternType="solid">
        <fgColor rgb="FF000785"/>
        <bgColor indexed="64"/>
      </patternFill>
    </fill>
    <fill>
      <patternFill patternType="solid">
        <fgColor rgb="FF000786"/>
        <bgColor indexed="64"/>
      </patternFill>
    </fill>
    <fill>
      <patternFill patternType="solid">
        <fgColor rgb="FF000787"/>
        <bgColor indexed="64"/>
      </patternFill>
    </fill>
    <fill>
      <patternFill patternType="solid">
        <fgColor rgb="FF000788"/>
        <bgColor indexed="64"/>
      </patternFill>
    </fill>
    <fill>
      <patternFill patternType="solid">
        <fgColor rgb="FF000789"/>
        <bgColor indexed="64"/>
      </patternFill>
    </fill>
    <fill>
      <patternFill patternType="solid">
        <fgColor rgb="FF00078A"/>
        <bgColor indexed="64"/>
      </patternFill>
    </fill>
    <fill>
      <patternFill patternType="solid">
        <fgColor rgb="FF00078B"/>
        <bgColor indexed="64"/>
      </patternFill>
    </fill>
    <fill>
      <patternFill patternType="solid">
        <fgColor rgb="FF00078C"/>
        <bgColor indexed="64"/>
      </patternFill>
    </fill>
    <fill>
      <patternFill patternType="solid">
        <fgColor rgb="FF00078D"/>
        <bgColor indexed="64"/>
      </patternFill>
    </fill>
    <fill>
      <patternFill patternType="solid">
        <fgColor rgb="FF00078E"/>
        <bgColor indexed="64"/>
      </patternFill>
    </fill>
    <fill>
      <patternFill patternType="solid">
        <fgColor rgb="FF00078F"/>
        <bgColor indexed="64"/>
      </patternFill>
    </fill>
    <fill>
      <patternFill patternType="solid">
        <fgColor rgb="FF000790"/>
        <bgColor indexed="64"/>
      </patternFill>
    </fill>
    <fill>
      <patternFill patternType="solid">
        <fgColor rgb="FF000791"/>
        <bgColor indexed="64"/>
      </patternFill>
    </fill>
    <fill>
      <patternFill patternType="solid">
        <fgColor rgb="FF000792"/>
        <bgColor indexed="64"/>
      </patternFill>
    </fill>
    <fill>
      <patternFill patternType="solid">
        <fgColor rgb="FF000793"/>
        <bgColor indexed="64"/>
      </patternFill>
    </fill>
    <fill>
      <patternFill patternType="solid">
        <fgColor rgb="FF000794"/>
        <bgColor indexed="64"/>
      </patternFill>
    </fill>
    <fill>
      <patternFill patternType="solid">
        <fgColor rgb="FF000795"/>
        <bgColor indexed="64"/>
      </patternFill>
    </fill>
    <fill>
      <patternFill patternType="solid">
        <fgColor rgb="FF000796"/>
        <bgColor indexed="64"/>
      </patternFill>
    </fill>
    <fill>
      <patternFill patternType="solid">
        <fgColor rgb="FF000797"/>
        <bgColor indexed="64"/>
      </patternFill>
    </fill>
    <fill>
      <patternFill patternType="solid">
        <fgColor rgb="FF000798"/>
        <bgColor indexed="64"/>
      </patternFill>
    </fill>
    <fill>
      <patternFill patternType="solid">
        <fgColor rgb="FF000799"/>
        <bgColor indexed="64"/>
      </patternFill>
    </fill>
    <fill>
      <patternFill patternType="solid">
        <fgColor rgb="FF00079A"/>
        <bgColor indexed="64"/>
      </patternFill>
    </fill>
    <fill>
      <patternFill patternType="solid">
        <fgColor rgb="FF00079B"/>
        <bgColor indexed="64"/>
      </patternFill>
    </fill>
    <fill>
      <patternFill patternType="solid">
        <fgColor rgb="FF00079C"/>
        <bgColor indexed="64"/>
      </patternFill>
    </fill>
    <fill>
      <patternFill patternType="solid">
        <fgColor rgb="FF00079D"/>
        <bgColor indexed="64"/>
      </patternFill>
    </fill>
    <fill>
      <patternFill patternType="solid">
        <fgColor rgb="FF00079E"/>
        <bgColor indexed="64"/>
      </patternFill>
    </fill>
    <fill>
      <patternFill patternType="solid">
        <fgColor rgb="FF00079F"/>
        <bgColor indexed="64"/>
      </patternFill>
    </fill>
    <fill>
      <patternFill patternType="solid">
        <fgColor rgb="FF0007A0"/>
        <bgColor indexed="64"/>
      </patternFill>
    </fill>
    <fill>
      <patternFill patternType="solid">
        <fgColor rgb="FF0007A1"/>
        <bgColor indexed="64"/>
      </patternFill>
    </fill>
    <fill>
      <patternFill patternType="solid">
        <fgColor rgb="FF0007A2"/>
        <bgColor indexed="64"/>
      </patternFill>
    </fill>
    <fill>
      <patternFill patternType="solid">
        <fgColor rgb="FF0007A3"/>
        <bgColor indexed="64"/>
      </patternFill>
    </fill>
    <fill>
      <patternFill patternType="solid">
        <fgColor rgb="FF0007A4"/>
        <bgColor indexed="64"/>
      </patternFill>
    </fill>
    <fill>
      <patternFill patternType="solid">
        <fgColor rgb="FF0007A5"/>
        <bgColor indexed="64"/>
      </patternFill>
    </fill>
    <fill>
      <patternFill patternType="solid">
        <fgColor rgb="FF0007A6"/>
        <bgColor indexed="64"/>
      </patternFill>
    </fill>
    <fill>
      <patternFill patternType="solid">
        <fgColor rgb="FF0007A7"/>
        <bgColor indexed="64"/>
      </patternFill>
    </fill>
    <fill>
      <patternFill patternType="solid">
        <fgColor rgb="FF0007A8"/>
        <bgColor indexed="64"/>
      </patternFill>
    </fill>
    <fill>
      <patternFill patternType="solid">
        <fgColor rgb="FF0007A9"/>
        <bgColor indexed="64"/>
      </patternFill>
    </fill>
    <fill>
      <patternFill patternType="solid">
        <fgColor rgb="FF0007AA"/>
        <bgColor indexed="64"/>
      </patternFill>
    </fill>
    <fill>
      <patternFill patternType="solid">
        <fgColor rgb="FF0007AB"/>
        <bgColor indexed="64"/>
      </patternFill>
    </fill>
    <fill>
      <patternFill patternType="solid">
        <fgColor rgb="FF0007AC"/>
        <bgColor indexed="64"/>
      </patternFill>
    </fill>
    <fill>
      <patternFill patternType="solid">
        <fgColor rgb="FF0007AD"/>
        <bgColor indexed="64"/>
      </patternFill>
    </fill>
    <fill>
      <patternFill patternType="solid">
        <fgColor rgb="FF0007AE"/>
        <bgColor indexed="64"/>
      </patternFill>
    </fill>
    <fill>
      <patternFill patternType="solid">
        <fgColor rgb="FF0007AF"/>
        <bgColor indexed="64"/>
      </patternFill>
    </fill>
    <fill>
      <patternFill patternType="solid">
        <fgColor rgb="FF0007B0"/>
        <bgColor indexed="64"/>
      </patternFill>
    </fill>
    <fill>
      <patternFill patternType="solid">
        <fgColor rgb="FF0007B1"/>
        <bgColor indexed="64"/>
      </patternFill>
    </fill>
    <fill>
      <patternFill patternType="solid">
        <fgColor rgb="FF0007B2"/>
        <bgColor indexed="64"/>
      </patternFill>
    </fill>
    <fill>
      <patternFill patternType="solid">
        <fgColor rgb="FF0007B3"/>
        <bgColor indexed="64"/>
      </patternFill>
    </fill>
    <fill>
      <patternFill patternType="solid">
        <fgColor rgb="FF0007B4"/>
        <bgColor indexed="64"/>
      </patternFill>
    </fill>
    <fill>
      <patternFill patternType="solid">
        <fgColor rgb="FF0007B5"/>
        <bgColor indexed="64"/>
      </patternFill>
    </fill>
    <fill>
      <patternFill patternType="solid">
        <fgColor rgb="FF0007B6"/>
        <bgColor indexed="64"/>
      </patternFill>
    </fill>
    <fill>
      <patternFill patternType="solid">
        <fgColor rgb="FF0007B7"/>
        <bgColor indexed="64"/>
      </patternFill>
    </fill>
    <fill>
      <patternFill patternType="solid">
        <fgColor rgb="FF0007B8"/>
        <bgColor indexed="64"/>
      </patternFill>
    </fill>
    <fill>
      <patternFill patternType="solid">
        <fgColor rgb="FF0007B9"/>
        <bgColor indexed="64"/>
      </patternFill>
    </fill>
    <fill>
      <patternFill patternType="solid">
        <fgColor rgb="FF0007BA"/>
        <bgColor indexed="64"/>
      </patternFill>
    </fill>
    <fill>
      <patternFill patternType="solid">
        <fgColor rgb="FF0007BB"/>
        <bgColor indexed="64"/>
      </patternFill>
    </fill>
    <fill>
      <patternFill patternType="solid">
        <fgColor rgb="FF0007BC"/>
        <bgColor indexed="64"/>
      </patternFill>
    </fill>
    <fill>
      <patternFill patternType="solid">
        <fgColor rgb="FF0007BD"/>
        <bgColor indexed="64"/>
      </patternFill>
    </fill>
    <fill>
      <patternFill patternType="solid">
        <fgColor rgb="FF0007BE"/>
        <bgColor indexed="64"/>
      </patternFill>
    </fill>
    <fill>
      <patternFill patternType="solid">
        <fgColor rgb="FF0007BF"/>
        <bgColor indexed="64"/>
      </patternFill>
    </fill>
    <fill>
      <patternFill patternType="solid">
        <fgColor rgb="FF0007C0"/>
        <bgColor indexed="64"/>
      </patternFill>
    </fill>
    <fill>
      <patternFill patternType="solid">
        <fgColor rgb="FF0007C1"/>
        <bgColor indexed="64"/>
      </patternFill>
    </fill>
    <fill>
      <patternFill patternType="solid">
        <fgColor rgb="FF0007C2"/>
        <bgColor indexed="64"/>
      </patternFill>
    </fill>
    <fill>
      <patternFill patternType="solid">
        <fgColor rgb="FF0007C3"/>
        <bgColor indexed="64"/>
      </patternFill>
    </fill>
    <fill>
      <patternFill patternType="solid">
        <fgColor rgb="FF0007C4"/>
        <bgColor indexed="64"/>
      </patternFill>
    </fill>
    <fill>
      <patternFill patternType="solid">
        <fgColor rgb="FF0007C5"/>
        <bgColor indexed="64"/>
      </patternFill>
    </fill>
    <fill>
      <patternFill patternType="solid">
        <fgColor rgb="FF0007C6"/>
        <bgColor indexed="64"/>
      </patternFill>
    </fill>
    <fill>
      <patternFill patternType="solid">
        <fgColor rgb="FF0007C7"/>
        <bgColor indexed="64"/>
      </patternFill>
    </fill>
    <fill>
      <patternFill patternType="solid">
        <fgColor rgb="FF0007C8"/>
        <bgColor indexed="64"/>
      </patternFill>
    </fill>
    <fill>
      <patternFill patternType="solid">
        <fgColor rgb="FF0007C9"/>
        <bgColor indexed="64"/>
      </patternFill>
    </fill>
    <fill>
      <patternFill patternType="solid">
        <fgColor rgb="FF0007CA"/>
        <bgColor indexed="64"/>
      </patternFill>
    </fill>
    <fill>
      <patternFill patternType="solid">
        <fgColor rgb="FF0007CB"/>
        <bgColor indexed="64"/>
      </patternFill>
    </fill>
    <fill>
      <patternFill patternType="solid">
        <fgColor rgb="FF0007CC"/>
        <bgColor indexed="64"/>
      </patternFill>
    </fill>
    <fill>
      <patternFill patternType="solid">
        <fgColor rgb="FF0007CD"/>
        <bgColor indexed="64"/>
      </patternFill>
    </fill>
    <fill>
      <patternFill patternType="solid">
        <fgColor rgb="FF0007CE"/>
        <bgColor indexed="64"/>
      </patternFill>
    </fill>
    <fill>
      <patternFill patternType="solid">
        <fgColor rgb="FF0007CF"/>
        <bgColor indexed="64"/>
      </patternFill>
    </fill>
    <fill>
      <patternFill patternType="solid">
        <fgColor rgb="FF0007D0"/>
        <bgColor indexed="64"/>
      </patternFill>
    </fill>
    <fill>
      <patternFill patternType="solid">
        <fgColor rgb="FF0007D1"/>
        <bgColor indexed="64"/>
      </patternFill>
    </fill>
    <fill>
      <patternFill patternType="solid">
        <fgColor rgb="FF0007D2"/>
        <bgColor indexed="64"/>
      </patternFill>
    </fill>
    <fill>
      <patternFill patternType="solid">
        <fgColor rgb="FF0007D3"/>
        <bgColor indexed="64"/>
      </patternFill>
    </fill>
    <fill>
      <patternFill patternType="solid">
        <fgColor rgb="FF0007D4"/>
        <bgColor indexed="64"/>
      </patternFill>
    </fill>
    <fill>
      <patternFill patternType="solid">
        <fgColor rgb="FF0007D5"/>
        <bgColor indexed="64"/>
      </patternFill>
    </fill>
    <fill>
      <patternFill patternType="solid">
        <fgColor rgb="FF0007D6"/>
        <bgColor indexed="64"/>
      </patternFill>
    </fill>
    <fill>
      <patternFill patternType="solid">
        <fgColor rgb="FF0007D7"/>
        <bgColor indexed="64"/>
      </patternFill>
    </fill>
    <fill>
      <patternFill patternType="solid">
        <fgColor rgb="FF0007D8"/>
        <bgColor indexed="64"/>
      </patternFill>
    </fill>
    <fill>
      <patternFill patternType="solid">
        <fgColor rgb="FF0007D9"/>
        <bgColor indexed="64"/>
      </patternFill>
    </fill>
    <fill>
      <patternFill patternType="solid">
        <fgColor rgb="FF0007DA"/>
        <bgColor indexed="64"/>
      </patternFill>
    </fill>
    <fill>
      <patternFill patternType="solid">
        <fgColor rgb="FF0007DB"/>
        <bgColor indexed="64"/>
      </patternFill>
    </fill>
    <fill>
      <patternFill patternType="solid">
        <fgColor rgb="FF0007DC"/>
        <bgColor indexed="64"/>
      </patternFill>
    </fill>
    <fill>
      <patternFill patternType="solid">
        <fgColor rgb="FF0007DD"/>
        <bgColor indexed="64"/>
      </patternFill>
    </fill>
    <fill>
      <patternFill patternType="solid">
        <fgColor rgb="FF0007DE"/>
        <bgColor indexed="64"/>
      </patternFill>
    </fill>
    <fill>
      <patternFill patternType="solid">
        <fgColor rgb="FF0007DF"/>
        <bgColor indexed="64"/>
      </patternFill>
    </fill>
    <fill>
      <patternFill patternType="solid">
        <fgColor rgb="FF0007E0"/>
        <bgColor indexed="64"/>
      </patternFill>
    </fill>
    <fill>
      <patternFill patternType="solid">
        <fgColor rgb="FF0007E1"/>
        <bgColor indexed="64"/>
      </patternFill>
    </fill>
    <fill>
      <patternFill patternType="solid">
        <fgColor rgb="FF0007E2"/>
        <bgColor indexed="64"/>
      </patternFill>
    </fill>
    <fill>
      <patternFill patternType="solid">
        <fgColor rgb="FF0007E3"/>
        <bgColor indexed="64"/>
      </patternFill>
    </fill>
    <fill>
      <patternFill patternType="solid">
        <fgColor rgb="FF0007E4"/>
        <bgColor indexed="64"/>
      </patternFill>
    </fill>
    <fill>
      <patternFill patternType="solid">
        <fgColor rgb="FF0007E5"/>
        <bgColor indexed="64"/>
      </patternFill>
    </fill>
    <fill>
      <patternFill patternType="solid">
        <fgColor rgb="FF0007E6"/>
        <bgColor indexed="64"/>
      </patternFill>
    </fill>
    <fill>
      <patternFill patternType="solid">
        <fgColor rgb="FF0007E7"/>
        <bgColor indexed="64"/>
      </patternFill>
    </fill>
    <fill>
      <patternFill patternType="solid">
        <fgColor rgb="FF0007E8"/>
        <bgColor indexed="64"/>
      </patternFill>
    </fill>
    <fill>
      <patternFill patternType="solid">
        <fgColor rgb="FF0007E9"/>
        <bgColor indexed="64"/>
      </patternFill>
    </fill>
    <fill>
      <patternFill patternType="solid">
        <fgColor rgb="FF0007EA"/>
        <bgColor indexed="64"/>
      </patternFill>
    </fill>
    <fill>
      <patternFill patternType="solid">
        <fgColor rgb="FF0007EB"/>
        <bgColor indexed="64"/>
      </patternFill>
    </fill>
    <fill>
      <patternFill patternType="solid">
        <fgColor rgb="FF0007EC"/>
        <bgColor indexed="64"/>
      </patternFill>
    </fill>
    <fill>
      <patternFill patternType="solid">
        <fgColor rgb="FF0007ED"/>
        <bgColor indexed="64"/>
      </patternFill>
    </fill>
    <fill>
      <patternFill patternType="solid">
        <fgColor rgb="FF0007EE"/>
        <bgColor indexed="64"/>
      </patternFill>
    </fill>
    <fill>
      <patternFill patternType="solid">
        <fgColor rgb="FF0007EF"/>
        <bgColor indexed="64"/>
      </patternFill>
    </fill>
    <fill>
      <patternFill patternType="solid">
        <fgColor rgb="FF0007F0"/>
        <bgColor indexed="64"/>
      </patternFill>
    </fill>
    <fill>
      <patternFill patternType="solid">
        <fgColor rgb="FF0007F1"/>
        <bgColor indexed="64"/>
      </patternFill>
    </fill>
    <fill>
      <patternFill patternType="solid">
        <fgColor rgb="FF0007F2"/>
        <bgColor indexed="64"/>
      </patternFill>
    </fill>
    <fill>
      <patternFill patternType="solid">
        <fgColor rgb="FF0007F3"/>
        <bgColor indexed="64"/>
      </patternFill>
    </fill>
    <fill>
      <patternFill patternType="solid">
        <fgColor rgb="FF0007F4"/>
        <bgColor indexed="64"/>
      </patternFill>
    </fill>
    <fill>
      <patternFill patternType="solid">
        <fgColor rgb="FF0007F5"/>
        <bgColor indexed="64"/>
      </patternFill>
    </fill>
    <fill>
      <patternFill patternType="solid">
        <fgColor rgb="FF0007F6"/>
        <bgColor indexed="64"/>
      </patternFill>
    </fill>
    <fill>
      <patternFill patternType="solid">
        <fgColor rgb="FF0007F7"/>
        <bgColor indexed="64"/>
      </patternFill>
    </fill>
    <fill>
      <patternFill patternType="solid">
        <fgColor rgb="FF0007F8"/>
        <bgColor indexed="64"/>
      </patternFill>
    </fill>
    <fill>
      <patternFill patternType="solid">
        <fgColor rgb="FF0007F9"/>
        <bgColor indexed="64"/>
      </patternFill>
    </fill>
    <fill>
      <patternFill patternType="solid">
        <fgColor rgb="FF0007FA"/>
        <bgColor indexed="64"/>
      </patternFill>
    </fill>
    <fill>
      <patternFill patternType="solid">
        <fgColor rgb="FF0007FB"/>
        <bgColor indexed="64"/>
      </patternFill>
    </fill>
    <fill>
      <patternFill patternType="solid">
        <fgColor rgb="FF0007FC"/>
        <bgColor indexed="64"/>
      </patternFill>
    </fill>
    <fill>
      <patternFill patternType="solid">
        <fgColor rgb="FF0007FD"/>
        <bgColor indexed="64"/>
      </patternFill>
    </fill>
    <fill>
      <patternFill patternType="solid">
        <fgColor rgb="FF0007FE"/>
        <bgColor indexed="64"/>
      </patternFill>
    </fill>
    <fill>
      <patternFill patternType="solid">
        <fgColor rgb="FF0007FF"/>
        <bgColor indexed="64"/>
      </patternFill>
    </fill>
    <fill>
      <patternFill patternType="solid">
        <fgColor rgb="FF000800"/>
        <bgColor indexed="64"/>
      </patternFill>
    </fill>
    <fill>
      <patternFill patternType="solid">
        <fgColor rgb="FF000801"/>
        <bgColor indexed="64"/>
      </patternFill>
    </fill>
    <fill>
      <patternFill patternType="solid">
        <fgColor rgb="FF000802"/>
        <bgColor indexed="64"/>
      </patternFill>
    </fill>
    <fill>
      <patternFill patternType="solid">
        <fgColor rgb="FF000803"/>
        <bgColor indexed="64"/>
      </patternFill>
    </fill>
    <fill>
      <patternFill patternType="solid">
        <fgColor rgb="FF000804"/>
        <bgColor indexed="64"/>
      </patternFill>
    </fill>
    <fill>
      <patternFill patternType="solid">
        <fgColor rgb="FF000805"/>
        <bgColor indexed="64"/>
      </patternFill>
    </fill>
    <fill>
      <patternFill patternType="solid">
        <fgColor rgb="FF000806"/>
        <bgColor indexed="64"/>
      </patternFill>
    </fill>
    <fill>
      <patternFill patternType="solid">
        <fgColor rgb="FF000807"/>
        <bgColor indexed="64"/>
      </patternFill>
    </fill>
    <fill>
      <patternFill patternType="solid">
        <fgColor rgb="FF000808"/>
        <bgColor indexed="64"/>
      </patternFill>
    </fill>
    <fill>
      <patternFill patternType="solid">
        <fgColor rgb="FF000809"/>
        <bgColor indexed="64"/>
      </patternFill>
    </fill>
    <fill>
      <patternFill patternType="solid">
        <fgColor rgb="FF00080A"/>
        <bgColor indexed="64"/>
      </patternFill>
    </fill>
    <fill>
      <patternFill patternType="solid">
        <fgColor rgb="FF00080B"/>
        <bgColor indexed="64"/>
      </patternFill>
    </fill>
    <fill>
      <patternFill patternType="solid">
        <fgColor rgb="FF00080C"/>
        <bgColor indexed="64"/>
      </patternFill>
    </fill>
    <fill>
      <patternFill patternType="solid">
        <fgColor rgb="FF00080D"/>
        <bgColor indexed="64"/>
      </patternFill>
    </fill>
    <fill>
      <patternFill patternType="solid">
        <fgColor rgb="FF00080E"/>
        <bgColor indexed="64"/>
      </patternFill>
    </fill>
    <fill>
      <patternFill patternType="solid">
        <fgColor rgb="FF00080F"/>
        <bgColor indexed="64"/>
      </patternFill>
    </fill>
    <fill>
      <patternFill patternType="solid">
        <fgColor rgb="FF000810"/>
        <bgColor indexed="64"/>
      </patternFill>
    </fill>
    <fill>
      <patternFill patternType="solid">
        <fgColor rgb="FF000811"/>
        <bgColor indexed="64"/>
      </patternFill>
    </fill>
    <fill>
      <patternFill patternType="solid">
        <fgColor rgb="FF000812"/>
        <bgColor indexed="64"/>
      </patternFill>
    </fill>
    <fill>
      <patternFill patternType="solid">
        <fgColor rgb="FF000813"/>
        <bgColor indexed="64"/>
      </patternFill>
    </fill>
    <fill>
      <patternFill patternType="solid">
        <fgColor rgb="FF000814"/>
        <bgColor indexed="64"/>
      </patternFill>
    </fill>
    <fill>
      <patternFill patternType="solid">
        <fgColor rgb="FF000815"/>
        <bgColor indexed="64"/>
      </patternFill>
    </fill>
    <fill>
      <patternFill patternType="solid">
        <fgColor rgb="FF000816"/>
        <bgColor indexed="64"/>
      </patternFill>
    </fill>
    <fill>
      <patternFill patternType="solid">
        <fgColor rgb="FF000817"/>
        <bgColor indexed="64"/>
      </patternFill>
    </fill>
    <fill>
      <patternFill patternType="solid">
        <fgColor rgb="FF000818"/>
        <bgColor indexed="64"/>
      </patternFill>
    </fill>
    <fill>
      <patternFill patternType="solid">
        <fgColor rgb="FF000819"/>
        <bgColor indexed="64"/>
      </patternFill>
    </fill>
    <fill>
      <patternFill patternType="solid">
        <fgColor rgb="FF00081A"/>
        <bgColor indexed="64"/>
      </patternFill>
    </fill>
    <fill>
      <patternFill patternType="solid">
        <fgColor rgb="FF00081B"/>
        <bgColor indexed="64"/>
      </patternFill>
    </fill>
    <fill>
      <patternFill patternType="solid">
        <fgColor rgb="FF00081C"/>
        <bgColor indexed="64"/>
      </patternFill>
    </fill>
    <fill>
      <patternFill patternType="solid">
        <fgColor rgb="FF00081D"/>
        <bgColor indexed="64"/>
      </patternFill>
    </fill>
    <fill>
      <patternFill patternType="solid">
        <fgColor rgb="FF00081E"/>
        <bgColor indexed="64"/>
      </patternFill>
    </fill>
    <fill>
      <patternFill patternType="solid">
        <fgColor rgb="FF00081F"/>
        <bgColor indexed="64"/>
      </patternFill>
    </fill>
    <fill>
      <patternFill patternType="solid">
        <fgColor rgb="FF000820"/>
        <bgColor indexed="64"/>
      </patternFill>
    </fill>
    <fill>
      <patternFill patternType="solid">
        <fgColor rgb="FF000821"/>
        <bgColor indexed="64"/>
      </patternFill>
    </fill>
    <fill>
      <patternFill patternType="solid">
        <fgColor rgb="FF000822"/>
        <bgColor indexed="64"/>
      </patternFill>
    </fill>
    <fill>
      <patternFill patternType="solid">
        <fgColor rgb="FF000823"/>
        <bgColor indexed="64"/>
      </patternFill>
    </fill>
    <fill>
      <patternFill patternType="solid">
        <fgColor rgb="FF000824"/>
        <bgColor indexed="64"/>
      </patternFill>
    </fill>
    <fill>
      <patternFill patternType="solid">
        <fgColor rgb="FF000825"/>
        <bgColor indexed="64"/>
      </patternFill>
    </fill>
    <fill>
      <patternFill patternType="solid">
        <fgColor rgb="FF000826"/>
        <bgColor indexed="64"/>
      </patternFill>
    </fill>
    <fill>
      <patternFill patternType="solid">
        <fgColor rgb="FF000827"/>
        <bgColor indexed="64"/>
      </patternFill>
    </fill>
    <fill>
      <patternFill patternType="solid">
        <fgColor rgb="FF000828"/>
        <bgColor indexed="64"/>
      </patternFill>
    </fill>
    <fill>
      <patternFill patternType="solid">
        <fgColor rgb="FF000829"/>
        <bgColor indexed="64"/>
      </patternFill>
    </fill>
    <fill>
      <patternFill patternType="solid">
        <fgColor rgb="FF00082A"/>
        <bgColor indexed="64"/>
      </patternFill>
    </fill>
    <fill>
      <patternFill patternType="solid">
        <fgColor rgb="FF00082B"/>
        <bgColor indexed="64"/>
      </patternFill>
    </fill>
    <fill>
      <patternFill patternType="solid">
        <fgColor rgb="FF00082C"/>
        <bgColor indexed="64"/>
      </patternFill>
    </fill>
    <fill>
      <patternFill patternType="solid">
        <fgColor rgb="FF00082D"/>
        <bgColor indexed="64"/>
      </patternFill>
    </fill>
    <fill>
      <patternFill patternType="solid">
        <fgColor rgb="FF00082E"/>
        <bgColor indexed="64"/>
      </patternFill>
    </fill>
    <fill>
      <patternFill patternType="solid">
        <fgColor rgb="FF00082F"/>
        <bgColor indexed="64"/>
      </patternFill>
    </fill>
    <fill>
      <patternFill patternType="solid">
        <fgColor rgb="FF000830"/>
        <bgColor indexed="64"/>
      </patternFill>
    </fill>
    <fill>
      <patternFill patternType="solid">
        <fgColor rgb="FF000831"/>
        <bgColor indexed="64"/>
      </patternFill>
    </fill>
    <fill>
      <patternFill patternType="solid">
        <fgColor rgb="FF000832"/>
        <bgColor indexed="64"/>
      </patternFill>
    </fill>
    <fill>
      <patternFill patternType="solid">
        <fgColor rgb="FF000833"/>
        <bgColor indexed="64"/>
      </patternFill>
    </fill>
    <fill>
      <patternFill patternType="solid">
        <fgColor rgb="FF000834"/>
        <bgColor indexed="64"/>
      </patternFill>
    </fill>
    <fill>
      <patternFill patternType="solid">
        <fgColor rgb="FF000835"/>
        <bgColor indexed="64"/>
      </patternFill>
    </fill>
    <fill>
      <patternFill patternType="solid">
        <fgColor rgb="FF000836"/>
        <bgColor indexed="64"/>
      </patternFill>
    </fill>
    <fill>
      <patternFill patternType="solid">
        <fgColor rgb="FF000837"/>
        <bgColor indexed="64"/>
      </patternFill>
    </fill>
    <fill>
      <patternFill patternType="solid">
        <fgColor rgb="FF000838"/>
        <bgColor indexed="64"/>
      </patternFill>
    </fill>
    <fill>
      <patternFill patternType="solid">
        <fgColor rgb="FF000839"/>
        <bgColor indexed="64"/>
      </patternFill>
    </fill>
    <fill>
      <patternFill patternType="solid">
        <fgColor rgb="FF00083A"/>
        <bgColor indexed="64"/>
      </patternFill>
    </fill>
    <fill>
      <patternFill patternType="solid">
        <fgColor rgb="FF00083B"/>
        <bgColor indexed="64"/>
      </patternFill>
    </fill>
    <fill>
      <patternFill patternType="solid">
        <fgColor rgb="FF00083C"/>
        <bgColor indexed="64"/>
      </patternFill>
    </fill>
    <fill>
      <patternFill patternType="solid">
        <fgColor rgb="FF00083D"/>
        <bgColor indexed="64"/>
      </patternFill>
    </fill>
    <fill>
      <patternFill patternType="solid">
        <fgColor rgb="FF00083E"/>
        <bgColor indexed="64"/>
      </patternFill>
    </fill>
    <fill>
      <patternFill patternType="solid">
        <fgColor rgb="FF00083F"/>
        <bgColor indexed="64"/>
      </patternFill>
    </fill>
    <fill>
      <patternFill patternType="solid">
        <fgColor rgb="FF000840"/>
        <bgColor indexed="64"/>
      </patternFill>
    </fill>
    <fill>
      <patternFill patternType="solid">
        <fgColor rgb="FF000841"/>
        <bgColor indexed="64"/>
      </patternFill>
    </fill>
    <fill>
      <patternFill patternType="solid">
        <fgColor rgb="FF000842"/>
        <bgColor indexed="64"/>
      </patternFill>
    </fill>
    <fill>
      <patternFill patternType="solid">
        <fgColor rgb="FF000843"/>
        <bgColor indexed="64"/>
      </patternFill>
    </fill>
    <fill>
      <patternFill patternType="solid">
        <fgColor rgb="FF000844"/>
        <bgColor indexed="64"/>
      </patternFill>
    </fill>
    <fill>
      <patternFill patternType="solid">
        <fgColor rgb="FF000845"/>
        <bgColor indexed="64"/>
      </patternFill>
    </fill>
    <fill>
      <patternFill patternType="solid">
        <fgColor rgb="FF000846"/>
        <bgColor indexed="64"/>
      </patternFill>
    </fill>
    <fill>
      <patternFill patternType="solid">
        <fgColor rgb="FF000847"/>
        <bgColor indexed="64"/>
      </patternFill>
    </fill>
    <fill>
      <patternFill patternType="solid">
        <fgColor rgb="FF000848"/>
        <bgColor indexed="64"/>
      </patternFill>
    </fill>
    <fill>
      <patternFill patternType="solid">
        <fgColor rgb="FF000849"/>
        <bgColor indexed="64"/>
      </patternFill>
    </fill>
    <fill>
      <patternFill patternType="solid">
        <fgColor rgb="FF00084A"/>
        <bgColor indexed="64"/>
      </patternFill>
    </fill>
    <fill>
      <patternFill patternType="solid">
        <fgColor rgb="FF00084B"/>
        <bgColor indexed="64"/>
      </patternFill>
    </fill>
    <fill>
      <patternFill patternType="solid">
        <fgColor rgb="FF00084C"/>
        <bgColor indexed="64"/>
      </patternFill>
    </fill>
    <fill>
      <patternFill patternType="solid">
        <fgColor rgb="FF00084D"/>
        <bgColor indexed="64"/>
      </patternFill>
    </fill>
    <fill>
      <patternFill patternType="solid">
        <fgColor rgb="FF00084E"/>
        <bgColor indexed="64"/>
      </patternFill>
    </fill>
    <fill>
      <patternFill patternType="solid">
        <fgColor rgb="FF00084F"/>
        <bgColor indexed="64"/>
      </patternFill>
    </fill>
    <fill>
      <patternFill patternType="solid">
        <fgColor rgb="FF000850"/>
        <bgColor indexed="64"/>
      </patternFill>
    </fill>
    <fill>
      <patternFill patternType="solid">
        <fgColor rgb="FF000851"/>
        <bgColor indexed="64"/>
      </patternFill>
    </fill>
    <fill>
      <patternFill patternType="solid">
        <fgColor rgb="FF000852"/>
        <bgColor indexed="64"/>
      </patternFill>
    </fill>
    <fill>
      <patternFill patternType="solid">
        <fgColor rgb="FF000853"/>
        <bgColor indexed="64"/>
      </patternFill>
    </fill>
    <fill>
      <patternFill patternType="solid">
        <fgColor rgb="FF000854"/>
        <bgColor indexed="64"/>
      </patternFill>
    </fill>
    <fill>
      <patternFill patternType="solid">
        <fgColor rgb="FF000855"/>
        <bgColor indexed="64"/>
      </patternFill>
    </fill>
    <fill>
      <patternFill patternType="solid">
        <fgColor rgb="FF000856"/>
        <bgColor indexed="64"/>
      </patternFill>
    </fill>
    <fill>
      <patternFill patternType="solid">
        <fgColor rgb="FF000857"/>
        <bgColor indexed="64"/>
      </patternFill>
    </fill>
    <fill>
      <patternFill patternType="solid">
        <fgColor rgb="FF000858"/>
        <bgColor indexed="64"/>
      </patternFill>
    </fill>
    <fill>
      <patternFill patternType="solid">
        <fgColor rgb="FF000859"/>
        <bgColor indexed="64"/>
      </patternFill>
    </fill>
    <fill>
      <patternFill patternType="solid">
        <fgColor rgb="FF00085A"/>
        <bgColor indexed="64"/>
      </patternFill>
    </fill>
    <fill>
      <patternFill patternType="solid">
        <fgColor rgb="FF00085B"/>
        <bgColor indexed="64"/>
      </patternFill>
    </fill>
    <fill>
      <patternFill patternType="solid">
        <fgColor rgb="FF00085C"/>
        <bgColor indexed="64"/>
      </patternFill>
    </fill>
    <fill>
      <patternFill patternType="solid">
        <fgColor rgb="FF00085D"/>
        <bgColor indexed="64"/>
      </patternFill>
    </fill>
    <fill>
      <patternFill patternType="solid">
        <fgColor rgb="FF00085E"/>
        <bgColor indexed="64"/>
      </patternFill>
    </fill>
    <fill>
      <patternFill patternType="solid">
        <fgColor rgb="FF00085F"/>
        <bgColor indexed="64"/>
      </patternFill>
    </fill>
    <fill>
      <patternFill patternType="solid">
        <fgColor rgb="FF000860"/>
        <bgColor indexed="64"/>
      </patternFill>
    </fill>
    <fill>
      <patternFill patternType="solid">
        <fgColor rgb="FF000861"/>
        <bgColor indexed="64"/>
      </patternFill>
    </fill>
    <fill>
      <patternFill patternType="solid">
        <fgColor rgb="FF000862"/>
        <bgColor indexed="64"/>
      </patternFill>
    </fill>
    <fill>
      <patternFill patternType="solid">
        <fgColor rgb="FF000863"/>
        <bgColor indexed="64"/>
      </patternFill>
    </fill>
    <fill>
      <patternFill patternType="solid">
        <fgColor rgb="FF000864"/>
        <bgColor indexed="64"/>
      </patternFill>
    </fill>
    <fill>
      <patternFill patternType="solid">
        <fgColor rgb="FF000865"/>
        <bgColor indexed="64"/>
      </patternFill>
    </fill>
    <fill>
      <patternFill patternType="solid">
        <fgColor rgb="FF000866"/>
        <bgColor indexed="64"/>
      </patternFill>
    </fill>
    <fill>
      <patternFill patternType="solid">
        <fgColor rgb="FF000867"/>
        <bgColor indexed="64"/>
      </patternFill>
    </fill>
    <fill>
      <patternFill patternType="solid">
        <fgColor rgb="FF000868"/>
        <bgColor indexed="64"/>
      </patternFill>
    </fill>
    <fill>
      <patternFill patternType="solid">
        <fgColor rgb="FF000869"/>
        <bgColor indexed="64"/>
      </patternFill>
    </fill>
    <fill>
      <patternFill patternType="solid">
        <fgColor rgb="FF00086A"/>
        <bgColor indexed="64"/>
      </patternFill>
    </fill>
    <fill>
      <patternFill patternType="solid">
        <fgColor rgb="FF00086B"/>
        <bgColor indexed="64"/>
      </patternFill>
    </fill>
    <fill>
      <patternFill patternType="solid">
        <fgColor rgb="FF00086C"/>
        <bgColor indexed="64"/>
      </patternFill>
    </fill>
    <fill>
      <patternFill patternType="solid">
        <fgColor rgb="FF00086D"/>
        <bgColor indexed="64"/>
      </patternFill>
    </fill>
    <fill>
      <patternFill patternType="solid">
        <fgColor rgb="FF00086E"/>
        <bgColor indexed="64"/>
      </patternFill>
    </fill>
    <fill>
      <patternFill patternType="solid">
        <fgColor rgb="FF00086F"/>
        <bgColor indexed="64"/>
      </patternFill>
    </fill>
    <fill>
      <patternFill patternType="solid">
        <fgColor rgb="FF000870"/>
        <bgColor indexed="64"/>
      </patternFill>
    </fill>
    <fill>
      <patternFill patternType="solid">
        <fgColor rgb="FF000871"/>
        <bgColor indexed="64"/>
      </patternFill>
    </fill>
    <fill>
      <patternFill patternType="solid">
        <fgColor rgb="FF000872"/>
        <bgColor indexed="64"/>
      </patternFill>
    </fill>
    <fill>
      <patternFill patternType="solid">
        <fgColor rgb="FF000873"/>
        <bgColor indexed="64"/>
      </patternFill>
    </fill>
    <fill>
      <patternFill patternType="solid">
        <fgColor rgb="FF000874"/>
        <bgColor indexed="64"/>
      </patternFill>
    </fill>
    <fill>
      <patternFill patternType="solid">
        <fgColor rgb="FF000875"/>
        <bgColor indexed="64"/>
      </patternFill>
    </fill>
    <fill>
      <patternFill patternType="solid">
        <fgColor rgb="FF000876"/>
        <bgColor indexed="64"/>
      </patternFill>
    </fill>
    <fill>
      <patternFill patternType="solid">
        <fgColor rgb="FF000877"/>
        <bgColor indexed="64"/>
      </patternFill>
    </fill>
    <fill>
      <patternFill patternType="solid">
        <fgColor rgb="FF000878"/>
        <bgColor indexed="64"/>
      </patternFill>
    </fill>
    <fill>
      <patternFill patternType="solid">
        <fgColor rgb="FF000879"/>
        <bgColor indexed="64"/>
      </patternFill>
    </fill>
    <fill>
      <patternFill patternType="solid">
        <fgColor rgb="FF00087A"/>
        <bgColor indexed="64"/>
      </patternFill>
    </fill>
    <fill>
      <patternFill patternType="solid">
        <fgColor rgb="FF00087B"/>
        <bgColor indexed="64"/>
      </patternFill>
    </fill>
    <fill>
      <patternFill patternType="solid">
        <fgColor rgb="FF00087C"/>
        <bgColor indexed="64"/>
      </patternFill>
    </fill>
    <fill>
      <patternFill patternType="solid">
        <fgColor rgb="FF00087D"/>
        <bgColor indexed="64"/>
      </patternFill>
    </fill>
    <fill>
      <patternFill patternType="solid">
        <fgColor rgb="FF00087E"/>
        <bgColor indexed="64"/>
      </patternFill>
    </fill>
    <fill>
      <patternFill patternType="solid">
        <fgColor rgb="FF00087F"/>
        <bgColor indexed="64"/>
      </patternFill>
    </fill>
    <fill>
      <patternFill patternType="solid">
        <fgColor rgb="FF000880"/>
        <bgColor indexed="64"/>
      </patternFill>
    </fill>
    <fill>
      <patternFill patternType="solid">
        <fgColor rgb="FF000881"/>
        <bgColor indexed="64"/>
      </patternFill>
    </fill>
    <fill>
      <patternFill patternType="solid">
        <fgColor rgb="FF000882"/>
        <bgColor indexed="64"/>
      </patternFill>
    </fill>
    <fill>
      <patternFill patternType="solid">
        <fgColor rgb="FF000883"/>
        <bgColor indexed="64"/>
      </patternFill>
    </fill>
    <fill>
      <patternFill patternType="solid">
        <fgColor rgb="FF000884"/>
        <bgColor indexed="64"/>
      </patternFill>
    </fill>
    <fill>
      <patternFill patternType="solid">
        <fgColor rgb="FF000885"/>
        <bgColor indexed="64"/>
      </patternFill>
    </fill>
    <fill>
      <patternFill patternType="solid">
        <fgColor rgb="FF000886"/>
        <bgColor indexed="64"/>
      </patternFill>
    </fill>
    <fill>
      <patternFill patternType="solid">
        <fgColor rgb="FF000887"/>
        <bgColor indexed="64"/>
      </patternFill>
    </fill>
    <fill>
      <patternFill patternType="solid">
        <fgColor rgb="FF000888"/>
        <bgColor indexed="64"/>
      </patternFill>
    </fill>
    <fill>
      <patternFill patternType="solid">
        <fgColor rgb="FF000889"/>
        <bgColor indexed="64"/>
      </patternFill>
    </fill>
    <fill>
      <patternFill patternType="solid">
        <fgColor rgb="FF00088A"/>
        <bgColor indexed="64"/>
      </patternFill>
    </fill>
    <fill>
      <patternFill patternType="solid">
        <fgColor rgb="FF00088B"/>
        <bgColor indexed="64"/>
      </patternFill>
    </fill>
    <fill>
      <patternFill patternType="solid">
        <fgColor rgb="FF00088C"/>
        <bgColor indexed="64"/>
      </patternFill>
    </fill>
    <fill>
      <patternFill patternType="solid">
        <fgColor rgb="FF00088D"/>
        <bgColor indexed="64"/>
      </patternFill>
    </fill>
    <fill>
      <patternFill patternType="solid">
        <fgColor rgb="FF00088E"/>
        <bgColor indexed="64"/>
      </patternFill>
    </fill>
    <fill>
      <patternFill patternType="solid">
        <fgColor rgb="FF00088F"/>
        <bgColor indexed="64"/>
      </patternFill>
    </fill>
    <fill>
      <patternFill patternType="solid">
        <fgColor rgb="FF000890"/>
        <bgColor indexed="64"/>
      </patternFill>
    </fill>
    <fill>
      <patternFill patternType="solid">
        <fgColor rgb="FF000891"/>
        <bgColor indexed="64"/>
      </patternFill>
    </fill>
    <fill>
      <patternFill patternType="solid">
        <fgColor rgb="FF000892"/>
        <bgColor indexed="64"/>
      </patternFill>
    </fill>
    <fill>
      <patternFill patternType="solid">
        <fgColor rgb="FF000893"/>
        <bgColor indexed="64"/>
      </patternFill>
    </fill>
    <fill>
      <patternFill patternType="solid">
        <fgColor rgb="FF000894"/>
        <bgColor indexed="64"/>
      </patternFill>
    </fill>
    <fill>
      <patternFill patternType="solid">
        <fgColor rgb="FF000895"/>
        <bgColor indexed="64"/>
      </patternFill>
    </fill>
    <fill>
      <patternFill patternType="solid">
        <fgColor rgb="FF000896"/>
        <bgColor indexed="64"/>
      </patternFill>
    </fill>
    <fill>
      <patternFill patternType="solid">
        <fgColor rgb="FF000897"/>
        <bgColor indexed="64"/>
      </patternFill>
    </fill>
    <fill>
      <patternFill patternType="solid">
        <fgColor rgb="FF000898"/>
        <bgColor indexed="64"/>
      </patternFill>
    </fill>
    <fill>
      <patternFill patternType="solid">
        <fgColor rgb="FF000899"/>
        <bgColor indexed="64"/>
      </patternFill>
    </fill>
    <fill>
      <patternFill patternType="solid">
        <fgColor rgb="FF00089A"/>
        <bgColor indexed="64"/>
      </patternFill>
    </fill>
    <fill>
      <patternFill patternType="solid">
        <fgColor rgb="FF00089B"/>
        <bgColor indexed="64"/>
      </patternFill>
    </fill>
    <fill>
      <patternFill patternType="solid">
        <fgColor rgb="FF00089C"/>
        <bgColor indexed="64"/>
      </patternFill>
    </fill>
    <fill>
      <patternFill patternType="solid">
        <fgColor rgb="FF00089D"/>
        <bgColor indexed="64"/>
      </patternFill>
    </fill>
    <fill>
      <patternFill patternType="solid">
        <fgColor rgb="FF00089E"/>
        <bgColor indexed="64"/>
      </patternFill>
    </fill>
    <fill>
      <patternFill patternType="solid">
        <fgColor rgb="FF00089F"/>
        <bgColor indexed="64"/>
      </patternFill>
    </fill>
    <fill>
      <patternFill patternType="solid">
        <fgColor rgb="FF0008A0"/>
        <bgColor indexed="64"/>
      </patternFill>
    </fill>
    <fill>
      <patternFill patternType="solid">
        <fgColor rgb="FF0008A1"/>
        <bgColor indexed="64"/>
      </patternFill>
    </fill>
    <fill>
      <patternFill patternType="solid">
        <fgColor rgb="FF0008A2"/>
        <bgColor indexed="64"/>
      </patternFill>
    </fill>
    <fill>
      <patternFill patternType="solid">
        <fgColor rgb="FF0008A3"/>
        <bgColor indexed="64"/>
      </patternFill>
    </fill>
    <fill>
      <patternFill patternType="solid">
        <fgColor rgb="FF0008A4"/>
        <bgColor indexed="64"/>
      </patternFill>
    </fill>
    <fill>
      <patternFill patternType="solid">
        <fgColor rgb="FF0008A5"/>
        <bgColor indexed="64"/>
      </patternFill>
    </fill>
    <fill>
      <patternFill patternType="solid">
        <fgColor rgb="FF0008A6"/>
        <bgColor indexed="64"/>
      </patternFill>
    </fill>
    <fill>
      <patternFill patternType="solid">
        <fgColor rgb="FF0008A7"/>
        <bgColor indexed="64"/>
      </patternFill>
    </fill>
    <fill>
      <patternFill patternType="solid">
        <fgColor rgb="FF0008A8"/>
        <bgColor indexed="64"/>
      </patternFill>
    </fill>
    <fill>
      <patternFill patternType="solid">
        <fgColor rgb="FF0008A9"/>
        <bgColor indexed="64"/>
      </patternFill>
    </fill>
    <fill>
      <patternFill patternType="solid">
        <fgColor rgb="FF0008AA"/>
        <bgColor indexed="64"/>
      </patternFill>
    </fill>
    <fill>
      <patternFill patternType="solid">
        <fgColor rgb="FF0008AB"/>
        <bgColor indexed="64"/>
      </patternFill>
    </fill>
    <fill>
      <patternFill patternType="solid">
        <fgColor rgb="FF0008AC"/>
        <bgColor indexed="64"/>
      </patternFill>
    </fill>
    <fill>
      <patternFill patternType="solid">
        <fgColor rgb="FF0008AD"/>
        <bgColor indexed="64"/>
      </patternFill>
    </fill>
    <fill>
      <patternFill patternType="solid">
        <fgColor rgb="FF0008AE"/>
        <bgColor indexed="64"/>
      </patternFill>
    </fill>
    <fill>
      <patternFill patternType="solid">
        <fgColor rgb="FF0008AF"/>
        <bgColor indexed="64"/>
      </patternFill>
    </fill>
    <fill>
      <patternFill patternType="solid">
        <fgColor rgb="FF0008B0"/>
        <bgColor indexed="64"/>
      </patternFill>
    </fill>
    <fill>
      <patternFill patternType="solid">
        <fgColor rgb="FF0008B1"/>
        <bgColor indexed="64"/>
      </patternFill>
    </fill>
    <fill>
      <patternFill patternType="solid">
        <fgColor rgb="FF0008B2"/>
        <bgColor indexed="64"/>
      </patternFill>
    </fill>
    <fill>
      <patternFill patternType="solid">
        <fgColor rgb="FF0008B3"/>
        <bgColor indexed="64"/>
      </patternFill>
    </fill>
    <fill>
      <patternFill patternType="solid">
        <fgColor rgb="FF0008B4"/>
        <bgColor indexed="64"/>
      </patternFill>
    </fill>
    <fill>
      <patternFill patternType="solid">
        <fgColor rgb="FF0008B5"/>
        <bgColor indexed="64"/>
      </patternFill>
    </fill>
    <fill>
      <patternFill patternType="solid">
        <fgColor rgb="FF0008B6"/>
        <bgColor indexed="64"/>
      </patternFill>
    </fill>
    <fill>
      <patternFill patternType="solid">
        <fgColor rgb="FF0008B7"/>
        <bgColor indexed="64"/>
      </patternFill>
    </fill>
    <fill>
      <patternFill patternType="solid">
        <fgColor rgb="FF0008B8"/>
        <bgColor indexed="64"/>
      </patternFill>
    </fill>
    <fill>
      <patternFill patternType="solid">
        <fgColor rgb="FF0008B9"/>
        <bgColor indexed="64"/>
      </patternFill>
    </fill>
    <fill>
      <patternFill patternType="solid">
        <fgColor rgb="FF0008BA"/>
        <bgColor indexed="64"/>
      </patternFill>
    </fill>
    <fill>
      <patternFill patternType="solid">
        <fgColor rgb="FF0008BB"/>
        <bgColor indexed="64"/>
      </patternFill>
    </fill>
    <fill>
      <patternFill patternType="solid">
        <fgColor rgb="FF0008BC"/>
        <bgColor indexed="64"/>
      </patternFill>
    </fill>
    <fill>
      <patternFill patternType="solid">
        <fgColor rgb="FF0008BD"/>
        <bgColor indexed="64"/>
      </patternFill>
    </fill>
    <fill>
      <patternFill patternType="solid">
        <fgColor rgb="FF0008BE"/>
        <bgColor indexed="64"/>
      </patternFill>
    </fill>
    <fill>
      <patternFill patternType="solid">
        <fgColor rgb="FF0008BF"/>
        <bgColor indexed="64"/>
      </patternFill>
    </fill>
    <fill>
      <patternFill patternType="solid">
        <fgColor rgb="FF0008C0"/>
        <bgColor indexed="64"/>
      </patternFill>
    </fill>
    <fill>
      <patternFill patternType="solid">
        <fgColor rgb="FF0008C1"/>
        <bgColor indexed="64"/>
      </patternFill>
    </fill>
    <fill>
      <patternFill patternType="solid">
        <fgColor rgb="FF0008C2"/>
        <bgColor indexed="64"/>
      </patternFill>
    </fill>
    <fill>
      <patternFill patternType="solid">
        <fgColor rgb="FF0008C3"/>
        <bgColor indexed="64"/>
      </patternFill>
    </fill>
    <fill>
      <patternFill patternType="solid">
        <fgColor rgb="FF0008C4"/>
        <bgColor indexed="64"/>
      </patternFill>
    </fill>
    <fill>
      <patternFill patternType="solid">
        <fgColor rgb="FF0008C5"/>
        <bgColor indexed="64"/>
      </patternFill>
    </fill>
    <fill>
      <patternFill patternType="solid">
        <fgColor rgb="FF0008C6"/>
        <bgColor indexed="64"/>
      </patternFill>
    </fill>
    <fill>
      <patternFill patternType="solid">
        <fgColor rgb="FF0008C7"/>
        <bgColor indexed="64"/>
      </patternFill>
    </fill>
    <fill>
      <patternFill patternType="solid">
        <fgColor rgb="FF0008C8"/>
        <bgColor indexed="64"/>
      </patternFill>
    </fill>
    <fill>
      <patternFill patternType="solid">
        <fgColor rgb="FF0008C9"/>
        <bgColor indexed="64"/>
      </patternFill>
    </fill>
    <fill>
      <patternFill patternType="solid">
        <fgColor rgb="FF0008CA"/>
        <bgColor indexed="64"/>
      </patternFill>
    </fill>
    <fill>
      <patternFill patternType="solid">
        <fgColor rgb="FF0008CB"/>
        <bgColor indexed="64"/>
      </patternFill>
    </fill>
    <fill>
      <patternFill patternType="solid">
        <fgColor rgb="FF0008CC"/>
        <bgColor indexed="64"/>
      </patternFill>
    </fill>
    <fill>
      <patternFill patternType="solid">
        <fgColor rgb="FF0008CD"/>
        <bgColor indexed="64"/>
      </patternFill>
    </fill>
    <fill>
      <patternFill patternType="solid">
        <fgColor rgb="FF0008CE"/>
        <bgColor indexed="64"/>
      </patternFill>
    </fill>
    <fill>
      <patternFill patternType="solid">
        <fgColor rgb="FF0008CF"/>
        <bgColor indexed="64"/>
      </patternFill>
    </fill>
    <fill>
      <patternFill patternType="solid">
        <fgColor rgb="FF0008D0"/>
        <bgColor indexed="64"/>
      </patternFill>
    </fill>
    <fill>
      <patternFill patternType="solid">
        <fgColor rgb="FF0008D1"/>
        <bgColor indexed="64"/>
      </patternFill>
    </fill>
    <fill>
      <patternFill patternType="solid">
        <fgColor rgb="FF0008D2"/>
        <bgColor indexed="64"/>
      </patternFill>
    </fill>
    <fill>
      <patternFill patternType="solid">
        <fgColor rgb="FF0008D3"/>
        <bgColor indexed="64"/>
      </patternFill>
    </fill>
    <fill>
      <patternFill patternType="solid">
        <fgColor rgb="FF0008D4"/>
        <bgColor indexed="64"/>
      </patternFill>
    </fill>
    <fill>
      <patternFill patternType="solid">
        <fgColor rgb="FF0008D5"/>
        <bgColor indexed="64"/>
      </patternFill>
    </fill>
    <fill>
      <patternFill patternType="solid">
        <fgColor rgb="FF0008D6"/>
        <bgColor indexed="64"/>
      </patternFill>
    </fill>
    <fill>
      <patternFill patternType="solid">
        <fgColor rgb="FF0008D7"/>
        <bgColor indexed="64"/>
      </patternFill>
    </fill>
    <fill>
      <patternFill patternType="solid">
        <fgColor rgb="FF0008D8"/>
        <bgColor indexed="64"/>
      </patternFill>
    </fill>
    <fill>
      <patternFill patternType="solid">
        <fgColor rgb="FF0008D9"/>
        <bgColor indexed="64"/>
      </patternFill>
    </fill>
    <fill>
      <patternFill patternType="solid">
        <fgColor rgb="FF0008DA"/>
        <bgColor indexed="64"/>
      </patternFill>
    </fill>
    <fill>
      <patternFill patternType="solid">
        <fgColor rgb="FF0008DB"/>
        <bgColor indexed="64"/>
      </patternFill>
    </fill>
    <fill>
      <patternFill patternType="solid">
        <fgColor rgb="FF0008DC"/>
        <bgColor indexed="64"/>
      </patternFill>
    </fill>
    <fill>
      <patternFill patternType="solid">
        <fgColor rgb="FF0008DD"/>
        <bgColor indexed="64"/>
      </patternFill>
    </fill>
    <fill>
      <patternFill patternType="solid">
        <fgColor rgb="FF0008DE"/>
        <bgColor indexed="64"/>
      </patternFill>
    </fill>
    <fill>
      <patternFill patternType="solid">
        <fgColor rgb="FF0008DF"/>
        <bgColor indexed="64"/>
      </patternFill>
    </fill>
    <fill>
      <patternFill patternType="solid">
        <fgColor rgb="FF0008E0"/>
        <bgColor indexed="64"/>
      </patternFill>
    </fill>
    <fill>
      <patternFill patternType="solid">
        <fgColor rgb="FF0008E1"/>
        <bgColor indexed="64"/>
      </patternFill>
    </fill>
    <fill>
      <patternFill patternType="solid">
        <fgColor rgb="FF0008E2"/>
        <bgColor indexed="64"/>
      </patternFill>
    </fill>
    <fill>
      <patternFill patternType="solid">
        <fgColor rgb="FF0008E3"/>
        <bgColor indexed="64"/>
      </patternFill>
    </fill>
    <fill>
      <patternFill patternType="solid">
        <fgColor rgb="FF0008E4"/>
        <bgColor indexed="64"/>
      </patternFill>
    </fill>
    <fill>
      <patternFill patternType="solid">
        <fgColor rgb="FF0008E5"/>
        <bgColor indexed="64"/>
      </patternFill>
    </fill>
    <fill>
      <patternFill patternType="solid">
        <fgColor rgb="FF0008E6"/>
        <bgColor indexed="64"/>
      </patternFill>
    </fill>
    <fill>
      <patternFill patternType="solid">
        <fgColor rgb="FF0008E7"/>
        <bgColor indexed="64"/>
      </patternFill>
    </fill>
    <fill>
      <patternFill patternType="solid">
        <fgColor rgb="FF0008E8"/>
        <bgColor indexed="64"/>
      </patternFill>
    </fill>
    <fill>
      <patternFill patternType="solid">
        <fgColor rgb="FF0008E9"/>
        <bgColor indexed="64"/>
      </patternFill>
    </fill>
    <fill>
      <patternFill patternType="solid">
        <fgColor rgb="FF0008EA"/>
        <bgColor indexed="64"/>
      </patternFill>
    </fill>
    <fill>
      <patternFill patternType="solid">
        <fgColor rgb="FF0008EB"/>
        <bgColor indexed="64"/>
      </patternFill>
    </fill>
    <fill>
      <patternFill patternType="solid">
        <fgColor rgb="FF0008EC"/>
        <bgColor indexed="64"/>
      </patternFill>
    </fill>
    <fill>
      <patternFill patternType="solid">
        <fgColor rgb="FF0008ED"/>
        <bgColor indexed="64"/>
      </patternFill>
    </fill>
    <fill>
      <patternFill patternType="solid">
        <fgColor rgb="FF0008EE"/>
        <bgColor indexed="64"/>
      </patternFill>
    </fill>
    <fill>
      <patternFill patternType="solid">
        <fgColor rgb="FF0008EF"/>
        <bgColor indexed="64"/>
      </patternFill>
    </fill>
    <fill>
      <patternFill patternType="solid">
        <fgColor rgb="FF0008F0"/>
        <bgColor indexed="64"/>
      </patternFill>
    </fill>
    <fill>
      <patternFill patternType="solid">
        <fgColor rgb="FF0008F1"/>
        <bgColor indexed="64"/>
      </patternFill>
    </fill>
    <fill>
      <patternFill patternType="solid">
        <fgColor rgb="FF0008F2"/>
        <bgColor indexed="64"/>
      </patternFill>
    </fill>
    <fill>
      <patternFill patternType="solid">
        <fgColor rgb="FF0008F3"/>
        <bgColor indexed="64"/>
      </patternFill>
    </fill>
    <fill>
      <patternFill patternType="solid">
        <fgColor rgb="FF0008F4"/>
        <bgColor indexed="64"/>
      </patternFill>
    </fill>
    <fill>
      <patternFill patternType="solid">
        <fgColor rgb="FF0008F5"/>
        <bgColor indexed="64"/>
      </patternFill>
    </fill>
    <fill>
      <patternFill patternType="solid">
        <fgColor rgb="FF0008F6"/>
        <bgColor indexed="64"/>
      </patternFill>
    </fill>
    <fill>
      <patternFill patternType="solid">
        <fgColor rgb="FF0008F7"/>
        <bgColor indexed="64"/>
      </patternFill>
    </fill>
    <fill>
      <patternFill patternType="solid">
        <fgColor rgb="FF0008F8"/>
        <bgColor indexed="64"/>
      </patternFill>
    </fill>
    <fill>
      <patternFill patternType="solid">
        <fgColor rgb="FF0008F9"/>
        <bgColor indexed="64"/>
      </patternFill>
    </fill>
    <fill>
      <patternFill patternType="solid">
        <fgColor rgb="FF0008FA"/>
        <bgColor indexed="64"/>
      </patternFill>
    </fill>
    <fill>
      <patternFill patternType="solid">
        <fgColor rgb="FF0008FB"/>
        <bgColor indexed="64"/>
      </patternFill>
    </fill>
    <fill>
      <patternFill patternType="solid">
        <fgColor rgb="FF0008FC"/>
        <bgColor indexed="64"/>
      </patternFill>
    </fill>
    <fill>
      <patternFill patternType="solid">
        <fgColor rgb="FF0008FD"/>
        <bgColor indexed="64"/>
      </patternFill>
    </fill>
    <fill>
      <patternFill patternType="solid">
        <fgColor rgb="FF0008FE"/>
        <bgColor indexed="64"/>
      </patternFill>
    </fill>
    <fill>
      <patternFill patternType="solid">
        <fgColor rgb="FF0008FF"/>
        <bgColor indexed="64"/>
      </patternFill>
    </fill>
    <fill>
      <patternFill patternType="solid">
        <fgColor rgb="FF000900"/>
        <bgColor indexed="64"/>
      </patternFill>
    </fill>
    <fill>
      <patternFill patternType="solid">
        <fgColor rgb="FF000901"/>
        <bgColor indexed="64"/>
      </patternFill>
    </fill>
    <fill>
      <patternFill patternType="solid">
        <fgColor rgb="FF000902"/>
        <bgColor indexed="64"/>
      </patternFill>
    </fill>
    <fill>
      <patternFill patternType="solid">
        <fgColor rgb="FF000903"/>
        <bgColor indexed="64"/>
      </patternFill>
    </fill>
    <fill>
      <patternFill patternType="solid">
        <fgColor rgb="FF000904"/>
        <bgColor indexed="64"/>
      </patternFill>
    </fill>
    <fill>
      <patternFill patternType="solid">
        <fgColor rgb="FF000905"/>
        <bgColor indexed="64"/>
      </patternFill>
    </fill>
    <fill>
      <patternFill patternType="solid">
        <fgColor rgb="FF000906"/>
        <bgColor indexed="64"/>
      </patternFill>
    </fill>
    <fill>
      <patternFill patternType="solid">
        <fgColor rgb="FF000907"/>
        <bgColor indexed="64"/>
      </patternFill>
    </fill>
    <fill>
      <patternFill patternType="solid">
        <fgColor rgb="FF000908"/>
        <bgColor indexed="64"/>
      </patternFill>
    </fill>
    <fill>
      <patternFill patternType="solid">
        <fgColor rgb="FF000909"/>
        <bgColor indexed="64"/>
      </patternFill>
    </fill>
    <fill>
      <patternFill patternType="solid">
        <fgColor rgb="FF00090A"/>
        <bgColor indexed="64"/>
      </patternFill>
    </fill>
    <fill>
      <patternFill patternType="solid">
        <fgColor rgb="FF00090B"/>
        <bgColor indexed="64"/>
      </patternFill>
    </fill>
    <fill>
      <patternFill patternType="solid">
        <fgColor rgb="FF00090C"/>
        <bgColor indexed="64"/>
      </patternFill>
    </fill>
    <fill>
      <patternFill patternType="solid">
        <fgColor rgb="FF00090D"/>
        <bgColor indexed="64"/>
      </patternFill>
    </fill>
    <fill>
      <patternFill patternType="solid">
        <fgColor rgb="FF00090E"/>
        <bgColor indexed="64"/>
      </patternFill>
    </fill>
    <fill>
      <patternFill patternType="solid">
        <fgColor rgb="FF00090F"/>
        <bgColor indexed="64"/>
      </patternFill>
    </fill>
    <fill>
      <patternFill patternType="solid">
        <fgColor rgb="FF000910"/>
        <bgColor indexed="64"/>
      </patternFill>
    </fill>
    <fill>
      <patternFill patternType="solid">
        <fgColor rgb="FF000911"/>
        <bgColor indexed="64"/>
      </patternFill>
    </fill>
    <fill>
      <patternFill patternType="solid">
        <fgColor rgb="FF000912"/>
        <bgColor indexed="64"/>
      </patternFill>
    </fill>
    <fill>
      <patternFill patternType="solid">
        <fgColor rgb="FF000913"/>
        <bgColor indexed="64"/>
      </patternFill>
    </fill>
    <fill>
      <patternFill patternType="solid">
        <fgColor rgb="FF000914"/>
        <bgColor indexed="64"/>
      </patternFill>
    </fill>
    <fill>
      <patternFill patternType="solid">
        <fgColor rgb="FF000915"/>
        <bgColor indexed="64"/>
      </patternFill>
    </fill>
    <fill>
      <patternFill patternType="solid">
        <fgColor rgb="FF000916"/>
        <bgColor indexed="64"/>
      </patternFill>
    </fill>
    <fill>
      <patternFill patternType="solid">
        <fgColor rgb="FF000917"/>
        <bgColor indexed="64"/>
      </patternFill>
    </fill>
    <fill>
      <patternFill patternType="solid">
        <fgColor rgb="FF000918"/>
        <bgColor indexed="64"/>
      </patternFill>
    </fill>
    <fill>
      <patternFill patternType="solid">
        <fgColor rgb="FF000919"/>
        <bgColor indexed="64"/>
      </patternFill>
    </fill>
    <fill>
      <patternFill patternType="solid">
        <fgColor rgb="FF00091A"/>
        <bgColor indexed="64"/>
      </patternFill>
    </fill>
    <fill>
      <patternFill patternType="solid">
        <fgColor rgb="FF00091B"/>
        <bgColor indexed="64"/>
      </patternFill>
    </fill>
    <fill>
      <patternFill patternType="solid">
        <fgColor rgb="FF00091C"/>
        <bgColor indexed="64"/>
      </patternFill>
    </fill>
    <fill>
      <patternFill patternType="solid">
        <fgColor rgb="FF00091D"/>
        <bgColor indexed="64"/>
      </patternFill>
    </fill>
    <fill>
      <patternFill patternType="solid">
        <fgColor rgb="FF00091E"/>
        <bgColor indexed="64"/>
      </patternFill>
    </fill>
    <fill>
      <patternFill patternType="solid">
        <fgColor rgb="FF00091F"/>
        <bgColor indexed="64"/>
      </patternFill>
    </fill>
    <fill>
      <patternFill patternType="solid">
        <fgColor rgb="FF000920"/>
        <bgColor indexed="64"/>
      </patternFill>
    </fill>
    <fill>
      <patternFill patternType="solid">
        <fgColor rgb="FF000921"/>
        <bgColor indexed="64"/>
      </patternFill>
    </fill>
    <fill>
      <patternFill patternType="solid">
        <fgColor rgb="FF000922"/>
        <bgColor indexed="64"/>
      </patternFill>
    </fill>
    <fill>
      <patternFill patternType="solid">
        <fgColor rgb="FF000923"/>
        <bgColor indexed="64"/>
      </patternFill>
    </fill>
    <fill>
      <patternFill patternType="solid">
        <fgColor rgb="FF000924"/>
        <bgColor indexed="64"/>
      </patternFill>
    </fill>
    <fill>
      <patternFill patternType="solid">
        <fgColor rgb="FF000925"/>
        <bgColor indexed="64"/>
      </patternFill>
    </fill>
    <fill>
      <patternFill patternType="solid">
        <fgColor rgb="FF000926"/>
        <bgColor indexed="64"/>
      </patternFill>
    </fill>
    <fill>
      <patternFill patternType="solid">
        <fgColor rgb="FF000927"/>
        <bgColor indexed="64"/>
      </patternFill>
    </fill>
    <fill>
      <patternFill patternType="solid">
        <fgColor rgb="FF000928"/>
        <bgColor indexed="64"/>
      </patternFill>
    </fill>
    <fill>
      <patternFill patternType="solid">
        <fgColor rgb="FF000929"/>
        <bgColor indexed="64"/>
      </patternFill>
    </fill>
    <fill>
      <patternFill patternType="solid">
        <fgColor rgb="FF00092A"/>
        <bgColor indexed="64"/>
      </patternFill>
    </fill>
    <fill>
      <patternFill patternType="solid">
        <fgColor rgb="FF00092B"/>
        <bgColor indexed="64"/>
      </patternFill>
    </fill>
    <fill>
      <patternFill patternType="solid">
        <fgColor rgb="FF00092C"/>
        <bgColor indexed="64"/>
      </patternFill>
    </fill>
    <fill>
      <patternFill patternType="solid">
        <fgColor rgb="FF00092D"/>
        <bgColor indexed="64"/>
      </patternFill>
    </fill>
    <fill>
      <patternFill patternType="solid">
        <fgColor rgb="FF00092E"/>
        <bgColor indexed="64"/>
      </patternFill>
    </fill>
    <fill>
      <patternFill patternType="solid">
        <fgColor rgb="FF00092F"/>
        <bgColor indexed="64"/>
      </patternFill>
    </fill>
    <fill>
      <patternFill patternType="solid">
        <fgColor rgb="FF000930"/>
        <bgColor indexed="64"/>
      </patternFill>
    </fill>
    <fill>
      <patternFill patternType="solid">
        <fgColor rgb="FF000931"/>
        <bgColor indexed="64"/>
      </patternFill>
    </fill>
    <fill>
      <patternFill patternType="solid">
        <fgColor rgb="FF000932"/>
        <bgColor indexed="64"/>
      </patternFill>
    </fill>
    <fill>
      <patternFill patternType="solid">
        <fgColor rgb="FF000933"/>
        <bgColor indexed="64"/>
      </patternFill>
    </fill>
    <fill>
      <patternFill patternType="solid">
        <fgColor rgb="FF000934"/>
        <bgColor indexed="64"/>
      </patternFill>
    </fill>
    <fill>
      <patternFill patternType="solid">
        <fgColor rgb="FF000935"/>
        <bgColor indexed="64"/>
      </patternFill>
    </fill>
    <fill>
      <patternFill patternType="solid">
        <fgColor rgb="FF000936"/>
        <bgColor indexed="64"/>
      </patternFill>
    </fill>
    <fill>
      <patternFill patternType="solid">
        <fgColor rgb="FF000937"/>
        <bgColor indexed="64"/>
      </patternFill>
    </fill>
    <fill>
      <patternFill patternType="solid">
        <fgColor rgb="FF000938"/>
        <bgColor indexed="64"/>
      </patternFill>
    </fill>
    <fill>
      <patternFill patternType="solid">
        <fgColor rgb="FF000939"/>
        <bgColor indexed="64"/>
      </patternFill>
    </fill>
    <fill>
      <patternFill patternType="solid">
        <fgColor rgb="FF00093A"/>
        <bgColor indexed="64"/>
      </patternFill>
    </fill>
    <fill>
      <patternFill patternType="solid">
        <fgColor rgb="FF00093B"/>
        <bgColor indexed="64"/>
      </patternFill>
    </fill>
    <fill>
      <patternFill patternType="solid">
        <fgColor rgb="FF00093C"/>
        <bgColor indexed="64"/>
      </patternFill>
    </fill>
    <fill>
      <patternFill patternType="solid">
        <fgColor rgb="FF00093D"/>
        <bgColor indexed="64"/>
      </patternFill>
    </fill>
    <fill>
      <patternFill patternType="solid">
        <fgColor rgb="FF00093E"/>
        <bgColor indexed="64"/>
      </patternFill>
    </fill>
    <fill>
      <patternFill patternType="solid">
        <fgColor rgb="FF00093F"/>
        <bgColor indexed="64"/>
      </patternFill>
    </fill>
    <fill>
      <patternFill patternType="solid">
        <fgColor rgb="FF000940"/>
        <bgColor indexed="64"/>
      </patternFill>
    </fill>
    <fill>
      <patternFill patternType="solid">
        <fgColor rgb="FF000941"/>
        <bgColor indexed="64"/>
      </patternFill>
    </fill>
    <fill>
      <patternFill patternType="solid">
        <fgColor rgb="FF000942"/>
        <bgColor indexed="64"/>
      </patternFill>
    </fill>
    <fill>
      <patternFill patternType="solid">
        <fgColor rgb="FF000943"/>
        <bgColor indexed="64"/>
      </patternFill>
    </fill>
    <fill>
      <patternFill patternType="solid">
        <fgColor rgb="FF000944"/>
        <bgColor indexed="64"/>
      </patternFill>
    </fill>
    <fill>
      <patternFill patternType="solid">
        <fgColor rgb="FF000945"/>
        <bgColor indexed="64"/>
      </patternFill>
    </fill>
    <fill>
      <patternFill patternType="solid">
        <fgColor rgb="FF000946"/>
        <bgColor indexed="64"/>
      </patternFill>
    </fill>
    <fill>
      <patternFill patternType="solid">
        <fgColor rgb="FF000947"/>
        <bgColor indexed="64"/>
      </patternFill>
    </fill>
    <fill>
      <patternFill patternType="solid">
        <fgColor rgb="FF000948"/>
        <bgColor indexed="64"/>
      </patternFill>
    </fill>
    <fill>
      <patternFill patternType="solid">
        <fgColor rgb="FF000949"/>
        <bgColor indexed="64"/>
      </patternFill>
    </fill>
    <fill>
      <patternFill patternType="solid">
        <fgColor rgb="FF00094A"/>
        <bgColor indexed="64"/>
      </patternFill>
    </fill>
    <fill>
      <patternFill patternType="solid">
        <fgColor rgb="FF00094B"/>
        <bgColor indexed="64"/>
      </patternFill>
    </fill>
    <fill>
      <patternFill patternType="solid">
        <fgColor rgb="FF00094C"/>
        <bgColor indexed="64"/>
      </patternFill>
    </fill>
    <fill>
      <patternFill patternType="solid">
        <fgColor rgb="FF00094D"/>
        <bgColor indexed="64"/>
      </patternFill>
    </fill>
    <fill>
      <patternFill patternType="solid">
        <fgColor rgb="FF00094E"/>
        <bgColor indexed="64"/>
      </patternFill>
    </fill>
    <fill>
      <patternFill patternType="solid">
        <fgColor rgb="FF00094F"/>
        <bgColor indexed="64"/>
      </patternFill>
    </fill>
    <fill>
      <patternFill patternType="solid">
        <fgColor rgb="FF000950"/>
        <bgColor indexed="64"/>
      </patternFill>
    </fill>
    <fill>
      <patternFill patternType="solid">
        <fgColor rgb="FF000951"/>
        <bgColor indexed="64"/>
      </patternFill>
    </fill>
    <fill>
      <patternFill patternType="solid">
        <fgColor rgb="FF000952"/>
        <bgColor indexed="64"/>
      </patternFill>
    </fill>
    <fill>
      <patternFill patternType="solid">
        <fgColor rgb="FF000953"/>
        <bgColor indexed="64"/>
      </patternFill>
    </fill>
    <fill>
      <patternFill patternType="solid">
        <fgColor rgb="FF000954"/>
        <bgColor indexed="64"/>
      </patternFill>
    </fill>
    <fill>
      <patternFill patternType="solid">
        <fgColor rgb="FF000955"/>
        <bgColor indexed="64"/>
      </patternFill>
    </fill>
    <fill>
      <patternFill patternType="solid">
        <fgColor rgb="FF000956"/>
        <bgColor indexed="64"/>
      </patternFill>
    </fill>
    <fill>
      <patternFill patternType="solid">
        <fgColor rgb="FF000957"/>
        <bgColor indexed="64"/>
      </patternFill>
    </fill>
    <fill>
      <patternFill patternType="solid">
        <fgColor rgb="FF000958"/>
        <bgColor indexed="64"/>
      </patternFill>
    </fill>
    <fill>
      <patternFill patternType="solid">
        <fgColor rgb="FF000959"/>
        <bgColor indexed="64"/>
      </patternFill>
    </fill>
    <fill>
      <patternFill patternType="solid">
        <fgColor rgb="FF00095A"/>
        <bgColor indexed="64"/>
      </patternFill>
    </fill>
    <fill>
      <patternFill patternType="solid">
        <fgColor rgb="FF00095B"/>
        <bgColor indexed="64"/>
      </patternFill>
    </fill>
    <fill>
      <patternFill patternType="solid">
        <fgColor rgb="FF00095C"/>
        <bgColor indexed="64"/>
      </patternFill>
    </fill>
    <fill>
      <patternFill patternType="solid">
        <fgColor rgb="FF00095D"/>
        <bgColor indexed="64"/>
      </patternFill>
    </fill>
    <fill>
      <patternFill patternType="solid">
        <fgColor rgb="FF00095E"/>
        <bgColor indexed="64"/>
      </patternFill>
    </fill>
    <fill>
      <patternFill patternType="solid">
        <fgColor rgb="FF00095F"/>
        <bgColor indexed="64"/>
      </patternFill>
    </fill>
    <fill>
      <patternFill patternType="solid">
        <fgColor rgb="FF000960"/>
        <bgColor indexed="64"/>
      </patternFill>
    </fill>
    <fill>
      <patternFill patternType="solid">
        <fgColor rgb="FF000961"/>
        <bgColor indexed="64"/>
      </patternFill>
    </fill>
    <fill>
      <patternFill patternType="solid">
        <fgColor rgb="FF000962"/>
        <bgColor indexed="64"/>
      </patternFill>
    </fill>
    <fill>
      <patternFill patternType="solid">
        <fgColor rgb="FF000963"/>
        <bgColor indexed="64"/>
      </patternFill>
    </fill>
    <fill>
      <patternFill patternType="solid">
        <fgColor rgb="FF000964"/>
        <bgColor indexed="64"/>
      </patternFill>
    </fill>
    <fill>
      <patternFill patternType="solid">
        <fgColor rgb="FF000965"/>
        <bgColor indexed="64"/>
      </patternFill>
    </fill>
    <fill>
      <patternFill patternType="solid">
        <fgColor rgb="FF000966"/>
        <bgColor indexed="64"/>
      </patternFill>
    </fill>
    <fill>
      <patternFill patternType="solid">
        <fgColor rgb="FF000967"/>
        <bgColor indexed="64"/>
      </patternFill>
    </fill>
    <fill>
      <patternFill patternType="solid">
        <fgColor rgb="FF000968"/>
        <bgColor indexed="64"/>
      </patternFill>
    </fill>
    <fill>
      <patternFill patternType="solid">
        <fgColor rgb="FF000969"/>
        <bgColor indexed="64"/>
      </patternFill>
    </fill>
    <fill>
      <patternFill patternType="solid">
        <fgColor rgb="FF00096A"/>
        <bgColor indexed="64"/>
      </patternFill>
    </fill>
    <fill>
      <patternFill patternType="solid">
        <fgColor rgb="FF00096B"/>
        <bgColor indexed="64"/>
      </patternFill>
    </fill>
    <fill>
      <patternFill patternType="solid">
        <fgColor rgb="FF00096C"/>
        <bgColor indexed="64"/>
      </patternFill>
    </fill>
    <fill>
      <patternFill patternType="solid">
        <fgColor rgb="FF00096D"/>
        <bgColor indexed="64"/>
      </patternFill>
    </fill>
    <fill>
      <patternFill patternType="solid">
        <fgColor rgb="FF00096E"/>
        <bgColor indexed="64"/>
      </patternFill>
    </fill>
    <fill>
      <patternFill patternType="solid">
        <fgColor rgb="FF00096F"/>
        <bgColor indexed="64"/>
      </patternFill>
    </fill>
    <fill>
      <patternFill patternType="solid">
        <fgColor rgb="FF000970"/>
        <bgColor indexed="64"/>
      </patternFill>
    </fill>
    <fill>
      <patternFill patternType="solid">
        <fgColor rgb="FF000971"/>
        <bgColor indexed="64"/>
      </patternFill>
    </fill>
    <fill>
      <patternFill patternType="solid">
        <fgColor rgb="FF000972"/>
        <bgColor indexed="64"/>
      </patternFill>
    </fill>
    <fill>
      <patternFill patternType="solid">
        <fgColor rgb="FF000973"/>
        <bgColor indexed="64"/>
      </patternFill>
    </fill>
    <fill>
      <patternFill patternType="solid">
        <fgColor rgb="FF000974"/>
        <bgColor indexed="64"/>
      </patternFill>
    </fill>
    <fill>
      <patternFill patternType="solid">
        <fgColor rgb="FF000975"/>
        <bgColor indexed="64"/>
      </patternFill>
    </fill>
    <fill>
      <patternFill patternType="solid">
        <fgColor rgb="FF000976"/>
        <bgColor indexed="64"/>
      </patternFill>
    </fill>
    <fill>
      <patternFill patternType="solid">
        <fgColor rgb="FF000977"/>
        <bgColor indexed="64"/>
      </patternFill>
    </fill>
    <fill>
      <patternFill patternType="solid">
        <fgColor rgb="FF000978"/>
        <bgColor indexed="64"/>
      </patternFill>
    </fill>
    <fill>
      <patternFill patternType="solid">
        <fgColor rgb="FF000979"/>
        <bgColor indexed="64"/>
      </patternFill>
    </fill>
    <fill>
      <patternFill patternType="solid">
        <fgColor rgb="FF00097A"/>
        <bgColor indexed="64"/>
      </patternFill>
    </fill>
    <fill>
      <patternFill patternType="solid">
        <fgColor rgb="FF00097B"/>
        <bgColor indexed="64"/>
      </patternFill>
    </fill>
    <fill>
      <patternFill patternType="solid">
        <fgColor rgb="FF00097C"/>
        <bgColor indexed="64"/>
      </patternFill>
    </fill>
    <fill>
      <patternFill patternType="solid">
        <fgColor rgb="FF00097D"/>
        <bgColor indexed="64"/>
      </patternFill>
    </fill>
    <fill>
      <patternFill patternType="solid">
        <fgColor rgb="FF00097E"/>
        <bgColor indexed="64"/>
      </patternFill>
    </fill>
    <fill>
      <patternFill patternType="solid">
        <fgColor rgb="FF00097F"/>
        <bgColor indexed="64"/>
      </patternFill>
    </fill>
    <fill>
      <patternFill patternType="solid">
        <fgColor rgb="FF000980"/>
        <bgColor indexed="64"/>
      </patternFill>
    </fill>
    <fill>
      <patternFill patternType="solid">
        <fgColor rgb="FF000981"/>
        <bgColor indexed="64"/>
      </patternFill>
    </fill>
    <fill>
      <patternFill patternType="solid">
        <fgColor rgb="FF000982"/>
        <bgColor indexed="64"/>
      </patternFill>
    </fill>
    <fill>
      <patternFill patternType="solid">
        <fgColor rgb="FF000983"/>
        <bgColor indexed="64"/>
      </patternFill>
    </fill>
    <fill>
      <patternFill patternType="solid">
        <fgColor rgb="FF000984"/>
        <bgColor indexed="64"/>
      </patternFill>
    </fill>
    <fill>
      <patternFill patternType="solid">
        <fgColor rgb="FF000985"/>
        <bgColor indexed="64"/>
      </patternFill>
    </fill>
    <fill>
      <patternFill patternType="solid">
        <fgColor rgb="FF000986"/>
        <bgColor indexed="64"/>
      </patternFill>
    </fill>
    <fill>
      <patternFill patternType="solid">
        <fgColor rgb="FF000987"/>
        <bgColor indexed="64"/>
      </patternFill>
    </fill>
    <fill>
      <patternFill patternType="solid">
        <fgColor rgb="FF000988"/>
        <bgColor indexed="64"/>
      </patternFill>
    </fill>
    <fill>
      <patternFill patternType="solid">
        <fgColor rgb="FF000989"/>
        <bgColor indexed="64"/>
      </patternFill>
    </fill>
    <fill>
      <patternFill patternType="solid">
        <fgColor rgb="FF00098A"/>
        <bgColor indexed="64"/>
      </patternFill>
    </fill>
    <fill>
      <patternFill patternType="solid">
        <fgColor rgb="FF00098B"/>
        <bgColor indexed="64"/>
      </patternFill>
    </fill>
    <fill>
      <patternFill patternType="solid">
        <fgColor rgb="FF00098C"/>
        <bgColor indexed="64"/>
      </patternFill>
    </fill>
    <fill>
      <patternFill patternType="solid">
        <fgColor rgb="FF00098D"/>
        <bgColor indexed="64"/>
      </patternFill>
    </fill>
    <fill>
      <patternFill patternType="solid">
        <fgColor rgb="FF00098E"/>
        <bgColor indexed="64"/>
      </patternFill>
    </fill>
    <fill>
      <patternFill patternType="solid">
        <fgColor rgb="FF00098F"/>
        <bgColor indexed="64"/>
      </patternFill>
    </fill>
    <fill>
      <patternFill patternType="solid">
        <fgColor rgb="FF000990"/>
        <bgColor indexed="64"/>
      </patternFill>
    </fill>
    <fill>
      <patternFill patternType="solid">
        <fgColor rgb="FF000991"/>
        <bgColor indexed="64"/>
      </patternFill>
    </fill>
    <fill>
      <patternFill patternType="solid">
        <fgColor rgb="FF000992"/>
        <bgColor indexed="64"/>
      </patternFill>
    </fill>
    <fill>
      <patternFill patternType="solid">
        <fgColor rgb="FF000993"/>
        <bgColor indexed="64"/>
      </patternFill>
    </fill>
    <fill>
      <patternFill patternType="solid">
        <fgColor rgb="FF000994"/>
        <bgColor indexed="64"/>
      </patternFill>
    </fill>
    <fill>
      <patternFill patternType="solid">
        <fgColor rgb="FF000995"/>
        <bgColor indexed="64"/>
      </patternFill>
    </fill>
    <fill>
      <patternFill patternType="solid">
        <fgColor rgb="FF000996"/>
        <bgColor indexed="64"/>
      </patternFill>
    </fill>
    <fill>
      <patternFill patternType="solid">
        <fgColor rgb="FF000997"/>
        <bgColor indexed="64"/>
      </patternFill>
    </fill>
    <fill>
      <patternFill patternType="solid">
        <fgColor rgb="FF000998"/>
        <bgColor indexed="64"/>
      </patternFill>
    </fill>
    <fill>
      <patternFill patternType="solid">
        <fgColor rgb="FF000999"/>
        <bgColor indexed="64"/>
      </patternFill>
    </fill>
    <fill>
      <patternFill patternType="solid">
        <fgColor rgb="FF00099A"/>
        <bgColor indexed="64"/>
      </patternFill>
    </fill>
    <fill>
      <patternFill patternType="solid">
        <fgColor rgb="FF00099B"/>
        <bgColor indexed="64"/>
      </patternFill>
    </fill>
    <fill>
      <patternFill patternType="solid">
        <fgColor rgb="FF00099C"/>
        <bgColor indexed="64"/>
      </patternFill>
    </fill>
    <fill>
      <patternFill patternType="solid">
        <fgColor rgb="FF00099D"/>
        <bgColor indexed="64"/>
      </patternFill>
    </fill>
    <fill>
      <patternFill patternType="solid">
        <fgColor rgb="FF00099E"/>
        <bgColor indexed="64"/>
      </patternFill>
    </fill>
    <fill>
      <patternFill patternType="solid">
        <fgColor rgb="FF00099F"/>
        <bgColor indexed="64"/>
      </patternFill>
    </fill>
    <fill>
      <patternFill patternType="solid">
        <fgColor rgb="FF0009A0"/>
        <bgColor indexed="64"/>
      </patternFill>
    </fill>
    <fill>
      <patternFill patternType="solid">
        <fgColor rgb="FF0009A1"/>
        <bgColor indexed="64"/>
      </patternFill>
    </fill>
    <fill>
      <patternFill patternType="solid">
        <fgColor rgb="FF0009A2"/>
        <bgColor indexed="64"/>
      </patternFill>
    </fill>
    <fill>
      <patternFill patternType="solid">
        <fgColor rgb="FF0009A3"/>
        <bgColor indexed="64"/>
      </patternFill>
    </fill>
    <fill>
      <patternFill patternType="solid">
        <fgColor rgb="FF0009A4"/>
        <bgColor indexed="64"/>
      </patternFill>
    </fill>
    <fill>
      <patternFill patternType="solid">
        <fgColor rgb="FF0009A5"/>
        <bgColor indexed="64"/>
      </patternFill>
    </fill>
    <fill>
      <patternFill patternType="solid">
        <fgColor rgb="FF0009A6"/>
        <bgColor indexed="64"/>
      </patternFill>
    </fill>
    <fill>
      <patternFill patternType="solid">
        <fgColor rgb="FF0009A7"/>
        <bgColor indexed="64"/>
      </patternFill>
    </fill>
    <fill>
      <patternFill patternType="solid">
        <fgColor rgb="FF0009A8"/>
        <bgColor indexed="64"/>
      </patternFill>
    </fill>
    <fill>
      <patternFill patternType="solid">
        <fgColor rgb="FF0009A9"/>
        <bgColor indexed="64"/>
      </patternFill>
    </fill>
    <fill>
      <patternFill patternType="solid">
        <fgColor rgb="FF0009AA"/>
        <bgColor indexed="64"/>
      </patternFill>
    </fill>
    <fill>
      <patternFill patternType="solid">
        <fgColor rgb="FF0009AB"/>
        <bgColor indexed="64"/>
      </patternFill>
    </fill>
    <fill>
      <patternFill patternType="solid">
        <fgColor rgb="FF0009AC"/>
        <bgColor indexed="64"/>
      </patternFill>
    </fill>
    <fill>
      <patternFill patternType="solid">
        <fgColor rgb="FF0009AD"/>
        <bgColor indexed="64"/>
      </patternFill>
    </fill>
    <fill>
      <patternFill patternType="solid">
        <fgColor rgb="FF0009AE"/>
        <bgColor indexed="64"/>
      </patternFill>
    </fill>
    <fill>
      <patternFill patternType="solid">
        <fgColor rgb="FF0009AF"/>
        <bgColor indexed="64"/>
      </patternFill>
    </fill>
    <fill>
      <patternFill patternType="solid">
        <fgColor rgb="FF0009B0"/>
        <bgColor indexed="64"/>
      </patternFill>
    </fill>
    <fill>
      <patternFill patternType="solid">
        <fgColor rgb="FF0009B1"/>
        <bgColor indexed="64"/>
      </patternFill>
    </fill>
    <fill>
      <patternFill patternType="solid">
        <fgColor rgb="FF0009B2"/>
        <bgColor indexed="64"/>
      </patternFill>
    </fill>
    <fill>
      <patternFill patternType="solid">
        <fgColor rgb="FF0009B3"/>
        <bgColor indexed="64"/>
      </patternFill>
    </fill>
    <fill>
      <patternFill patternType="solid">
        <fgColor rgb="FF0009B4"/>
        <bgColor indexed="64"/>
      </patternFill>
    </fill>
    <fill>
      <patternFill patternType="solid">
        <fgColor rgb="FF0009B5"/>
        <bgColor indexed="64"/>
      </patternFill>
    </fill>
    <fill>
      <patternFill patternType="solid">
        <fgColor rgb="FF0009B6"/>
        <bgColor indexed="64"/>
      </patternFill>
    </fill>
    <fill>
      <patternFill patternType="solid">
        <fgColor rgb="FF0009B7"/>
        <bgColor indexed="64"/>
      </patternFill>
    </fill>
    <fill>
      <patternFill patternType="solid">
        <fgColor rgb="FF0009B8"/>
        <bgColor indexed="64"/>
      </patternFill>
    </fill>
    <fill>
      <patternFill patternType="solid">
        <fgColor rgb="FF0009B9"/>
        <bgColor indexed="64"/>
      </patternFill>
    </fill>
    <fill>
      <patternFill patternType="solid">
        <fgColor rgb="FF0009BA"/>
        <bgColor indexed="64"/>
      </patternFill>
    </fill>
    <fill>
      <patternFill patternType="solid">
        <fgColor rgb="FF0009BB"/>
        <bgColor indexed="64"/>
      </patternFill>
    </fill>
    <fill>
      <patternFill patternType="solid">
        <fgColor rgb="FF0009BC"/>
        <bgColor indexed="64"/>
      </patternFill>
    </fill>
    <fill>
      <patternFill patternType="solid">
        <fgColor rgb="FF0009BD"/>
        <bgColor indexed="64"/>
      </patternFill>
    </fill>
    <fill>
      <patternFill patternType="solid">
        <fgColor rgb="FF0009BE"/>
        <bgColor indexed="64"/>
      </patternFill>
    </fill>
    <fill>
      <patternFill patternType="solid">
        <fgColor rgb="FF0009BF"/>
        <bgColor indexed="64"/>
      </patternFill>
    </fill>
    <fill>
      <patternFill patternType="solid">
        <fgColor rgb="FF0009C0"/>
        <bgColor indexed="64"/>
      </patternFill>
    </fill>
    <fill>
      <patternFill patternType="solid">
        <fgColor rgb="FF0009C1"/>
        <bgColor indexed="64"/>
      </patternFill>
    </fill>
    <fill>
      <patternFill patternType="solid">
        <fgColor rgb="FF0009C2"/>
        <bgColor indexed="64"/>
      </patternFill>
    </fill>
    <fill>
      <patternFill patternType="solid">
        <fgColor rgb="FF0009C3"/>
        <bgColor indexed="64"/>
      </patternFill>
    </fill>
    <fill>
      <patternFill patternType="solid">
        <fgColor rgb="FF0009C4"/>
        <bgColor indexed="64"/>
      </patternFill>
    </fill>
    <fill>
      <patternFill patternType="solid">
        <fgColor rgb="FF0009C5"/>
        <bgColor indexed="64"/>
      </patternFill>
    </fill>
    <fill>
      <patternFill patternType="solid">
        <fgColor rgb="FF0009C6"/>
        <bgColor indexed="64"/>
      </patternFill>
    </fill>
    <fill>
      <patternFill patternType="solid">
        <fgColor rgb="FF0009C7"/>
        <bgColor indexed="64"/>
      </patternFill>
    </fill>
    <fill>
      <patternFill patternType="solid">
        <fgColor rgb="FF0009C8"/>
        <bgColor indexed="64"/>
      </patternFill>
    </fill>
    <fill>
      <patternFill patternType="solid">
        <fgColor rgb="FF0009C9"/>
        <bgColor indexed="64"/>
      </patternFill>
    </fill>
    <fill>
      <patternFill patternType="solid">
        <fgColor rgb="FF0009CA"/>
        <bgColor indexed="64"/>
      </patternFill>
    </fill>
    <fill>
      <patternFill patternType="solid">
        <fgColor rgb="FF0009CB"/>
        <bgColor indexed="64"/>
      </patternFill>
    </fill>
    <fill>
      <patternFill patternType="solid">
        <fgColor rgb="FF0009CC"/>
        <bgColor indexed="64"/>
      </patternFill>
    </fill>
    <fill>
      <patternFill patternType="solid">
        <fgColor rgb="FF0009CD"/>
        <bgColor indexed="64"/>
      </patternFill>
    </fill>
    <fill>
      <patternFill patternType="solid">
        <fgColor rgb="FF0009CE"/>
        <bgColor indexed="64"/>
      </patternFill>
    </fill>
    <fill>
      <patternFill patternType="solid">
        <fgColor rgb="FF0009CF"/>
        <bgColor indexed="64"/>
      </patternFill>
    </fill>
    <fill>
      <patternFill patternType="solid">
        <fgColor rgb="FF0009D0"/>
        <bgColor indexed="64"/>
      </patternFill>
    </fill>
    <fill>
      <patternFill patternType="solid">
        <fgColor rgb="FF0009D1"/>
        <bgColor indexed="64"/>
      </patternFill>
    </fill>
    <fill>
      <patternFill patternType="solid">
        <fgColor rgb="FF0009D2"/>
        <bgColor indexed="64"/>
      </patternFill>
    </fill>
    <fill>
      <patternFill patternType="solid">
        <fgColor rgb="FF0009D3"/>
        <bgColor indexed="64"/>
      </patternFill>
    </fill>
    <fill>
      <patternFill patternType="solid">
        <fgColor rgb="FF0009D4"/>
        <bgColor indexed="64"/>
      </patternFill>
    </fill>
    <fill>
      <patternFill patternType="solid">
        <fgColor rgb="FF0009D5"/>
        <bgColor indexed="64"/>
      </patternFill>
    </fill>
    <fill>
      <patternFill patternType="solid">
        <fgColor rgb="FF0009D6"/>
        <bgColor indexed="64"/>
      </patternFill>
    </fill>
    <fill>
      <patternFill patternType="solid">
        <fgColor rgb="FF0009D7"/>
        <bgColor indexed="64"/>
      </patternFill>
    </fill>
    <fill>
      <patternFill patternType="solid">
        <fgColor rgb="FF0009D8"/>
        <bgColor indexed="64"/>
      </patternFill>
    </fill>
    <fill>
      <patternFill patternType="solid">
        <fgColor rgb="FF0009D9"/>
        <bgColor indexed="64"/>
      </patternFill>
    </fill>
    <fill>
      <patternFill patternType="solid">
        <fgColor rgb="FF0009DA"/>
        <bgColor indexed="64"/>
      </patternFill>
    </fill>
    <fill>
      <patternFill patternType="solid">
        <fgColor rgb="FF0009DB"/>
        <bgColor indexed="64"/>
      </patternFill>
    </fill>
    <fill>
      <patternFill patternType="solid">
        <fgColor rgb="FF0009DC"/>
        <bgColor indexed="64"/>
      </patternFill>
    </fill>
    <fill>
      <patternFill patternType="solid">
        <fgColor rgb="FF0009DD"/>
        <bgColor indexed="64"/>
      </patternFill>
    </fill>
    <fill>
      <patternFill patternType="solid">
        <fgColor rgb="FF0009DE"/>
        <bgColor indexed="64"/>
      </patternFill>
    </fill>
    <fill>
      <patternFill patternType="solid">
        <fgColor rgb="FF0009DF"/>
        <bgColor indexed="64"/>
      </patternFill>
    </fill>
    <fill>
      <patternFill patternType="solid">
        <fgColor rgb="FF0009E0"/>
        <bgColor indexed="64"/>
      </patternFill>
    </fill>
    <fill>
      <patternFill patternType="solid">
        <fgColor rgb="FF0009E1"/>
        <bgColor indexed="64"/>
      </patternFill>
    </fill>
    <fill>
      <patternFill patternType="solid">
        <fgColor rgb="FF0009E2"/>
        <bgColor indexed="64"/>
      </patternFill>
    </fill>
    <fill>
      <patternFill patternType="solid">
        <fgColor rgb="FF0009E3"/>
        <bgColor indexed="64"/>
      </patternFill>
    </fill>
    <fill>
      <patternFill patternType="solid">
        <fgColor rgb="FF0009E4"/>
        <bgColor indexed="64"/>
      </patternFill>
    </fill>
    <fill>
      <patternFill patternType="solid">
        <fgColor rgb="FF0009E5"/>
        <bgColor indexed="64"/>
      </patternFill>
    </fill>
    <fill>
      <patternFill patternType="solid">
        <fgColor rgb="FF0009E6"/>
        <bgColor indexed="64"/>
      </patternFill>
    </fill>
    <fill>
      <patternFill patternType="solid">
        <fgColor rgb="FF0009E7"/>
        <bgColor indexed="64"/>
      </patternFill>
    </fill>
    <fill>
      <patternFill patternType="solid">
        <fgColor rgb="FF0009E8"/>
        <bgColor indexed="64"/>
      </patternFill>
    </fill>
    <fill>
      <patternFill patternType="solid">
        <fgColor rgb="FF0009E9"/>
        <bgColor indexed="64"/>
      </patternFill>
    </fill>
    <fill>
      <patternFill patternType="solid">
        <fgColor rgb="FF0009EA"/>
        <bgColor indexed="64"/>
      </patternFill>
    </fill>
    <fill>
      <patternFill patternType="solid">
        <fgColor rgb="FF0009EB"/>
        <bgColor indexed="64"/>
      </patternFill>
    </fill>
    <fill>
      <patternFill patternType="solid">
        <fgColor rgb="FF0009EC"/>
        <bgColor indexed="64"/>
      </patternFill>
    </fill>
    <fill>
      <patternFill patternType="solid">
        <fgColor rgb="FF0009ED"/>
        <bgColor indexed="64"/>
      </patternFill>
    </fill>
    <fill>
      <patternFill patternType="solid">
        <fgColor rgb="FF0009EE"/>
        <bgColor indexed="64"/>
      </patternFill>
    </fill>
    <fill>
      <patternFill patternType="solid">
        <fgColor rgb="FF0009EF"/>
        <bgColor indexed="64"/>
      </patternFill>
    </fill>
    <fill>
      <patternFill patternType="solid">
        <fgColor rgb="FF0009F0"/>
        <bgColor indexed="64"/>
      </patternFill>
    </fill>
    <fill>
      <patternFill patternType="solid">
        <fgColor rgb="FF0009F1"/>
        <bgColor indexed="64"/>
      </patternFill>
    </fill>
    <fill>
      <patternFill patternType="solid">
        <fgColor rgb="FF0009F2"/>
        <bgColor indexed="64"/>
      </patternFill>
    </fill>
    <fill>
      <patternFill patternType="solid">
        <fgColor rgb="FF0009F3"/>
        <bgColor indexed="64"/>
      </patternFill>
    </fill>
    <fill>
      <patternFill patternType="solid">
        <fgColor rgb="FF0009F4"/>
        <bgColor indexed="64"/>
      </patternFill>
    </fill>
    <fill>
      <patternFill patternType="solid">
        <fgColor rgb="FF0009F5"/>
        <bgColor indexed="64"/>
      </patternFill>
    </fill>
    <fill>
      <patternFill patternType="solid">
        <fgColor rgb="FF0009F6"/>
        <bgColor indexed="64"/>
      </patternFill>
    </fill>
    <fill>
      <patternFill patternType="solid">
        <fgColor rgb="FF0009F7"/>
        <bgColor indexed="64"/>
      </patternFill>
    </fill>
    <fill>
      <patternFill patternType="solid">
        <fgColor rgb="FF0009F8"/>
        <bgColor indexed="64"/>
      </patternFill>
    </fill>
    <fill>
      <patternFill patternType="solid">
        <fgColor rgb="FF0009F9"/>
        <bgColor indexed="64"/>
      </patternFill>
    </fill>
    <fill>
      <patternFill patternType="solid">
        <fgColor rgb="FF0009FA"/>
        <bgColor indexed="64"/>
      </patternFill>
    </fill>
    <fill>
      <patternFill patternType="solid">
        <fgColor rgb="FF0009FB"/>
        <bgColor indexed="64"/>
      </patternFill>
    </fill>
    <fill>
      <patternFill patternType="solid">
        <fgColor rgb="FF0009FC"/>
        <bgColor indexed="64"/>
      </patternFill>
    </fill>
    <fill>
      <patternFill patternType="solid">
        <fgColor rgb="FF0009FD"/>
        <bgColor indexed="64"/>
      </patternFill>
    </fill>
    <fill>
      <patternFill patternType="solid">
        <fgColor rgb="FF0009FE"/>
        <bgColor indexed="64"/>
      </patternFill>
    </fill>
    <fill>
      <patternFill patternType="solid">
        <fgColor rgb="FF0009FF"/>
        <bgColor indexed="64"/>
      </patternFill>
    </fill>
    <fill>
      <patternFill patternType="solid">
        <fgColor rgb="FF000A00"/>
        <bgColor indexed="64"/>
      </patternFill>
    </fill>
    <fill>
      <patternFill patternType="solid">
        <fgColor rgb="FF000A01"/>
        <bgColor indexed="64"/>
      </patternFill>
    </fill>
    <fill>
      <patternFill patternType="solid">
        <fgColor rgb="FF000A02"/>
        <bgColor indexed="64"/>
      </patternFill>
    </fill>
    <fill>
      <patternFill patternType="solid">
        <fgColor rgb="FF000A03"/>
        <bgColor indexed="64"/>
      </patternFill>
    </fill>
    <fill>
      <patternFill patternType="solid">
        <fgColor rgb="FF000A04"/>
        <bgColor indexed="64"/>
      </patternFill>
    </fill>
    <fill>
      <patternFill patternType="solid">
        <fgColor rgb="FF000A05"/>
        <bgColor indexed="64"/>
      </patternFill>
    </fill>
    <fill>
      <patternFill patternType="solid">
        <fgColor rgb="FF000A06"/>
        <bgColor indexed="64"/>
      </patternFill>
    </fill>
    <fill>
      <patternFill patternType="solid">
        <fgColor rgb="FF000A07"/>
        <bgColor indexed="64"/>
      </patternFill>
    </fill>
    <fill>
      <patternFill patternType="solid">
        <fgColor rgb="FF000A08"/>
        <bgColor indexed="64"/>
      </patternFill>
    </fill>
    <fill>
      <patternFill patternType="solid">
        <fgColor rgb="FF000A09"/>
        <bgColor indexed="64"/>
      </patternFill>
    </fill>
    <fill>
      <patternFill patternType="solid">
        <fgColor rgb="FF000A0A"/>
        <bgColor indexed="64"/>
      </patternFill>
    </fill>
    <fill>
      <patternFill patternType="solid">
        <fgColor rgb="FF000A0B"/>
        <bgColor indexed="64"/>
      </patternFill>
    </fill>
    <fill>
      <patternFill patternType="solid">
        <fgColor rgb="FF000A0C"/>
        <bgColor indexed="64"/>
      </patternFill>
    </fill>
    <fill>
      <patternFill patternType="solid">
        <fgColor rgb="FF000A0D"/>
        <bgColor indexed="64"/>
      </patternFill>
    </fill>
    <fill>
      <patternFill patternType="solid">
        <fgColor rgb="FF000A0E"/>
        <bgColor indexed="64"/>
      </patternFill>
    </fill>
    <fill>
      <patternFill patternType="solid">
        <fgColor rgb="FF000A0F"/>
        <bgColor indexed="64"/>
      </patternFill>
    </fill>
    <fill>
      <patternFill patternType="solid">
        <fgColor rgb="FF000A10"/>
        <bgColor indexed="64"/>
      </patternFill>
    </fill>
    <fill>
      <patternFill patternType="solid">
        <fgColor rgb="FF000A11"/>
        <bgColor indexed="64"/>
      </patternFill>
    </fill>
    <fill>
      <patternFill patternType="solid">
        <fgColor rgb="FF000A12"/>
        <bgColor indexed="64"/>
      </patternFill>
    </fill>
    <fill>
      <patternFill patternType="solid">
        <fgColor rgb="FF000A13"/>
        <bgColor indexed="64"/>
      </patternFill>
    </fill>
    <fill>
      <patternFill patternType="solid">
        <fgColor rgb="FF000A14"/>
        <bgColor indexed="64"/>
      </patternFill>
    </fill>
    <fill>
      <patternFill patternType="solid">
        <fgColor rgb="FF000A15"/>
        <bgColor indexed="64"/>
      </patternFill>
    </fill>
    <fill>
      <patternFill patternType="solid">
        <fgColor rgb="FF000A16"/>
        <bgColor indexed="64"/>
      </patternFill>
    </fill>
    <fill>
      <patternFill patternType="solid">
        <fgColor rgb="FF000A17"/>
        <bgColor indexed="64"/>
      </patternFill>
    </fill>
    <fill>
      <patternFill patternType="solid">
        <fgColor rgb="FF000A18"/>
        <bgColor indexed="64"/>
      </patternFill>
    </fill>
    <fill>
      <patternFill patternType="solid">
        <fgColor rgb="FF000A19"/>
        <bgColor indexed="64"/>
      </patternFill>
    </fill>
    <fill>
      <patternFill patternType="solid">
        <fgColor rgb="FF000A1A"/>
        <bgColor indexed="64"/>
      </patternFill>
    </fill>
    <fill>
      <patternFill patternType="solid">
        <fgColor rgb="FF000A1B"/>
        <bgColor indexed="64"/>
      </patternFill>
    </fill>
    <fill>
      <patternFill patternType="solid">
        <fgColor rgb="FF000A1C"/>
        <bgColor indexed="64"/>
      </patternFill>
    </fill>
    <fill>
      <patternFill patternType="solid">
        <fgColor rgb="FF000A1D"/>
        <bgColor indexed="64"/>
      </patternFill>
    </fill>
    <fill>
      <patternFill patternType="solid">
        <fgColor rgb="FF000A1E"/>
        <bgColor indexed="64"/>
      </patternFill>
    </fill>
    <fill>
      <patternFill patternType="solid">
        <fgColor rgb="FF000A1F"/>
        <bgColor indexed="64"/>
      </patternFill>
    </fill>
    <fill>
      <patternFill patternType="solid">
        <fgColor rgb="FF000A20"/>
        <bgColor indexed="64"/>
      </patternFill>
    </fill>
    <fill>
      <patternFill patternType="solid">
        <fgColor rgb="FF000A21"/>
        <bgColor indexed="64"/>
      </patternFill>
    </fill>
    <fill>
      <patternFill patternType="solid">
        <fgColor rgb="FF000A22"/>
        <bgColor indexed="64"/>
      </patternFill>
    </fill>
    <fill>
      <patternFill patternType="solid">
        <fgColor rgb="FF000A23"/>
        <bgColor indexed="64"/>
      </patternFill>
    </fill>
    <fill>
      <patternFill patternType="solid">
        <fgColor rgb="FF000A24"/>
        <bgColor indexed="64"/>
      </patternFill>
    </fill>
    <fill>
      <patternFill patternType="solid">
        <fgColor rgb="FF000A25"/>
        <bgColor indexed="64"/>
      </patternFill>
    </fill>
    <fill>
      <patternFill patternType="solid">
        <fgColor rgb="FF000A26"/>
        <bgColor indexed="64"/>
      </patternFill>
    </fill>
    <fill>
      <patternFill patternType="solid">
        <fgColor rgb="FF000A27"/>
        <bgColor indexed="64"/>
      </patternFill>
    </fill>
    <fill>
      <patternFill patternType="solid">
        <fgColor rgb="FF000A28"/>
        <bgColor indexed="64"/>
      </patternFill>
    </fill>
    <fill>
      <patternFill patternType="solid">
        <fgColor rgb="FF000A29"/>
        <bgColor indexed="64"/>
      </patternFill>
    </fill>
    <fill>
      <patternFill patternType="solid">
        <fgColor rgb="FF000A2A"/>
        <bgColor indexed="64"/>
      </patternFill>
    </fill>
    <fill>
      <patternFill patternType="solid">
        <fgColor rgb="FF000A2B"/>
        <bgColor indexed="64"/>
      </patternFill>
    </fill>
    <fill>
      <patternFill patternType="solid">
        <fgColor rgb="FF000A2C"/>
        <bgColor indexed="64"/>
      </patternFill>
    </fill>
    <fill>
      <patternFill patternType="solid">
        <fgColor rgb="FF000A2D"/>
        <bgColor indexed="64"/>
      </patternFill>
    </fill>
    <fill>
      <patternFill patternType="solid">
        <fgColor rgb="FF000A2E"/>
        <bgColor indexed="64"/>
      </patternFill>
    </fill>
    <fill>
      <patternFill patternType="solid">
        <fgColor rgb="FF000A2F"/>
        <bgColor indexed="64"/>
      </patternFill>
    </fill>
    <fill>
      <patternFill patternType="solid">
        <fgColor rgb="FF000A30"/>
        <bgColor indexed="64"/>
      </patternFill>
    </fill>
    <fill>
      <patternFill patternType="solid">
        <fgColor rgb="FF000A31"/>
        <bgColor indexed="64"/>
      </patternFill>
    </fill>
    <fill>
      <patternFill patternType="solid">
        <fgColor rgb="FF000A32"/>
        <bgColor indexed="64"/>
      </patternFill>
    </fill>
    <fill>
      <patternFill patternType="solid">
        <fgColor rgb="FF000A33"/>
        <bgColor indexed="64"/>
      </patternFill>
    </fill>
    <fill>
      <patternFill patternType="solid">
        <fgColor rgb="FF000A34"/>
        <bgColor indexed="64"/>
      </patternFill>
    </fill>
    <fill>
      <patternFill patternType="solid">
        <fgColor rgb="FF000A35"/>
        <bgColor indexed="64"/>
      </patternFill>
    </fill>
    <fill>
      <patternFill patternType="solid">
        <fgColor rgb="FF000A36"/>
        <bgColor indexed="64"/>
      </patternFill>
    </fill>
    <fill>
      <patternFill patternType="solid">
        <fgColor rgb="FF000A37"/>
        <bgColor indexed="64"/>
      </patternFill>
    </fill>
    <fill>
      <patternFill patternType="solid">
        <fgColor rgb="FF000A38"/>
        <bgColor indexed="64"/>
      </patternFill>
    </fill>
    <fill>
      <patternFill patternType="solid">
        <fgColor rgb="FF000A39"/>
        <bgColor indexed="64"/>
      </patternFill>
    </fill>
    <fill>
      <patternFill patternType="solid">
        <fgColor rgb="FF000A3A"/>
        <bgColor indexed="64"/>
      </patternFill>
    </fill>
    <fill>
      <patternFill patternType="solid">
        <fgColor rgb="FF000A3B"/>
        <bgColor indexed="64"/>
      </patternFill>
    </fill>
    <fill>
      <patternFill patternType="solid">
        <fgColor rgb="FF000A3C"/>
        <bgColor indexed="64"/>
      </patternFill>
    </fill>
    <fill>
      <patternFill patternType="solid">
        <fgColor rgb="FF000A3D"/>
        <bgColor indexed="64"/>
      </patternFill>
    </fill>
    <fill>
      <patternFill patternType="solid">
        <fgColor rgb="FF000A3E"/>
        <bgColor indexed="64"/>
      </patternFill>
    </fill>
    <fill>
      <patternFill patternType="solid">
        <fgColor rgb="FF000A3F"/>
        <bgColor indexed="64"/>
      </patternFill>
    </fill>
    <fill>
      <patternFill patternType="solid">
        <fgColor rgb="FF000A40"/>
        <bgColor indexed="64"/>
      </patternFill>
    </fill>
    <fill>
      <patternFill patternType="solid">
        <fgColor rgb="FF000A41"/>
        <bgColor indexed="64"/>
      </patternFill>
    </fill>
    <fill>
      <patternFill patternType="solid">
        <fgColor rgb="FF000A42"/>
        <bgColor indexed="64"/>
      </patternFill>
    </fill>
    <fill>
      <patternFill patternType="solid">
        <fgColor rgb="FF000A43"/>
        <bgColor indexed="64"/>
      </patternFill>
    </fill>
    <fill>
      <patternFill patternType="solid">
        <fgColor rgb="FF000A44"/>
        <bgColor indexed="64"/>
      </patternFill>
    </fill>
    <fill>
      <patternFill patternType="solid">
        <fgColor rgb="FF000A45"/>
        <bgColor indexed="64"/>
      </patternFill>
    </fill>
    <fill>
      <patternFill patternType="solid">
        <fgColor rgb="FF000A46"/>
        <bgColor indexed="64"/>
      </patternFill>
    </fill>
    <fill>
      <patternFill patternType="solid">
        <fgColor rgb="FF000A47"/>
        <bgColor indexed="64"/>
      </patternFill>
    </fill>
    <fill>
      <patternFill patternType="solid">
        <fgColor rgb="FF000A48"/>
        <bgColor indexed="64"/>
      </patternFill>
    </fill>
    <fill>
      <patternFill patternType="solid">
        <fgColor rgb="FF000A49"/>
        <bgColor indexed="64"/>
      </patternFill>
    </fill>
    <fill>
      <patternFill patternType="solid">
        <fgColor rgb="FF000A4A"/>
        <bgColor indexed="64"/>
      </patternFill>
    </fill>
    <fill>
      <patternFill patternType="solid">
        <fgColor rgb="FF000A4B"/>
        <bgColor indexed="64"/>
      </patternFill>
    </fill>
    <fill>
      <patternFill patternType="solid">
        <fgColor rgb="FF000A4C"/>
        <bgColor indexed="64"/>
      </patternFill>
    </fill>
    <fill>
      <patternFill patternType="solid">
        <fgColor rgb="FF000A4D"/>
        <bgColor indexed="64"/>
      </patternFill>
    </fill>
    <fill>
      <patternFill patternType="solid">
        <fgColor rgb="FF000A4E"/>
        <bgColor indexed="64"/>
      </patternFill>
    </fill>
    <fill>
      <patternFill patternType="solid">
        <fgColor rgb="FF000A4F"/>
        <bgColor indexed="64"/>
      </patternFill>
    </fill>
    <fill>
      <patternFill patternType="solid">
        <fgColor rgb="FF000A50"/>
        <bgColor indexed="64"/>
      </patternFill>
    </fill>
    <fill>
      <patternFill patternType="solid">
        <fgColor rgb="FF000A51"/>
        <bgColor indexed="64"/>
      </patternFill>
    </fill>
    <fill>
      <patternFill patternType="solid">
        <fgColor rgb="FF000A52"/>
        <bgColor indexed="64"/>
      </patternFill>
    </fill>
    <fill>
      <patternFill patternType="solid">
        <fgColor rgb="FF000A53"/>
        <bgColor indexed="64"/>
      </patternFill>
    </fill>
    <fill>
      <patternFill patternType="solid">
        <fgColor rgb="FF000A54"/>
        <bgColor indexed="64"/>
      </patternFill>
    </fill>
    <fill>
      <patternFill patternType="solid">
        <fgColor rgb="FF000A55"/>
        <bgColor indexed="64"/>
      </patternFill>
    </fill>
    <fill>
      <patternFill patternType="solid">
        <fgColor rgb="FF000A56"/>
        <bgColor indexed="64"/>
      </patternFill>
    </fill>
    <fill>
      <patternFill patternType="solid">
        <fgColor rgb="FF000A57"/>
        <bgColor indexed="64"/>
      </patternFill>
    </fill>
    <fill>
      <patternFill patternType="solid">
        <fgColor rgb="FF000A58"/>
        <bgColor indexed="64"/>
      </patternFill>
    </fill>
    <fill>
      <patternFill patternType="solid">
        <fgColor rgb="FF000A59"/>
        <bgColor indexed="64"/>
      </patternFill>
    </fill>
    <fill>
      <patternFill patternType="solid">
        <fgColor rgb="FF000A5A"/>
        <bgColor indexed="64"/>
      </patternFill>
    </fill>
    <fill>
      <patternFill patternType="solid">
        <fgColor rgb="FF000A5B"/>
        <bgColor indexed="64"/>
      </patternFill>
    </fill>
    <fill>
      <patternFill patternType="solid">
        <fgColor rgb="FF000A5C"/>
        <bgColor indexed="64"/>
      </patternFill>
    </fill>
    <fill>
      <patternFill patternType="solid">
        <fgColor rgb="FF000A5D"/>
        <bgColor indexed="64"/>
      </patternFill>
    </fill>
    <fill>
      <patternFill patternType="solid">
        <fgColor rgb="FF000A5E"/>
        <bgColor indexed="64"/>
      </patternFill>
    </fill>
    <fill>
      <patternFill patternType="solid">
        <fgColor rgb="FF000A5F"/>
        <bgColor indexed="64"/>
      </patternFill>
    </fill>
    <fill>
      <patternFill patternType="solid">
        <fgColor rgb="FF000A60"/>
        <bgColor indexed="64"/>
      </patternFill>
    </fill>
    <fill>
      <patternFill patternType="solid">
        <fgColor rgb="FF000A61"/>
        <bgColor indexed="64"/>
      </patternFill>
    </fill>
    <fill>
      <patternFill patternType="solid">
        <fgColor rgb="FF000A62"/>
        <bgColor indexed="64"/>
      </patternFill>
    </fill>
    <fill>
      <patternFill patternType="solid">
        <fgColor rgb="FF000A63"/>
        <bgColor indexed="64"/>
      </patternFill>
    </fill>
    <fill>
      <patternFill patternType="solid">
        <fgColor rgb="FF000A64"/>
        <bgColor indexed="64"/>
      </patternFill>
    </fill>
    <fill>
      <patternFill patternType="solid">
        <fgColor rgb="FF000A65"/>
        <bgColor indexed="64"/>
      </patternFill>
    </fill>
    <fill>
      <patternFill patternType="solid">
        <fgColor rgb="FF000A66"/>
        <bgColor indexed="64"/>
      </patternFill>
    </fill>
    <fill>
      <patternFill patternType="solid">
        <fgColor rgb="FF000A67"/>
        <bgColor indexed="64"/>
      </patternFill>
    </fill>
    <fill>
      <patternFill patternType="solid">
        <fgColor rgb="FF000A68"/>
        <bgColor indexed="64"/>
      </patternFill>
    </fill>
    <fill>
      <patternFill patternType="solid">
        <fgColor rgb="FF000A69"/>
        <bgColor indexed="64"/>
      </patternFill>
    </fill>
    <fill>
      <patternFill patternType="solid">
        <fgColor rgb="FF000A6A"/>
        <bgColor indexed="64"/>
      </patternFill>
    </fill>
    <fill>
      <patternFill patternType="solid">
        <fgColor rgb="FF000A6B"/>
        <bgColor indexed="64"/>
      </patternFill>
    </fill>
    <fill>
      <patternFill patternType="solid">
        <fgColor rgb="FF000A6C"/>
        <bgColor indexed="64"/>
      </patternFill>
    </fill>
    <fill>
      <patternFill patternType="solid">
        <fgColor rgb="FF000A6D"/>
        <bgColor indexed="64"/>
      </patternFill>
    </fill>
    <fill>
      <patternFill patternType="solid">
        <fgColor rgb="FF000A6E"/>
        <bgColor indexed="64"/>
      </patternFill>
    </fill>
    <fill>
      <patternFill patternType="solid">
        <fgColor rgb="FF000A6F"/>
        <bgColor indexed="64"/>
      </patternFill>
    </fill>
    <fill>
      <patternFill patternType="solid">
        <fgColor rgb="FF000A70"/>
        <bgColor indexed="64"/>
      </patternFill>
    </fill>
    <fill>
      <patternFill patternType="solid">
        <fgColor rgb="FF000A71"/>
        <bgColor indexed="64"/>
      </patternFill>
    </fill>
    <fill>
      <patternFill patternType="solid">
        <fgColor rgb="FF000A72"/>
        <bgColor indexed="64"/>
      </patternFill>
    </fill>
    <fill>
      <patternFill patternType="solid">
        <fgColor rgb="FF000A73"/>
        <bgColor indexed="64"/>
      </patternFill>
    </fill>
    <fill>
      <patternFill patternType="solid">
        <fgColor rgb="FF000A74"/>
        <bgColor indexed="64"/>
      </patternFill>
    </fill>
    <fill>
      <patternFill patternType="solid">
        <fgColor rgb="FF000A75"/>
        <bgColor indexed="64"/>
      </patternFill>
    </fill>
    <fill>
      <patternFill patternType="solid">
        <fgColor rgb="FF000A76"/>
        <bgColor indexed="64"/>
      </patternFill>
    </fill>
    <fill>
      <patternFill patternType="solid">
        <fgColor rgb="FF000A77"/>
        <bgColor indexed="64"/>
      </patternFill>
    </fill>
    <fill>
      <patternFill patternType="solid">
        <fgColor rgb="FF000A78"/>
        <bgColor indexed="64"/>
      </patternFill>
    </fill>
    <fill>
      <patternFill patternType="solid">
        <fgColor rgb="FF000A79"/>
        <bgColor indexed="64"/>
      </patternFill>
    </fill>
    <fill>
      <patternFill patternType="solid">
        <fgColor rgb="FF000A7A"/>
        <bgColor indexed="64"/>
      </patternFill>
    </fill>
    <fill>
      <patternFill patternType="solid">
        <fgColor rgb="FF000A7B"/>
        <bgColor indexed="64"/>
      </patternFill>
    </fill>
    <fill>
      <patternFill patternType="solid">
        <fgColor rgb="FF000A7C"/>
        <bgColor indexed="64"/>
      </patternFill>
    </fill>
    <fill>
      <patternFill patternType="solid">
        <fgColor rgb="FF000A7D"/>
        <bgColor indexed="64"/>
      </patternFill>
    </fill>
    <fill>
      <patternFill patternType="solid">
        <fgColor rgb="FF000A7E"/>
        <bgColor indexed="64"/>
      </patternFill>
    </fill>
    <fill>
      <patternFill patternType="solid">
        <fgColor rgb="FF000A7F"/>
        <bgColor indexed="64"/>
      </patternFill>
    </fill>
    <fill>
      <patternFill patternType="solid">
        <fgColor rgb="FF000A80"/>
        <bgColor indexed="64"/>
      </patternFill>
    </fill>
    <fill>
      <patternFill patternType="solid">
        <fgColor rgb="FF000A81"/>
        <bgColor indexed="64"/>
      </patternFill>
    </fill>
    <fill>
      <patternFill patternType="solid">
        <fgColor rgb="FF000A82"/>
        <bgColor indexed="64"/>
      </patternFill>
    </fill>
    <fill>
      <patternFill patternType="solid">
        <fgColor rgb="FF000A83"/>
        <bgColor indexed="64"/>
      </patternFill>
    </fill>
    <fill>
      <patternFill patternType="solid">
        <fgColor rgb="FF000A84"/>
        <bgColor indexed="64"/>
      </patternFill>
    </fill>
    <fill>
      <patternFill patternType="solid">
        <fgColor rgb="FF000A85"/>
        <bgColor indexed="64"/>
      </patternFill>
    </fill>
    <fill>
      <patternFill patternType="solid">
        <fgColor rgb="FF000A86"/>
        <bgColor indexed="64"/>
      </patternFill>
    </fill>
    <fill>
      <patternFill patternType="solid">
        <fgColor rgb="FF000A87"/>
        <bgColor indexed="64"/>
      </patternFill>
    </fill>
    <fill>
      <patternFill patternType="solid">
        <fgColor rgb="FF000A88"/>
        <bgColor indexed="64"/>
      </patternFill>
    </fill>
    <fill>
      <patternFill patternType="solid">
        <fgColor rgb="FF000A89"/>
        <bgColor indexed="64"/>
      </patternFill>
    </fill>
    <fill>
      <patternFill patternType="solid">
        <fgColor rgb="FF000A8A"/>
        <bgColor indexed="64"/>
      </patternFill>
    </fill>
    <fill>
      <patternFill patternType="solid">
        <fgColor rgb="FF000A8B"/>
        <bgColor indexed="64"/>
      </patternFill>
    </fill>
    <fill>
      <patternFill patternType="solid">
        <fgColor rgb="FF000A8C"/>
        <bgColor indexed="64"/>
      </patternFill>
    </fill>
    <fill>
      <patternFill patternType="solid">
        <fgColor rgb="FF000A8D"/>
        <bgColor indexed="64"/>
      </patternFill>
    </fill>
    <fill>
      <patternFill patternType="solid">
        <fgColor rgb="FF000A8E"/>
        <bgColor indexed="64"/>
      </patternFill>
    </fill>
    <fill>
      <patternFill patternType="solid">
        <fgColor rgb="FF000A8F"/>
        <bgColor indexed="64"/>
      </patternFill>
    </fill>
    <fill>
      <patternFill patternType="solid">
        <fgColor rgb="FF000A90"/>
        <bgColor indexed="64"/>
      </patternFill>
    </fill>
    <fill>
      <patternFill patternType="solid">
        <fgColor rgb="FF000A91"/>
        <bgColor indexed="64"/>
      </patternFill>
    </fill>
    <fill>
      <patternFill patternType="solid">
        <fgColor rgb="FF000A92"/>
        <bgColor indexed="64"/>
      </patternFill>
    </fill>
    <fill>
      <patternFill patternType="solid">
        <fgColor rgb="FF000A93"/>
        <bgColor indexed="64"/>
      </patternFill>
    </fill>
    <fill>
      <patternFill patternType="solid">
        <fgColor rgb="FF000A94"/>
        <bgColor indexed="64"/>
      </patternFill>
    </fill>
    <fill>
      <patternFill patternType="solid">
        <fgColor rgb="FF000A95"/>
        <bgColor indexed="64"/>
      </patternFill>
    </fill>
    <fill>
      <patternFill patternType="solid">
        <fgColor rgb="FF000A96"/>
        <bgColor indexed="64"/>
      </patternFill>
    </fill>
    <fill>
      <patternFill patternType="solid">
        <fgColor rgb="FF000A97"/>
        <bgColor indexed="64"/>
      </patternFill>
    </fill>
    <fill>
      <patternFill patternType="solid">
        <fgColor rgb="FF000A98"/>
        <bgColor indexed="64"/>
      </patternFill>
    </fill>
    <fill>
      <patternFill patternType="solid">
        <fgColor rgb="FF000A99"/>
        <bgColor indexed="64"/>
      </patternFill>
    </fill>
    <fill>
      <patternFill patternType="solid">
        <fgColor rgb="FF000A9A"/>
        <bgColor indexed="64"/>
      </patternFill>
    </fill>
    <fill>
      <patternFill patternType="solid">
        <fgColor rgb="FF000A9B"/>
        <bgColor indexed="64"/>
      </patternFill>
    </fill>
    <fill>
      <patternFill patternType="solid">
        <fgColor rgb="FF000A9C"/>
        <bgColor indexed="64"/>
      </patternFill>
    </fill>
    <fill>
      <patternFill patternType="solid">
        <fgColor rgb="FF000A9D"/>
        <bgColor indexed="64"/>
      </patternFill>
    </fill>
    <fill>
      <patternFill patternType="solid">
        <fgColor rgb="FF000A9E"/>
        <bgColor indexed="64"/>
      </patternFill>
    </fill>
    <fill>
      <patternFill patternType="solid">
        <fgColor rgb="FF000A9F"/>
        <bgColor indexed="64"/>
      </patternFill>
    </fill>
    <fill>
      <patternFill patternType="solid">
        <fgColor rgb="FF000AA0"/>
        <bgColor indexed="64"/>
      </patternFill>
    </fill>
    <fill>
      <patternFill patternType="solid">
        <fgColor rgb="FF000AA1"/>
        <bgColor indexed="64"/>
      </patternFill>
    </fill>
    <fill>
      <patternFill patternType="solid">
        <fgColor rgb="FF000AA2"/>
        <bgColor indexed="64"/>
      </patternFill>
    </fill>
    <fill>
      <patternFill patternType="solid">
        <fgColor rgb="FF000AA3"/>
        <bgColor indexed="64"/>
      </patternFill>
    </fill>
    <fill>
      <patternFill patternType="solid">
        <fgColor rgb="FF000AA4"/>
        <bgColor indexed="64"/>
      </patternFill>
    </fill>
    <fill>
      <patternFill patternType="solid">
        <fgColor rgb="FF000AA5"/>
        <bgColor indexed="64"/>
      </patternFill>
    </fill>
    <fill>
      <patternFill patternType="solid">
        <fgColor rgb="FF000AA6"/>
        <bgColor indexed="64"/>
      </patternFill>
    </fill>
    <fill>
      <patternFill patternType="solid">
        <fgColor rgb="FF000AA7"/>
        <bgColor indexed="64"/>
      </patternFill>
    </fill>
    <fill>
      <patternFill patternType="solid">
        <fgColor rgb="FF000AA8"/>
        <bgColor indexed="64"/>
      </patternFill>
    </fill>
    <fill>
      <patternFill patternType="solid">
        <fgColor rgb="FF000AA9"/>
        <bgColor indexed="64"/>
      </patternFill>
    </fill>
    <fill>
      <patternFill patternType="solid">
        <fgColor rgb="FF000AAA"/>
        <bgColor indexed="64"/>
      </patternFill>
    </fill>
    <fill>
      <patternFill patternType="solid">
        <fgColor rgb="FF000AAB"/>
        <bgColor indexed="64"/>
      </patternFill>
    </fill>
    <fill>
      <patternFill patternType="solid">
        <fgColor rgb="FF000AAC"/>
        <bgColor indexed="64"/>
      </patternFill>
    </fill>
    <fill>
      <patternFill patternType="solid">
        <fgColor rgb="FF000AAD"/>
        <bgColor indexed="64"/>
      </patternFill>
    </fill>
    <fill>
      <patternFill patternType="solid">
        <fgColor rgb="FF000AAE"/>
        <bgColor indexed="64"/>
      </patternFill>
    </fill>
    <fill>
      <patternFill patternType="solid">
        <fgColor rgb="FF000AAF"/>
        <bgColor indexed="64"/>
      </patternFill>
    </fill>
    <fill>
      <patternFill patternType="solid">
        <fgColor rgb="FF000AB0"/>
        <bgColor indexed="64"/>
      </patternFill>
    </fill>
    <fill>
      <patternFill patternType="solid">
        <fgColor rgb="FF000AB1"/>
        <bgColor indexed="64"/>
      </patternFill>
    </fill>
    <fill>
      <patternFill patternType="solid">
        <fgColor rgb="FF000AB2"/>
        <bgColor indexed="64"/>
      </patternFill>
    </fill>
    <fill>
      <patternFill patternType="solid">
        <fgColor rgb="FF000AB3"/>
        <bgColor indexed="64"/>
      </patternFill>
    </fill>
    <fill>
      <patternFill patternType="solid">
        <fgColor rgb="FF000AB4"/>
        <bgColor indexed="64"/>
      </patternFill>
    </fill>
    <fill>
      <patternFill patternType="solid">
        <fgColor rgb="FF000AB5"/>
        <bgColor indexed="64"/>
      </patternFill>
    </fill>
    <fill>
      <patternFill patternType="solid">
        <fgColor rgb="FF000AB6"/>
        <bgColor indexed="64"/>
      </patternFill>
    </fill>
    <fill>
      <patternFill patternType="solid">
        <fgColor rgb="FF000AB7"/>
        <bgColor indexed="64"/>
      </patternFill>
    </fill>
    <fill>
      <patternFill patternType="solid">
        <fgColor rgb="FF000AB8"/>
        <bgColor indexed="64"/>
      </patternFill>
    </fill>
    <fill>
      <patternFill patternType="solid">
        <fgColor rgb="FF000AB9"/>
        <bgColor indexed="64"/>
      </patternFill>
    </fill>
    <fill>
      <patternFill patternType="solid">
        <fgColor rgb="FF000ABA"/>
        <bgColor indexed="64"/>
      </patternFill>
    </fill>
    <fill>
      <patternFill patternType="solid">
        <fgColor rgb="FF000ABB"/>
        <bgColor indexed="64"/>
      </patternFill>
    </fill>
    <fill>
      <patternFill patternType="solid">
        <fgColor rgb="FF000ABC"/>
        <bgColor indexed="64"/>
      </patternFill>
    </fill>
    <fill>
      <patternFill patternType="solid">
        <fgColor rgb="FF000ABD"/>
        <bgColor indexed="64"/>
      </patternFill>
    </fill>
    <fill>
      <patternFill patternType="solid">
        <fgColor rgb="FF000ABE"/>
        <bgColor indexed="64"/>
      </patternFill>
    </fill>
    <fill>
      <patternFill patternType="solid">
        <fgColor rgb="FF000ABF"/>
        <bgColor indexed="64"/>
      </patternFill>
    </fill>
    <fill>
      <patternFill patternType="solid">
        <fgColor rgb="FF000AC0"/>
        <bgColor indexed="64"/>
      </patternFill>
    </fill>
    <fill>
      <patternFill patternType="solid">
        <fgColor rgb="FF000AC1"/>
        <bgColor indexed="64"/>
      </patternFill>
    </fill>
    <fill>
      <patternFill patternType="solid">
        <fgColor rgb="FF000AC2"/>
        <bgColor indexed="64"/>
      </patternFill>
    </fill>
    <fill>
      <patternFill patternType="solid">
        <fgColor rgb="FF000AC3"/>
        <bgColor indexed="64"/>
      </patternFill>
    </fill>
    <fill>
      <patternFill patternType="solid">
        <fgColor rgb="FF000AC4"/>
        <bgColor indexed="64"/>
      </patternFill>
    </fill>
    <fill>
      <patternFill patternType="solid">
        <fgColor rgb="FF000AC5"/>
        <bgColor indexed="64"/>
      </patternFill>
    </fill>
    <fill>
      <patternFill patternType="solid">
        <fgColor rgb="FF000AC6"/>
        <bgColor indexed="64"/>
      </patternFill>
    </fill>
    <fill>
      <patternFill patternType="solid">
        <fgColor rgb="FF000AC7"/>
        <bgColor indexed="64"/>
      </patternFill>
    </fill>
    <fill>
      <patternFill patternType="solid">
        <fgColor rgb="FF000AC8"/>
        <bgColor indexed="64"/>
      </patternFill>
    </fill>
    <fill>
      <patternFill patternType="solid">
        <fgColor rgb="FF000AC9"/>
        <bgColor indexed="64"/>
      </patternFill>
    </fill>
    <fill>
      <patternFill patternType="solid">
        <fgColor rgb="FF000ACA"/>
        <bgColor indexed="64"/>
      </patternFill>
    </fill>
    <fill>
      <patternFill patternType="solid">
        <fgColor rgb="FF000ACB"/>
        <bgColor indexed="64"/>
      </patternFill>
    </fill>
    <fill>
      <patternFill patternType="solid">
        <fgColor rgb="FF000ACC"/>
        <bgColor indexed="64"/>
      </patternFill>
    </fill>
    <fill>
      <patternFill patternType="solid">
        <fgColor rgb="FF000ACD"/>
        <bgColor indexed="64"/>
      </patternFill>
    </fill>
    <fill>
      <patternFill patternType="solid">
        <fgColor rgb="FF000ACE"/>
        <bgColor indexed="64"/>
      </patternFill>
    </fill>
    <fill>
      <patternFill patternType="solid">
        <fgColor rgb="FF000ACF"/>
        <bgColor indexed="64"/>
      </patternFill>
    </fill>
    <fill>
      <patternFill patternType="solid">
        <fgColor rgb="FF000AD0"/>
        <bgColor indexed="64"/>
      </patternFill>
    </fill>
    <fill>
      <patternFill patternType="solid">
        <fgColor rgb="FF000AD1"/>
        <bgColor indexed="64"/>
      </patternFill>
    </fill>
    <fill>
      <patternFill patternType="solid">
        <fgColor rgb="FF000AD2"/>
        <bgColor indexed="64"/>
      </patternFill>
    </fill>
    <fill>
      <patternFill patternType="solid">
        <fgColor rgb="FF000AD3"/>
        <bgColor indexed="64"/>
      </patternFill>
    </fill>
    <fill>
      <patternFill patternType="solid">
        <fgColor rgb="FF000AD4"/>
        <bgColor indexed="64"/>
      </patternFill>
    </fill>
    <fill>
      <patternFill patternType="solid">
        <fgColor rgb="FF000AD5"/>
        <bgColor indexed="64"/>
      </patternFill>
    </fill>
    <fill>
      <patternFill patternType="solid">
        <fgColor rgb="FF000AD6"/>
        <bgColor indexed="64"/>
      </patternFill>
    </fill>
    <fill>
      <patternFill patternType="solid">
        <fgColor rgb="FF000AD7"/>
        <bgColor indexed="64"/>
      </patternFill>
    </fill>
    <fill>
      <patternFill patternType="solid">
        <fgColor rgb="FF000AD8"/>
        <bgColor indexed="64"/>
      </patternFill>
    </fill>
    <fill>
      <patternFill patternType="solid">
        <fgColor rgb="FF000AD9"/>
        <bgColor indexed="64"/>
      </patternFill>
    </fill>
    <fill>
      <patternFill patternType="solid">
        <fgColor rgb="FF000ADA"/>
        <bgColor indexed="64"/>
      </patternFill>
    </fill>
    <fill>
      <patternFill patternType="solid">
        <fgColor rgb="FF000ADB"/>
        <bgColor indexed="64"/>
      </patternFill>
    </fill>
    <fill>
      <patternFill patternType="solid">
        <fgColor rgb="FF000ADC"/>
        <bgColor indexed="64"/>
      </patternFill>
    </fill>
    <fill>
      <patternFill patternType="solid">
        <fgColor rgb="FF000ADD"/>
        <bgColor indexed="64"/>
      </patternFill>
    </fill>
    <fill>
      <patternFill patternType="solid">
        <fgColor rgb="FF000ADE"/>
        <bgColor indexed="64"/>
      </patternFill>
    </fill>
    <fill>
      <patternFill patternType="solid">
        <fgColor rgb="FF000ADF"/>
        <bgColor indexed="64"/>
      </patternFill>
    </fill>
    <fill>
      <patternFill patternType="solid">
        <fgColor rgb="FF000AE0"/>
        <bgColor indexed="64"/>
      </patternFill>
    </fill>
    <fill>
      <patternFill patternType="solid">
        <fgColor rgb="FF000AE1"/>
        <bgColor indexed="64"/>
      </patternFill>
    </fill>
    <fill>
      <patternFill patternType="solid">
        <fgColor rgb="FF000AE2"/>
        <bgColor indexed="64"/>
      </patternFill>
    </fill>
    <fill>
      <patternFill patternType="solid">
        <fgColor rgb="FF000AE3"/>
        <bgColor indexed="64"/>
      </patternFill>
    </fill>
    <fill>
      <patternFill patternType="solid">
        <fgColor rgb="FF000AE4"/>
        <bgColor indexed="64"/>
      </patternFill>
    </fill>
    <fill>
      <patternFill patternType="solid">
        <fgColor rgb="FF000AE5"/>
        <bgColor indexed="64"/>
      </patternFill>
    </fill>
    <fill>
      <patternFill patternType="solid">
        <fgColor rgb="FF000AE6"/>
        <bgColor indexed="64"/>
      </patternFill>
    </fill>
    <fill>
      <patternFill patternType="solid">
        <fgColor rgb="FF000AE7"/>
        <bgColor indexed="64"/>
      </patternFill>
    </fill>
    <fill>
      <patternFill patternType="solid">
        <fgColor rgb="FF000AE8"/>
        <bgColor indexed="64"/>
      </patternFill>
    </fill>
    <fill>
      <patternFill patternType="solid">
        <fgColor rgb="FF000AE9"/>
        <bgColor indexed="64"/>
      </patternFill>
    </fill>
    <fill>
      <patternFill patternType="solid">
        <fgColor rgb="FF000AEA"/>
        <bgColor indexed="64"/>
      </patternFill>
    </fill>
    <fill>
      <patternFill patternType="solid">
        <fgColor rgb="FF000AEB"/>
        <bgColor indexed="64"/>
      </patternFill>
    </fill>
    <fill>
      <patternFill patternType="solid">
        <fgColor rgb="FF000AEC"/>
        <bgColor indexed="64"/>
      </patternFill>
    </fill>
    <fill>
      <patternFill patternType="solid">
        <fgColor rgb="FF000AED"/>
        <bgColor indexed="64"/>
      </patternFill>
    </fill>
    <fill>
      <patternFill patternType="solid">
        <fgColor rgb="FF000AEE"/>
        <bgColor indexed="64"/>
      </patternFill>
    </fill>
    <fill>
      <patternFill patternType="solid">
        <fgColor rgb="FF000AEF"/>
        <bgColor indexed="64"/>
      </patternFill>
    </fill>
    <fill>
      <patternFill patternType="solid">
        <fgColor rgb="FF000AF0"/>
        <bgColor indexed="64"/>
      </patternFill>
    </fill>
    <fill>
      <patternFill patternType="solid">
        <fgColor rgb="FF000AF1"/>
        <bgColor indexed="64"/>
      </patternFill>
    </fill>
    <fill>
      <patternFill patternType="solid">
        <fgColor rgb="FF000AF2"/>
        <bgColor indexed="64"/>
      </patternFill>
    </fill>
    <fill>
      <patternFill patternType="solid">
        <fgColor rgb="FF000AF3"/>
        <bgColor indexed="64"/>
      </patternFill>
    </fill>
    <fill>
      <patternFill patternType="solid">
        <fgColor rgb="FF000AF4"/>
        <bgColor indexed="64"/>
      </patternFill>
    </fill>
    <fill>
      <patternFill patternType="solid">
        <fgColor rgb="FF000AF5"/>
        <bgColor indexed="64"/>
      </patternFill>
    </fill>
    <fill>
      <patternFill patternType="solid">
        <fgColor rgb="FF000AF6"/>
        <bgColor indexed="64"/>
      </patternFill>
    </fill>
    <fill>
      <patternFill patternType="solid">
        <fgColor rgb="FF000AF7"/>
        <bgColor indexed="64"/>
      </patternFill>
    </fill>
    <fill>
      <patternFill patternType="solid">
        <fgColor rgb="FF000AF8"/>
        <bgColor indexed="64"/>
      </patternFill>
    </fill>
    <fill>
      <patternFill patternType="solid">
        <fgColor rgb="FF000AF9"/>
        <bgColor indexed="64"/>
      </patternFill>
    </fill>
    <fill>
      <patternFill patternType="solid">
        <fgColor rgb="FF000AFA"/>
        <bgColor indexed="64"/>
      </patternFill>
    </fill>
    <fill>
      <patternFill patternType="solid">
        <fgColor rgb="FF000AFB"/>
        <bgColor indexed="64"/>
      </patternFill>
    </fill>
    <fill>
      <patternFill patternType="solid">
        <fgColor rgb="FF000AFC"/>
        <bgColor indexed="64"/>
      </patternFill>
    </fill>
    <fill>
      <patternFill patternType="solid">
        <fgColor rgb="FF000AFD"/>
        <bgColor indexed="64"/>
      </patternFill>
    </fill>
    <fill>
      <patternFill patternType="solid">
        <fgColor rgb="FF000AFE"/>
        <bgColor indexed="64"/>
      </patternFill>
    </fill>
    <fill>
      <patternFill patternType="solid">
        <fgColor rgb="FF000AFF"/>
        <bgColor indexed="64"/>
      </patternFill>
    </fill>
    <fill>
      <patternFill patternType="solid">
        <fgColor rgb="FF000B00"/>
        <bgColor indexed="64"/>
      </patternFill>
    </fill>
    <fill>
      <patternFill patternType="solid">
        <fgColor rgb="FF000B01"/>
        <bgColor indexed="64"/>
      </patternFill>
    </fill>
    <fill>
      <patternFill patternType="solid">
        <fgColor rgb="FF000B02"/>
        <bgColor indexed="64"/>
      </patternFill>
    </fill>
    <fill>
      <patternFill patternType="solid">
        <fgColor rgb="FF000B03"/>
        <bgColor indexed="64"/>
      </patternFill>
    </fill>
    <fill>
      <patternFill patternType="solid">
        <fgColor rgb="FF000B04"/>
        <bgColor indexed="64"/>
      </patternFill>
    </fill>
    <fill>
      <patternFill patternType="solid">
        <fgColor rgb="FF000B05"/>
        <bgColor indexed="64"/>
      </patternFill>
    </fill>
    <fill>
      <patternFill patternType="solid">
        <fgColor rgb="FF000B06"/>
        <bgColor indexed="64"/>
      </patternFill>
    </fill>
    <fill>
      <patternFill patternType="solid">
        <fgColor rgb="FF000B07"/>
        <bgColor indexed="64"/>
      </patternFill>
    </fill>
    <fill>
      <patternFill patternType="solid">
        <fgColor rgb="FF000B08"/>
        <bgColor indexed="64"/>
      </patternFill>
    </fill>
    <fill>
      <patternFill patternType="solid">
        <fgColor rgb="FF000B09"/>
        <bgColor indexed="64"/>
      </patternFill>
    </fill>
    <fill>
      <patternFill patternType="solid">
        <fgColor rgb="FF000B0A"/>
        <bgColor indexed="64"/>
      </patternFill>
    </fill>
    <fill>
      <patternFill patternType="solid">
        <fgColor rgb="FF000B0B"/>
        <bgColor indexed="64"/>
      </patternFill>
    </fill>
    <fill>
      <patternFill patternType="solid">
        <fgColor rgb="FF000B0C"/>
        <bgColor indexed="64"/>
      </patternFill>
    </fill>
    <fill>
      <patternFill patternType="solid">
        <fgColor rgb="FF000B0D"/>
        <bgColor indexed="64"/>
      </patternFill>
    </fill>
    <fill>
      <patternFill patternType="solid">
        <fgColor rgb="FF000B0E"/>
        <bgColor indexed="64"/>
      </patternFill>
    </fill>
    <fill>
      <patternFill patternType="solid">
        <fgColor rgb="FF000B0F"/>
        <bgColor indexed="64"/>
      </patternFill>
    </fill>
    <fill>
      <patternFill patternType="solid">
        <fgColor rgb="FF000B10"/>
        <bgColor indexed="64"/>
      </patternFill>
    </fill>
    <fill>
      <patternFill patternType="solid">
        <fgColor rgb="FF000B11"/>
        <bgColor indexed="64"/>
      </patternFill>
    </fill>
    <fill>
      <patternFill patternType="solid">
        <fgColor rgb="FF000B12"/>
        <bgColor indexed="64"/>
      </patternFill>
    </fill>
    <fill>
      <patternFill patternType="solid">
        <fgColor rgb="FF000B13"/>
        <bgColor indexed="64"/>
      </patternFill>
    </fill>
    <fill>
      <patternFill patternType="solid">
        <fgColor rgb="FF000B14"/>
        <bgColor indexed="64"/>
      </patternFill>
    </fill>
    <fill>
      <patternFill patternType="solid">
        <fgColor rgb="FF000B15"/>
        <bgColor indexed="64"/>
      </patternFill>
    </fill>
    <fill>
      <patternFill patternType="solid">
        <fgColor rgb="FF000B16"/>
        <bgColor indexed="64"/>
      </patternFill>
    </fill>
    <fill>
      <patternFill patternType="solid">
        <fgColor rgb="FF000B17"/>
        <bgColor indexed="64"/>
      </patternFill>
    </fill>
    <fill>
      <patternFill patternType="solid">
        <fgColor rgb="FF000B18"/>
        <bgColor indexed="64"/>
      </patternFill>
    </fill>
    <fill>
      <patternFill patternType="solid">
        <fgColor rgb="FF000B19"/>
        <bgColor indexed="64"/>
      </patternFill>
    </fill>
    <fill>
      <patternFill patternType="solid">
        <fgColor rgb="FF000B1A"/>
        <bgColor indexed="64"/>
      </patternFill>
    </fill>
    <fill>
      <patternFill patternType="solid">
        <fgColor rgb="FF000B1B"/>
        <bgColor indexed="64"/>
      </patternFill>
    </fill>
    <fill>
      <patternFill patternType="solid">
        <fgColor rgb="FF000B1C"/>
        <bgColor indexed="64"/>
      </patternFill>
    </fill>
    <fill>
      <patternFill patternType="solid">
        <fgColor rgb="FF000B1D"/>
        <bgColor indexed="64"/>
      </patternFill>
    </fill>
    <fill>
      <patternFill patternType="solid">
        <fgColor rgb="FF000B1E"/>
        <bgColor indexed="64"/>
      </patternFill>
    </fill>
    <fill>
      <patternFill patternType="solid">
        <fgColor rgb="FF000B1F"/>
        <bgColor indexed="64"/>
      </patternFill>
    </fill>
    <fill>
      <patternFill patternType="solid">
        <fgColor rgb="FF000B20"/>
        <bgColor indexed="64"/>
      </patternFill>
    </fill>
    <fill>
      <patternFill patternType="solid">
        <fgColor rgb="FF000B21"/>
        <bgColor indexed="64"/>
      </patternFill>
    </fill>
    <fill>
      <patternFill patternType="solid">
        <fgColor rgb="FF000B22"/>
        <bgColor indexed="64"/>
      </patternFill>
    </fill>
    <fill>
      <patternFill patternType="solid">
        <fgColor rgb="FF000B23"/>
        <bgColor indexed="64"/>
      </patternFill>
    </fill>
    <fill>
      <patternFill patternType="solid">
        <fgColor rgb="FF000B24"/>
        <bgColor indexed="64"/>
      </patternFill>
    </fill>
    <fill>
      <patternFill patternType="solid">
        <fgColor rgb="FF000B25"/>
        <bgColor indexed="64"/>
      </patternFill>
    </fill>
    <fill>
      <patternFill patternType="solid">
        <fgColor rgb="FF000B26"/>
        <bgColor indexed="64"/>
      </patternFill>
    </fill>
    <fill>
      <patternFill patternType="solid">
        <fgColor rgb="FF000B27"/>
        <bgColor indexed="64"/>
      </patternFill>
    </fill>
    <fill>
      <patternFill patternType="solid">
        <fgColor rgb="FF000B28"/>
        <bgColor indexed="64"/>
      </patternFill>
    </fill>
    <fill>
      <patternFill patternType="solid">
        <fgColor rgb="FF000B29"/>
        <bgColor indexed="64"/>
      </patternFill>
    </fill>
    <fill>
      <patternFill patternType="solid">
        <fgColor rgb="FF000B2A"/>
        <bgColor indexed="64"/>
      </patternFill>
    </fill>
    <fill>
      <patternFill patternType="solid">
        <fgColor rgb="FF000B2B"/>
        <bgColor indexed="64"/>
      </patternFill>
    </fill>
    <fill>
      <patternFill patternType="solid">
        <fgColor rgb="FF000B2C"/>
        <bgColor indexed="64"/>
      </patternFill>
    </fill>
    <fill>
      <patternFill patternType="solid">
        <fgColor rgb="FF000B2D"/>
        <bgColor indexed="64"/>
      </patternFill>
    </fill>
    <fill>
      <patternFill patternType="solid">
        <fgColor rgb="FF000B2E"/>
        <bgColor indexed="64"/>
      </patternFill>
    </fill>
    <fill>
      <patternFill patternType="solid">
        <fgColor rgb="FF000B2F"/>
        <bgColor indexed="64"/>
      </patternFill>
    </fill>
    <fill>
      <patternFill patternType="solid">
        <fgColor rgb="FF000B30"/>
        <bgColor indexed="64"/>
      </patternFill>
    </fill>
    <fill>
      <patternFill patternType="solid">
        <fgColor rgb="FF000B31"/>
        <bgColor indexed="64"/>
      </patternFill>
    </fill>
    <fill>
      <patternFill patternType="solid">
        <fgColor rgb="FF000B32"/>
        <bgColor indexed="64"/>
      </patternFill>
    </fill>
    <fill>
      <patternFill patternType="solid">
        <fgColor rgb="FF000B33"/>
        <bgColor indexed="64"/>
      </patternFill>
    </fill>
    <fill>
      <patternFill patternType="solid">
        <fgColor rgb="FF000B34"/>
        <bgColor indexed="64"/>
      </patternFill>
    </fill>
    <fill>
      <patternFill patternType="solid">
        <fgColor rgb="FF000B35"/>
        <bgColor indexed="64"/>
      </patternFill>
    </fill>
    <fill>
      <patternFill patternType="solid">
        <fgColor rgb="FF000B36"/>
        <bgColor indexed="64"/>
      </patternFill>
    </fill>
    <fill>
      <patternFill patternType="solid">
        <fgColor rgb="FF000B37"/>
        <bgColor indexed="64"/>
      </patternFill>
    </fill>
    <fill>
      <patternFill patternType="solid">
        <fgColor rgb="FF000B38"/>
        <bgColor indexed="64"/>
      </patternFill>
    </fill>
    <fill>
      <patternFill patternType="solid">
        <fgColor rgb="FF000B39"/>
        <bgColor indexed="64"/>
      </patternFill>
    </fill>
    <fill>
      <patternFill patternType="solid">
        <fgColor rgb="FF000B3A"/>
        <bgColor indexed="64"/>
      </patternFill>
    </fill>
    <fill>
      <patternFill patternType="solid">
        <fgColor rgb="FF000B3B"/>
        <bgColor indexed="64"/>
      </patternFill>
    </fill>
    <fill>
      <patternFill patternType="solid">
        <fgColor rgb="FF000B3C"/>
        <bgColor indexed="64"/>
      </patternFill>
    </fill>
    <fill>
      <patternFill patternType="solid">
        <fgColor rgb="FF000B3D"/>
        <bgColor indexed="64"/>
      </patternFill>
    </fill>
    <fill>
      <patternFill patternType="solid">
        <fgColor rgb="FF000B3E"/>
        <bgColor indexed="64"/>
      </patternFill>
    </fill>
    <fill>
      <patternFill patternType="solid">
        <fgColor rgb="FF000B3F"/>
        <bgColor indexed="64"/>
      </patternFill>
    </fill>
    <fill>
      <patternFill patternType="solid">
        <fgColor rgb="FF000B40"/>
        <bgColor indexed="64"/>
      </patternFill>
    </fill>
    <fill>
      <patternFill patternType="solid">
        <fgColor rgb="FF000B41"/>
        <bgColor indexed="64"/>
      </patternFill>
    </fill>
    <fill>
      <patternFill patternType="solid">
        <fgColor rgb="FF000B42"/>
        <bgColor indexed="64"/>
      </patternFill>
    </fill>
    <fill>
      <patternFill patternType="solid">
        <fgColor rgb="FF000B43"/>
        <bgColor indexed="64"/>
      </patternFill>
    </fill>
    <fill>
      <patternFill patternType="solid">
        <fgColor rgb="FF000B44"/>
        <bgColor indexed="64"/>
      </patternFill>
    </fill>
    <fill>
      <patternFill patternType="solid">
        <fgColor rgb="FF000B45"/>
        <bgColor indexed="64"/>
      </patternFill>
    </fill>
    <fill>
      <patternFill patternType="solid">
        <fgColor rgb="FF000B46"/>
        <bgColor indexed="64"/>
      </patternFill>
    </fill>
    <fill>
      <patternFill patternType="solid">
        <fgColor rgb="FF000B47"/>
        <bgColor indexed="64"/>
      </patternFill>
    </fill>
    <fill>
      <patternFill patternType="solid">
        <fgColor rgb="FF000B48"/>
        <bgColor indexed="64"/>
      </patternFill>
    </fill>
    <fill>
      <patternFill patternType="solid">
        <fgColor rgb="FF000B49"/>
        <bgColor indexed="64"/>
      </patternFill>
    </fill>
    <fill>
      <patternFill patternType="solid">
        <fgColor rgb="FF000B4A"/>
        <bgColor indexed="64"/>
      </patternFill>
    </fill>
    <fill>
      <patternFill patternType="solid">
        <fgColor rgb="FF000B4B"/>
        <bgColor indexed="64"/>
      </patternFill>
    </fill>
    <fill>
      <patternFill patternType="solid">
        <fgColor rgb="FF000B4C"/>
        <bgColor indexed="64"/>
      </patternFill>
    </fill>
    <fill>
      <patternFill patternType="solid">
        <fgColor rgb="FF000B4D"/>
        <bgColor indexed="64"/>
      </patternFill>
    </fill>
    <fill>
      <patternFill patternType="solid">
        <fgColor rgb="FF000B4E"/>
        <bgColor indexed="64"/>
      </patternFill>
    </fill>
    <fill>
      <patternFill patternType="solid">
        <fgColor rgb="FF000B4F"/>
        <bgColor indexed="64"/>
      </patternFill>
    </fill>
    <fill>
      <patternFill patternType="solid">
        <fgColor rgb="FF000B50"/>
        <bgColor indexed="64"/>
      </patternFill>
    </fill>
    <fill>
      <patternFill patternType="solid">
        <fgColor rgb="FF000B51"/>
        <bgColor indexed="64"/>
      </patternFill>
    </fill>
    <fill>
      <patternFill patternType="solid">
        <fgColor rgb="FF000B52"/>
        <bgColor indexed="64"/>
      </patternFill>
    </fill>
    <fill>
      <patternFill patternType="solid">
        <fgColor rgb="FF000B53"/>
        <bgColor indexed="64"/>
      </patternFill>
    </fill>
    <fill>
      <patternFill patternType="solid">
        <fgColor rgb="FF000B54"/>
        <bgColor indexed="64"/>
      </patternFill>
    </fill>
    <fill>
      <patternFill patternType="solid">
        <fgColor rgb="FF000B55"/>
        <bgColor indexed="64"/>
      </patternFill>
    </fill>
    <fill>
      <patternFill patternType="solid">
        <fgColor rgb="FF000B56"/>
        <bgColor indexed="64"/>
      </patternFill>
    </fill>
    <fill>
      <patternFill patternType="solid">
        <fgColor rgb="FF000B57"/>
        <bgColor indexed="64"/>
      </patternFill>
    </fill>
    <fill>
      <patternFill patternType="solid">
        <fgColor rgb="FF000B58"/>
        <bgColor indexed="64"/>
      </patternFill>
    </fill>
    <fill>
      <patternFill patternType="solid">
        <fgColor rgb="FF000B59"/>
        <bgColor indexed="64"/>
      </patternFill>
    </fill>
    <fill>
      <patternFill patternType="solid">
        <fgColor rgb="FF000B5A"/>
        <bgColor indexed="64"/>
      </patternFill>
    </fill>
    <fill>
      <patternFill patternType="solid">
        <fgColor rgb="FF000B5B"/>
        <bgColor indexed="64"/>
      </patternFill>
    </fill>
    <fill>
      <patternFill patternType="solid">
        <fgColor rgb="FF000B5C"/>
        <bgColor indexed="64"/>
      </patternFill>
    </fill>
    <fill>
      <patternFill patternType="solid">
        <fgColor rgb="FF000B5D"/>
        <bgColor indexed="64"/>
      </patternFill>
    </fill>
    <fill>
      <patternFill patternType="solid">
        <fgColor rgb="FF000B5E"/>
        <bgColor indexed="64"/>
      </patternFill>
    </fill>
    <fill>
      <patternFill patternType="solid">
        <fgColor rgb="FF000B5F"/>
        <bgColor indexed="64"/>
      </patternFill>
    </fill>
    <fill>
      <patternFill patternType="solid">
        <fgColor rgb="FF000B60"/>
        <bgColor indexed="64"/>
      </patternFill>
    </fill>
    <fill>
      <patternFill patternType="solid">
        <fgColor rgb="FF000B61"/>
        <bgColor indexed="64"/>
      </patternFill>
    </fill>
    <fill>
      <patternFill patternType="solid">
        <fgColor rgb="FF000B62"/>
        <bgColor indexed="64"/>
      </patternFill>
    </fill>
    <fill>
      <patternFill patternType="solid">
        <fgColor rgb="FF000B63"/>
        <bgColor indexed="64"/>
      </patternFill>
    </fill>
    <fill>
      <patternFill patternType="solid">
        <fgColor rgb="FF000B64"/>
        <bgColor indexed="64"/>
      </patternFill>
    </fill>
    <fill>
      <patternFill patternType="solid">
        <fgColor rgb="FF000B65"/>
        <bgColor indexed="64"/>
      </patternFill>
    </fill>
    <fill>
      <patternFill patternType="solid">
        <fgColor rgb="FF000B66"/>
        <bgColor indexed="64"/>
      </patternFill>
    </fill>
    <fill>
      <patternFill patternType="solid">
        <fgColor rgb="FF000B67"/>
        <bgColor indexed="64"/>
      </patternFill>
    </fill>
    <fill>
      <patternFill patternType="solid">
        <fgColor rgb="FF000B68"/>
        <bgColor indexed="64"/>
      </patternFill>
    </fill>
    <fill>
      <patternFill patternType="solid">
        <fgColor rgb="FF000B69"/>
        <bgColor indexed="64"/>
      </patternFill>
    </fill>
    <fill>
      <patternFill patternType="solid">
        <fgColor rgb="FF000B6A"/>
        <bgColor indexed="64"/>
      </patternFill>
    </fill>
    <fill>
      <patternFill patternType="solid">
        <fgColor rgb="FF000B6B"/>
        <bgColor indexed="64"/>
      </patternFill>
    </fill>
    <fill>
      <patternFill patternType="solid">
        <fgColor rgb="FF000B6C"/>
        <bgColor indexed="64"/>
      </patternFill>
    </fill>
    <fill>
      <patternFill patternType="solid">
        <fgColor rgb="FF000B6D"/>
        <bgColor indexed="64"/>
      </patternFill>
    </fill>
    <fill>
      <patternFill patternType="solid">
        <fgColor rgb="FF000B6E"/>
        <bgColor indexed="64"/>
      </patternFill>
    </fill>
    <fill>
      <patternFill patternType="solid">
        <fgColor rgb="FF000B6F"/>
        <bgColor indexed="64"/>
      </patternFill>
    </fill>
    <fill>
      <patternFill patternType="solid">
        <fgColor rgb="FF000B70"/>
        <bgColor indexed="64"/>
      </patternFill>
    </fill>
    <fill>
      <patternFill patternType="solid">
        <fgColor rgb="FF000B71"/>
        <bgColor indexed="64"/>
      </patternFill>
    </fill>
    <fill>
      <patternFill patternType="solid">
        <fgColor rgb="FF000B72"/>
        <bgColor indexed="64"/>
      </patternFill>
    </fill>
    <fill>
      <patternFill patternType="solid">
        <fgColor rgb="FF000B73"/>
        <bgColor indexed="64"/>
      </patternFill>
    </fill>
    <fill>
      <patternFill patternType="solid">
        <fgColor rgb="FF000B74"/>
        <bgColor indexed="64"/>
      </patternFill>
    </fill>
    <fill>
      <patternFill patternType="solid">
        <fgColor rgb="FF000B75"/>
        <bgColor indexed="64"/>
      </patternFill>
    </fill>
    <fill>
      <patternFill patternType="solid">
        <fgColor rgb="FF000B76"/>
        <bgColor indexed="64"/>
      </patternFill>
    </fill>
    <fill>
      <patternFill patternType="solid">
        <fgColor rgb="FF000B77"/>
        <bgColor indexed="64"/>
      </patternFill>
    </fill>
    <fill>
      <patternFill patternType="solid">
        <fgColor rgb="FF000B78"/>
        <bgColor indexed="64"/>
      </patternFill>
    </fill>
    <fill>
      <patternFill patternType="solid">
        <fgColor rgb="FF000B79"/>
        <bgColor indexed="64"/>
      </patternFill>
    </fill>
    <fill>
      <patternFill patternType="solid">
        <fgColor rgb="FF000B7A"/>
        <bgColor indexed="64"/>
      </patternFill>
    </fill>
    <fill>
      <patternFill patternType="solid">
        <fgColor rgb="FF000B7B"/>
        <bgColor indexed="64"/>
      </patternFill>
    </fill>
    <fill>
      <patternFill patternType="solid">
        <fgColor rgb="FF000B7C"/>
        <bgColor indexed="64"/>
      </patternFill>
    </fill>
    <fill>
      <patternFill patternType="solid">
        <fgColor rgb="FF000B7D"/>
        <bgColor indexed="64"/>
      </patternFill>
    </fill>
    <fill>
      <patternFill patternType="solid">
        <fgColor rgb="FF000B7E"/>
        <bgColor indexed="64"/>
      </patternFill>
    </fill>
    <fill>
      <patternFill patternType="solid">
        <fgColor rgb="FF000B7F"/>
        <bgColor indexed="64"/>
      </patternFill>
    </fill>
    <fill>
      <patternFill patternType="solid">
        <fgColor rgb="FF000B80"/>
        <bgColor indexed="64"/>
      </patternFill>
    </fill>
    <fill>
      <patternFill patternType="solid">
        <fgColor rgb="FF000B81"/>
        <bgColor indexed="64"/>
      </patternFill>
    </fill>
    <fill>
      <patternFill patternType="solid">
        <fgColor rgb="FF000B82"/>
        <bgColor indexed="64"/>
      </patternFill>
    </fill>
    <fill>
      <patternFill patternType="solid">
        <fgColor rgb="FF000B83"/>
        <bgColor indexed="64"/>
      </patternFill>
    </fill>
    <fill>
      <patternFill patternType="solid">
        <fgColor rgb="FF000B84"/>
        <bgColor indexed="64"/>
      </patternFill>
    </fill>
    <fill>
      <patternFill patternType="solid">
        <fgColor rgb="FF000B85"/>
        <bgColor indexed="64"/>
      </patternFill>
    </fill>
    <fill>
      <patternFill patternType="solid">
        <fgColor rgb="FF000B86"/>
        <bgColor indexed="64"/>
      </patternFill>
    </fill>
    <fill>
      <patternFill patternType="solid">
        <fgColor rgb="FF000B87"/>
        <bgColor indexed="64"/>
      </patternFill>
    </fill>
    <fill>
      <patternFill patternType="solid">
        <fgColor rgb="FF000B88"/>
        <bgColor indexed="64"/>
      </patternFill>
    </fill>
    <fill>
      <patternFill patternType="solid">
        <fgColor rgb="FF000B89"/>
        <bgColor indexed="64"/>
      </patternFill>
    </fill>
    <fill>
      <patternFill patternType="solid">
        <fgColor rgb="FF000B8A"/>
        <bgColor indexed="64"/>
      </patternFill>
    </fill>
    <fill>
      <patternFill patternType="solid">
        <fgColor rgb="FF000B8B"/>
        <bgColor indexed="64"/>
      </patternFill>
    </fill>
    <fill>
      <patternFill patternType="solid">
        <fgColor rgb="FF000B8C"/>
        <bgColor indexed="64"/>
      </patternFill>
    </fill>
    <fill>
      <patternFill patternType="solid">
        <fgColor rgb="FF000B8D"/>
        <bgColor indexed="64"/>
      </patternFill>
    </fill>
    <fill>
      <patternFill patternType="solid">
        <fgColor rgb="FF000B8E"/>
        <bgColor indexed="64"/>
      </patternFill>
    </fill>
    <fill>
      <patternFill patternType="solid">
        <fgColor rgb="FF000B8F"/>
        <bgColor indexed="64"/>
      </patternFill>
    </fill>
    <fill>
      <patternFill patternType="solid">
        <fgColor rgb="FF000B90"/>
        <bgColor indexed="64"/>
      </patternFill>
    </fill>
    <fill>
      <patternFill patternType="solid">
        <fgColor rgb="FF000B91"/>
        <bgColor indexed="64"/>
      </patternFill>
    </fill>
    <fill>
      <patternFill patternType="solid">
        <fgColor rgb="FF000B92"/>
        <bgColor indexed="64"/>
      </patternFill>
    </fill>
    <fill>
      <patternFill patternType="solid">
        <fgColor rgb="FF000B93"/>
        <bgColor indexed="64"/>
      </patternFill>
    </fill>
    <fill>
      <patternFill patternType="solid">
        <fgColor rgb="FF000B94"/>
        <bgColor indexed="64"/>
      </patternFill>
    </fill>
    <fill>
      <patternFill patternType="solid">
        <fgColor rgb="FF000B95"/>
        <bgColor indexed="64"/>
      </patternFill>
    </fill>
    <fill>
      <patternFill patternType="solid">
        <fgColor rgb="FF000B96"/>
        <bgColor indexed="64"/>
      </patternFill>
    </fill>
    <fill>
      <patternFill patternType="solid">
        <fgColor rgb="FF000B97"/>
        <bgColor indexed="64"/>
      </patternFill>
    </fill>
    <fill>
      <patternFill patternType="solid">
        <fgColor rgb="FF000B98"/>
        <bgColor indexed="64"/>
      </patternFill>
    </fill>
    <fill>
      <patternFill patternType="solid">
        <fgColor rgb="FF000B99"/>
        <bgColor indexed="64"/>
      </patternFill>
    </fill>
    <fill>
      <patternFill patternType="solid">
        <fgColor rgb="FF000B9A"/>
        <bgColor indexed="64"/>
      </patternFill>
    </fill>
    <fill>
      <patternFill patternType="solid">
        <fgColor rgb="FF000B9B"/>
        <bgColor indexed="64"/>
      </patternFill>
    </fill>
    <fill>
      <patternFill patternType="solid">
        <fgColor rgb="FF000B9C"/>
        <bgColor indexed="64"/>
      </patternFill>
    </fill>
    <fill>
      <patternFill patternType="solid">
        <fgColor rgb="FF000B9D"/>
        <bgColor indexed="64"/>
      </patternFill>
    </fill>
    <fill>
      <patternFill patternType="solid">
        <fgColor rgb="FF000B9E"/>
        <bgColor indexed="64"/>
      </patternFill>
    </fill>
    <fill>
      <patternFill patternType="solid">
        <fgColor rgb="FF000B9F"/>
        <bgColor indexed="64"/>
      </patternFill>
    </fill>
    <fill>
      <patternFill patternType="solid">
        <fgColor rgb="FF000BA0"/>
        <bgColor indexed="64"/>
      </patternFill>
    </fill>
    <fill>
      <patternFill patternType="solid">
        <fgColor rgb="FF000BA1"/>
        <bgColor indexed="64"/>
      </patternFill>
    </fill>
    <fill>
      <patternFill patternType="solid">
        <fgColor rgb="FF000BA2"/>
        <bgColor indexed="64"/>
      </patternFill>
    </fill>
    <fill>
      <patternFill patternType="solid">
        <fgColor rgb="FF000BA3"/>
        <bgColor indexed="64"/>
      </patternFill>
    </fill>
    <fill>
      <patternFill patternType="solid">
        <fgColor rgb="FF000BA4"/>
        <bgColor indexed="64"/>
      </patternFill>
    </fill>
    <fill>
      <patternFill patternType="solid">
        <fgColor rgb="FF000BA5"/>
        <bgColor indexed="64"/>
      </patternFill>
    </fill>
    <fill>
      <patternFill patternType="solid">
        <fgColor rgb="FF000BA6"/>
        <bgColor indexed="64"/>
      </patternFill>
    </fill>
    <fill>
      <patternFill patternType="solid">
        <fgColor rgb="FF000BA7"/>
        <bgColor indexed="64"/>
      </patternFill>
    </fill>
    <fill>
      <patternFill patternType="solid">
        <fgColor rgb="FF000BA8"/>
        <bgColor indexed="64"/>
      </patternFill>
    </fill>
    <fill>
      <patternFill patternType="solid">
        <fgColor rgb="FF000BA9"/>
        <bgColor indexed="64"/>
      </patternFill>
    </fill>
    <fill>
      <patternFill patternType="solid">
        <fgColor rgb="FF000BAA"/>
        <bgColor indexed="64"/>
      </patternFill>
    </fill>
    <fill>
      <patternFill patternType="solid">
        <fgColor rgb="FF000BAB"/>
        <bgColor indexed="64"/>
      </patternFill>
    </fill>
    <fill>
      <patternFill patternType="solid">
        <fgColor rgb="FF000BAC"/>
        <bgColor indexed="64"/>
      </patternFill>
    </fill>
    <fill>
      <patternFill patternType="solid">
        <fgColor rgb="FF000BAD"/>
        <bgColor indexed="64"/>
      </patternFill>
    </fill>
    <fill>
      <patternFill patternType="solid">
        <fgColor rgb="FF000BAE"/>
        <bgColor indexed="64"/>
      </patternFill>
    </fill>
    <fill>
      <patternFill patternType="solid">
        <fgColor rgb="FF000BAF"/>
        <bgColor indexed="64"/>
      </patternFill>
    </fill>
    <fill>
      <patternFill patternType="solid">
        <fgColor rgb="FF000BB0"/>
        <bgColor indexed="64"/>
      </patternFill>
    </fill>
    <fill>
      <patternFill patternType="solid">
        <fgColor rgb="FF000BB1"/>
        <bgColor indexed="64"/>
      </patternFill>
    </fill>
    <fill>
      <patternFill patternType="solid">
        <fgColor rgb="FF000BB2"/>
        <bgColor indexed="64"/>
      </patternFill>
    </fill>
    <fill>
      <patternFill patternType="solid">
        <fgColor rgb="FF000BB3"/>
        <bgColor indexed="64"/>
      </patternFill>
    </fill>
    <fill>
      <patternFill patternType="solid">
        <fgColor rgb="FF000BB4"/>
        <bgColor indexed="64"/>
      </patternFill>
    </fill>
    <fill>
      <patternFill patternType="solid">
        <fgColor rgb="FF000BB5"/>
        <bgColor indexed="64"/>
      </patternFill>
    </fill>
    <fill>
      <patternFill patternType="solid">
        <fgColor rgb="FF000BB6"/>
        <bgColor indexed="64"/>
      </patternFill>
    </fill>
    <fill>
      <patternFill patternType="solid">
        <fgColor rgb="FF000BB7"/>
        <bgColor indexed="64"/>
      </patternFill>
    </fill>
    <fill>
      <patternFill patternType="solid">
        <fgColor rgb="FF000BB8"/>
        <bgColor indexed="64"/>
      </patternFill>
    </fill>
    <fill>
      <patternFill patternType="solid">
        <fgColor rgb="FF000BB9"/>
        <bgColor indexed="64"/>
      </patternFill>
    </fill>
    <fill>
      <patternFill patternType="solid">
        <fgColor rgb="FF000BBA"/>
        <bgColor indexed="64"/>
      </patternFill>
    </fill>
    <fill>
      <patternFill patternType="solid">
        <fgColor rgb="FF000BBB"/>
        <bgColor indexed="64"/>
      </patternFill>
    </fill>
    <fill>
      <patternFill patternType="solid">
        <fgColor rgb="FF000BBC"/>
        <bgColor indexed="64"/>
      </patternFill>
    </fill>
    <fill>
      <patternFill patternType="solid">
        <fgColor rgb="FF000BBD"/>
        <bgColor indexed="64"/>
      </patternFill>
    </fill>
    <fill>
      <patternFill patternType="solid">
        <fgColor rgb="FF000BBE"/>
        <bgColor indexed="64"/>
      </patternFill>
    </fill>
    <fill>
      <patternFill patternType="solid">
        <fgColor rgb="FF000BBF"/>
        <bgColor indexed="64"/>
      </patternFill>
    </fill>
    <fill>
      <patternFill patternType="solid">
        <fgColor rgb="FF000BC0"/>
        <bgColor indexed="64"/>
      </patternFill>
    </fill>
    <fill>
      <patternFill patternType="solid">
        <fgColor rgb="FF000BC1"/>
        <bgColor indexed="64"/>
      </patternFill>
    </fill>
    <fill>
      <patternFill patternType="solid">
        <fgColor rgb="FF000BC2"/>
        <bgColor indexed="64"/>
      </patternFill>
    </fill>
    <fill>
      <patternFill patternType="solid">
        <fgColor rgb="FF000BC3"/>
        <bgColor indexed="64"/>
      </patternFill>
    </fill>
    <fill>
      <patternFill patternType="solid">
        <fgColor rgb="FF000BC4"/>
        <bgColor indexed="64"/>
      </patternFill>
    </fill>
    <fill>
      <patternFill patternType="solid">
        <fgColor rgb="FF000BC5"/>
        <bgColor indexed="64"/>
      </patternFill>
    </fill>
    <fill>
      <patternFill patternType="solid">
        <fgColor rgb="FF000BC6"/>
        <bgColor indexed="64"/>
      </patternFill>
    </fill>
    <fill>
      <patternFill patternType="solid">
        <fgColor rgb="FF000BC7"/>
        <bgColor indexed="64"/>
      </patternFill>
    </fill>
    <fill>
      <patternFill patternType="solid">
        <fgColor rgb="FF000BC8"/>
        <bgColor indexed="64"/>
      </patternFill>
    </fill>
    <fill>
      <patternFill patternType="solid">
        <fgColor rgb="FF000BC9"/>
        <bgColor indexed="64"/>
      </patternFill>
    </fill>
    <fill>
      <patternFill patternType="solid">
        <fgColor rgb="FF000BCA"/>
        <bgColor indexed="64"/>
      </patternFill>
    </fill>
    <fill>
      <patternFill patternType="solid">
        <fgColor rgb="FF000BCB"/>
        <bgColor indexed="64"/>
      </patternFill>
    </fill>
    <fill>
      <patternFill patternType="solid">
        <fgColor rgb="FF000BCC"/>
        <bgColor indexed="64"/>
      </patternFill>
    </fill>
    <fill>
      <patternFill patternType="solid">
        <fgColor rgb="FF000BCD"/>
        <bgColor indexed="64"/>
      </patternFill>
    </fill>
    <fill>
      <patternFill patternType="solid">
        <fgColor rgb="FF000BCE"/>
        <bgColor indexed="64"/>
      </patternFill>
    </fill>
    <fill>
      <patternFill patternType="solid">
        <fgColor rgb="FF000BCF"/>
        <bgColor indexed="64"/>
      </patternFill>
    </fill>
    <fill>
      <patternFill patternType="solid">
        <fgColor rgb="FF000BD0"/>
        <bgColor indexed="64"/>
      </patternFill>
    </fill>
    <fill>
      <patternFill patternType="solid">
        <fgColor rgb="FF000BD1"/>
        <bgColor indexed="64"/>
      </patternFill>
    </fill>
    <fill>
      <patternFill patternType="solid">
        <fgColor rgb="FF000BD2"/>
        <bgColor indexed="64"/>
      </patternFill>
    </fill>
    <fill>
      <patternFill patternType="solid">
        <fgColor rgb="FF000BD3"/>
        <bgColor indexed="64"/>
      </patternFill>
    </fill>
    <fill>
      <patternFill patternType="solid">
        <fgColor rgb="FF000BD4"/>
        <bgColor indexed="64"/>
      </patternFill>
    </fill>
    <fill>
      <patternFill patternType="solid">
        <fgColor rgb="FF000BD5"/>
        <bgColor indexed="64"/>
      </patternFill>
    </fill>
    <fill>
      <patternFill patternType="solid">
        <fgColor rgb="FF000BD6"/>
        <bgColor indexed="64"/>
      </patternFill>
    </fill>
    <fill>
      <patternFill patternType="solid">
        <fgColor rgb="FF000BD7"/>
        <bgColor indexed="64"/>
      </patternFill>
    </fill>
    <fill>
      <patternFill patternType="solid">
        <fgColor rgb="FF000BD8"/>
        <bgColor indexed="64"/>
      </patternFill>
    </fill>
    <fill>
      <patternFill patternType="solid">
        <fgColor rgb="FF000BD9"/>
        <bgColor indexed="64"/>
      </patternFill>
    </fill>
    <fill>
      <patternFill patternType="solid">
        <fgColor rgb="FF000BDA"/>
        <bgColor indexed="64"/>
      </patternFill>
    </fill>
    <fill>
      <patternFill patternType="solid">
        <fgColor rgb="FF000BDB"/>
        <bgColor indexed="64"/>
      </patternFill>
    </fill>
    <fill>
      <patternFill patternType="solid">
        <fgColor rgb="FF000BDC"/>
        <bgColor indexed="64"/>
      </patternFill>
    </fill>
    <fill>
      <patternFill patternType="solid">
        <fgColor rgb="FF000BDD"/>
        <bgColor indexed="64"/>
      </patternFill>
    </fill>
    <fill>
      <patternFill patternType="solid">
        <fgColor rgb="FF000BDE"/>
        <bgColor indexed="64"/>
      </patternFill>
    </fill>
    <fill>
      <patternFill patternType="solid">
        <fgColor rgb="FF000BDF"/>
        <bgColor indexed="64"/>
      </patternFill>
    </fill>
    <fill>
      <patternFill patternType="solid">
        <fgColor rgb="FF000BE0"/>
        <bgColor indexed="64"/>
      </patternFill>
    </fill>
    <fill>
      <patternFill patternType="solid">
        <fgColor rgb="FF000BE1"/>
        <bgColor indexed="64"/>
      </patternFill>
    </fill>
    <fill>
      <patternFill patternType="solid">
        <fgColor rgb="FF000BE2"/>
        <bgColor indexed="64"/>
      </patternFill>
    </fill>
    <fill>
      <patternFill patternType="solid">
        <fgColor rgb="FF000BE3"/>
        <bgColor indexed="64"/>
      </patternFill>
    </fill>
    <fill>
      <patternFill patternType="solid">
        <fgColor rgb="FF000BE4"/>
        <bgColor indexed="64"/>
      </patternFill>
    </fill>
    <fill>
      <patternFill patternType="solid">
        <fgColor rgb="FF000BE5"/>
        <bgColor indexed="64"/>
      </patternFill>
    </fill>
    <fill>
      <patternFill patternType="solid">
        <fgColor rgb="FF000BE6"/>
        <bgColor indexed="64"/>
      </patternFill>
    </fill>
    <fill>
      <patternFill patternType="solid">
        <fgColor rgb="FF000BE7"/>
        <bgColor indexed="64"/>
      </patternFill>
    </fill>
    <fill>
      <patternFill patternType="solid">
        <fgColor rgb="FF000BE8"/>
        <bgColor indexed="64"/>
      </patternFill>
    </fill>
    <fill>
      <patternFill patternType="solid">
        <fgColor rgb="FF000BE9"/>
        <bgColor indexed="64"/>
      </patternFill>
    </fill>
    <fill>
      <patternFill patternType="solid">
        <fgColor rgb="FF000BEA"/>
        <bgColor indexed="64"/>
      </patternFill>
    </fill>
    <fill>
      <patternFill patternType="solid">
        <fgColor rgb="FF000BEB"/>
        <bgColor indexed="64"/>
      </patternFill>
    </fill>
    <fill>
      <patternFill patternType="solid">
        <fgColor rgb="FF000BEC"/>
        <bgColor indexed="64"/>
      </patternFill>
    </fill>
    <fill>
      <patternFill patternType="solid">
        <fgColor rgb="FF000BED"/>
        <bgColor indexed="64"/>
      </patternFill>
    </fill>
    <fill>
      <patternFill patternType="solid">
        <fgColor rgb="FF000BEE"/>
        <bgColor indexed="64"/>
      </patternFill>
    </fill>
    <fill>
      <patternFill patternType="solid">
        <fgColor rgb="FF000BEF"/>
        <bgColor indexed="64"/>
      </patternFill>
    </fill>
    <fill>
      <patternFill patternType="solid">
        <fgColor rgb="FF000BF0"/>
        <bgColor indexed="64"/>
      </patternFill>
    </fill>
    <fill>
      <patternFill patternType="solid">
        <fgColor rgb="FF000BF1"/>
        <bgColor indexed="64"/>
      </patternFill>
    </fill>
    <fill>
      <patternFill patternType="solid">
        <fgColor rgb="FF000BF2"/>
        <bgColor indexed="64"/>
      </patternFill>
    </fill>
    <fill>
      <patternFill patternType="solid">
        <fgColor rgb="FF000BF3"/>
        <bgColor indexed="64"/>
      </patternFill>
    </fill>
    <fill>
      <patternFill patternType="solid">
        <fgColor rgb="FF000BF4"/>
        <bgColor indexed="64"/>
      </patternFill>
    </fill>
    <fill>
      <patternFill patternType="solid">
        <fgColor rgb="FF000BF5"/>
        <bgColor indexed="64"/>
      </patternFill>
    </fill>
    <fill>
      <patternFill patternType="solid">
        <fgColor rgb="FF000BF6"/>
        <bgColor indexed="64"/>
      </patternFill>
    </fill>
    <fill>
      <patternFill patternType="solid">
        <fgColor rgb="FF000BF7"/>
        <bgColor indexed="64"/>
      </patternFill>
    </fill>
    <fill>
      <patternFill patternType="solid">
        <fgColor rgb="FF000BF8"/>
        <bgColor indexed="64"/>
      </patternFill>
    </fill>
    <fill>
      <patternFill patternType="solid">
        <fgColor rgb="FF000BF9"/>
        <bgColor indexed="64"/>
      </patternFill>
    </fill>
    <fill>
      <patternFill patternType="solid">
        <fgColor rgb="FF000BFA"/>
        <bgColor indexed="64"/>
      </patternFill>
    </fill>
    <fill>
      <patternFill patternType="solid">
        <fgColor rgb="FF000BFB"/>
        <bgColor indexed="64"/>
      </patternFill>
    </fill>
    <fill>
      <patternFill patternType="solid">
        <fgColor rgb="FF000BFC"/>
        <bgColor indexed="64"/>
      </patternFill>
    </fill>
    <fill>
      <patternFill patternType="solid">
        <fgColor rgb="FF000BFD"/>
        <bgColor indexed="64"/>
      </patternFill>
    </fill>
    <fill>
      <patternFill patternType="solid">
        <fgColor rgb="FF000BFE"/>
        <bgColor indexed="64"/>
      </patternFill>
    </fill>
    <fill>
      <patternFill patternType="solid">
        <fgColor rgb="FF000BFF"/>
        <bgColor indexed="64"/>
      </patternFill>
    </fill>
    <fill>
      <patternFill patternType="solid">
        <fgColor rgb="FF000C00"/>
        <bgColor indexed="64"/>
      </patternFill>
    </fill>
    <fill>
      <patternFill patternType="solid">
        <fgColor rgb="FF000C01"/>
        <bgColor indexed="64"/>
      </patternFill>
    </fill>
    <fill>
      <patternFill patternType="solid">
        <fgColor rgb="FF000C02"/>
        <bgColor indexed="64"/>
      </patternFill>
    </fill>
    <fill>
      <patternFill patternType="solid">
        <fgColor rgb="FF000C03"/>
        <bgColor indexed="64"/>
      </patternFill>
    </fill>
    <fill>
      <patternFill patternType="solid">
        <fgColor rgb="FF000C04"/>
        <bgColor indexed="64"/>
      </patternFill>
    </fill>
    <fill>
      <patternFill patternType="solid">
        <fgColor rgb="FF000C05"/>
        <bgColor indexed="64"/>
      </patternFill>
    </fill>
    <fill>
      <patternFill patternType="solid">
        <fgColor rgb="FF000C06"/>
        <bgColor indexed="64"/>
      </patternFill>
    </fill>
    <fill>
      <patternFill patternType="solid">
        <fgColor rgb="FF000C07"/>
        <bgColor indexed="64"/>
      </patternFill>
    </fill>
    <fill>
      <patternFill patternType="solid">
        <fgColor rgb="FF000C08"/>
        <bgColor indexed="64"/>
      </patternFill>
    </fill>
    <fill>
      <patternFill patternType="solid">
        <fgColor rgb="FF000C09"/>
        <bgColor indexed="64"/>
      </patternFill>
    </fill>
    <fill>
      <patternFill patternType="solid">
        <fgColor rgb="FF000C0A"/>
        <bgColor indexed="64"/>
      </patternFill>
    </fill>
    <fill>
      <patternFill patternType="solid">
        <fgColor rgb="FF000C0B"/>
        <bgColor indexed="64"/>
      </patternFill>
    </fill>
    <fill>
      <patternFill patternType="solid">
        <fgColor rgb="FF000C0C"/>
        <bgColor indexed="64"/>
      </patternFill>
    </fill>
    <fill>
      <patternFill patternType="solid">
        <fgColor rgb="FF000C0D"/>
        <bgColor indexed="64"/>
      </patternFill>
    </fill>
    <fill>
      <patternFill patternType="solid">
        <fgColor rgb="FF000C0E"/>
        <bgColor indexed="64"/>
      </patternFill>
    </fill>
    <fill>
      <patternFill patternType="solid">
        <fgColor rgb="FF000C0F"/>
        <bgColor indexed="64"/>
      </patternFill>
    </fill>
    <fill>
      <patternFill patternType="solid">
        <fgColor rgb="FF000C10"/>
        <bgColor indexed="64"/>
      </patternFill>
    </fill>
    <fill>
      <patternFill patternType="solid">
        <fgColor rgb="FF000C11"/>
        <bgColor indexed="64"/>
      </patternFill>
    </fill>
    <fill>
      <patternFill patternType="solid">
        <fgColor rgb="FF000C12"/>
        <bgColor indexed="64"/>
      </patternFill>
    </fill>
    <fill>
      <patternFill patternType="solid">
        <fgColor rgb="FF000C13"/>
        <bgColor indexed="64"/>
      </patternFill>
    </fill>
    <fill>
      <patternFill patternType="solid">
        <fgColor rgb="FF000C14"/>
        <bgColor indexed="64"/>
      </patternFill>
    </fill>
    <fill>
      <patternFill patternType="solid">
        <fgColor rgb="FF000C15"/>
        <bgColor indexed="64"/>
      </patternFill>
    </fill>
    <fill>
      <patternFill patternType="solid">
        <fgColor rgb="FF000C16"/>
        <bgColor indexed="64"/>
      </patternFill>
    </fill>
    <fill>
      <patternFill patternType="solid">
        <fgColor rgb="FF000C17"/>
        <bgColor indexed="64"/>
      </patternFill>
    </fill>
    <fill>
      <patternFill patternType="solid">
        <fgColor rgb="FF000C18"/>
        <bgColor indexed="64"/>
      </patternFill>
    </fill>
    <fill>
      <patternFill patternType="solid">
        <fgColor rgb="FF000C19"/>
        <bgColor indexed="64"/>
      </patternFill>
    </fill>
    <fill>
      <patternFill patternType="solid">
        <fgColor rgb="FF000C1A"/>
        <bgColor indexed="64"/>
      </patternFill>
    </fill>
    <fill>
      <patternFill patternType="solid">
        <fgColor rgb="FF000C1B"/>
        <bgColor indexed="64"/>
      </patternFill>
    </fill>
    <fill>
      <patternFill patternType="solid">
        <fgColor rgb="FF000C1C"/>
        <bgColor indexed="64"/>
      </patternFill>
    </fill>
    <fill>
      <patternFill patternType="solid">
        <fgColor rgb="FF000C1D"/>
        <bgColor indexed="64"/>
      </patternFill>
    </fill>
    <fill>
      <patternFill patternType="solid">
        <fgColor rgb="FF000C1E"/>
        <bgColor indexed="64"/>
      </patternFill>
    </fill>
    <fill>
      <patternFill patternType="solid">
        <fgColor rgb="FF000C1F"/>
        <bgColor indexed="64"/>
      </patternFill>
    </fill>
    <fill>
      <patternFill patternType="solid">
        <fgColor rgb="FF000C20"/>
        <bgColor indexed="64"/>
      </patternFill>
    </fill>
    <fill>
      <patternFill patternType="solid">
        <fgColor rgb="FF000C21"/>
        <bgColor indexed="64"/>
      </patternFill>
    </fill>
    <fill>
      <patternFill patternType="solid">
        <fgColor rgb="FF000C22"/>
        <bgColor indexed="64"/>
      </patternFill>
    </fill>
    <fill>
      <patternFill patternType="solid">
        <fgColor rgb="FF000C23"/>
        <bgColor indexed="64"/>
      </patternFill>
    </fill>
    <fill>
      <patternFill patternType="solid">
        <fgColor rgb="FF000C24"/>
        <bgColor indexed="64"/>
      </patternFill>
    </fill>
    <fill>
      <patternFill patternType="solid">
        <fgColor rgb="FF000C25"/>
        <bgColor indexed="64"/>
      </patternFill>
    </fill>
    <fill>
      <patternFill patternType="solid">
        <fgColor rgb="FF000C26"/>
        <bgColor indexed="64"/>
      </patternFill>
    </fill>
    <fill>
      <patternFill patternType="solid">
        <fgColor rgb="FF000C27"/>
        <bgColor indexed="64"/>
      </patternFill>
    </fill>
    <fill>
      <patternFill patternType="solid">
        <fgColor rgb="FF000C28"/>
        <bgColor indexed="64"/>
      </patternFill>
    </fill>
    <fill>
      <patternFill patternType="solid">
        <fgColor rgb="FF000C29"/>
        <bgColor indexed="64"/>
      </patternFill>
    </fill>
    <fill>
      <patternFill patternType="solid">
        <fgColor rgb="FF000C2A"/>
        <bgColor indexed="64"/>
      </patternFill>
    </fill>
    <fill>
      <patternFill patternType="solid">
        <fgColor rgb="FF000C2B"/>
        <bgColor indexed="64"/>
      </patternFill>
    </fill>
    <fill>
      <patternFill patternType="solid">
        <fgColor rgb="FF000C2C"/>
        <bgColor indexed="64"/>
      </patternFill>
    </fill>
    <fill>
      <patternFill patternType="solid">
        <fgColor rgb="FF000C2D"/>
        <bgColor indexed="64"/>
      </patternFill>
    </fill>
    <fill>
      <patternFill patternType="solid">
        <fgColor rgb="FF000C2E"/>
        <bgColor indexed="64"/>
      </patternFill>
    </fill>
    <fill>
      <patternFill patternType="solid">
        <fgColor rgb="FF000C2F"/>
        <bgColor indexed="64"/>
      </patternFill>
    </fill>
    <fill>
      <patternFill patternType="solid">
        <fgColor rgb="FF000C30"/>
        <bgColor indexed="64"/>
      </patternFill>
    </fill>
    <fill>
      <patternFill patternType="solid">
        <fgColor rgb="FF000C31"/>
        <bgColor indexed="64"/>
      </patternFill>
    </fill>
    <fill>
      <patternFill patternType="solid">
        <fgColor rgb="FF000C32"/>
        <bgColor indexed="64"/>
      </patternFill>
    </fill>
    <fill>
      <patternFill patternType="solid">
        <fgColor rgb="FF000C33"/>
        <bgColor indexed="64"/>
      </patternFill>
    </fill>
    <fill>
      <patternFill patternType="solid">
        <fgColor rgb="FF000C34"/>
        <bgColor indexed="64"/>
      </patternFill>
    </fill>
    <fill>
      <patternFill patternType="solid">
        <fgColor rgb="FF000C35"/>
        <bgColor indexed="64"/>
      </patternFill>
    </fill>
    <fill>
      <patternFill patternType="solid">
        <fgColor rgb="FF000C36"/>
        <bgColor indexed="64"/>
      </patternFill>
    </fill>
    <fill>
      <patternFill patternType="solid">
        <fgColor rgb="FF000C37"/>
        <bgColor indexed="64"/>
      </patternFill>
    </fill>
    <fill>
      <patternFill patternType="solid">
        <fgColor rgb="FF000C38"/>
        <bgColor indexed="64"/>
      </patternFill>
    </fill>
    <fill>
      <patternFill patternType="solid">
        <fgColor rgb="FF000C39"/>
        <bgColor indexed="64"/>
      </patternFill>
    </fill>
    <fill>
      <patternFill patternType="solid">
        <fgColor rgb="FF000C3A"/>
        <bgColor indexed="64"/>
      </patternFill>
    </fill>
    <fill>
      <patternFill patternType="solid">
        <fgColor rgb="FF000C3B"/>
        <bgColor indexed="64"/>
      </patternFill>
    </fill>
    <fill>
      <patternFill patternType="solid">
        <fgColor rgb="FF000C3C"/>
        <bgColor indexed="64"/>
      </patternFill>
    </fill>
    <fill>
      <patternFill patternType="solid">
        <fgColor rgb="FF000C3D"/>
        <bgColor indexed="64"/>
      </patternFill>
    </fill>
    <fill>
      <patternFill patternType="solid">
        <fgColor rgb="FF000C3E"/>
        <bgColor indexed="64"/>
      </patternFill>
    </fill>
    <fill>
      <patternFill patternType="solid">
        <fgColor rgb="FF000C3F"/>
        <bgColor indexed="64"/>
      </patternFill>
    </fill>
    <fill>
      <patternFill patternType="solid">
        <fgColor rgb="FF000C40"/>
        <bgColor indexed="64"/>
      </patternFill>
    </fill>
    <fill>
      <patternFill patternType="solid">
        <fgColor rgb="FF000C41"/>
        <bgColor indexed="64"/>
      </patternFill>
    </fill>
    <fill>
      <patternFill patternType="solid">
        <fgColor rgb="FF000C42"/>
        <bgColor indexed="64"/>
      </patternFill>
    </fill>
    <fill>
      <patternFill patternType="solid">
        <fgColor rgb="FF000C43"/>
        <bgColor indexed="64"/>
      </patternFill>
    </fill>
    <fill>
      <patternFill patternType="solid">
        <fgColor rgb="FF000C44"/>
        <bgColor indexed="64"/>
      </patternFill>
    </fill>
    <fill>
      <patternFill patternType="solid">
        <fgColor rgb="FF000C45"/>
        <bgColor indexed="64"/>
      </patternFill>
    </fill>
    <fill>
      <patternFill patternType="solid">
        <fgColor rgb="FF000C46"/>
        <bgColor indexed="64"/>
      </patternFill>
    </fill>
    <fill>
      <patternFill patternType="solid">
        <fgColor rgb="FF000C47"/>
        <bgColor indexed="64"/>
      </patternFill>
    </fill>
    <fill>
      <patternFill patternType="solid">
        <fgColor rgb="FF000C48"/>
        <bgColor indexed="64"/>
      </patternFill>
    </fill>
    <fill>
      <patternFill patternType="solid">
        <fgColor rgb="FF000C49"/>
        <bgColor indexed="64"/>
      </patternFill>
    </fill>
    <fill>
      <patternFill patternType="solid">
        <fgColor rgb="FF000C4A"/>
        <bgColor indexed="64"/>
      </patternFill>
    </fill>
    <fill>
      <patternFill patternType="solid">
        <fgColor rgb="FF000C4B"/>
        <bgColor indexed="64"/>
      </patternFill>
    </fill>
    <fill>
      <patternFill patternType="solid">
        <fgColor rgb="FF000C4C"/>
        <bgColor indexed="64"/>
      </patternFill>
    </fill>
    <fill>
      <patternFill patternType="solid">
        <fgColor rgb="FF000C4D"/>
        <bgColor indexed="64"/>
      </patternFill>
    </fill>
    <fill>
      <patternFill patternType="solid">
        <fgColor rgb="FF000C4E"/>
        <bgColor indexed="64"/>
      </patternFill>
    </fill>
    <fill>
      <patternFill patternType="solid">
        <fgColor rgb="FF000C4F"/>
        <bgColor indexed="64"/>
      </patternFill>
    </fill>
    <fill>
      <patternFill patternType="solid">
        <fgColor rgb="FF000C50"/>
        <bgColor indexed="64"/>
      </patternFill>
    </fill>
    <fill>
      <patternFill patternType="solid">
        <fgColor rgb="FF000C51"/>
        <bgColor indexed="64"/>
      </patternFill>
    </fill>
    <fill>
      <patternFill patternType="solid">
        <fgColor rgb="FF000C52"/>
        <bgColor indexed="64"/>
      </patternFill>
    </fill>
    <fill>
      <patternFill patternType="solid">
        <fgColor rgb="FF000C53"/>
        <bgColor indexed="64"/>
      </patternFill>
    </fill>
    <fill>
      <patternFill patternType="solid">
        <fgColor rgb="FF000C54"/>
        <bgColor indexed="64"/>
      </patternFill>
    </fill>
    <fill>
      <patternFill patternType="solid">
        <fgColor rgb="FF000C55"/>
        <bgColor indexed="64"/>
      </patternFill>
    </fill>
    <fill>
      <patternFill patternType="solid">
        <fgColor rgb="FF000C56"/>
        <bgColor indexed="64"/>
      </patternFill>
    </fill>
    <fill>
      <patternFill patternType="solid">
        <fgColor rgb="FF000C57"/>
        <bgColor indexed="64"/>
      </patternFill>
    </fill>
    <fill>
      <patternFill patternType="solid">
        <fgColor rgb="FF000C58"/>
        <bgColor indexed="64"/>
      </patternFill>
    </fill>
    <fill>
      <patternFill patternType="solid">
        <fgColor rgb="FF000C59"/>
        <bgColor indexed="64"/>
      </patternFill>
    </fill>
    <fill>
      <patternFill patternType="solid">
        <fgColor rgb="FF000C5A"/>
        <bgColor indexed="64"/>
      </patternFill>
    </fill>
    <fill>
      <patternFill patternType="solid">
        <fgColor rgb="FF000C5B"/>
        <bgColor indexed="64"/>
      </patternFill>
    </fill>
    <fill>
      <patternFill patternType="solid">
        <fgColor rgb="FF000C5C"/>
        <bgColor indexed="64"/>
      </patternFill>
    </fill>
    <fill>
      <patternFill patternType="solid">
        <fgColor rgb="FF000C5D"/>
        <bgColor indexed="64"/>
      </patternFill>
    </fill>
    <fill>
      <patternFill patternType="solid">
        <fgColor rgb="FF000C5E"/>
        <bgColor indexed="64"/>
      </patternFill>
    </fill>
    <fill>
      <patternFill patternType="solid">
        <fgColor rgb="FF000C5F"/>
        <bgColor indexed="64"/>
      </patternFill>
    </fill>
    <fill>
      <patternFill patternType="solid">
        <fgColor rgb="FF000C60"/>
        <bgColor indexed="64"/>
      </patternFill>
    </fill>
    <fill>
      <patternFill patternType="solid">
        <fgColor rgb="FF000C61"/>
        <bgColor indexed="64"/>
      </patternFill>
    </fill>
    <fill>
      <patternFill patternType="solid">
        <fgColor rgb="FF000C62"/>
        <bgColor indexed="64"/>
      </patternFill>
    </fill>
    <fill>
      <patternFill patternType="solid">
        <fgColor rgb="FF000C63"/>
        <bgColor indexed="64"/>
      </patternFill>
    </fill>
    <fill>
      <patternFill patternType="solid">
        <fgColor rgb="FF000C64"/>
        <bgColor indexed="64"/>
      </patternFill>
    </fill>
    <fill>
      <patternFill patternType="solid">
        <fgColor rgb="FF000C65"/>
        <bgColor indexed="64"/>
      </patternFill>
    </fill>
    <fill>
      <patternFill patternType="solid">
        <fgColor rgb="FF000C66"/>
        <bgColor indexed="64"/>
      </patternFill>
    </fill>
    <fill>
      <patternFill patternType="solid">
        <fgColor rgb="FF000C67"/>
        <bgColor indexed="64"/>
      </patternFill>
    </fill>
    <fill>
      <patternFill patternType="solid">
        <fgColor rgb="FF000C68"/>
        <bgColor indexed="64"/>
      </patternFill>
    </fill>
    <fill>
      <patternFill patternType="solid">
        <fgColor rgb="FF000C69"/>
        <bgColor indexed="64"/>
      </patternFill>
    </fill>
    <fill>
      <patternFill patternType="solid">
        <fgColor rgb="FF000C6A"/>
        <bgColor indexed="64"/>
      </patternFill>
    </fill>
    <fill>
      <patternFill patternType="solid">
        <fgColor rgb="FF000C6B"/>
        <bgColor indexed="64"/>
      </patternFill>
    </fill>
    <fill>
      <patternFill patternType="solid">
        <fgColor rgb="FF000C6C"/>
        <bgColor indexed="64"/>
      </patternFill>
    </fill>
    <fill>
      <patternFill patternType="solid">
        <fgColor rgb="FF000C6D"/>
        <bgColor indexed="64"/>
      </patternFill>
    </fill>
    <fill>
      <patternFill patternType="solid">
        <fgColor rgb="FF000C6E"/>
        <bgColor indexed="64"/>
      </patternFill>
    </fill>
    <fill>
      <patternFill patternType="solid">
        <fgColor rgb="FF000C6F"/>
        <bgColor indexed="64"/>
      </patternFill>
    </fill>
    <fill>
      <patternFill patternType="solid">
        <fgColor rgb="FF000C70"/>
        <bgColor indexed="64"/>
      </patternFill>
    </fill>
    <fill>
      <patternFill patternType="solid">
        <fgColor rgb="FF000C71"/>
        <bgColor indexed="64"/>
      </patternFill>
    </fill>
    <fill>
      <patternFill patternType="solid">
        <fgColor rgb="FF000C72"/>
        <bgColor indexed="64"/>
      </patternFill>
    </fill>
    <fill>
      <patternFill patternType="solid">
        <fgColor rgb="FF000C73"/>
        <bgColor indexed="64"/>
      </patternFill>
    </fill>
    <fill>
      <patternFill patternType="solid">
        <fgColor rgb="FF000C74"/>
        <bgColor indexed="64"/>
      </patternFill>
    </fill>
    <fill>
      <patternFill patternType="solid">
        <fgColor rgb="FF000C75"/>
        <bgColor indexed="64"/>
      </patternFill>
    </fill>
    <fill>
      <patternFill patternType="solid">
        <fgColor rgb="FF000C76"/>
        <bgColor indexed="64"/>
      </patternFill>
    </fill>
    <fill>
      <patternFill patternType="solid">
        <fgColor rgb="FF000C77"/>
        <bgColor indexed="64"/>
      </patternFill>
    </fill>
    <fill>
      <patternFill patternType="solid">
        <fgColor rgb="FF000C78"/>
        <bgColor indexed="64"/>
      </patternFill>
    </fill>
    <fill>
      <patternFill patternType="solid">
        <fgColor rgb="FF000C79"/>
        <bgColor indexed="64"/>
      </patternFill>
    </fill>
    <fill>
      <patternFill patternType="solid">
        <fgColor rgb="FF000C7A"/>
        <bgColor indexed="64"/>
      </patternFill>
    </fill>
    <fill>
      <patternFill patternType="solid">
        <fgColor rgb="FF000C7B"/>
        <bgColor indexed="64"/>
      </patternFill>
    </fill>
    <fill>
      <patternFill patternType="solid">
        <fgColor rgb="FF000C7C"/>
        <bgColor indexed="64"/>
      </patternFill>
    </fill>
    <fill>
      <patternFill patternType="solid">
        <fgColor rgb="FF000C7D"/>
        <bgColor indexed="64"/>
      </patternFill>
    </fill>
    <fill>
      <patternFill patternType="solid">
        <fgColor rgb="FF000C7E"/>
        <bgColor indexed="64"/>
      </patternFill>
    </fill>
    <fill>
      <patternFill patternType="solid">
        <fgColor rgb="FF000C7F"/>
        <bgColor indexed="64"/>
      </patternFill>
    </fill>
    <fill>
      <patternFill patternType="solid">
        <fgColor rgb="FF000C80"/>
        <bgColor indexed="64"/>
      </patternFill>
    </fill>
    <fill>
      <patternFill patternType="solid">
        <fgColor rgb="FF000C81"/>
        <bgColor indexed="64"/>
      </patternFill>
    </fill>
    <fill>
      <patternFill patternType="solid">
        <fgColor rgb="FF000C82"/>
        <bgColor indexed="64"/>
      </patternFill>
    </fill>
    <fill>
      <patternFill patternType="solid">
        <fgColor rgb="FF000C83"/>
        <bgColor indexed="64"/>
      </patternFill>
    </fill>
    <fill>
      <patternFill patternType="solid">
        <fgColor rgb="FF000C84"/>
        <bgColor indexed="64"/>
      </patternFill>
    </fill>
    <fill>
      <patternFill patternType="solid">
        <fgColor rgb="FF000C85"/>
        <bgColor indexed="64"/>
      </patternFill>
    </fill>
    <fill>
      <patternFill patternType="solid">
        <fgColor rgb="FF000C86"/>
        <bgColor indexed="64"/>
      </patternFill>
    </fill>
    <fill>
      <patternFill patternType="solid">
        <fgColor rgb="FF000C87"/>
        <bgColor indexed="64"/>
      </patternFill>
    </fill>
    <fill>
      <patternFill patternType="solid">
        <fgColor rgb="FF000C88"/>
        <bgColor indexed="64"/>
      </patternFill>
    </fill>
    <fill>
      <patternFill patternType="solid">
        <fgColor rgb="FF000C89"/>
        <bgColor indexed="64"/>
      </patternFill>
    </fill>
    <fill>
      <patternFill patternType="solid">
        <fgColor rgb="FF000C8A"/>
        <bgColor indexed="64"/>
      </patternFill>
    </fill>
    <fill>
      <patternFill patternType="solid">
        <fgColor rgb="FF000C8B"/>
        <bgColor indexed="64"/>
      </patternFill>
    </fill>
    <fill>
      <patternFill patternType="solid">
        <fgColor rgb="FF000C8C"/>
        <bgColor indexed="64"/>
      </patternFill>
    </fill>
    <fill>
      <patternFill patternType="solid">
        <fgColor rgb="FF000C8D"/>
        <bgColor indexed="64"/>
      </patternFill>
    </fill>
    <fill>
      <patternFill patternType="solid">
        <fgColor rgb="FF000C8E"/>
        <bgColor indexed="64"/>
      </patternFill>
    </fill>
    <fill>
      <patternFill patternType="solid">
        <fgColor rgb="FF000C8F"/>
        <bgColor indexed="64"/>
      </patternFill>
    </fill>
    <fill>
      <patternFill patternType="solid">
        <fgColor rgb="FF000C90"/>
        <bgColor indexed="64"/>
      </patternFill>
    </fill>
    <fill>
      <patternFill patternType="solid">
        <fgColor rgb="FF000C91"/>
        <bgColor indexed="64"/>
      </patternFill>
    </fill>
    <fill>
      <patternFill patternType="solid">
        <fgColor rgb="FF000C92"/>
        <bgColor indexed="64"/>
      </patternFill>
    </fill>
    <fill>
      <patternFill patternType="solid">
        <fgColor rgb="FF000C93"/>
        <bgColor indexed="64"/>
      </patternFill>
    </fill>
    <fill>
      <patternFill patternType="solid">
        <fgColor rgb="FF000C94"/>
        <bgColor indexed="64"/>
      </patternFill>
    </fill>
    <fill>
      <patternFill patternType="solid">
        <fgColor rgb="FF000C95"/>
        <bgColor indexed="64"/>
      </patternFill>
    </fill>
    <fill>
      <patternFill patternType="solid">
        <fgColor rgb="FF000C96"/>
        <bgColor indexed="64"/>
      </patternFill>
    </fill>
    <fill>
      <patternFill patternType="solid">
        <fgColor rgb="FF000C97"/>
        <bgColor indexed="64"/>
      </patternFill>
    </fill>
    <fill>
      <patternFill patternType="solid">
        <fgColor rgb="FF000C98"/>
        <bgColor indexed="64"/>
      </patternFill>
    </fill>
    <fill>
      <patternFill patternType="solid">
        <fgColor rgb="FF000C99"/>
        <bgColor indexed="64"/>
      </patternFill>
    </fill>
    <fill>
      <patternFill patternType="solid">
        <fgColor rgb="FF000C9A"/>
        <bgColor indexed="64"/>
      </patternFill>
    </fill>
    <fill>
      <patternFill patternType="solid">
        <fgColor rgb="FF000C9B"/>
        <bgColor indexed="64"/>
      </patternFill>
    </fill>
    <fill>
      <patternFill patternType="solid">
        <fgColor rgb="FF000C9C"/>
        <bgColor indexed="64"/>
      </patternFill>
    </fill>
    <fill>
      <patternFill patternType="solid">
        <fgColor rgb="FF000C9D"/>
        <bgColor indexed="64"/>
      </patternFill>
    </fill>
    <fill>
      <patternFill patternType="solid">
        <fgColor rgb="FF000C9E"/>
        <bgColor indexed="64"/>
      </patternFill>
    </fill>
    <fill>
      <patternFill patternType="solid">
        <fgColor rgb="FF000C9F"/>
        <bgColor indexed="64"/>
      </patternFill>
    </fill>
    <fill>
      <patternFill patternType="solid">
        <fgColor rgb="FF000CA0"/>
        <bgColor indexed="64"/>
      </patternFill>
    </fill>
    <fill>
      <patternFill patternType="solid">
        <fgColor rgb="FF000CA1"/>
        <bgColor indexed="64"/>
      </patternFill>
    </fill>
    <fill>
      <patternFill patternType="solid">
        <fgColor rgb="FF000CA2"/>
        <bgColor indexed="64"/>
      </patternFill>
    </fill>
    <fill>
      <patternFill patternType="solid">
        <fgColor rgb="FF000CA3"/>
        <bgColor indexed="64"/>
      </patternFill>
    </fill>
    <fill>
      <patternFill patternType="solid">
        <fgColor rgb="FF000CA4"/>
        <bgColor indexed="64"/>
      </patternFill>
    </fill>
    <fill>
      <patternFill patternType="solid">
        <fgColor rgb="FF000CA5"/>
        <bgColor indexed="64"/>
      </patternFill>
    </fill>
    <fill>
      <patternFill patternType="solid">
        <fgColor rgb="FF000CA6"/>
        <bgColor indexed="64"/>
      </patternFill>
    </fill>
    <fill>
      <patternFill patternType="solid">
        <fgColor rgb="FF000CA7"/>
        <bgColor indexed="64"/>
      </patternFill>
    </fill>
    <fill>
      <patternFill patternType="solid">
        <fgColor rgb="FF000CA8"/>
        <bgColor indexed="64"/>
      </patternFill>
    </fill>
    <fill>
      <patternFill patternType="solid">
        <fgColor rgb="FF000CA9"/>
        <bgColor indexed="64"/>
      </patternFill>
    </fill>
    <fill>
      <patternFill patternType="solid">
        <fgColor rgb="FF000CAA"/>
        <bgColor indexed="64"/>
      </patternFill>
    </fill>
    <fill>
      <patternFill patternType="solid">
        <fgColor rgb="FF000CAB"/>
        <bgColor indexed="64"/>
      </patternFill>
    </fill>
    <fill>
      <patternFill patternType="solid">
        <fgColor rgb="FF000CAC"/>
        <bgColor indexed="64"/>
      </patternFill>
    </fill>
    <fill>
      <patternFill patternType="solid">
        <fgColor rgb="FF000CAD"/>
        <bgColor indexed="64"/>
      </patternFill>
    </fill>
    <fill>
      <patternFill patternType="solid">
        <fgColor rgb="FF000CAE"/>
        <bgColor indexed="64"/>
      </patternFill>
    </fill>
    <fill>
      <patternFill patternType="solid">
        <fgColor rgb="FF000CAF"/>
        <bgColor indexed="64"/>
      </patternFill>
    </fill>
    <fill>
      <patternFill patternType="solid">
        <fgColor rgb="FF000CB0"/>
        <bgColor indexed="64"/>
      </patternFill>
    </fill>
    <fill>
      <patternFill patternType="solid">
        <fgColor rgb="FF000CB1"/>
        <bgColor indexed="64"/>
      </patternFill>
    </fill>
    <fill>
      <patternFill patternType="solid">
        <fgColor rgb="FF000CB2"/>
        <bgColor indexed="64"/>
      </patternFill>
    </fill>
    <fill>
      <patternFill patternType="solid">
        <fgColor rgb="FF000CB3"/>
        <bgColor indexed="64"/>
      </patternFill>
    </fill>
    <fill>
      <patternFill patternType="solid">
        <fgColor rgb="FF000CB4"/>
        <bgColor indexed="64"/>
      </patternFill>
    </fill>
    <fill>
      <patternFill patternType="solid">
        <fgColor rgb="FF000CB5"/>
        <bgColor indexed="64"/>
      </patternFill>
    </fill>
    <fill>
      <patternFill patternType="solid">
        <fgColor rgb="FF000CB6"/>
        <bgColor indexed="64"/>
      </patternFill>
    </fill>
    <fill>
      <patternFill patternType="solid">
        <fgColor rgb="FF000CB7"/>
        <bgColor indexed="64"/>
      </patternFill>
    </fill>
    <fill>
      <patternFill patternType="solid">
        <fgColor rgb="FF000CB8"/>
        <bgColor indexed="64"/>
      </patternFill>
    </fill>
    <fill>
      <patternFill patternType="solid">
        <fgColor rgb="FF000CB9"/>
        <bgColor indexed="64"/>
      </patternFill>
    </fill>
    <fill>
      <patternFill patternType="solid">
        <fgColor rgb="FF000CBA"/>
        <bgColor indexed="64"/>
      </patternFill>
    </fill>
    <fill>
      <patternFill patternType="solid">
        <fgColor rgb="FF000CBB"/>
        <bgColor indexed="64"/>
      </patternFill>
    </fill>
    <fill>
      <patternFill patternType="solid">
        <fgColor rgb="FF000CBC"/>
        <bgColor indexed="64"/>
      </patternFill>
    </fill>
    <fill>
      <patternFill patternType="solid">
        <fgColor rgb="FF000CBD"/>
        <bgColor indexed="64"/>
      </patternFill>
    </fill>
    <fill>
      <patternFill patternType="solid">
        <fgColor rgb="FF000CBE"/>
        <bgColor indexed="64"/>
      </patternFill>
    </fill>
    <fill>
      <patternFill patternType="solid">
        <fgColor rgb="FF000CBF"/>
        <bgColor indexed="64"/>
      </patternFill>
    </fill>
    <fill>
      <patternFill patternType="solid">
        <fgColor rgb="FF000CC0"/>
        <bgColor indexed="64"/>
      </patternFill>
    </fill>
    <fill>
      <patternFill patternType="solid">
        <fgColor rgb="FF000CC1"/>
        <bgColor indexed="64"/>
      </patternFill>
    </fill>
    <fill>
      <patternFill patternType="solid">
        <fgColor rgb="FF000CC2"/>
        <bgColor indexed="64"/>
      </patternFill>
    </fill>
    <fill>
      <patternFill patternType="solid">
        <fgColor rgb="FF000CC3"/>
        <bgColor indexed="64"/>
      </patternFill>
    </fill>
    <fill>
      <patternFill patternType="solid">
        <fgColor rgb="FF000CC4"/>
        <bgColor indexed="64"/>
      </patternFill>
    </fill>
    <fill>
      <patternFill patternType="solid">
        <fgColor rgb="FF000CC5"/>
        <bgColor indexed="64"/>
      </patternFill>
    </fill>
    <fill>
      <patternFill patternType="solid">
        <fgColor rgb="FF000CC6"/>
        <bgColor indexed="64"/>
      </patternFill>
    </fill>
    <fill>
      <patternFill patternType="solid">
        <fgColor rgb="FF000CC7"/>
        <bgColor indexed="64"/>
      </patternFill>
    </fill>
    <fill>
      <patternFill patternType="solid">
        <fgColor rgb="FF000CC8"/>
        <bgColor indexed="64"/>
      </patternFill>
    </fill>
    <fill>
      <patternFill patternType="solid">
        <fgColor rgb="FF000CC9"/>
        <bgColor indexed="64"/>
      </patternFill>
    </fill>
    <fill>
      <patternFill patternType="solid">
        <fgColor rgb="FF000CCA"/>
        <bgColor indexed="64"/>
      </patternFill>
    </fill>
    <fill>
      <patternFill patternType="solid">
        <fgColor rgb="FF000CCB"/>
        <bgColor indexed="64"/>
      </patternFill>
    </fill>
    <fill>
      <patternFill patternType="solid">
        <fgColor rgb="FF000CCC"/>
        <bgColor indexed="64"/>
      </patternFill>
    </fill>
    <fill>
      <patternFill patternType="solid">
        <fgColor rgb="FF000CCD"/>
        <bgColor indexed="64"/>
      </patternFill>
    </fill>
    <fill>
      <patternFill patternType="solid">
        <fgColor rgb="FF000CCE"/>
        <bgColor indexed="64"/>
      </patternFill>
    </fill>
    <fill>
      <patternFill patternType="solid">
        <fgColor rgb="FF000CCF"/>
        <bgColor indexed="64"/>
      </patternFill>
    </fill>
    <fill>
      <patternFill patternType="solid">
        <fgColor rgb="FF000CD0"/>
        <bgColor indexed="64"/>
      </patternFill>
    </fill>
    <fill>
      <patternFill patternType="solid">
        <fgColor rgb="FF000CD1"/>
        <bgColor indexed="64"/>
      </patternFill>
    </fill>
    <fill>
      <patternFill patternType="solid">
        <fgColor rgb="FF000CD2"/>
        <bgColor indexed="64"/>
      </patternFill>
    </fill>
    <fill>
      <patternFill patternType="solid">
        <fgColor rgb="FF000CD3"/>
        <bgColor indexed="64"/>
      </patternFill>
    </fill>
    <fill>
      <patternFill patternType="solid">
        <fgColor rgb="FF000CD4"/>
        <bgColor indexed="64"/>
      </patternFill>
    </fill>
    <fill>
      <patternFill patternType="solid">
        <fgColor rgb="FF000CD5"/>
        <bgColor indexed="64"/>
      </patternFill>
    </fill>
    <fill>
      <patternFill patternType="solid">
        <fgColor rgb="FF000CD6"/>
        <bgColor indexed="64"/>
      </patternFill>
    </fill>
    <fill>
      <patternFill patternType="solid">
        <fgColor rgb="FF000CD7"/>
        <bgColor indexed="64"/>
      </patternFill>
    </fill>
    <fill>
      <patternFill patternType="solid">
        <fgColor rgb="FF000CD8"/>
        <bgColor indexed="64"/>
      </patternFill>
    </fill>
    <fill>
      <patternFill patternType="solid">
        <fgColor rgb="FF000CD9"/>
        <bgColor indexed="64"/>
      </patternFill>
    </fill>
    <fill>
      <patternFill patternType="solid">
        <fgColor rgb="FF000CDA"/>
        <bgColor indexed="64"/>
      </patternFill>
    </fill>
    <fill>
      <patternFill patternType="solid">
        <fgColor rgb="FF000CDB"/>
        <bgColor indexed="64"/>
      </patternFill>
    </fill>
    <fill>
      <patternFill patternType="solid">
        <fgColor rgb="FF000CDC"/>
        <bgColor indexed="64"/>
      </patternFill>
    </fill>
    <fill>
      <patternFill patternType="solid">
        <fgColor rgb="FF000CDD"/>
        <bgColor indexed="64"/>
      </patternFill>
    </fill>
    <fill>
      <patternFill patternType="solid">
        <fgColor rgb="FF000CDE"/>
        <bgColor indexed="64"/>
      </patternFill>
    </fill>
    <fill>
      <patternFill patternType="solid">
        <fgColor rgb="FF000CDF"/>
        <bgColor indexed="64"/>
      </patternFill>
    </fill>
    <fill>
      <patternFill patternType="solid">
        <fgColor rgb="FF000CE0"/>
        <bgColor indexed="64"/>
      </patternFill>
    </fill>
    <fill>
      <patternFill patternType="solid">
        <fgColor rgb="FF000CE1"/>
        <bgColor indexed="64"/>
      </patternFill>
    </fill>
    <fill>
      <patternFill patternType="solid">
        <fgColor rgb="FF000CE2"/>
        <bgColor indexed="64"/>
      </patternFill>
    </fill>
    <fill>
      <patternFill patternType="solid">
        <fgColor rgb="FF000CE3"/>
        <bgColor indexed="64"/>
      </patternFill>
    </fill>
    <fill>
      <patternFill patternType="solid">
        <fgColor rgb="FF000CE4"/>
        <bgColor indexed="64"/>
      </patternFill>
    </fill>
    <fill>
      <patternFill patternType="solid">
        <fgColor rgb="FF000CE5"/>
        <bgColor indexed="64"/>
      </patternFill>
    </fill>
    <fill>
      <patternFill patternType="solid">
        <fgColor rgb="FF000CE6"/>
        <bgColor indexed="64"/>
      </patternFill>
    </fill>
    <fill>
      <patternFill patternType="solid">
        <fgColor rgb="FF000CE7"/>
        <bgColor indexed="64"/>
      </patternFill>
    </fill>
    <fill>
      <patternFill patternType="solid">
        <fgColor rgb="FF000CE8"/>
        <bgColor indexed="64"/>
      </patternFill>
    </fill>
    <fill>
      <patternFill patternType="solid">
        <fgColor rgb="FF000CE9"/>
        <bgColor indexed="64"/>
      </patternFill>
    </fill>
    <fill>
      <patternFill patternType="solid">
        <fgColor rgb="FF000CEA"/>
        <bgColor indexed="64"/>
      </patternFill>
    </fill>
    <fill>
      <patternFill patternType="solid">
        <fgColor rgb="FF000CEB"/>
        <bgColor indexed="64"/>
      </patternFill>
    </fill>
    <fill>
      <patternFill patternType="solid">
        <fgColor rgb="FF000CEC"/>
        <bgColor indexed="64"/>
      </patternFill>
    </fill>
    <fill>
      <patternFill patternType="solid">
        <fgColor rgb="FF000CED"/>
        <bgColor indexed="64"/>
      </patternFill>
    </fill>
    <fill>
      <patternFill patternType="solid">
        <fgColor rgb="FF000CEE"/>
        <bgColor indexed="64"/>
      </patternFill>
    </fill>
    <fill>
      <patternFill patternType="solid">
        <fgColor rgb="FF000CEF"/>
        <bgColor indexed="64"/>
      </patternFill>
    </fill>
    <fill>
      <patternFill patternType="solid">
        <fgColor rgb="FF000CF0"/>
        <bgColor indexed="64"/>
      </patternFill>
    </fill>
    <fill>
      <patternFill patternType="solid">
        <fgColor rgb="FF000CF1"/>
        <bgColor indexed="64"/>
      </patternFill>
    </fill>
    <fill>
      <patternFill patternType="solid">
        <fgColor rgb="FF000CF2"/>
        <bgColor indexed="64"/>
      </patternFill>
    </fill>
    <fill>
      <patternFill patternType="solid">
        <fgColor rgb="FF000CF3"/>
        <bgColor indexed="64"/>
      </patternFill>
    </fill>
    <fill>
      <patternFill patternType="solid">
        <fgColor rgb="FF000CF4"/>
        <bgColor indexed="64"/>
      </patternFill>
    </fill>
    <fill>
      <patternFill patternType="solid">
        <fgColor rgb="FF000CF5"/>
        <bgColor indexed="64"/>
      </patternFill>
    </fill>
    <fill>
      <patternFill patternType="solid">
        <fgColor rgb="FF000CF6"/>
        <bgColor indexed="64"/>
      </patternFill>
    </fill>
    <fill>
      <patternFill patternType="solid">
        <fgColor rgb="FF000CF7"/>
        <bgColor indexed="64"/>
      </patternFill>
    </fill>
    <fill>
      <patternFill patternType="solid">
        <fgColor rgb="FF000CF8"/>
        <bgColor indexed="64"/>
      </patternFill>
    </fill>
    <fill>
      <patternFill patternType="solid">
        <fgColor rgb="FF000CF9"/>
        <bgColor indexed="64"/>
      </patternFill>
    </fill>
    <fill>
      <patternFill patternType="solid">
        <fgColor rgb="FF000CFA"/>
        <bgColor indexed="64"/>
      </patternFill>
    </fill>
    <fill>
      <patternFill patternType="solid">
        <fgColor rgb="FF000CFB"/>
        <bgColor indexed="64"/>
      </patternFill>
    </fill>
    <fill>
      <patternFill patternType="solid">
        <fgColor rgb="FF000CFC"/>
        <bgColor indexed="64"/>
      </patternFill>
    </fill>
    <fill>
      <patternFill patternType="solid">
        <fgColor rgb="FF000CFD"/>
        <bgColor indexed="64"/>
      </patternFill>
    </fill>
    <fill>
      <patternFill patternType="solid">
        <fgColor rgb="FF000CFE"/>
        <bgColor indexed="64"/>
      </patternFill>
    </fill>
    <fill>
      <patternFill patternType="solid">
        <fgColor rgb="FF000CFF"/>
        <bgColor indexed="64"/>
      </patternFill>
    </fill>
    <fill>
      <patternFill patternType="solid">
        <fgColor rgb="FF000D00"/>
        <bgColor indexed="64"/>
      </patternFill>
    </fill>
    <fill>
      <patternFill patternType="solid">
        <fgColor rgb="FF000D01"/>
        <bgColor indexed="64"/>
      </patternFill>
    </fill>
    <fill>
      <patternFill patternType="solid">
        <fgColor rgb="FF000D02"/>
        <bgColor indexed="64"/>
      </patternFill>
    </fill>
    <fill>
      <patternFill patternType="solid">
        <fgColor rgb="FF000D03"/>
        <bgColor indexed="64"/>
      </patternFill>
    </fill>
    <fill>
      <patternFill patternType="solid">
        <fgColor rgb="FF000D04"/>
        <bgColor indexed="64"/>
      </patternFill>
    </fill>
    <fill>
      <patternFill patternType="solid">
        <fgColor rgb="FF000D05"/>
        <bgColor indexed="64"/>
      </patternFill>
    </fill>
    <fill>
      <patternFill patternType="solid">
        <fgColor rgb="FF000D06"/>
        <bgColor indexed="64"/>
      </patternFill>
    </fill>
    <fill>
      <patternFill patternType="solid">
        <fgColor rgb="FF000D07"/>
        <bgColor indexed="64"/>
      </patternFill>
    </fill>
    <fill>
      <patternFill patternType="solid">
        <fgColor rgb="FF000D08"/>
        <bgColor indexed="64"/>
      </patternFill>
    </fill>
    <fill>
      <patternFill patternType="solid">
        <fgColor rgb="FF000D09"/>
        <bgColor indexed="64"/>
      </patternFill>
    </fill>
    <fill>
      <patternFill patternType="solid">
        <fgColor rgb="FF000D0A"/>
        <bgColor indexed="64"/>
      </patternFill>
    </fill>
    <fill>
      <patternFill patternType="solid">
        <fgColor rgb="FF000D0B"/>
        <bgColor indexed="64"/>
      </patternFill>
    </fill>
    <fill>
      <patternFill patternType="solid">
        <fgColor rgb="FF000D0C"/>
        <bgColor indexed="64"/>
      </patternFill>
    </fill>
    <fill>
      <patternFill patternType="solid">
        <fgColor rgb="FF000D0D"/>
        <bgColor indexed="64"/>
      </patternFill>
    </fill>
    <fill>
      <patternFill patternType="solid">
        <fgColor rgb="FF000D0E"/>
        <bgColor indexed="64"/>
      </patternFill>
    </fill>
    <fill>
      <patternFill patternType="solid">
        <fgColor rgb="FF000D0F"/>
        <bgColor indexed="64"/>
      </patternFill>
    </fill>
    <fill>
      <patternFill patternType="solid">
        <fgColor rgb="FF000D10"/>
        <bgColor indexed="64"/>
      </patternFill>
    </fill>
    <fill>
      <patternFill patternType="solid">
        <fgColor rgb="FF000D11"/>
        <bgColor indexed="64"/>
      </patternFill>
    </fill>
    <fill>
      <patternFill patternType="solid">
        <fgColor rgb="FF000D12"/>
        <bgColor indexed="64"/>
      </patternFill>
    </fill>
    <fill>
      <patternFill patternType="solid">
        <fgColor rgb="FF000D13"/>
        <bgColor indexed="64"/>
      </patternFill>
    </fill>
    <fill>
      <patternFill patternType="solid">
        <fgColor rgb="FF000D14"/>
        <bgColor indexed="64"/>
      </patternFill>
    </fill>
    <fill>
      <patternFill patternType="solid">
        <fgColor rgb="FF000D15"/>
        <bgColor indexed="64"/>
      </patternFill>
    </fill>
    <fill>
      <patternFill patternType="solid">
        <fgColor rgb="FF000D16"/>
        <bgColor indexed="64"/>
      </patternFill>
    </fill>
    <fill>
      <patternFill patternType="solid">
        <fgColor rgb="FF000D17"/>
        <bgColor indexed="64"/>
      </patternFill>
    </fill>
    <fill>
      <patternFill patternType="solid">
        <fgColor rgb="FF000D18"/>
        <bgColor indexed="64"/>
      </patternFill>
    </fill>
    <fill>
      <patternFill patternType="solid">
        <fgColor rgb="FF000D19"/>
        <bgColor indexed="64"/>
      </patternFill>
    </fill>
    <fill>
      <patternFill patternType="solid">
        <fgColor rgb="FF000D1A"/>
        <bgColor indexed="64"/>
      </patternFill>
    </fill>
    <fill>
      <patternFill patternType="solid">
        <fgColor rgb="FF000D1B"/>
        <bgColor indexed="64"/>
      </patternFill>
    </fill>
    <fill>
      <patternFill patternType="solid">
        <fgColor rgb="FF000D1C"/>
        <bgColor indexed="64"/>
      </patternFill>
    </fill>
    <fill>
      <patternFill patternType="solid">
        <fgColor rgb="FF000D1D"/>
        <bgColor indexed="64"/>
      </patternFill>
    </fill>
    <fill>
      <patternFill patternType="solid">
        <fgColor rgb="FF000D1E"/>
        <bgColor indexed="64"/>
      </patternFill>
    </fill>
    <fill>
      <patternFill patternType="solid">
        <fgColor rgb="FF000D1F"/>
        <bgColor indexed="64"/>
      </patternFill>
    </fill>
    <fill>
      <patternFill patternType="solid">
        <fgColor rgb="FF000D20"/>
        <bgColor indexed="64"/>
      </patternFill>
    </fill>
    <fill>
      <patternFill patternType="solid">
        <fgColor rgb="FF000D21"/>
        <bgColor indexed="64"/>
      </patternFill>
    </fill>
    <fill>
      <patternFill patternType="solid">
        <fgColor rgb="FF000D22"/>
        <bgColor indexed="64"/>
      </patternFill>
    </fill>
    <fill>
      <patternFill patternType="solid">
        <fgColor rgb="FF000D23"/>
        <bgColor indexed="64"/>
      </patternFill>
    </fill>
    <fill>
      <patternFill patternType="solid">
        <fgColor rgb="FF000D24"/>
        <bgColor indexed="64"/>
      </patternFill>
    </fill>
    <fill>
      <patternFill patternType="solid">
        <fgColor rgb="FF000D25"/>
        <bgColor indexed="64"/>
      </patternFill>
    </fill>
    <fill>
      <patternFill patternType="solid">
        <fgColor rgb="FF000D26"/>
        <bgColor indexed="64"/>
      </patternFill>
    </fill>
    <fill>
      <patternFill patternType="solid">
        <fgColor rgb="FF000D27"/>
        <bgColor indexed="64"/>
      </patternFill>
    </fill>
    <fill>
      <patternFill patternType="solid">
        <fgColor rgb="FF000D28"/>
        <bgColor indexed="64"/>
      </patternFill>
    </fill>
    <fill>
      <patternFill patternType="solid">
        <fgColor rgb="FF000D29"/>
        <bgColor indexed="64"/>
      </patternFill>
    </fill>
    <fill>
      <patternFill patternType="solid">
        <fgColor rgb="FF000D2A"/>
        <bgColor indexed="64"/>
      </patternFill>
    </fill>
    <fill>
      <patternFill patternType="solid">
        <fgColor rgb="FF000D2B"/>
        <bgColor indexed="64"/>
      </patternFill>
    </fill>
    <fill>
      <patternFill patternType="solid">
        <fgColor rgb="FF000D2C"/>
        <bgColor indexed="64"/>
      </patternFill>
    </fill>
    <fill>
      <patternFill patternType="solid">
        <fgColor rgb="FF000D2D"/>
        <bgColor indexed="64"/>
      </patternFill>
    </fill>
    <fill>
      <patternFill patternType="solid">
        <fgColor rgb="FF000D2E"/>
        <bgColor indexed="64"/>
      </patternFill>
    </fill>
    <fill>
      <patternFill patternType="solid">
        <fgColor rgb="FF000D2F"/>
        <bgColor indexed="64"/>
      </patternFill>
    </fill>
    <fill>
      <patternFill patternType="solid">
        <fgColor rgb="FF000D30"/>
        <bgColor indexed="64"/>
      </patternFill>
    </fill>
    <fill>
      <patternFill patternType="solid">
        <fgColor rgb="FF000D31"/>
        <bgColor indexed="64"/>
      </patternFill>
    </fill>
    <fill>
      <patternFill patternType="solid">
        <fgColor rgb="FF000D32"/>
        <bgColor indexed="64"/>
      </patternFill>
    </fill>
    <fill>
      <patternFill patternType="solid">
        <fgColor rgb="FF000D33"/>
        <bgColor indexed="64"/>
      </patternFill>
    </fill>
    <fill>
      <patternFill patternType="solid">
        <fgColor rgb="FF000D34"/>
        <bgColor indexed="64"/>
      </patternFill>
    </fill>
    <fill>
      <patternFill patternType="solid">
        <fgColor rgb="FF000D35"/>
        <bgColor indexed="64"/>
      </patternFill>
    </fill>
    <fill>
      <patternFill patternType="solid">
        <fgColor rgb="FF000D36"/>
        <bgColor indexed="64"/>
      </patternFill>
    </fill>
    <fill>
      <patternFill patternType="solid">
        <fgColor rgb="FF000D37"/>
        <bgColor indexed="64"/>
      </patternFill>
    </fill>
    <fill>
      <patternFill patternType="solid">
        <fgColor rgb="FF000D38"/>
        <bgColor indexed="64"/>
      </patternFill>
    </fill>
    <fill>
      <patternFill patternType="solid">
        <fgColor rgb="FF000D39"/>
        <bgColor indexed="64"/>
      </patternFill>
    </fill>
    <fill>
      <patternFill patternType="solid">
        <fgColor rgb="FF000D3A"/>
        <bgColor indexed="64"/>
      </patternFill>
    </fill>
    <fill>
      <patternFill patternType="solid">
        <fgColor rgb="FF000D3B"/>
        <bgColor indexed="64"/>
      </patternFill>
    </fill>
    <fill>
      <patternFill patternType="solid">
        <fgColor rgb="FF000D3C"/>
        <bgColor indexed="64"/>
      </patternFill>
    </fill>
    <fill>
      <patternFill patternType="solid">
        <fgColor rgb="FF000D3D"/>
        <bgColor indexed="64"/>
      </patternFill>
    </fill>
    <fill>
      <patternFill patternType="solid">
        <fgColor rgb="FF000D3E"/>
        <bgColor indexed="64"/>
      </patternFill>
    </fill>
    <fill>
      <patternFill patternType="solid">
        <fgColor rgb="FF000D3F"/>
        <bgColor indexed="64"/>
      </patternFill>
    </fill>
    <fill>
      <patternFill patternType="solid">
        <fgColor rgb="FF000D40"/>
        <bgColor indexed="64"/>
      </patternFill>
    </fill>
    <fill>
      <patternFill patternType="solid">
        <fgColor rgb="FF000D41"/>
        <bgColor indexed="64"/>
      </patternFill>
    </fill>
    <fill>
      <patternFill patternType="solid">
        <fgColor rgb="FF000D42"/>
        <bgColor indexed="64"/>
      </patternFill>
    </fill>
    <fill>
      <patternFill patternType="solid">
        <fgColor rgb="FF000D43"/>
        <bgColor indexed="64"/>
      </patternFill>
    </fill>
    <fill>
      <patternFill patternType="solid">
        <fgColor rgb="FF000D44"/>
        <bgColor indexed="64"/>
      </patternFill>
    </fill>
    <fill>
      <patternFill patternType="solid">
        <fgColor rgb="FF000D45"/>
        <bgColor indexed="64"/>
      </patternFill>
    </fill>
    <fill>
      <patternFill patternType="solid">
        <fgColor rgb="FF000D46"/>
        <bgColor indexed="64"/>
      </patternFill>
    </fill>
    <fill>
      <patternFill patternType="solid">
        <fgColor rgb="FF000D47"/>
        <bgColor indexed="64"/>
      </patternFill>
    </fill>
    <fill>
      <patternFill patternType="solid">
        <fgColor rgb="FF000D48"/>
        <bgColor indexed="64"/>
      </patternFill>
    </fill>
    <fill>
      <patternFill patternType="solid">
        <fgColor rgb="FF000D49"/>
        <bgColor indexed="64"/>
      </patternFill>
    </fill>
    <fill>
      <patternFill patternType="solid">
        <fgColor rgb="FF000D4A"/>
        <bgColor indexed="64"/>
      </patternFill>
    </fill>
    <fill>
      <patternFill patternType="solid">
        <fgColor rgb="FF000D4B"/>
        <bgColor indexed="64"/>
      </patternFill>
    </fill>
    <fill>
      <patternFill patternType="solid">
        <fgColor rgb="FF000D4C"/>
        <bgColor indexed="64"/>
      </patternFill>
    </fill>
    <fill>
      <patternFill patternType="solid">
        <fgColor rgb="FF000D4D"/>
        <bgColor indexed="64"/>
      </patternFill>
    </fill>
    <fill>
      <patternFill patternType="solid">
        <fgColor rgb="FF000D4E"/>
        <bgColor indexed="64"/>
      </patternFill>
    </fill>
    <fill>
      <patternFill patternType="solid">
        <fgColor rgb="FF000D4F"/>
        <bgColor indexed="64"/>
      </patternFill>
    </fill>
    <fill>
      <patternFill patternType="solid">
        <fgColor rgb="FF000D50"/>
        <bgColor indexed="64"/>
      </patternFill>
    </fill>
    <fill>
      <patternFill patternType="solid">
        <fgColor rgb="FF000D51"/>
        <bgColor indexed="64"/>
      </patternFill>
    </fill>
    <fill>
      <patternFill patternType="solid">
        <fgColor rgb="FF000D52"/>
        <bgColor indexed="64"/>
      </patternFill>
    </fill>
    <fill>
      <patternFill patternType="solid">
        <fgColor rgb="FF000D53"/>
        <bgColor indexed="64"/>
      </patternFill>
    </fill>
    <fill>
      <patternFill patternType="solid">
        <fgColor rgb="FF000D54"/>
        <bgColor indexed="64"/>
      </patternFill>
    </fill>
    <fill>
      <patternFill patternType="solid">
        <fgColor rgb="FF000D55"/>
        <bgColor indexed="64"/>
      </patternFill>
    </fill>
    <fill>
      <patternFill patternType="solid">
        <fgColor rgb="FF000D56"/>
        <bgColor indexed="64"/>
      </patternFill>
    </fill>
    <fill>
      <patternFill patternType="solid">
        <fgColor rgb="FF000D57"/>
        <bgColor indexed="64"/>
      </patternFill>
    </fill>
    <fill>
      <patternFill patternType="solid">
        <fgColor rgb="FF000D58"/>
        <bgColor indexed="64"/>
      </patternFill>
    </fill>
    <fill>
      <patternFill patternType="solid">
        <fgColor rgb="FF000D59"/>
        <bgColor indexed="64"/>
      </patternFill>
    </fill>
    <fill>
      <patternFill patternType="solid">
        <fgColor rgb="FF000D5A"/>
        <bgColor indexed="64"/>
      </patternFill>
    </fill>
    <fill>
      <patternFill patternType="solid">
        <fgColor rgb="FF000D5B"/>
        <bgColor indexed="64"/>
      </patternFill>
    </fill>
    <fill>
      <patternFill patternType="solid">
        <fgColor rgb="FF000D5C"/>
        <bgColor indexed="64"/>
      </patternFill>
    </fill>
    <fill>
      <patternFill patternType="solid">
        <fgColor rgb="FF000D5D"/>
        <bgColor indexed="64"/>
      </patternFill>
    </fill>
    <fill>
      <patternFill patternType="solid">
        <fgColor rgb="FF000D5E"/>
        <bgColor indexed="64"/>
      </patternFill>
    </fill>
    <fill>
      <patternFill patternType="solid">
        <fgColor rgb="FF000D5F"/>
        <bgColor indexed="64"/>
      </patternFill>
    </fill>
    <fill>
      <patternFill patternType="solid">
        <fgColor rgb="FF000D60"/>
        <bgColor indexed="64"/>
      </patternFill>
    </fill>
    <fill>
      <patternFill patternType="solid">
        <fgColor rgb="FF000D61"/>
        <bgColor indexed="64"/>
      </patternFill>
    </fill>
    <fill>
      <patternFill patternType="solid">
        <fgColor rgb="FF000D62"/>
        <bgColor indexed="64"/>
      </patternFill>
    </fill>
    <fill>
      <patternFill patternType="solid">
        <fgColor rgb="FF000D63"/>
        <bgColor indexed="64"/>
      </patternFill>
    </fill>
    <fill>
      <patternFill patternType="solid">
        <fgColor rgb="FF000D64"/>
        <bgColor indexed="64"/>
      </patternFill>
    </fill>
    <fill>
      <patternFill patternType="solid">
        <fgColor rgb="FF000D65"/>
        <bgColor indexed="64"/>
      </patternFill>
    </fill>
    <fill>
      <patternFill patternType="solid">
        <fgColor rgb="FF000D66"/>
        <bgColor indexed="64"/>
      </patternFill>
    </fill>
    <fill>
      <patternFill patternType="solid">
        <fgColor rgb="FF000D67"/>
        <bgColor indexed="64"/>
      </patternFill>
    </fill>
    <fill>
      <patternFill patternType="solid">
        <fgColor rgb="FF000D68"/>
        <bgColor indexed="64"/>
      </patternFill>
    </fill>
    <fill>
      <patternFill patternType="solid">
        <fgColor rgb="FF000D69"/>
        <bgColor indexed="64"/>
      </patternFill>
    </fill>
    <fill>
      <patternFill patternType="solid">
        <fgColor rgb="FF000D6A"/>
        <bgColor indexed="64"/>
      </patternFill>
    </fill>
    <fill>
      <patternFill patternType="solid">
        <fgColor rgb="FF000D6B"/>
        <bgColor indexed="64"/>
      </patternFill>
    </fill>
    <fill>
      <patternFill patternType="solid">
        <fgColor rgb="FF000D6C"/>
        <bgColor indexed="64"/>
      </patternFill>
    </fill>
    <fill>
      <patternFill patternType="solid">
        <fgColor rgb="FF000D6D"/>
        <bgColor indexed="64"/>
      </patternFill>
    </fill>
    <fill>
      <patternFill patternType="solid">
        <fgColor rgb="FF000D6E"/>
        <bgColor indexed="64"/>
      </patternFill>
    </fill>
    <fill>
      <patternFill patternType="solid">
        <fgColor rgb="FF000D6F"/>
        <bgColor indexed="64"/>
      </patternFill>
    </fill>
    <fill>
      <patternFill patternType="solid">
        <fgColor rgb="FF000D70"/>
        <bgColor indexed="64"/>
      </patternFill>
    </fill>
    <fill>
      <patternFill patternType="solid">
        <fgColor rgb="FF000D71"/>
        <bgColor indexed="64"/>
      </patternFill>
    </fill>
    <fill>
      <patternFill patternType="solid">
        <fgColor rgb="FF000D72"/>
        <bgColor indexed="64"/>
      </patternFill>
    </fill>
    <fill>
      <patternFill patternType="solid">
        <fgColor rgb="FF000D73"/>
        <bgColor indexed="64"/>
      </patternFill>
    </fill>
    <fill>
      <patternFill patternType="solid">
        <fgColor rgb="FF000D74"/>
        <bgColor indexed="64"/>
      </patternFill>
    </fill>
    <fill>
      <patternFill patternType="solid">
        <fgColor rgb="FF000D75"/>
        <bgColor indexed="64"/>
      </patternFill>
    </fill>
    <fill>
      <patternFill patternType="solid">
        <fgColor rgb="FF000D76"/>
        <bgColor indexed="64"/>
      </patternFill>
    </fill>
    <fill>
      <patternFill patternType="solid">
        <fgColor rgb="FF000D77"/>
        <bgColor indexed="64"/>
      </patternFill>
    </fill>
    <fill>
      <patternFill patternType="solid">
        <fgColor rgb="FF000D78"/>
        <bgColor indexed="64"/>
      </patternFill>
    </fill>
    <fill>
      <patternFill patternType="solid">
        <fgColor rgb="FF000D79"/>
        <bgColor indexed="64"/>
      </patternFill>
    </fill>
    <fill>
      <patternFill patternType="solid">
        <fgColor rgb="FF000D7A"/>
        <bgColor indexed="64"/>
      </patternFill>
    </fill>
    <fill>
      <patternFill patternType="solid">
        <fgColor rgb="FF000D7B"/>
        <bgColor indexed="64"/>
      </patternFill>
    </fill>
    <fill>
      <patternFill patternType="solid">
        <fgColor rgb="FF000D7C"/>
        <bgColor indexed="64"/>
      </patternFill>
    </fill>
    <fill>
      <patternFill patternType="solid">
        <fgColor rgb="FF000D7D"/>
        <bgColor indexed="64"/>
      </patternFill>
    </fill>
    <fill>
      <patternFill patternType="solid">
        <fgColor rgb="FF000D7E"/>
        <bgColor indexed="64"/>
      </patternFill>
    </fill>
    <fill>
      <patternFill patternType="solid">
        <fgColor rgb="FF000D7F"/>
        <bgColor indexed="64"/>
      </patternFill>
    </fill>
    <fill>
      <patternFill patternType="solid">
        <fgColor rgb="FF000D80"/>
        <bgColor indexed="64"/>
      </patternFill>
    </fill>
    <fill>
      <patternFill patternType="solid">
        <fgColor rgb="FF000D81"/>
        <bgColor indexed="64"/>
      </patternFill>
    </fill>
    <fill>
      <patternFill patternType="solid">
        <fgColor rgb="FF000D82"/>
        <bgColor indexed="64"/>
      </patternFill>
    </fill>
    <fill>
      <patternFill patternType="solid">
        <fgColor rgb="FF000D83"/>
        <bgColor indexed="64"/>
      </patternFill>
    </fill>
    <fill>
      <patternFill patternType="solid">
        <fgColor rgb="FF000D84"/>
        <bgColor indexed="64"/>
      </patternFill>
    </fill>
    <fill>
      <patternFill patternType="solid">
        <fgColor rgb="FF000D85"/>
        <bgColor indexed="64"/>
      </patternFill>
    </fill>
    <fill>
      <patternFill patternType="solid">
        <fgColor rgb="FF000D86"/>
        <bgColor indexed="64"/>
      </patternFill>
    </fill>
    <fill>
      <patternFill patternType="solid">
        <fgColor rgb="FF000D87"/>
        <bgColor indexed="64"/>
      </patternFill>
    </fill>
    <fill>
      <patternFill patternType="solid">
        <fgColor rgb="FF000D88"/>
        <bgColor indexed="64"/>
      </patternFill>
    </fill>
    <fill>
      <patternFill patternType="solid">
        <fgColor rgb="FF000D89"/>
        <bgColor indexed="64"/>
      </patternFill>
    </fill>
    <fill>
      <patternFill patternType="solid">
        <fgColor rgb="FF000D8A"/>
        <bgColor indexed="64"/>
      </patternFill>
    </fill>
    <fill>
      <patternFill patternType="solid">
        <fgColor rgb="FF000D8B"/>
        <bgColor indexed="64"/>
      </patternFill>
    </fill>
    <fill>
      <patternFill patternType="solid">
        <fgColor rgb="FF000D8C"/>
        <bgColor indexed="64"/>
      </patternFill>
    </fill>
    <fill>
      <patternFill patternType="solid">
        <fgColor rgb="FF000D8D"/>
        <bgColor indexed="64"/>
      </patternFill>
    </fill>
    <fill>
      <patternFill patternType="solid">
        <fgColor rgb="FF000D8E"/>
        <bgColor indexed="64"/>
      </patternFill>
    </fill>
    <fill>
      <patternFill patternType="solid">
        <fgColor rgb="FF000D8F"/>
        <bgColor indexed="64"/>
      </patternFill>
    </fill>
    <fill>
      <patternFill patternType="solid">
        <fgColor rgb="FF000D90"/>
        <bgColor indexed="64"/>
      </patternFill>
    </fill>
    <fill>
      <patternFill patternType="solid">
        <fgColor rgb="FF000D91"/>
        <bgColor indexed="64"/>
      </patternFill>
    </fill>
    <fill>
      <patternFill patternType="solid">
        <fgColor rgb="FF000D92"/>
        <bgColor indexed="64"/>
      </patternFill>
    </fill>
    <fill>
      <patternFill patternType="solid">
        <fgColor rgb="FF000D93"/>
        <bgColor indexed="64"/>
      </patternFill>
    </fill>
    <fill>
      <patternFill patternType="solid">
        <fgColor rgb="FF000D94"/>
        <bgColor indexed="64"/>
      </patternFill>
    </fill>
    <fill>
      <patternFill patternType="solid">
        <fgColor rgb="FF000D95"/>
        <bgColor indexed="64"/>
      </patternFill>
    </fill>
    <fill>
      <patternFill patternType="solid">
        <fgColor rgb="FF000D96"/>
        <bgColor indexed="64"/>
      </patternFill>
    </fill>
    <fill>
      <patternFill patternType="solid">
        <fgColor rgb="FF000D97"/>
        <bgColor indexed="64"/>
      </patternFill>
    </fill>
    <fill>
      <patternFill patternType="solid">
        <fgColor rgb="FF000D98"/>
        <bgColor indexed="64"/>
      </patternFill>
    </fill>
    <fill>
      <patternFill patternType="solid">
        <fgColor rgb="FF000D99"/>
        <bgColor indexed="64"/>
      </patternFill>
    </fill>
    <fill>
      <patternFill patternType="solid">
        <fgColor rgb="FF000D9A"/>
        <bgColor indexed="64"/>
      </patternFill>
    </fill>
    <fill>
      <patternFill patternType="solid">
        <fgColor rgb="FF000D9B"/>
        <bgColor indexed="64"/>
      </patternFill>
    </fill>
    <fill>
      <patternFill patternType="solid">
        <fgColor rgb="FF000D9C"/>
        <bgColor indexed="64"/>
      </patternFill>
    </fill>
    <fill>
      <patternFill patternType="solid">
        <fgColor rgb="FF000D9D"/>
        <bgColor indexed="64"/>
      </patternFill>
    </fill>
    <fill>
      <patternFill patternType="solid">
        <fgColor rgb="FF000D9E"/>
        <bgColor indexed="64"/>
      </patternFill>
    </fill>
    <fill>
      <patternFill patternType="solid">
        <fgColor rgb="FF000D9F"/>
        <bgColor indexed="64"/>
      </patternFill>
    </fill>
    <fill>
      <patternFill patternType="solid">
        <fgColor rgb="FF000DA0"/>
        <bgColor indexed="64"/>
      </patternFill>
    </fill>
    <fill>
      <patternFill patternType="solid">
        <fgColor rgb="FF000DA1"/>
        <bgColor indexed="64"/>
      </patternFill>
    </fill>
    <fill>
      <patternFill patternType="solid">
        <fgColor rgb="FF000DA2"/>
        <bgColor indexed="64"/>
      </patternFill>
    </fill>
    <fill>
      <patternFill patternType="solid">
        <fgColor rgb="FF000DA3"/>
        <bgColor indexed="64"/>
      </patternFill>
    </fill>
    <fill>
      <patternFill patternType="solid">
        <fgColor rgb="FF000DA4"/>
        <bgColor indexed="64"/>
      </patternFill>
    </fill>
    <fill>
      <patternFill patternType="solid">
        <fgColor rgb="FF000DA5"/>
        <bgColor indexed="64"/>
      </patternFill>
    </fill>
    <fill>
      <patternFill patternType="solid">
        <fgColor rgb="FF000DA6"/>
        <bgColor indexed="64"/>
      </patternFill>
    </fill>
    <fill>
      <patternFill patternType="solid">
        <fgColor rgb="FF000DA7"/>
        <bgColor indexed="64"/>
      </patternFill>
    </fill>
    <fill>
      <patternFill patternType="solid">
        <fgColor rgb="FF000DA8"/>
        <bgColor indexed="64"/>
      </patternFill>
    </fill>
    <fill>
      <patternFill patternType="solid">
        <fgColor rgb="FF000DA9"/>
        <bgColor indexed="64"/>
      </patternFill>
    </fill>
    <fill>
      <patternFill patternType="solid">
        <fgColor rgb="FF000DAA"/>
        <bgColor indexed="64"/>
      </patternFill>
    </fill>
    <fill>
      <patternFill patternType="solid">
        <fgColor rgb="FF000DAB"/>
        <bgColor indexed="64"/>
      </patternFill>
    </fill>
    <fill>
      <patternFill patternType="solid">
        <fgColor rgb="FF000DAC"/>
        <bgColor indexed="64"/>
      </patternFill>
    </fill>
    <fill>
      <patternFill patternType="solid">
        <fgColor rgb="FF000DAD"/>
        <bgColor indexed="64"/>
      </patternFill>
    </fill>
    <fill>
      <patternFill patternType="solid">
        <fgColor rgb="FF000DAE"/>
        <bgColor indexed="64"/>
      </patternFill>
    </fill>
    <fill>
      <patternFill patternType="solid">
        <fgColor rgb="FF000DAF"/>
        <bgColor indexed="64"/>
      </patternFill>
    </fill>
    <fill>
      <patternFill patternType="solid">
        <fgColor rgb="FF000DB0"/>
        <bgColor indexed="64"/>
      </patternFill>
    </fill>
    <fill>
      <patternFill patternType="solid">
        <fgColor rgb="FF000DB1"/>
        <bgColor indexed="64"/>
      </patternFill>
    </fill>
    <fill>
      <patternFill patternType="solid">
        <fgColor rgb="FF000DB2"/>
        <bgColor indexed="64"/>
      </patternFill>
    </fill>
    <fill>
      <patternFill patternType="solid">
        <fgColor rgb="FF000DB3"/>
        <bgColor indexed="64"/>
      </patternFill>
    </fill>
    <fill>
      <patternFill patternType="solid">
        <fgColor rgb="FF000DB4"/>
        <bgColor indexed="64"/>
      </patternFill>
    </fill>
    <fill>
      <patternFill patternType="solid">
        <fgColor rgb="FF000DB5"/>
        <bgColor indexed="64"/>
      </patternFill>
    </fill>
    <fill>
      <patternFill patternType="solid">
        <fgColor rgb="FF000DB6"/>
        <bgColor indexed="64"/>
      </patternFill>
    </fill>
    <fill>
      <patternFill patternType="solid">
        <fgColor rgb="FF000DB7"/>
        <bgColor indexed="64"/>
      </patternFill>
    </fill>
    <fill>
      <patternFill patternType="solid">
        <fgColor rgb="FF000DB8"/>
        <bgColor indexed="64"/>
      </patternFill>
    </fill>
    <fill>
      <patternFill patternType="solid">
        <fgColor rgb="FF000DB9"/>
        <bgColor indexed="64"/>
      </patternFill>
    </fill>
    <fill>
      <patternFill patternType="solid">
        <fgColor rgb="FF000DBA"/>
        <bgColor indexed="64"/>
      </patternFill>
    </fill>
    <fill>
      <patternFill patternType="solid">
        <fgColor rgb="FF000DBB"/>
        <bgColor indexed="64"/>
      </patternFill>
    </fill>
    <fill>
      <patternFill patternType="solid">
        <fgColor rgb="FF000DBC"/>
        <bgColor indexed="64"/>
      </patternFill>
    </fill>
    <fill>
      <patternFill patternType="solid">
        <fgColor rgb="FF000DBD"/>
        <bgColor indexed="64"/>
      </patternFill>
    </fill>
    <fill>
      <patternFill patternType="solid">
        <fgColor rgb="FF000DBE"/>
        <bgColor indexed="64"/>
      </patternFill>
    </fill>
    <fill>
      <patternFill patternType="solid">
        <fgColor rgb="FF000DBF"/>
        <bgColor indexed="64"/>
      </patternFill>
    </fill>
    <fill>
      <patternFill patternType="solid">
        <fgColor rgb="FF000DC0"/>
        <bgColor indexed="64"/>
      </patternFill>
    </fill>
    <fill>
      <patternFill patternType="solid">
        <fgColor rgb="FF000DC1"/>
        <bgColor indexed="64"/>
      </patternFill>
    </fill>
    <fill>
      <patternFill patternType="solid">
        <fgColor rgb="FF000DC2"/>
        <bgColor indexed="64"/>
      </patternFill>
    </fill>
    <fill>
      <patternFill patternType="solid">
        <fgColor rgb="FF000DC3"/>
        <bgColor indexed="64"/>
      </patternFill>
    </fill>
    <fill>
      <patternFill patternType="solid">
        <fgColor rgb="FF000DC4"/>
        <bgColor indexed="64"/>
      </patternFill>
    </fill>
    <fill>
      <patternFill patternType="solid">
        <fgColor rgb="FF000DC5"/>
        <bgColor indexed="64"/>
      </patternFill>
    </fill>
    <fill>
      <patternFill patternType="solid">
        <fgColor rgb="FF000DC6"/>
        <bgColor indexed="64"/>
      </patternFill>
    </fill>
    <fill>
      <patternFill patternType="solid">
        <fgColor rgb="FF000DC7"/>
        <bgColor indexed="64"/>
      </patternFill>
    </fill>
    <fill>
      <patternFill patternType="solid">
        <fgColor rgb="FF000DC8"/>
        <bgColor indexed="64"/>
      </patternFill>
    </fill>
    <fill>
      <patternFill patternType="solid">
        <fgColor rgb="FF000DC9"/>
        <bgColor indexed="64"/>
      </patternFill>
    </fill>
    <fill>
      <patternFill patternType="solid">
        <fgColor rgb="FF000DCA"/>
        <bgColor indexed="64"/>
      </patternFill>
    </fill>
    <fill>
      <patternFill patternType="solid">
        <fgColor rgb="FF000DCB"/>
        <bgColor indexed="64"/>
      </patternFill>
    </fill>
    <fill>
      <patternFill patternType="solid">
        <fgColor rgb="FF000DCC"/>
        <bgColor indexed="64"/>
      </patternFill>
    </fill>
    <fill>
      <patternFill patternType="solid">
        <fgColor rgb="FF000DCD"/>
        <bgColor indexed="64"/>
      </patternFill>
    </fill>
    <fill>
      <patternFill patternType="solid">
        <fgColor rgb="FF000DCE"/>
        <bgColor indexed="64"/>
      </patternFill>
    </fill>
    <fill>
      <patternFill patternType="solid">
        <fgColor rgb="FF000DCF"/>
        <bgColor indexed="64"/>
      </patternFill>
    </fill>
    <fill>
      <patternFill patternType="solid">
        <fgColor rgb="FF000DD0"/>
        <bgColor indexed="64"/>
      </patternFill>
    </fill>
    <fill>
      <patternFill patternType="solid">
        <fgColor rgb="FF000DD1"/>
        <bgColor indexed="64"/>
      </patternFill>
    </fill>
    <fill>
      <patternFill patternType="solid">
        <fgColor rgb="FF000DD2"/>
        <bgColor indexed="64"/>
      </patternFill>
    </fill>
    <fill>
      <patternFill patternType="solid">
        <fgColor rgb="FF000DD3"/>
        <bgColor indexed="64"/>
      </patternFill>
    </fill>
    <fill>
      <patternFill patternType="solid">
        <fgColor rgb="FF000DD4"/>
        <bgColor indexed="64"/>
      </patternFill>
    </fill>
    <fill>
      <patternFill patternType="solid">
        <fgColor rgb="FF000DD5"/>
        <bgColor indexed="64"/>
      </patternFill>
    </fill>
    <fill>
      <patternFill patternType="solid">
        <fgColor rgb="FF000DD6"/>
        <bgColor indexed="64"/>
      </patternFill>
    </fill>
    <fill>
      <patternFill patternType="solid">
        <fgColor rgb="FF000DD7"/>
        <bgColor indexed="64"/>
      </patternFill>
    </fill>
    <fill>
      <patternFill patternType="solid">
        <fgColor rgb="FF000DD8"/>
        <bgColor indexed="64"/>
      </patternFill>
    </fill>
    <fill>
      <patternFill patternType="solid">
        <fgColor rgb="FF000DD9"/>
        <bgColor indexed="64"/>
      </patternFill>
    </fill>
    <fill>
      <patternFill patternType="solid">
        <fgColor rgb="FF000DDA"/>
        <bgColor indexed="64"/>
      </patternFill>
    </fill>
    <fill>
      <patternFill patternType="solid">
        <fgColor rgb="FF000DDB"/>
        <bgColor indexed="64"/>
      </patternFill>
    </fill>
    <fill>
      <patternFill patternType="solid">
        <fgColor rgb="FF000DDC"/>
        <bgColor indexed="64"/>
      </patternFill>
    </fill>
    <fill>
      <patternFill patternType="solid">
        <fgColor rgb="FF000DDD"/>
        <bgColor indexed="64"/>
      </patternFill>
    </fill>
    <fill>
      <patternFill patternType="solid">
        <fgColor rgb="FF000DDE"/>
        <bgColor indexed="64"/>
      </patternFill>
    </fill>
    <fill>
      <patternFill patternType="solid">
        <fgColor rgb="FF000DDF"/>
        <bgColor indexed="64"/>
      </patternFill>
    </fill>
    <fill>
      <patternFill patternType="solid">
        <fgColor rgb="FF000DE0"/>
        <bgColor indexed="64"/>
      </patternFill>
    </fill>
    <fill>
      <patternFill patternType="solid">
        <fgColor rgb="FF000DE1"/>
        <bgColor indexed="64"/>
      </patternFill>
    </fill>
    <fill>
      <patternFill patternType="solid">
        <fgColor rgb="FF000DE2"/>
        <bgColor indexed="64"/>
      </patternFill>
    </fill>
    <fill>
      <patternFill patternType="solid">
        <fgColor rgb="FF000DE3"/>
        <bgColor indexed="64"/>
      </patternFill>
    </fill>
    <fill>
      <patternFill patternType="solid">
        <fgColor rgb="FF000DE4"/>
        <bgColor indexed="64"/>
      </patternFill>
    </fill>
    <fill>
      <patternFill patternType="solid">
        <fgColor rgb="FF000DE5"/>
        <bgColor indexed="64"/>
      </patternFill>
    </fill>
    <fill>
      <patternFill patternType="solid">
        <fgColor rgb="FF000DE6"/>
        <bgColor indexed="64"/>
      </patternFill>
    </fill>
    <fill>
      <patternFill patternType="solid">
        <fgColor rgb="FF000DE7"/>
        <bgColor indexed="64"/>
      </patternFill>
    </fill>
    <fill>
      <patternFill patternType="solid">
        <fgColor rgb="FF000DE8"/>
        <bgColor indexed="64"/>
      </patternFill>
    </fill>
    <fill>
      <patternFill patternType="solid">
        <fgColor rgb="FF000DE9"/>
        <bgColor indexed="64"/>
      </patternFill>
    </fill>
    <fill>
      <patternFill patternType="solid">
        <fgColor rgb="FF000DEA"/>
        <bgColor indexed="64"/>
      </patternFill>
    </fill>
    <fill>
      <patternFill patternType="solid">
        <fgColor rgb="FF000DEB"/>
        <bgColor indexed="64"/>
      </patternFill>
    </fill>
    <fill>
      <patternFill patternType="solid">
        <fgColor rgb="FF000DEC"/>
        <bgColor indexed="64"/>
      </patternFill>
    </fill>
    <fill>
      <patternFill patternType="solid">
        <fgColor rgb="FF000DED"/>
        <bgColor indexed="64"/>
      </patternFill>
    </fill>
    <fill>
      <patternFill patternType="solid">
        <fgColor rgb="FF000DEE"/>
        <bgColor indexed="64"/>
      </patternFill>
    </fill>
    <fill>
      <patternFill patternType="solid">
        <fgColor rgb="FF000DEF"/>
        <bgColor indexed="64"/>
      </patternFill>
    </fill>
    <fill>
      <patternFill patternType="solid">
        <fgColor rgb="FF000DF0"/>
        <bgColor indexed="64"/>
      </patternFill>
    </fill>
    <fill>
      <patternFill patternType="solid">
        <fgColor rgb="FF000DF1"/>
        <bgColor indexed="64"/>
      </patternFill>
    </fill>
    <fill>
      <patternFill patternType="solid">
        <fgColor rgb="FF000DF2"/>
        <bgColor indexed="64"/>
      </patternFill>
    </fill>
    <fill>
      <patternFill patternType="solid">
        <fgColor rgb="FF000DF3"/>
        <bgColor indexed="64"/>
      </patternFill>
    </fill>
    <fill>
      <patternFill patternType="solid">
        <fgColor rgb="FF000DF4"/>
        <bgColor indexed="64"/>
      </patternFill>
    </fill>
    <fill>
      <patternFill patternType="solid">
        <fgColor rgb="FF000DF5"/>
        <bgColor indexed="64"/>
      </patternFill>
    </fill>
    <fill>
      <patternFill patternType="solid">
        <fgColor rgb="FF000DF6"/>
        <bgColor indexed="64"/>
      </patternFill>
    </fill>
    <fill>
      <patternFill patternType="solid">
        <fgColor rgb="FF000DF7"/>
        <bgColor indexed="64"/>
      </patternFill>
    </fill>
    <fill>
      <patternFill patternType="solid">
        <fgColor rgb="FF000DF8"/>
        <bgColor indexed="64"/>
      </patternFill>
    </fill>
    <fill>
      <patternFill patternType="solid">
        <fgColor rgb="FF000DF9"/>
        <bgColor indexed="64"/>
      </patternFill>
    </fill>
    <fill>
      <patternFill patternType="solid">
        <fgColor rgb="FF000DFA"/>
        <bgColor indexed="64"/>
      </patternFill>
    </fill>
    <fill>
      <patternFill patternType="solid">
        <fgColor rgb="FF000DFB"/>
        <bgColor indexed="64"/>
      </patternFill>
    </fill>
    <fill>
      <patternFill patternType="solid">
        <fgColor rgb="FF000DFC"/>
        <bgColor indexed="64"/>
      </patternFill>
    </fill>
    <fill>
      <patternFill patternType="solid">
        <fgColor rgb="FF000DFD"/>
        <bgColor indexed="64"/>
      </patternFill>
    </fill>
    <fill>
      <patternFill patternType="solid">
        <fgColor rgb="FF000DFE"/>
        <bgColor indexed="64"/>
      </patternFill>
    </fill>
    <fill>
      <patternFill patternType="solid">
        <fgColor rgb="FF000DFF"/>
        <bgColor indexed="64"/>
      </patternFill>
    </fill>
    <fill>
      <patternFill patternType="solid">
        <fgColor rgb="FF000E00"/>
        <bgColor indexed="64"/>
      </patternFill>
    </fill>
    <fill>
      <patternFill patternType="solid">
        <fgColor rgb="FF000E01"/>
        <bgColor indexed="64"/>
      </patternFill>
    </fill>
    <fill>
      <patternFill patternType="solid">
        <fgColor rgb="FF000E02"/>
        <bgColor indexed="64"/>
      </patternFill>
    </fill>
    <fill>
      <patternFill patternType="solid">
        <fgColor rgb="FF000E03"/>
        <bgColor indexed="64"/>
      </patternFill>
    </fill>
    <fill>
      <patternFill patternType="solid">
        <fgColor rgb="FF000E04"/>
        <bgColor indexed="64"/>
      </patternFill>
    </fill>
    <fill>
      <patternFill patternType="solid">
        <fgColor rgb="FF000E05"/>
        <bgColor indexed="64"/>
      </patternFill>
    </fill>
    <fill>
      <patternFill patternType="solid">
        <fgColor rgb="FF000E06"/>
        <bgColor indexed="64"/>
      </patternFill>
    </fill>
    <fill>
      <patternFill patternType="solid">
        <fgColor rgb="FF000E07"/>
        <bgColor indexed="64"/>
      </patternFill>
    </fill>
    <fill>
      <patternFill patternType="solid">
        <fgColor rgb="FF000E08"/>
        <bgColor indexed="64"/>
      </patternFill>
    </fill>
    <fill>
      <patternFill patternType="solid">
        <fgColor rgb="FF000E09"/>
        <bgColor indexed="64"/>
      </patternFill>
    </fill>
    <fill>
      <patternFill patternType="solid">
        <fgColor rgb="FF000E0A"/>
        <bgColor indexed="64"/>
      </patternFill>
    </fill>
    <fill>
      <patternFill patternType="solid">
        <fgColor rgb="FF000E0B"/>
        <bgColor indexed="64"/>
      </patternFill>
    </fill>
    <fill>
      <patternFill patternType="solid">
        <fgColor rgb="FF000E0C"/>
        <bgColor indexed="64"/>
      </patternFill>
    </fill>
    <fill>
      <patternFill patternType="solid">
        <fgColor rgb="FF000E0D"/>
        <bgColor indexed="64"/>
      </patternFill>
    </fill>
    <fill>
      <patternFill patternType="solid">
        <fgColor rgb="FF000E0E"/>
        <bgColor indexed="64"/>
      </patternFill>
    </fill>
    <fill>
      <patternFill patternType="solid">
        <fgColor rgb="FF000E0F"/>
        <bgColor indexed="64"/>
      </patternFill>
    </fill>
    <fill>
      <patternFill patternType="solid">
        <fgColor rgb="FF000E10"/>
        <bgColor indexed="64"/>
      </patternFill>
    </fill>
    <fill>
      <patternFill patternType="solid">
        <fgColor rgb="FF000E11"/>
        <bgColor indexed="64"/>
      </patternFill>
    </fill>
    <fill>
      <patternFill patternType="solid">
        <fgColor rgb="FF000E12"/>
        <bgColor indexed="64"/>
      </patternFill>
    </fill>
    <fill>
      <patternFill patternType="solid">
        <fgColor rgb="FF000E13"/>
        <bgColor indexed="64"/>
      </patternFill>
    </fill>
    <fill>
      <patternFill patternType="solid">
        <fgColor rgb="FF000E14"/>
        <bgColor indexed="64"/>
      </patternFill>
    </fill>
    <fill>
      <patternFill patternType="solid">
        <fgColor rgb="FF000E15"/>
        <bgColor indexed="64"/>
      </patternFill>
    </fill>
    <fill>
      <patternFill patternType="solid">
        <fgColor rgb="FF000E16"/>
        <bgColor indexed="64"/>
      </patternFill>
    </fill>
    <fill>
      <patternFill patternType="solid">
        <fgColor rgb="FF000E17"/>
        <bgColor indexed="64"/>
      </patternFill>
    </fill>
    <fill>
      <patternFill patternType="solid">
        <fgColor rgb="FF000E18"/>
        <bgColor indexed="64"/>
      </patternFill>
    </fill>
    <fill>
      <patternFill patternType="solid">
        <fgColor rgb="FF000E19"/>
        <bgColor indexed="64"/>
      </patternFill>
    </fill>
    <fill>
      <patternFill patternType="solid">
        <fgColor rgb="FF000E1A"/>
        <bgColor indexed="64"/>
      </patternFill>
    </fill>
    <fill>
      <patternFill patternType="solid">
        <fgColor rgb="FF000E1B"/>
        <bgColor indexed="64"/>
      </patternFill>
    </fill>
    <fill>
      <patternFill patternType="solid">
        <fgColor rgb="FF000E1C"/>
        <bgColor indexed="64"/>
      </patternFill>
    </fill>
    <fill>
      <patternFill patternType="solid">
        <fgColor rgb="FF000E1D"/>
        <bgColor indexed="64"/>
      </patternFill>
    </fill>
    <fill>
      <patternFill patternType="solid">
        <fgColor rgb="FF000E1E"/>
        <bgColor indexed="64"/>
      </patternFill>
    </fill>
    <fill>
      <patternFill patternType="solid">
        <fgColor rgb="FF000E1F"/>
        <bgColor indexed="64"/>
      </patternFill>
    </fill>
    <fill>
      <patternFill patternType="solid">
        <fgColor rgb="FF000E20"/>
        <bgColor indexed="64"/>
      </patternFill>
    </fill>
    <fill>
      <patternFill patternType="solid">
        <fgColor rgb="FF000E21"/>
        <bgColor indexed="64"/>
      </patternFill>
    </fill>
    <fill>
      <patternFill patternType="solid">
        <fgColor rgb="FF000E22"/>
        <bgColor indexed="64"/>
      </patternFill>
    </fill>
    <fill>
      <patternFill patternType="solid">
        <fgColor rgb="FF000E23"/>
        <bgColor indexed="64"/>
      </patternFill>
    </fill>
    <fill>
      <patternFill patternType="solid">
        <fgColor rgb="FF000E24"/>
        <bgColor indexed="64"/>
      </patternFill>
    </fill>
    <fill>
      <patternFill patternType="solid">
        <fgColor rgb="FF000E25"/>
        <bgColor indexed="64"/>
      </patternFill>
    </fill>
    <fill>
      <patternFill patternType="solid">
        <fgColor rgb="FF000E26"/>
        <bgColor indexed="64"/>
      </patternFill>
    </fill>
    <fill>
      <patternFill patternType="solid">
        <fgColor rgb="FF000E27"/>
        <bgColor indexed="64"/>
      </patternFill>
    </fill>
    <fill>
      <patternFill patternType="solid">
        <fgColor rgb="FF000E28"/>
        <bgColor indexed="64"/>
      </patternFill>
    </fill>
    <fill>
      <patternFill patternType="solid">
        <fgColor rgb="FF000E29"/>
        <bgColor indexed="64"/>
      </patternFill>
    </fill>
    <fill>
      <patternFill patternType="solid">
        <fgColor rgb="FF000E2A"/>
        <bgColor indexed="64"/>
      </patternFill>
    </fill>
    <fill>
      <patternFill patternType="solid">
        <fgColor rgb="FF000E2B"/>
        <bgColor indexed="64"/>
      </patternFill>
    </fill>
    <fill>
      <patternFill patternType="solid">
        <fgColor rgb="FF000E2C"/>
        <bgColor indexed="64"/>
      </patternFill>
    </fill>
    <fill>
      <patternFill patternType="solid">
        <fgColor rgb="FF000E2D"/>
        <bgColor indexed="64"/>
      </patternFill>
    </fill>
    <fill>
      <patternFill patternType="solid">
        <fgColor rgb="FF000E2E"/>
        <bgColor indexed="64"/>
      </patternFill>
    </fill>
    <fill>
      <patternFill patternType="solid">
        <fgColor rgb="FF000E2F"/>
        <bgColor indexed="64"/>
      </patternFill>
    </fill>
    <fill>
      <patternFill patternType="solid">
        <fgColor rgb="FF000E30"/>
        <bgColor indexed="64"/>
      </patternFill>
    </fill>
    <fill>
      <patternFill patternType="solid">
        <fgColor rgb="FF000E31"/>
        <bgColor indexed="64"/>
      </patternFill>
    </fill>
    <fill>
      <patternFill patternType="solid">
        <fgColor rgb="FF000E32"/>
        <bgColor indexed="64"/>
      </patternFill>
    </fill>
    <fill>
      <patternFill patternType="solid">
        <fgColor rgb="FF000E33"/>
        <bgColor indexed="64"/>
      </patternFill>
    </fill>
    <fill>
      <patternFill patternType="solid">
        <fgColor rgb="FF000E34"/>
        <bgColor indexed="64"/>
      </patternFill>
    </fill>
    <fill>
      <patternFill patternType="solid">
        <fgColor rgb="FF000E35"/>
        <bgColor indexed="64"/>
      </patternFill>
    </fill>
    <fill>
      <patternFill patternType="solid">
        <fgColor rgb="FF000E36"/>
        <bgColor indexed="64"/>
      </patternFill>
    </fill>
    <fill>
      <patternFill patternType="solid">
        <fgColor rgb="FF000E37"/>
        <bgColor indexed="64"/>
      </patternFill>
    </fill>
    <fill>
      <patternFill patternType="solid">
        <fgColor rgb="FF000E38"/>
        <bgColor indexed="64"/>
      </patternFill>
    </fill>
    <fill>
      <patternFill patternType="solid">
        <fgColor rgb="FF000E39"/>
        <bgColor indexed="64"/>
      </patternFill>
    </fill>
    <fill>
      <patternFill patternType="solid">
        <fgColor rgb="FF000E3A"/>
        <bgColor indexed="64"/>
      </patternFill>
    </fill>
    <fill>
      <patternFill patternType="solid">
        <fgColor rgb="FF000E3B"/>
        <bgColor indexed="64"/>
      </patternFill>
    </fill>
    <fill>
      <patternFill patternType="solid">
        <fgColor rgb="FF000E3C"/>
        <bgColor indexed="64"/>
      </patternFill>
    </fill>
    <fill>
      <patternFill patternType="solid">
        <fgColor rgb="FF000E3D"/>
        <bgColor indexed="64"/>
      </patternFill>
    </fill>
    <fill>
      <patternFill patternType="solid">
        <fgColor rgb="FF000E3E"/>
        <bgColor indexed="64"/>
      </patternFill>
    </fill>
    <fill>
      <patternFill patternType="solid">
        <fgColor rgb="FF000E3F"/>
        <bgColor indexed="64"/>
      </patternFill>
    </fill>
    <fill>
      <patternFill patternType="solid">
        <fgColor rgb="FF000E40"/>
        <bgColor indexed="64"/>
      </patternFill>
    </fill>
    <fill>
      <patternFill patternType="solid">
        <fgColor rgb="FF000E41"/>
        <bgColor indexed="64"/>
      </patternFill>
    </fill>
    <fill>
      <patternFill patternType="solid">
        <fgColor rgb="FF000E42"/>
        <bgColor indexed="64"/>
      </patternFill>
    </fill>
    <fill>
      <patternFill patternType="solid">
        <fgColor rgb="FF000E43"/>
        <bgColor indexed="64"/>
      </patternFill>
    </fill>
    <fill>
      <patternFill patternType="solid">
        <fgColor rgb="FF000E44"/>
        <bgColor indexed="64"/>
      </patternFill>
    </fill>
    <fill>
      <patternFill patternType="solid">
        <fgColor rgb="FF000E45"/>
        <bgColor indexed="64"/>
      </patternFill>
    </fill>
    <fill>
      <patternFill patternType="solid">
        <fgColor rgb="FF000E46"/>
        <bgColor indexed="64"/>
      </patternFill>
    </fill>
    <fill>
      <patternFill patternType="solid">
        <fgColor rgb="FF000E47"/>
        <bgColor indexed="64"/>
      </patternFill>
    </fill>
    <fill>
      <patternFill patternType="solid">
        <fgColor rgb="FF000E48"/>
        <bgColor indexed="64"/>
      </patternFill>
    </fill>
    <fill>
      <patternFill patternType="solid">
        <fgColor rgb="FF000E49"/>
        <bgColor indexed="64"/>
      </patternFill>
    </fill>
    <fill>
      <patternFill patternType="solid">
        <fgColor rgb="FF000E4A"/>
        <bgColor indexed="64"/>
      </patternFill>
    </fill>
    <fill>
      <patternFill patternType="solid">
        <fgColor rgb="FF000E4B"/>
        <bgColor indexed="64"/>
      </patternFill>
    </fill>
    <fill>
      <patternFill patternType="solid">
        <fgColor rgb="FF000E4C"/>
        <bgColor indexed="64"/>
      </patternFill>
    </fill>
    <fill>
      <patternFill patternType="solid">
        <fgColor rgb="FF000E4D"/>
        <bgColor indexed="64"/>
      </patternFill>
    </fill>
    <fill>
      <patternFill patternType="solid">
        <fgColor rgb="FF000E4E"/>
        <bgColor indexed="64"/>
      </patternFill>
    </fill>
    <fill>
      <patternFill patternType="solid">
        <fgColor rgb="FF000E4F"/>
        <bgColor indexed="64"/>
      </patternFill>
    </fill>
    <fill>
      <patternFill patternType="solid">
        <fgColor rgb="FF000E50"/>
        <bgColor indexed="64"/>
      </patternFill>
    </fill>
    <fill>
      <patternFill patternType="solid">
        <fgColor rgb="FF000E51"/>
        <bgColor indexed="64"/>
      </patternFill>
    </fill>
    <fill>
      <patternFill patternType="solid">
        <fgColor rgb="FF000E52"/>
        <bgColor indexed="64"/>
      </patternFill>
    </fill>
    <fill>
      <patternFill patternType="solid">
        <fgColor rgb="FF000E53"/>
        <bgColor indexed="64"/>
      </patternFill>
    </fill>
    <fill>
      <patternFill patternType="solid">
        <fgColor rgb="FF000E54"/>
        <bgColor indexed="64"/>
      </patternFill>
    </fill>
    <fill>
      <patternFill patternType="solid">
        <fgColor rgb="FF000E55"/>
        <bgColor indexed="64"/>
      </patternFill>
    </fill>
    <fill>
      <patternFill patternType="solid">
        <fgColor rgb="FF000E56"/>
        <bgColor indexed="64"/>
      </patternFill>
    </fill>
    <fill>
      <patternFill patternType="solid">
        <fgColor rgb="FF000E57"/>
        <bgColor indexed="64"/>
      </patternFill>
    </fill>
    <fill>
      <patternFill patternType="solid">
        <fgColor rgb="FF000E58"/>
        <bgColor indexed="64"/>
      </patternFill>
    </fill>
    <fill>
      <patternFill patternType="solid">
        <fgColor rgb="FF000E59"/>
        <bgColor indexed="64"/>
      </patternFill>
    </fill>
    <fill>
      <patternFill patternType="solid">
        <fgColor rgb="FF000E5A"/>
        <bgColor indexed="64"/>
      </patternFill>
    </fill>
    <fill>
      <patternFill patternType="solid">
        <fgColor rgb="FF000E5B"/>
        <bgColor indexed="64"/>
      </patternFill>
    </fill>
    <fill>
      <patternFill patternType="solid">
        <fgColor rgb="FF000E5C"/>
        <bgColor indexed="64"/>
      </patternFill>
    </fill>
    <fill>
      <patternFill patternType="solid">
        <fgColor rgb="FF000E5D"/>
        <bgColor indexed="64"/>
      </patternFill>
    </fill>
    <fill>
      <patternFill patternType="solid">
        <fgColor rgb="FF000E5E"/>
        <bgColor indexed="64"/>
      </patternFill>
    </fill>
    <fill>
      <patternFill patternType="solid">
        <fgColor rgb="FF000E5F"/>
        <bgColor indexed="64"/>
      </patternFill>
    </fill>
    <fill>
      <patternFill patternType="solid">
        <fgColor rgb="FF000E60"/>
        <bgColor indexed="64"/>
      </patternFill>
    </fill>
    <fill>
      <patternFill patternType="solid">
        <fgColor rgb="FF000E61"/>
        <bgColor indexed="64"/>
      </patternFill>
    </fill>
    <fill>
      <patternFill patternType="solid">
        <fgColor rgb="FF000E62"/>
        <bgColor indexed="64"/>
      </patternFill>
    </fill>
    <fill>
      <patternFill patternType="solid">
        <fgColor rgb="FF000E63"/>
        <bgColor indexed="64"/>
      </patternFill>
    </fill>
    <fill>
      <patternFill patternType="solid">
        <fgColor rgb="FF000E64"/>
        <bgColor indexed="64"/>
      </patternFill>
    </fill>
    <fill>
      <patternFill patternType="solid">
        <fgColor rgb="FF000E65"/>
        <bgColor indexed="64"/>
      </patternFill>
    </fill>
    <fill>
      <patternFill patternType="solid">
        <fgColor rgb="FF000E66"/>
        <bgColor indexed="64"/>
      </patternFill>
    </fill>
    <fill>
      <patternFill patternType="solid">
        <fgColor rgb="FF000E67"/>
        <bgColor indexed="64"/>
      </patternFill>
    </fill>
    <fill>
      <patternFill patternType="solid">
        <fgColor rgb="FF000E68"/>
        <bgColor indexed="64"/>
      </patternFill>
    </fill>
    <fill>
      <patternFill patternType="solid">
        <fgColor rgb="FF000E69"/>
        <bgColor indexed="64"/>
      </patternFill>
    </fill>
    <fill>
      <patternFill patternType="solid">
        <fgColor rgb="FF000E6A"/>
        <bgColor indexed="64"/>
      </patternFill>
    </fill>
    <fill>
      <patternFill patternType="solid">
        <fgColor rgb="FF000E6B"/>
        <bgColor indexed="64"/>
      </patternFill>
    </fill>
    <fill>
      <patternFill patternType="solid">
        <fgColor rgb="FF000E6C"/>
        <bgColor indexed="64"/>
      </patternFill>
    </fill>
    <fill>
      <patternFill patternType="solid">
        <fgColor rgb="FF000E6D"/>
        <bgColor indexed="64"/>
      </patternFill>
    </fill>
    <fill>
      <patternFill patternType="solid">
        <fgColor rgb="FF000E6E"/>
        <bgColor indexed="64"/>
      </patternFill>
    </fill>
    <fill>
      <patternFill patternType="solid">
        <fgColor rgb="FF000E6F"/>
        <bgColor indexed="64"/>
      </patternFill>
    </fill>
    <fill>
      <patternFill patternType="solid">
        <fgColor rgb="FF000E70"/>
        <bgColor indexed="64"/>
      </patternFill>
    </fill>
    <fill>
      <patternFill patternType="solid">
        <fgColor rgb="FF000E71"/>
        <bgColor indexed="64"/>
      </patternFill>
    </fill>
    <fill>
      <patternFill patternType="solid">
        <fgColor rgb="FF000E72"/>
        <bgColor indexed="64"/>
      </patternFill>
    </fill>
    <fill>
      <patternFill patternType="solid">
        <fgColor rgb="FF000E73"/>
        <bgColor indexed="64"/>
      </patternFill>
    </fill>
    <fill>
      <patternFill patternType="solid">
        <fgColor rgb="FF000E74"/>
        <bgColor indexed="64"/>
      </patternFill>
    </fill>
    <fill>
      <patternFill patternType="solid">
        <fgColor rgb="FF000E75"/>
        <bgColor indexed="64"/>
      </patternFill>
    </fill>
    <fill>
      <patternFill patternType="solid">
        <fgColor rgb="FF000E76"/>
        <bgColor indexed="64"/>
      </patternFill>
    </fill>
    <fill>
      <patternFill patternType="solid">
        <fgColor rgb="FF000E77"/>
        <bgColor indexed="64"/>
      </patternFill>
    </fill>
    <fill>
      <patternFill patternType="solid">
        <fgColor rgb="FF000E78"/>
        <bgColor indexed="64"/>
      </patternFill>
    </fill>
    <fill>
      <patternFill patternType="solid">
        <fgColor rgb="FF000E79"/>
        <bgColor indexed="64"/>
      </patternFill>
    </fill>
    <fill>
      <patternFill patternType="solid">
        <fgColor rgb="FF000E7A"/>
        <bgColor indexed="64"/>
      </patternFill>
    </fill>
    <fill>
      <patternFill patternType="solid">
        <fgColor rgb="FF000E7B"/>
        <bgColor indexed="64"/>
      </patternFill>
    </fill>
    <fill>
      <patternFill patternType="solid">
        <fgColor rgb="FF000E7C"/>
        <bgColor indexed="64"/>
      </patternFill>
    </fill>
    <fill>
      <patternFill patternType="solid">
        <fgColor rgb="FF000E7D"/>
        <bgColor indexed="64"/>
      </patternFill>
    </fill>
    <fill>
      <patternFill patternType="solid">
        <fgColor rgb="FF000E7E"/>
        <bgColor indexed="64"/>
      </patternFill>
    </fill>
    <fill>
      <patternFill patternType="solid">
        <fgColor rgb="FF000E7F"/>
        <bgColor indexed="64"/>
      </patternFill>
    </fill>
    <fill>
      <patternFill patternType="solid">
        <fgColor rgb="FF000E80"/>
        <bgColor indexed="64"/>
      </patternFill>
    </fill>
    <fill>
      <patternFill patternType="solid">
        <fgColor rgb="FF000E81"/>
        <bgColor indexed="64"/>
      </patternFill>
    </fill>
    <fill>
      <patternFill patternType="solid">
        <fgColor rgb="FF000E82"/>
        <bgColor indexed="64"/>
      </patternFill>
    </fill>
    <fill>
      <patternFill patternType="solid">
        <fgColor rgb="FF000E83"/>
        <bgColor indexed="64"/>
      </patternFill>
    </fill>
    <fill>
      <patternFill patternType="solid">
        <fgColor rgb="FF000E84"/>
        <bgColor indexed="64"/>
      </patternFill>
    </fill>
    <fill>
      <patternFill patternType="solid">
        <fgColor rgb="FF000E85"/>
        <bgColor indexed="64"/>
      </patternFill>
    </fill>
    <fill>
      <patternFill patternType="solid">
        <fgColor rgb="FF000E86"/>
        <bgColor indexed="64"/>
      </patternFill>
    </fill>
    <fill>
      <patternFill patternType="solid">
        <fgColor rgb="FF000E87"/>
        <bgColor indexed="64"/>
      </patternFill>
    </fill>
    <fill>
      <patternFill patternType="solid">
        <fgColor rgb="FF000E88"/>
        <bgColor indexed="64"/>
      </patternFill>
    </fill>
    <fill>
      <patternFill patternType="solid">
        <fgColor rgb="FF000E89"/>
        <bgColor indexed="64"/>
      </patternFill>
    </fill>
    <fill>
      <patternFill patternType="solid">
        <fgColor rgb="FF000E8A"/>
        <bgColor indexed="64"/>
      </patternFill>
    </fill>
    <fill>
      <patternFill patternType="solid">
        <fgColor rgb="FF000E8B"/>
        <bgColor indexed="64"/>
      </patternFill>
    </fill>
    <fill>
      <patternFill patternType="solid">
        <fgColor rgb="FF000E8C"/>
        <bgColor indexed="64"/>
      </patternFill>
    </fill>
    <fill>
      <patternFill patternType="solid">
        <fgColor rgb="FF000E8D"/>
        <bgColor indexed="64"/>
      </patternFill>
    </fill>
    <fill>
      <patternFill patternType="solid">
        <fgColor rgb="FF000E8E"/>
        <bgColor indexed="64"/>
      </patternFill>
    </fill>
    <fill>
      <patternFill patternType="solid">
        <fgColor rgb="FF000E8F"/>
        <bgColor indexed="64"/>
      </patternFill>
    </fill>
    <fill>
      <patternFill patternType="solid">
        <fgColor rgb="FF000E90"/>
        <bgColor indexed="64"/>
      </patternFill>
    </fill>
    <fill>
      <patternFill patternType="solid">
        <fgColor rgb="FF000E91"/>
        <bgColor indexed="64"/>
      </patternFill>
    </fill>
    <fill>
      <patternFill patternType="solid">
        <fgColor rgb="FF000E92"/>
        <bgColor indexed="64"/>
      </patternFill>
    </fill>
    <fill>
      <patternFill patternType="solid">
        <fgColor rgb="FF000E93"/>
        <bgColor indexed="64"/>
      </patternFill>
    </fill>
    <fill>
      <patternFill patternType="solid">
        <fgColor rgb="FF000E94"/>
        <bgColor indexed="64"/>
      </patternFill>
    </fill>
    <fill>
      <patternFill patternType="solid">
        <fgColor rgb="FF000E95"/>
        <bgColor indexed="64"/>
      </patternFill>
    </fill>
    <fill>
      <patternFill patternType="solid">
        <fgColor rgb="FF000E96"/>
        <bgColor indexed="64"/>
      </patternFill>
    </fill>
    <fill>
      <patternFill patternType="solid">
        <fgColor rgb="FF000E97"/>
        <bgColor indexed="64"/>
      </patternFill>
    </fill>
    <fill>
      <patternFill patternType="solid">
        <fgColor rgb="FF000E98"/>
        <bgColor indexed="64"/>
      </patternFill>
    </fill>
    <fill>
      <patternFill patternType="solid">
        <fgColor rgb="FF000E99"/>
        <bgColor indexed="64"/>
      </patternFill>
    </fill>
    <fill>
      <patternFill patternType="solid">
        <fgColor rgb="FF000E9A"/>
        <bgColor indexed="64"/>
      </patternFill>
    </fill>
    <fill>
      <patternFill patternType="solid">
        <fgColor rgb="FF000E9B"/>
        <bgColor indexed="64"/>
      </patternFill>
    </fill>
    <fill>
      <patternFill patternType="solid">
        <fgColor rgb="FF000E9C"/>
        <bgColor indexed="64"/>
      </patternFill>
    </fill>
    <fill>
      <patternFill patternType="solid">
        <fgColor rgb="FF000E9D"/>
        <bgColor indexed="64"/>
      </patternFill>
    </fill>
    <fill>
      <patternFill patternType="solid">
        <fgColor rgb="FF000E9E"/>
        <bgColor indexed="64"/>
      </patternFill>
    </fill>
    <fill>
      <patternFill patternType="solid">
        <fgColor rgb="FF000E9F"/>
        <bgColor indexed="64"/>
      </patternFill>
    </fill>
    <fill>
      <patternFill patternType="solid">
        <fgColor rgb="FF000EA0"/>
        <bgColor indexed="64"/>
      </patternFill>
    </fill>
    <fill>
      <patternFill patternType="solid">
        <fgColor rgb="FF000EA1"/>
        <bgColor indexed="64"/>
      </patternFill>
    </fill>
    <fill>
      <patternFill patternType="solid">
        <fgColor rgb="FF000EA2"/>
        <bgColor indexed="64"/>
      </patternFill>
    </fill>
    <fill>
      <patternFill patternType="solid">
        <fgColor rgb="FF000EA3"/>
        <bgColor indexed="64"/>
      </patternFill>
    </fill>
    <fill>
      <patternFill patternType="solid">
        <fgColor rgb="FF000EA4"/>
        <bgColor indexed="64"/>
      </patternFill>
    </fill>
    <fill>
      <patternFill patternType="solid">
        <fgColor rgb="FF000EA5"/>
        <bgColor indexed="64"/>
      </patternFill>
    </fill>
    <fill>
      <patternFill patternType="solid">
        <fgColor rgb="FF000EA6"/>
        <bgColor indexed="64"/>
      </patternFill>
    </fill>
    <fill>
      <patternFill patternType="solid">
        <fgColor rgb="FF000EA7"/>
        <bgColor indexed="64"/>
      </patternFill>
    </fill>
    <fill>
      <patternFill patternType="solid">
        <fgColor rgb="FF000EA8"/>
        <bgColor indexed="64"/>
      </patternFill>
    </fill>
    <fill>
      <patternFill patternType="solid">
        <fgColor rgb="FF000EA9"/>
        <bgColor indexed="64"/>
      </patternFill>
    </fill>
    <fill>
      <patternFill patternType="solid">
        <fgColor rgb="FF000EAA"/>
        <bgColor indexed="64"/>
      </patternFill>
    </fill>
    <fill>
      <patternFill patternType="solid">
        <fgColor rgb="FF000EAB"/>
        <bgColor indexed="64"/>
      </patternFill>
    </fill>
    <fill>
      <patternFill patternType="solid">
        <fgColor rgb="FF000EAC"/>
        <bgColor indexed="64"/>
      </patternFill>
    </fill>
    <fill>
      <patternFill patternType="solid">
        <fgColor rgb="FF000EAD"/>
        <bgColor indexed="64"/>
      </patternFill>
    </fill>
    <fill>
      <patternFill patternType="solid">
        <fgColor rgb="FF000EAE"/>
        <bgColor indexed="64"/>
      </patternFill>
    </fill>
    <fill>
      <patternFill patternType="solid">
        <fgColor rgb="FF000EAF"/>
        <bgColor indexed="64"/>
      </patternFill>
    </fill>
    <fill>
      <patternFill patternType="solid">
        <fgColor rgb="FF000EB0"/>
        <bgColor indexed="64"/>
      </patternFill>
    </fill>
    <fill>
      <patternFill patternType="solid">
        <fgColor rgb="FF000EB1"/>
        <bgColor indexed="64"/>
      </patternFill>
    </fill>
    <fill>
      <patternFill patternType="solid">
        <fgColor rgb="FF000EB2"/>
        <bgColor indexed="64"/>
      </patternFill>
    </fill>
    <fill>
      <patternFill patternType="solid">
        <fgColor rgb="FF000EB3"/>
        <bgColor indexed="64"/>
      </patternFill>
    </fill>
    <fill>
      <patternFill patternType="solid">
        <fgColor rgb="FF000EB4"/>
        <bgColor indexed="64"/>
      </patternFill>
    </fill>
    <fill>
      <patternFill patternType="solid">
        <fgColor rgb="FF000EB5"/>
        <bgColor indexed="64"/>
      </patternFill>
    </fill>
    <fill>
      <patternFill patternType="solid">
        <fgColor rgb="FF000EB6"/>
        <bgColor indexed="64"/>
      </patternFill>
    </fill>
    <fill>
      <patternFill patternType="solid">
        <fgColor rgb="FF000EB7"/>
        <bgColor indexed="64"/>
      </patternFill>
    </fill>
    <fill>
      <patternFill patternType="solid">
        <fgColor rgb="FF000EB8"/>
        <bgColor indexed="64"/>
      </patternFill>
    </fill>
    <fill>
      <patternFill patternType="solid">
        <fgColor rgb="FF000EB9"/>
        <bgColor indexed="64"/>
      </patternFill>
    </fill>
    <fill>
      <patternFill patternType="solid">
        <fgColor rgb="FF000EBA"/>
        <bgColor indexed="64"/>
      </patternFill>
    </fill>
    <fill>
      <patternFill patternType="solid">
        <fgColor rgb="FF000EBB"/>
        <bgColor indexed="64"/>
      </patternFill>
    </fill>
    <fill>
      <patternFill patternType="solid">
        <fgColor rgb="FF000EBC"/>
        <bgColor indexed="64"/>
      </patternFill>
    </fill>
    <fill>
      <patternFill patternType="solid">
        <fgColor rgb="FF000EBD"/>
        <bgColor indexed="64"/>
      </patternFill>
    </fill>
    <fill>
      <patternFill patternType="solid">
        <fgColor rgb="FF000EBE"/>
        <bgColor indexed="64"/>
      </patternFill>
    </fill>
    <fill>
      <patternFill patternType="solid">
        <fgColor rgb="FF000EBF"/>
        <bgColor indexed="64"/>
      </patternFill>
    </fill>
    <fill>
      <patternFill patternType="solid">
        <fgColor rgb="FF000EC0"/>
        <bgColor indexed="64"/>
      </patternFill>
    </fill>
    <fill>
      <patternFill patternType="solid">
        <fgColor rgb="FF000EC1"/>
        <bgColor indexed="64"/>
      </patternFill>
    </fill>
    <fill>
      <patternFill patternType="solid">
        <fgColor rgb="FF000EC2"/>
        <bgColor indexed="64"/>
      </patternFill>
    </fill>
    <fill>
      <patternFill patternType="solid">
        <fgColor rgb="FF000EC3"/>
        <bgColor indexed="64"/>
      </patternFill>
    </fill>
    <fill>
      <patternFill patternType="solid">
        <fgColor rgb="FF000EC4"/>
        <bgColor indexed="64"/>
      </patternFill>
    </fill>
    <fill>
      <patternFill patternType="solid">
        <fgColor rgb="FF000EC5"/>
        <bgColor indexed="64"/>
      </patternFill>
    </fill>
    <fill>
      <patternFill patternType="solid">
        <fgColor rgb="FF000EC6"/>
        <bgColor indexed="64"/>
      </patternFill>
    </fill>
    <fill>
      <patternFill patternType="solid">
        <fgColor rgb="FF000EC7"/>
        <bgColor indexed="64"/>
      </patternFill>
    </fill>
    <fill>
      <patternFill patternType="solid">
        <fgColor rgb="FF000EC8"/>
        <bgColor indexed="64"/>
      </patternFill>
    </fill>
    <fill>
      <patternFill patternType="solid">
        <fgColor rgb="FF000EC9"/>
        <bgColor indexed="64"/>
      </patternFill>
    </fill>
    <fill>
      <patternFill patternType="solid">
        <fgColor rgb="FF000ECA"/>
        <bgColor indexed="64"/>
      </patternFill>
    </fill>
    <fill>
      <patternFill patternType="solid">
        <fgColor rgb="FF000ECB"/>
        <bgColor indexed="64"/>
      </patternFill>
    </fill>
    <fill>
      <patternFill patternType="solid">
        <fgColor rgb="FF000ECC"/>
        <bgColor indexed="64"/>
      </patternFill>
    </fill>
    <fill>
      <patternFill patternType="solid">
        <fgColor rgb="FF000ECD"/>
        <bgColor indexed="64"/>
      </patternFill>
    </fill>
    <fill>
      <patternFill patternType="solid">
        <fgColor rgb="FF000ECE"/>
        <bgColor indexed="64"/>
      </patternFill>
    </fill>
    <fill>
      <patternFill patternType="solid">
        <fgColor rgb="FF000ECF"/>
        <bgColor indexed="64"/>
      </patternFill>
    </fill>
    <fill>
      <patternFill patternType="solid">
        <fgColor rgb="FF000ED0"/>
        <bgColor indexed="64"/>
      </patternFill>
    </fill>
    <fill>
      <patternFill patternType="solid">
        <fgColor rgb="FF000ED1"/>
        <bgColor indexed="64"/>
      </patternFill>
    </fill>
    <fill>
      <patternFill patternType="solid">
        <fgColor rgb="FF000ED2"/>
        <bgColor indexed="64"/>
      </patternFill>
    </fill>
    <fill>
      <patternFill patternType="solid">
        <fgColor rgb="FF000ED3"/>
        <bgColor indexed="64"/>
      </patternFill>
    </fill>
    <fill>
      <patternFill patternType="solid">
        <fgColor rgb="FF000ED4"/>
        <bgColor indexed="64"/>
      </patternFill>
    </fill>
    <fill>
      <patternFill patternType="solid">
        <fgColor rgb="FF000ED5"/>
        <bgColor indexed="64"/>
      </patternFill>
    </fill>
    <fill>
      <patternFill patternType="solid">
        <fgColor rgb="FF000ED6"/>
        <bgColor indexed="64"/>
      </patternFill>
    </fill>
    <fill>
      <patternFill patternType="solid">
        <fgColor rgb="FF000ED7"/>
        <bgColor indexed="64"/>
      </patternFill>
    </fill>
    <fill>
      <patternFill patternType="solid">
        <fgColor rgb="FF000ED8"/>
        <bgColor indexed="64"/>
      </patternFill>
    </fill>
    <fill>
      <patternFill patternType="solid">
        <fgColor rgb="FF000ED9"/>
        <bgColor indexed="64"/>
      </patternFill>
    </fill>
    <fill>
      <patternFill patternType="solid">
        <fgColor rgb="FF000EDA"/>
        <bgColor indexed="64"/>
      </patternFill>
    </fill>
    <fill>
      <patternFill patternType="solid">
        <fgColor rgb="FF000EDB"/>
        <bgColor indexed="64"/>
      </patternFill>
    </fill>
    <fill>
      <patternFill patternType="solid">
        <fgColor rgb="FF000EDC"/>
        <bgColor indexed="64"/>
      </patternFill>
    </fill>
    <fill>
      <patternFill patternType="solid">
        <fgColor rgb="FF000EDD"/>
        <bgColor indexed="64"/>
      </patternFill>
    </fill>
    <fill>
      <patternFill patternType="solid">
        <fgColor rgb="FF000EDE"/>
        <bgColor indexed="64"/>
      </patternFill>
    </fill>
    <fill>
      <patternFill patternType="solid">
        <fgColor rgb="FF000EDF"/>
        <bgColor indexed="64"/>
      </patternFill>
    </fill>
    <fill>
      <patternFill patternType="solid">
        <fgColor rgb="FF000EE0"/>
        <bgColor indexed="64"/>
      </patternFill>
    </fill>
    <fill>
      <patternFill patternType="solid">
        <fgColor rgb="FF000EE1"/>
        <bgColor indexed="64"/>
      </patternFill>
    </fill>
    <fill>
      <patternFill patternType="solid">
        <fgColor rgb="FF000EE2"/>
        <bgColor indexed="64"/>
      </patternFill>
    </fill>
    <fill>
      <patternFill patternType="solid">
        <fgColor rgb="FF000EE3"/>
        <bgColor indexed="64"/>
      </patternFill>
    </fill>
    <fill>
      <patternFill patternType="solid">
        <fgColor rgb="FF000EE4"/>
        <bgColor indexed="64"/>
      </patternFill>
    </fill>
    <fill>
      <patternFill patternType="solid">
        <fgColor rgb="FF000EE5"/>
        <bgColor indexed="64"/>
      </patternFill>
    </fill>
    <fill>
      <patternFill patternType="solid">
        <fgColor rgb="FF000EE6"/>
        <bgColor indexed="64"/>
      </patternFill>
    </fill>
    <fill>
      <patternFill patternType="solid">
        <fgColor rgb="FF000EE7"/>
        <bgColor indexed="64"/>
      </patternFill>
    </fill>
    <fill>
      <patternFill patternType="solid">
        <fgColor rgb="FF000EE8"/>
        <bgColor indexed="64"/>
      </patternFill>
    </fill>
    <fill>
      <patternFill patternType="solid">
        <fgColor rgb="FF000EE9"/>
        <bgColor indexed="64"/>
      </patternFill>
    </fill>
    <fill>
      <patternFill patternType="solid">
        <fgColor rgb="FF000EEA"/>
        <bgColor indexed="64"/>
      </patternFill>
    </fill>
    <fill>
      <patternFill patternType="solid">
        <fgColor rgb="FF000EEB"/>
        <bgColor indexed="64"/>
      </patternFill>
    </fill>
    <fill>
      <patternFill patternType="solid">
        <fgColor rgb="FF000EEC"/>
        <bgColor indexed="64"/>
      </patternFill>
    </fill>
    <fill>
      <patternFill patternType="solid">
        <fgColor rgb="FF000EED"/>
        <bgColor indexed="64"/>
      </patternFill>
    </fill>
    <fill>
      <patternFill patternType="solid">
        <fgColor rgb="FF000EEE"/>
        <bgColor indexed="64"/>
      </patternFill>
    </fill>
    <fill>
      <patternFill patternType="solid">
        <fgColor rgb="FF000EEF"/>
        <bgColor indexed="64"/>
      </patternFill>
    </fill>
    <fill>
      <patternFill patternType="solid">
        <fgColor rgb="FF000EF0"/>
        <bgColor indexed="64"/>
      </patternFill>
    </fill>
    <fill>
      <patternFill patternType="solid">
        <fgColor rgb="FF000EF1"/>
        <bgColor indexed="64"/>
      </patternFill>
    </fill>
    <fill>
      <patternFill patternType="solid">
        <fgColor rgb="FF000EF2"/>
        <bgColor indexed="64"/>
      </patternFill>
    </fill>
    <fill>
      <patternFill patternType="solid">
        <fgColor rgb="FF000EF3"/>
        <bgColor indexed="64"/>
      </patternFill>
    </fill>
    <fill>
      <patternFill patternType="solid">
        <fgColor rgb="FF000EF4"/>
        <bgColor indexed="64"/>
      </patternFill>
    </fill>
    <fill>
      <patternFill patternType="solid">
        <fgColor rgb="FF000EF5"/>
        <bgColor indexed="64"/>
      </patternFill>
    </fill>
    <fill>
      <patternFill patternType="solid">
        <fgColor rgb="FF000EF6"/>
        <bgColor indexed="64"/>
      </patternFill>
    </fill>
    <fill>
      <patternFill patternType="solid">
        <fgColor rgb="FF000EF7"/>
        <bgColor indexed="64"/>
      </patternFill>
    </fill>
    <fill>
      <patternFill patternType="solid">
        <fgColor rgb="FF000EF8"/>
        <bgColor indexed="64"/>
      </patternFill>
    </fill>
    <fill>
      <patternFill patternType="solid">
        <fgColor rgb="FF000EF9"/>
        <bgColor indexed="64"/>
      </patternFill>
    </fill>
    <fill>
      <patternFill patternType="solid">
        <fgColor rgb="FF000EFA"/>
        <bgColor indexed="64"/>
      </patternFill>
    </fill>
    <fill>
      <patternFill patternType="solid">
        <fgColor rgb="FF000EFB"/>
        <bgColor indexed="64"/>
      </patternFill>
    </fill>
    <fill>
      <patternFill patternType="solid">
        <fgColor rgb="FF000EFC"/>
        <bgColor indexed="64"/>
      </patternFill>
    </fill>
    <fill>
      <patternFill patternType="solid">
        <fgColor rgb="FF000EFD"/>
        <bgColor indexed="64"/>
      </patternFill>
    </fill>
    <fill>
      <patternFill patternType="solid">
        <fgColor rgb="FF000EFE"/>
        <bgColor indexed="64"/>
      </patternFill>
    </fill>
    <fill>
      <patternFill patternType="solid">
        <fgColor rgb="FF000EFF"/>
        <bgColor indexed="64"/>
      </patternFill>
    </fill>
    <fill>
      <patternFill patternType="solid">
        <fgColor rgb="FF000F00"/>
        <bgColor indexed="64"/>
      </patternFill>
    </fill>
    <fill>
      <patternFill patternType="solid">
        <fgColor rgb="FF000F01"/>
        <bgColor indexed="64"/>
      </patternFill>
    </fill>
    <fill>
      <patternFill patternType="solid">
        <fgColor rgb="FF000F02"/>
        <bgColor indexed="64"/>
      </patternFill>
    </fill>
    <fill>
      <patternFill patternType="solid">
        <fgColor rgb="FF000F03"/>
        <bgColor indexed="64"/>
      </patternFill>
    </fill>
    <fill>
      <patternFill patternType="solid">
        <fgColor rgb="FF000F04"/>
        <bgColor indexed="64"/>
      </patternFill>
    </fill>
    <fill>
      <patternFill patternType="solid">
        <fgColor rgb="FF000F05"/>
        <bgColor indexed="64"/>
      </patternFill>
    </fill>
    <fill>
      <patternFill patternType="solid">
        <fgColor rgb="FF000F06"/>
        <bgColor indexed="64"/>
      </patternFill>
    </fill>
    <fill>
      <patternFill patternType="solid">
        <fgColor rgb="FF000F07"/>
        <bgColor indexed="64"/>
      </patternFill>
    </fill>
    <fill>
      <patternFill patternType="solid">
        <fgColor rgb="FF000F08"/>
        <bgColor indexed="64"/>
      </patternFill>
    </fill>
    <fill>
      <patternFill patternType="solid">
        <fgColor rgb="FF000F09"/>
        <bgColor indexed="64"/>
      </patternFill>
    </fill>
    <fill>
      <patternFill patternType="solid">
        <fgColor rgb="FF000F0A"/>
        <bgColor indexed="64"/>
      </patternFill>
    </fill>
    <fill>
      <patternFill patternType="solid">
        <fgColor rgb="FF000F0B"/>
        <bgColor indexed="64"/>
      </patternFill>
    </fill>
    <fill>
      <patternFill patternType="solid">
        <fgColor rgb="FF000F0C"/>
        <bgColor indexed="64"/>
      </patternFill>
    </fill>
    <fill>
      <patternFill patternType="solid">
        <fgColor rgb="FF000F0D"/>
        <bgColor indexed="64"/>
      </patternFill>
    </fill>
    <fill>
      <patternFill patternType="solid">
        <fgColor rgb="FF000F0E"/>
        <bgColor indexed="64"/>
      </patternFill>
    </fill>
    <fill>
      <patternFill patternType="solid">
        <fgColor rgb="FF000F0F"/>
        <bgColor indexed="64"/>
      </patternFill>
    </fill>
    <fill>
      <patternFill patternType="solid">
        <fgColor rgb="FF000F10"/>
        <bgColor indexed="64"/>
      </patternFill>
    </fill>
    <fill>
      <patternFill patternType="solid">
        <fgColor rgb="FF000F11"/>
        <bgColor indexed="64"/>
      </patternFill>
    </fill>
    <fill>
      <patternFill patternType="solid">
        <fgColor rgb="FF000F12"/>
        <bgColor indexed="64"/>
      </patternFill>
    </fill>
    <fill>
      <patternFill patternType="solid">
        <fgColor rgb="FF000F13"/>
        <bgColor indexed="64"/>
      </patternFill>
    </fill>
    <fill>
      <patternFill patternType="solid">
        <fgColor rgb="FF000F14"/>
        <bgColor indexed="64"/>
      </patternFill>
    </fill>
    <fill>
      <patternFill patternType="solid">
        <fgColor rgb="FF000F15"/>
        <bgColor indexed="64"/>
      </patternFill>
    </fill>
    <fill>
      <patternFill patternType="solid">
        <fgColor rgb="FF000F16"/>
        <bgColor indexed="64"/>
      </patternFill>
    </fill>
    <fill>
      <patternFill patternType="solid">
        <fgColor rgb="FF000F17"/>
        <bgColor indexed="64"/>
      </patternFill>
    </fill>
    <fill>
      <patternFill patternType="solid">
        <fgColor rgb="FF000F18"/>
        <bgColor indexed="64"/>
      </patternFill>
    </fill>
    <fill>
      <patternFill patternType="solid">
        <fgColor rgb="FF000F19"/>
        <bgColor indexed="64"/>
      </patternFill>
    </fill>
    <fill>
      <patternFill patternType="solid">
        <fgColor rgb="FF000F1A"/>
        <bgColor indexed="64"/>
      </patternFill>
    </fill>
    <fill>
      <patternFill patternType="solid">
        <fgColor rgb="FF000F1B"/>
        <bgColor indexed="64"/>
      </patternFill>
    </fill>
    <fill>
      <patternFill patternType="solid">
        <fgColor rgb="FF000F1C"/>
        <bgColor indexed="64"/>
      </patternFill>
    </fill>
    <fill>
      <patternFill patternType="solid">
        <fgColor rgb="FF000F1D"/>
        <bgColor indexed="64"/>
      </patternFill>
    </fill>
    <fill>
      <patternFill patternType="solid">
        <fgColor rgb="FF000F1E"/>
        <bgColor indexed="64"/>
      </patternFill>
    </fill>
    <fill>
      <patternFill patternType="solid">
        <fgColor rgb="FF000F1F"/>
        <bgColor indexed="64"/>
      </patternFill>
    </fill>
    <fill>
      <patternFill patternType="solid">
        <fgColor rgb="FF000F20"/>
        <bgColor indexed="64"/>
      </patternFill>
    </fill>
    <fill>
      <patternFill patternType="solid">
        <fgColor rgb="FF000F21"/>
        <bgColor indexed="64"/>
      </patternFill>
    </fill>
    <fill>
      <patternFill patternType="solid">
        <fgColor rgb="FF000F22"/>
        <bgColor indexed="64"/>
      </patternFill>
    </fill>
    <fill>
      <patternFill patternType="solid">
        <fgColor rgb="FF000F23"/>
        <bgColor indexed="64"/>
      </patternFill>
    </fill>
    <fill>
      <patternFill patternType="solid">
        <fgColor rgb="FF000F24"/>
        <bgColor indexed="64"/>
      </patternFill>
    </fill>
    <fill>
      <patternFill patternType="solid">
        <fgColor rgb="FF000F25"/>
        <bgColor indexed="64"/>
      </patternFill>
    </fill>
    <fill>
      <patternFill patternType="solid">
        <fgColor rgb="FF000F26"/>
        <bgColor indexed="64"/>
      </patternFill>
    </fill>
    <fill>
      <patternFill patternType="solid">
        <fgColor rgb="FF000F27"/>
        <bgColor indexed="64"/>
      </patternFill>
    </fill>
    <fill>
      <patternFill patternType="solid">
        <fgColor rgb="FF000F28"/>
        <bgColor indexed="64"/>
      </patternFill>
    </fill>
    <fill>
      <patternFill patternType="solid">
        <fgColor rgb="FF000F29"/>
        <bgColor indexed="64"/>
      </patternFill>
    </fill>
    <fill>
      <patternFill patternType="solid">
        <fgColor rgb="FF000F2A"/>
        <bgColor indexed="64"/>
      </patternFill>
    </fill>
    <fill>
      <patternFill patternType="solid">
        <fgColor rgb="FF000F2B"/>
        <bgColor indexed="64"/>
      </patternFill>
    </fill>
    <fill>
      <patternFill patternType="solid">
        <fgColor rgb="FF000F2C"/>
        <bgColor indexed="64"/>
      </patternFill>
    </fill>
    <fill>
      <patternFill patternType="solid">
        <fgColor rgb="FF000F2D"/>
        <bgColor indexed="64"/>
      </patternFill>
    </fill>
    <fill>
      <patternFill patternType="solid">
        <fgColor rgb="FF000F2E"/>
        <bgColor indexed="64"/>
      </patternFill>
    </fill>
    <fill>
      <patternFill patternType="solid">
        <fgColor rgb="FF000F2F"/>
        <bgColor indexed="64"/>
      </patternFill>
    </fill>
    <fill>
      <patternFill patternType="solid">
        <fgColor rgb="FF000F30"/>
        <bgColor indexed="64"/>
      </patternFill>
    </fill>
    <fill>
      <patternFill patternType="solid">
        <fgColor rgb="FF000F31"/>
        <bgColor indexed="64"/>
      </patternFill>
    </fill>
    <fill>
      <patternFill patternType="solid">
        <fgColor rgb="FF000F32"/>
        <bgColor indexed="64"/>
      </patternFill>
    </fill>
    <fill>
      <patternFill patternType="solid">
        <fgColor rgb="FF000F33"/>
        <bgColor indexed="64"/>
      </patternFill>
    </fill>
    <fill>
      <patternFill patternType="solid">
        <fgColor rgb="FF000F34"/>
        <bgColor indexed="64"/>
      </patternFill>
    </fill>
    <fill>
      <patternFill patternType="solid">
        <fgColor rgb="FF000F35"/>
        <bgColor indexed="64"/>
      </patternFill>
    </fill>
    <fill>
      <patternFill patternType="solid">
        <fgColor rgb="FF000F36"/>
        <bgColor indexed="64"/>
      </patternFill>
    </fill>
    <fill>
      <patternFill patternType="solid">
        <fgColor rgb="FF000F37"/>
        <bgColor indexed="64"/>
      </patternFill>
    </fill>
    <fill>
      <patternFill patternType="solid">
        <fgColor rgb="FF000F38"/>
        <bgColor indexed="64"/>
      </patternFill>
    </fill>
    <fill>
      <patternFill patternType="solid">
        <fgColor rgb="FF000F39"/>
        <bgColor indexed="64"/>
      </patternFill>
    </fill>
    <fill>
      <patternFill patternType="solid">
        <fgColor rgb="FF000F3A"/>
        <bgColor indexed="64"/>
      </patternFill>
    </fill>
    <fill>
      <patternFill patternType="solid">
        <fgColor rgb="FF000F3B"/>
        <bgColor indexed="64"/>
      </patternFill>
    </fill>
    <fill>
      <patternFill patternType="solid">
        <fgColor rgb="FF000F3C"/>
        <bgColor indexed="64"/>
      </patternFill>
    </fill>
    <fill>
      <patternFill patternType="solid">
        <fgColor rgb="FF000F3D"/>
        <bgColor indexed="64"/>
      </patternFill>
    </fill>
    <fill>
      <patternFill patternType="solid">
        <fgColor rgb="FF000F3E"/>
        <bgColor indexed="64"/>
      </patternFill>
    </fill>
    <fill>
      <patternFill patternType="solid">
        <fgColor rgb="FF000F3F"/>
        <bgColor indexed="64"/>
      </patternFill>
    </fill>
    <fill>
      <patternFill patternType="solid">
        <fgColor rgb="FF000F40"/>
        <bgColor indexed="64"/>
      </patternFill>
    </fill>
    <fill>
      <patternFill patternType="solid">
        <fgColor rgb="FF000F41"/>
        <bgColor indexed="64"/>
      </patternFill>
    </fill>
    <fill>
      <patternFill patternType="solid">
        <fgColor rgb="FF000F42"/>
        <bgColor indexed="64"/>
      </patternFill>
    </fill>
    <fill>
      <patternFill patternType="solid">
        <fgColor rgb="FF000F43"/>
        <bgColor indexed="64"/>
      </patternFill>
    </fill>
    <fill>
      <patternFill patternType="solid">
        <fgColor rgb="FF000F44"/>
        <bgColor indexed="64"/>
      </patternFill>
    </fill>
    <fill>
      <patternFill patternType="solid">
        <fgColor rgb="FF000F45"/>
        <bgColor indexed="64"/>
      </patternFill>
    </fill>
    <fill>
      <patternFill patternType="solid">
        <fgColor rgb="FF000F46"/>
        <bgColor indexed="64"/>
      </patternFill>
    </fill>
    <fill>
      <patternFill patternType="solid">
        <fgColor rgb="FF000F47"/>
        <bgColor indexed="64"/>
      </patternFill>
    </fill>
    <fill>
      <patternFill patternType="solid">
        <fgColor rgb="FF000F48"/>
        <bgColor indexed="64"/>
      </patternFill>
    </fill>
    <fill>
      <patternFill patternType="solid">
        <fgColor rgb="FF000F49"/>
        <bgColor indexed="64"/>
      </patternFill>
    </fill>
    <fill>
      <patternFill patternType="solid">
        <fgColor rgb="FF000F4A"/>
        <bgColor indexed="64"/>
      </patternFill>
    </fill>
    <fill>
      <patternFill patternType="solid">
        <fgColor rgb="FF000F4B"/>
        <bgColor indexed="64"/>
      </patternFill>
    </fill>
    <fill>
      <patternFill patternType="solid">
        <fgColor rgb="FF000F4C"/>
        <bgColor indexed="64"/>
      </patternFill>
    </fill>
    <fill>
      <patternFill patternType="solid">
        <fgColor rgb="FF000F4D"/>
        <bgColor indexed="64"/>
      </patternFill>
    </fill>
    <fill>
      <patternFill patternType="solid">
        <fgColor rgb="FF000F4E"/>
        <bgColor indexed="64"/>
      </patternFill>
    </fill>
    <fill>
      <patternFill patternType="solid">
        <fgColor rgb="FF000F4F"/>
        <bgColor indexed="64"/>
      </patternFill>
    </fill>
    <fill>
      <patternFill patternType="solid">
        <fgColor rgb="FF000F50"/>
        <bgColor indexed="64"/>
      </patternFill>
    </fill>
    <fill>
      <patternFill patternType="solid">
        <fgColor rgb="FF000F51"/>
        <bgColor indexed="64"/>
      </patternFill>
    </fill>
    <fill>
      <patternFill patternType="solid">
        <fgColor rgb="FF000F52"/>
        <bgColor indexed="64"/>
      </patternFill>
    </fill>
    <fill>
      <patternFill patternType="solid">
        <fgColor rgb="FF000F53"/>
        <bgColor indexed="64"/>
      </patternFill>
    </fill>
    <fill>
      <patternFill patternType="solid">
        <fgColor rgb="FF000F54"/>
        <bgColor indexed="64"/>
      </patternFill>
    </fill>
    <fill>
      <patternFill patternType="solid">
        <fgColor rgb="FF000F55"/>
        <bgColor indexed="64"/>
      </patternFill>
    </fill>
    <fill>
      <patternFill patternType="solid">
        <fgColor rgb="FF000F56"/>
        <bgColor indexed="64"/>
      </patternFill>
    </fill>
    <fill>
      <patternFill patternType="solid">
        <fgColor rgb="FF000F57"/>
        <bgColor indexed="64"/>
      </patternFill>
    </fill>
    <fill>
      <patternFill patternType="solid">
        <fgColor rgb="FF000F58"/>
        <bgColor indexed="64"/>
      </patternFill>
    </fill>
    <fill>
      <patternFill patternType="solid">
        <fgColor rgb="FF000F59"/>
        <bgColor indexed="64"/>
      </patternFill>
    </fill>
    <fill>
      <patternFill patternType="solid">
        <fgColor rgb="FF000F5A"/>
        <bgColor indexed="64"/>
      </patternFill>
    </fill>
    <fill>
      <patternFill patternType="solid">
        <fgColor rgb="FF000F5B"/>
        <bgColor indexed="64"/>
      </patternFill>
    </fill>
    <fill>
      <patternFill patternType="solid">
        <fgColor rgb="FF000F5C"/>
        <bgColor indexed="64"/>
      </patternFill>
    </fill>
    <fill>
      <patternFill patternType="solid">
        <fgColor rgb="FF000F5D"/>
        <bgColor indexed="64"/>
      </patternFill>
    </fill>
    <fill>
      <patternFill patternType="solid">
        <fgColor rgb="FF000F5E"/>
        <bgColor indexed="64"/>
      </patternFill>
    </fill>
    <fill>
      <patternFill patternType="solid">
        <fgColor rgb="FF000F5F"/>
        <bgColor indexed="64"/>
      </patternFill>
    </fill>
    <fill>
      <patternFill patternType="solid">
        <fgColor rgb="FF000F60"/>
        <bgColor indexed="64"/>
      </patternFill>
    </fill>
    <fill>
      <patternFill patternType="solid">
        <fgColor rgb="FF000F61"/>
        <bgColor indexed="64"/>
      </patternFill>
    </fill>
    <fill>
      <patternFill patternType="solid">
        <fgColor rgb="FF000F62"/>
        <bgColor indexed="64"/>
      </patternFill>
    </fill>
    <fill>
      <patternFill patternType="solid">
        <fgColor rgb="FF000F63"/>
        <bgColor indexed="64"/>
      </patternFill>
    </fill>
    <fill>
      <patternFill patternType="solid">
        <fgColor rgb="FF000F64"/>
        <bgColor indexed="64"/>
      </patternFill>
    </fill>
    <fill>
      <patternFill patternType="solid">
        <fgColor rgb="FF000F65"/>
        <bgColor indexed="64"/>
      </patternFill>
    </fill>
    <fill>
      <patternFill patternType="solid">
        <fgColor rgb="FF000F66"/>
        <bgColor indexed="64"/>
      </patternFill>
    </fill>
    <fill>
      <patternFill patternType="solid">
        <fgColor rgb="FF000F67"/>
        <bgColor indexed="64"/>
      </patternFill>
    </fill>
    <fill>
      <patternFill patternType="solid">
        <fgColor rgb="FF000F68"/>
        <bgColor indexed="64"/>
      </patternFill>
    </fill>
    <fill>
      <patternFill patternType="solid">
        <fgColor rgb="FF000F69"/>
        <bgColor indexed="64"/>
      </patternFill>
    </fill>
    <fill>
      <patternFill patternType="solid">
        <fgColor rgb="FF000F6A"/>
        <bgColor indexed="64"/>
      </patternFill>
    </fill>
    <fill>
      <patternFill patternType="solid">
        <fgColor rgb="FF000F6B"/>
        <bgColor indexed="64"/>
      </patternFill>
    </fill>
    <fill>
      <patternFill patternType="solid">
        <fgColor rgb="FF000F6C"/>
        <bgColor indexed="64"/>
      </patternFill>
    </fill>
    <fill>
      <patternFill patternType="solid">
        <fgColor rgb="FF000F6D"/>
        <bgColor indexed="64"/>
      </patternFill>
    </fill>
    <fill>
      <patternFill patternType="solid">
        <fgColor rgb="FF000F6E"/>
        <bgColor indexed="64"/>
      </patternFill>
    </fill>
    <fill>
      <patternFill patternType="solid">
        <fgColor rgb="FF000F6F"/>
        <bgColor indexed="64"/>
      </patternFill>
    </fill>
    <fill>
      <patternFill patternType="solid">
        <fgColor rgb="FF000F70"/>
        <bgColor indexed="64"/>
      </patternFill>
    </fill>
    <fill>
      <patternFill patternType="solid">
        <fgColor rgb="FF000F71"/>
        <bgColor indexed="64"/>
      </patternFill>
    </fill>
    <fill>
      <patternFill patternType="solid">
        <fgColor rgb="FF000F72"/>
        <bgColor indexed="64"/>
      </patternFill>
    </fill>
    <fill>
      <patternFill patternType="solid">
        <fgColor rgb="FF000F73"/>
        <bgColor indexed="64"/>
      </patternFill>
    </fill>
    <fill>
      <patternFill patternType="solid">
        <fgColor rgb="FF000F74"/>
        <bgColor indexed="64"/>
      </patternFill>
    </fill>
    <fill>
      <patternFill patternType="solid">
        <fgColor rgb="FF000F75"/>
        <bgColor indexed="64"/>
      </patternFill>
    </fill>
    <fill>
      <patternFill patternType="solid">
        <fgColor rgb="FF000F76"/>
        <bgColor indexed="64"/>
      </patternFill>
    </fill>
    <fill>
      <patternFill patternType="solid">
        <fgColor rgb="FF000F77"/>
        <bgColor indexed="64"/>
      </patternFill>
    </fill>
    <fill>
      <patternFill patternType="solid">
        <fgColor rgb="FF000F78"/>
        <bgColor indexed="64"/>
      </patternFill>
    </fill>
    <fill>
      <patternFill patternType="solid">
        <fgColor rgb="FF000F79"/>
        <bgColor indexed="64"/>
      </patternFill>
    </fill>
    <fill>
      <patternFill patternType="solid">
        <fgColor rgb="FF000F7A"/>
        <bgColor indexed="64"/>
      </patternFill>
    </fill>
    <fill>
      <patternFill patternType="solid">
        <fgColor rgb="FF000F7B"/>
        <bgColor indexed="64"/>
      </patternFill>
    </fill>
    <fill>
      <patternFill patternType="solid">
        <fgColor rgb="FF000F7C"/>
        <bgColor indexed="64"/>
      </patternFill>
    </fill>
    <fill>
      <patternFill patternType="solid">
        <fgColor rgb="FF000F7D"/>
        <bgColor indexed="64"/>
      </patternFill>
    </fill>
    <fill>
      <patternFill patternType="solid">
        <fgColor rgb="FF000F7E"/>
        <bgColor indexed="64"/>
      </patternFill>
    </fill>
    <fill>
      <patternFill patternType="solid">
        <fgColor rgb="FF000F7F"/>
        <bgColor indexed="64"/>
      </patternFill>
    </fill>
    <fill>
      <patternFill patternType="solid">
        <fgColor rgb="FF000F80"/>
        <bgColor indexed="64"/>
      </patternFill>
    </fill>
    <fill>
      <patternFill patternType="solid">
        <fgColor rgb="FF000F81"/>
        <bgColor indexed="64"/>
      </patternFill>
    </fill>
    <fill>
      <patternFill patternType="solid">
        <fgColor rgb="FF000F82"/>
        <bgColor indexed="64"/>
      </patternFill>
    </fill>
    <fill>
      <patternFill patternType="solid">
        <fgColor rgb="FF000F83"/>
        <bgColor indexed="64"/>
      </patternFill>
    </fill>
    <fill>
      <patternFill patternType="solid">
        <fgColor rgb="FF000F84"/>
        <bgColor indexed="64"/>
      </patternFill>
    </fill>
    <fill>
      <patternFill patternType="solid">
        <fgColor rgb="FF000F85"/>
        <bgColor indexed="64"/>
      </patternFill>
    </fill>
    <fill>
      <patternFill patternType="solid">
        <fgColor rgb="FF000F86"/>
        <bgColor indexed="64"/>
      </patternFill>
    </fill>
    <fill>
      <patternFill patternType="solid">
        <fgColor rgb="FF000F87"/>
        <bgColor indexed="64"/>
      </patternFill>
    </fill>
    <fill>
      <patternFill patternType="solid">
        <fgColor rgb="FF000F88"/>
        <bgColor indexed="64"/>
      </patternFill>
    </fill>
    <fill>
      <patternFill patternType="solid">
        <fgColor rgb="FF000F89"/>
        <bgColor indexed="64"/>
      </patternFill>
    </fill>
    <fill>
      <patternFill patternType="solid">
        <fgColor rgb="FF000F8A"/>
        <bgColor indexed="64"/>
      </patternFill>
    </fill>
    <fill>
      <patternFill patternType="solid">
        <fgColor rgb="FF000F8B"/>
        <bgColor indexed="64"/>
      </patternFill>
    </fill>
    <fill>
      <patternFill patternType="solid">
        <fgColor rgb="FF000F8C"/>
        <bgColor indexed="64"/>
      </patternFill>
    </fill>
    <fill>
      <patternFill patternType="solid">
        <fgColor rgb="FF000F8D"/>
        <bgColor indexed="64"/>
      </patternFill>
    </fill>
    <fill>
      <patternFill patternType="solid">
        <fgColor rgb="FF000F8E"/>
        <bgColor indexed="64"/>
      </patternFill>
    </fill>
    <fill>
      <patternFill patternType="solid">
        <fgColor rgb="FF000F8F"/>
        <bgColor indexed="64"/>
      </patternFill>
    </fill>
    <fill>
      <patternFill patternType="solid">
        <fgColor rgb="FF000F90"/>
        <bgColor indexed="64"/>
      </patternFill>
    </fill>
    <fill>
      <patternFill patternType="solid">
        <fgColor rgb="FF000F91"/>
        <bgColor indexed="64"/>
      </patternFill>
    </fill>
    <fill>
      <patternFill patternType="solid">
        <fgColor rgb="FF000F92"/>
        <bgColor indexed="64"/>
      </patternFill>
    </fill>
    <fill>
      <patternFill patternType="solid">
        <fgColor rgb="FF000F93"/>
        <bgColor indexed="64"/>
      </patternFill>
    </fill>
    <fill>
      <patternFill patternType="solid">
        <fgColor rgb="FF000F94"/>
        <bgColor indexed="64"/>
      </patternFill>
    </fill>
    <fill>
      <patternFill patternType="solid">
        <fgColor rgb="FF000F95"/>
        <bgColor indexed="64"/>
      </patternFill>
    </fill>
    <fill>
      <patternFill patternType="solid">
        <fgColor rgb="FF000F96"/>
        <bgColor indexed="64"/>
      </patternFill>
    </fill>
    <fill>
      <patternFill patternType="solid">
        <fgColor rgb="FF000F97"/>
        <bgColor indexed="64"/>
      </patternFill>
    </fill>
    <fill>
      <patternFill patternType="solid">
        <fgColor rgb="FF000F98"/>
        <bgColor indexed="64"/>
      </patternFill>
    </fill>
    <fill>
      <patternFill patternType="solid">
        <fgColor rgb="FF000F99"/>
        <bgColor indexed="64"/>
      </patternFill>
    </fill>
    <fill>
      <patternFill patternType="solid">
        <fgColor rgb="FF000F9A"/>
        <bgColor indexed="64"/>
      </patternFill>
    </fill>
    <fill>
      <patternFill patternType="solid">
        <fgColor rgb="FF000F9B"/>
        <bgColor indexed="64"/>
      </patternFill>
    </fill>
    <fill>
      <patternFill patternType="solid">
        <fgColor rgb="FF000F9C"/>
        <bgColor indexed="64"/>
      </patternFill>
    </fill>
    <fill>
      <patternFill patternType="solid">
        <fgColor rgb="FF000F9D"/>
        <bgColor indexed="64"/>
      </patternFill>
    </fill>
    <fill>
      <patternFill patternType="solid">
        <fgColor rgb="FF000F9E"/>
        <bgColor indexed="64"/>
      </patternFill>
    </fill>
    <fill>
      <patternFill patternType="solid">
        <fgColor rgb="FF000F9F"/>
        <bgColor indexed="64"/>
      </patternFill>
    </fill>
    <fill>
      <patternFill patternType="solid">
        <fgColor rgb="FF000FA0"/>
        <bgColor indexed="64"/>
      </patternFill>
    </fill>
    <fill>
      <patternFill patternType="solid">
        <fgColor rgb="FF000FA1"/>
        <bgColor indexed="64"/>
      </patternFill>
    </fill>
    <fill>
      <patternFill patternType="solid">
        <fgColor rgb="FF000FA2"/>
        <bgColor indexed="64"/>
      </patternFill>
    </fill>
    <fill>
      <patternFill patternType="solid">
        <fgColor rgb="FF000FA3"/>
        <bgColor indexed="64"/>
      </patternFill>
    </fill>
    <fill>
      <patternFill patternType="solid">
        <fgColor rgb="FF000FA4"/>
        <bgColor indexed="64"/>
      </patternFill>
    </fill>
    <fill>
      <patternFill patternType="solid">
        <fgColor rgb="FF000FA5"/>
        <bgColor indexed="64"/>
      </patternFill>
    </fill>
    <fill>
      <patternFill patternType="solid">
        <fgColor rgb="FF000FA6"/>
        <bgColor indexed="64"/>
      </patternFill>
    </fill>
    <fill>
      <patternFill patternType="solid">
        <fgColor rgb="FF000FA7"/>
        <bgColor indexed="64"/>
      </patternFill>
    </fill>
    <fill>
      <patternFill patternType="solid">
        <fgColor rgb="FF000FA8"/>
        <bgColor indexed="64"/>
      </patternFill>
    </fill>
    <fill>
      <patternFill patternType="solid">
        <fgColor rgb="FF000FA9"/>
        <bgColor indexed="64"/>
      </patternFill>
    </fill>
    <fill>
      <patternFill patternType="solid">
        <fgColor rgb="FF000FAA"/>
        <bgColor indexed="64"/>
      </patternFill>
    </fill>
    <fill>
      <patternFill patternType="solid">
        <fgColor rgb="FF000FAB"/>
        <bgColor indexed="64"/>
      </patternFill>
    </fill>
    <fill>
      <patternFill patternType="solid">
        <fgColor rgb="FF000FAC"/>
        <bgColor indexed="64"/>
      </patternFill>
    </fill>
    <fill>
      <patternFill patternType="solid">
        <fgColor rgb="FF000FAD"/>
        <bgColor indexed="64"/>
      </patternFill>
    </fill>
    <fill>
      <patternFill patternType="solid">
        <fgColor rgb="FF000FAE"/>
        <bgColor indexed="64"/>
      </patternFill>
    </fill>
    <fill>
      <patternFill patternType="solid">
        <fgColor rgb="FF000FAF"/>
        <bgColor indexed="64"/>
      </patternFill>
    </fill>
    <fill>
      <patternFill patternType="solid">
        <fgColor rgb="FF000FB0"/>
        <bgColor indexed="64"/>
      </patternFill>
    </fill>
    <fill>
      <patternFill patternType="solid">
        <fgColor rgb="FF000FB1"/>
        <bgColor indexed="64"/>
      </patternFill>
    </fill>
    <fill>
      <patternFill patternType="solid">
        <fgColor rgb="FF000FB2"/>
        <bgColor indexed="64"/>
      </patternFill>
    </fill>
    <fill>
      <patternFill patternType="solid">
        <fgColor rgb="FF000FB3"/>
        <bgColor indexed="64"/>
      </patternFill>
    </fill>
    <fill>
      <patternFill patternType="solid">
        <fgColor rgb="FF000FB4"/>
        <bgColor indexed="64"/>
      </patternFill>
    </fill>
    <fill>
      <patternFill patternType="solid">
        <fgColor rgb="FF000FB5"/>
        <bgColor indexed="64"/>
      </patternFill>
    </fill>
    <fill>
      <patternFill patternType="solid">
        <fgColor rgb="FF000FB6"/>
        <bgColor indexed="64"/>
      </patternFill>
    </fill>
    <fill>
      <patternFill patternType="solid">
        <fgColor rgb="FF000FB7"/>
        <bgColor indexed="64"/>
      </patternFill>
    </fill>
    <fill>
      <patternFill patternType="solid">
        <fgColor rgb="FF000FB8"/>
        <bgColor indexed="64"/>
      </patternFill>
    </fill>
    <fill>
      <patternFill patternType="solid">
        <fgColor rgb="FF000FB9"/>
        <bgColor indexed="64"/>
      </patternFill>
    </fill>
    <fill>
      <patternFill patternType="solid">
        <fgColor rgb="FF000FBA"/>
        <bgColor indexed="64"/>
      </patternFill>
    </fill>
    <fill>
      <patternFill patternType="solid">
        <fgColor rgb="FF000FBB"/>
        <bgColor indexed="64"/>
      </patternFill>
    </fill>
    <fill>
      <patternFill patternType="solid">
        <fgColor rgb="FF000FBC"/>
        <bgColor indexed="64"/>
      </patternFill>
    </fill>
    <fill>
      <patternFill patternType="solid">
        <fgColor rgb="FF000FBD"/>
        <bgColor indexed="64"/>
      </patternFill>
    </fill>
    <fill>
      <patternFill patternType="solid">
        <fgColor rgb="FF000FBE"/>
        <bgColor indexed="64"/>
      </patternFill>
    </fill>
    <fill>
      <patternFill patternType="solid">
        <fgColor rgb="FF000FBF"/>
        <bgColor indexed="64"/>
      </patternFill>
    </fill>
    <fill>
      <patternFill patternType="solid">
        <fgColor rgb="FF000FC0"/>
        <bgColor indexed="64"/>
      </patternFill>
    </fill>
    <fill>
      <patternFill patternType="solid">
        <fgColor rgb="FF000FC1"/>
        <bgColor indexed="64"/>
      </patternFill>
    </fill>
    <fill>
      <patternFill patternType="solid">
        <fgColor rgb="FF000FC2"/>
        <bgColor indexed="64"/>
      </patternFill>
    </fill>
    <fill>
      <patternFill patternType="solid">
        <fgColor rgb="FF000FC3"/>
        <bgColor indexed="64"/>
      </patternFill>
    </fill>
    <fill>
      <patternFill patternType="solid">
        <fgColor rgb="FF000FC4"/>
        <bgColor indexed="64"/>
      </patternFill>
    </fill>
    <fill>
      <patternFill patternType="solid">
        <fgColor rgb="FF000FC5"/>
        <bgColor indexed="64"/>
      </patternFill>
    </fill>
    <fill>
      <patternFill patternType="solid">
        <fgColor rgb="FF000FC6"/>
        <bgColor indexed="64"/>
      </patternFill>
    </fill>
    <fill>
      <patternFill patternType="solid">
        <fgColor rgb="FF000FC7"/>
        <bgColor indexed="64"/>
      </patternFill>
    </fill>
    <fill>
      <patternFill patternType="solid">
        <fgColor rgb="FF000FC8"/>
        <bgColor indexed="64"/>
      </patternFill>
    </fill>
    <fill>
      <patternFill patternType="solid">
        <fgColor rgb="FF000FC9"/>
        <bgColor indexed="64"/>
      </patternFill>
    </fill>
    <fill>
      <patternFill patternType="solid">
        <fgColor rgb="FF000FCA"/>
        <bgColor indexed="64"/>
      </patternFill>
    </fill>
    <fill>
      <patternFill patternType="solid">
        <fgColor rgb="FF000FCB"/>
        <bgColor indexed="64"/>
      </patternFill>
    </fill>
    <fill>
      <patternFill patternType="solid">
        <fgColor rgb="FF000FCC"/>
        <bgColor indexed="64"/>
      </patternFill>
    </fill>
    <fill>
      <patternFill patternType="solid">
        <fgColor rgb="FF000FCD"/>
        <bgColor indexed="64"/>
      </patternFill>
    </fill>
    <fill>
      <patternFill patternType="solid">
        <fgColor rgb="FF000FCE"/>
        <bgColor indexed="64"/>
      </patternFill>
    </fill>
    <fill>
      <patternFill patternType="solid">
        <fgColor rgb="FF000FCF"/>
        <bgColor indexed="64"/>
      </patternFill>
    </fill>
    <fill>
      <patternFill patternType="solid">
        <fgColor rgb="FF000FD0"/>
        <bgColor indexed="64"/>
      </patternFill>
    </fill>
    <fill>
      <patternFill patternType="solid">
        <fgColor rgb="FF000FD1"/>
        <bgColor indexed="64"/>
      </patternFill>
    </fill>
    <fill>
      <patternFill patternType="solid">
        <fgColor rgb="FF000FD2"/>
        <bgColor indexed="64"/>
      </patternFill>
    </fill>
    <fill>
      <patternFill patternType="solid">
        <fgColor rgb="FF000FD3"/>
        <bgColor indexed="64"/>
      </patternFill>
    </fill>
    <fill>
      <patternFill patternType="solid">
        <fgColor rgb="FF000FD4"/>
        <bgColor indexed="64"/>
      </patternFill>
    </fill>
    <fill>
      <patternFill patternType="solid">
        <fgColor rgb="FF000FD5"/>
        <bgColor indexed="64"/>
      </patternFill>
    </fill>
    <fill>
      <patternFill patternType="solid">
        <fgColor rgb="FF000FD6"/>
        <bgColor indexed="64"/>
      </patternFill>
    </fill>
    <fill>
      <patternFill patternType="solid">
        <fgColor rgb="FF000FD7"/>
        <bgColor indexed="64"/>
      </patternFill>
    </fill>
    <fill>
      <patternFill patternType="solid">
        <fgColor rgb="FF000FD8"/>
        <bgColor indexed="64"/>
      </patternFill>
    </fill>
    <fill>
      <patternFill patternType="solid">
        <fgColor rgb="FF000FD9"/>
        <bgColor indexed="64"/>
      </patternFill>
    </fill>
    <fill>
      <patternFill patternType="solid">
        <fgColor rgb="FF000FDA"/>
        <bgColor indexed="64"/>
      </patternFill>
    </fill>
    <fill>
      <patternFill patternType="solid">
        <fgColor rgb="FF000FDB"/>
        <bgColor indexed="64"/>
      </patternFill>
    </fill>
    <fill>
      <patternFill patternType="solid">
        <fgColor rgb="FF000FDC"/>
        <bgColor indexed="64"/>
      </patternFill>
    </fill>
    <fill>
      <patternFill patternType="solid">
        <fgColor rgb="FF000FDD"/>
        <bgColor indexed="64"/>
      </patternFill>
    </fill>
    <fill>
      <patternFill patternType="solid">
        <fgColor rgb="FF000FDE"/>
        <bgColor indexed="64"/>
      </patternFill>
    </fill>
    <fill>
      <patternFill patternType="solid">
        <fgColor rgb="FF000FDF"/>
        <bgColor indexed="64"/>
      </patternFill>
    </fill>
    <fill>
      <patternFill patternType="solid">
        <fgColor rgb="FF000FE0"/>
        <bgColor indexed="64"/>
      </patternFill>
    </fill>
    <fill>
      <patternFill patternType="solid">
        <fgColor rgb="FF000FE1"/>
        <bgColor indexed="64"/>
      </patternFill>
    </fill>
    <fill>
      <patternFill patternType="solid">
        <fgColor rgb="FF000FE2"/>
        <bgColor indexed="64"/>
      </patternFill>
    </fill>
    <fill>
      <patternFill patternType="solid">
        <fgColor rgb="FF000FE3"/>
        <bgColor indexed="64"/>
      </patternFill>
    </fill>
    <fill>
      <patternFill patternType="solid">
        <fgColor rgb="FF000FE4"/>
        <bgColor indexed="64"/>
      </patternFill>
    </fill>
    <fill>
      <patternFill patternType="solid">
        <fgColor rgb="FF000FE5"/>
        <bgColor indexed="64"/>
      </patternFill>
    </fill>
    <fill>
      <patternFill patternType="solid">
        <fgColor rgb="FF000FE6"/>
        <bgColor indexed="64"/>
      </patternFill>
    </fill>
    <fill>
      <patternFill patternType="solid">
        <fgColor rgb="FF000FE7"/>
        <bgColor indexed="64"/>
      </patternFill>
    </fill>
    <fill>
      <patternFill patternType="solid">
        <fgColor rgb="FF000FE8"/>
        <bgColor indexed="64"/>
      </patternFill>
    </fill>
    <fill>
      <patternFill patternType="solid">
        <fgColor rgb="FF000FE9"/>
        <bgColor indexed="64"/>
      </patternFill>
    </fill>
    <fill>
      <patternFill patternType="solid">
        <fgColor rgb="FF000FEA"/>
        <bgColor indexed="64"/>
      </patternFill>
    </fill>
    <fill>
      <patternFill patternType="solid">
        <fgColor rgb="FF000FEB"/>
        <bgColor indexed="64"/>
      </patternFill>
    </fill>
    <fill>
      <patternFill patternType="solid">
        <fgColor rgb="FF000FEC"/>
        <bgColor indexed="64"/>
      </patternFill>
    </fill>
    <fill>
      <patternFill patternType="solid">
        <fgColor rgb="FF000FED"/>
        <bgColor indexed="64"/>
      </patternFill>
    </fill>
    <fill>
      <patternFill patternType="solid">
        <fgColor rgb="FF000FEE"/>
        <bgColor indexed="64"/>
      </patternFill>
    </fill>
    <fill>
      <patternFill patternType="solid">
        <fgColor rgb="FF000FEF"/>
        <bgColor indexed="64"/>
      </patternFill>
    </fill>
    <fill>
      <patternFill patternType="solid">
        <fgColor rgb="FF000FF0"/>
        <bgColor indexed="64"/>
      </patternFill>
    </fill>
    <fill>
      <patternFill patternType="solid">
        <fgColor rgb="FF000FF1"/>
        <bgColor indexed="64"/>
      </patternFill>
    </fill>
    <fill>
      <patternFill patternType="solid">
        <fgColor rgb="FF000FF2"/>
        <bgColor indexed="64"/>
      </patternFill>
    </fill>
    <fill>
      <patternFill patternType="solid">
        <fgColor rgb="FF000FF3"/>
        <bgColor indexed="64"/>
      </patternFill>
    </fill>
    <fill>
      <patternFill patternType="solid">
        <fgColor rgb="FF000FF4"/>
        <bgColor indexed="64"/>
      </patternFill>
    </fill>
    <fill>
      <patternFill patternType="solid">
        <fgColor rgb="FF000FF5"/>
        <bgColor indexed="64"/>
      </patternFill>
    </fill>
    <fill>
      <patternFill patternType="solid">
        <fgColor rgb="FF000FF6"/>
        <bgColor indexed="64"/>
      </patternFill>
    </fill>
    <fill>
      <patternFill patternType="solid">
        <fgColor rgb="FF000FF7"/>
        <bgColor indexed="64"/>
      </patternFill>
    </fill>
    <fill>
      <patternFill patternType="solid">
        <fgColor rgb="FF000FF8"/>
        <bgColor indexed="64"/>
      </patternFill>
    </fill>
    <fill>
      <patternFill patternType="solid">
        <fgColor rgb="FF000FF9"/>
        <bgColor indexed="64"/>
      </patternFill>
    </fill>
    <fill>
      <patternFill patternType="solid">
        <fgColor rgb="FF000FFA"/>
        <bgColor indexed="64"/>
      </patternFill>
    </fill>
    <fill>
      <patternFill patternType="solid">
        <fgColor rgb="FF000FFB"/>
        <bgColor indexed="64"/>
      </patternFill>
    </fill>
    <fill>
      <patternFill patternType="solid">
        <fgColor rgb="FF000FFC"/>
        <bgColor indexed="64"/>
      </patternFill>
    </fill>
    <fill>
      <patternFill patternType="solid">
        <fgColor rgb="FF000FFD"/>
        <bgColor indexed="64"/>
      </patternFill>
    </fill>
    <fill>
      <patternFill patternType="solid">
        <fgColor rgb="FF000FFE"/>
        <bgColor indexed="64"/>
      </patternFill>
    </fill>
    <fill>
      <patternFill patternType="solid">
        <fgColor rgb="FF000FFF"/>
        <bgColor indexed="64"/>
      </patternFill>
    </fill>
    <fill>
      <patternFill patternType="solid">
        <fgColor rgb="FF001000"/>
        <bgColor indexed="64"/>
      </patternFill>
    </fill>
    <fill>
      <patternFill patternType="solid">
        <fgColor rgb="FF001001"/>
        <bgColor indexed="64"/>
      </patternFill>
    </fill>
    <fill>
      <patternFill patternType="solid">
        <fgColor rgb="FF001002"/>
        <bgColor indexed="64"/>
      </patternFill>
    </fill>
    <fill>
      <patternFill patternType="solid">
        <fgColor rgb="FF001003"/>
        <bgColor indexed="64"/>
      </patternFill>
    </fill>
    <fill>
      <patternFill patternType="solid">
        <fgColor rgb="FF001004"/>
        <bgColor indexed="64"/>
      </patternFill>
    </fill>
    <fill>
      <patternFill patternType="solid">
        <fgColor rgb="FF001005"/>
        <bgColor indexed="64"/>
      </patternFill>
    </fill>
    <fill>
      <patternFill patternType="solid">
        <fgColor rgb="FF001006"/>
        <bgColor indexed="64"/>
      </patternFill>
    </fill>
    <fill>
      <patternFill patternType="solid">
        <fgColor rgb="FF001007"/>
        <bgColor indexed="64"/>
      </patternFill>
    </fill>
    <fill>
      <patternFill patternType="solid">
        <fgColor rgb="FF001008"/>
        <bgColor indexed="64"/>
      </patternFill>
    </fill>
    <fill>
      <patternFill patternType="solid">
        <fgColor rgb="FF001009"/>
        <bgColor indexed="64"/>
      </patternFill>
    </fill>
    <fill>
      <patternFill patternType="solid">
        <fgColor rgb="FF00100A"/>
        <bgColor indexed="64"/>
      </patternFill>
    </fill>
    <fill>
      <patternFill patternType="solid">
        <fgColor rgb="FF00100B"/>
        <bgColor indexed="64"/>
      </patternFill>
    </fill>
    <fill>
      <patternFill patternType="solid">
        <fgColor rgb="FF00100C"/>
        <bgColor indexed="64"/>
      </patternFill>
    </fill>
    <fill>
      <patternFill patternType="solid">
        <fgColor rgb="FF00100D"/>
        <bgColor indexed="64"/>
      </patternFill>
    </fill>
    <fill>
      <patternFill patternType="solid">
        <fgColor rgb="FF00100E"/>
        <bgColor indexed="64"/>
      </patternFill>
    </fill>
    <fill>
      <patternFill patternType="solid">
        <fgColor rgb="FF00100F"/>
        <bgColor indexed="64"/>
      </patternFill>
    </fill>
    <fill>
      <patternFill patternType="solid">
        <fgColor rgb="FF001010"/>
        <bgColor indexed="64"/>
      </patternFill>
    </fill>
    <fill>
      <patternFill patternType="solid">
        <fgColor rgb="FF001011"/>
        <bgColor indexed="64"/>
      </patternFill>
    </fill>
    <fill>
      <patternFill patternType="solid">
        <fgColor rgb="FF001012"/>
        <bgColor indexed="64"/>
      </patternFill>
    </fill>
    <fill>
      <patternFill patternType="solid">
        <fgColor rgb="FF001013"/>
        <bgColor indexed="64"/>
      </patternFill>
    </fill>
    <fill>
      <patternFill patternType="solid">
        <fgColor rgb="FF001014"/>
        <bgColor indexed="64"/>
      </patternFill>
    </fill>
    <fill>
      <patternFill patternType="solid">
        <fgColor rgb="FF001015"/>
        <bgColor indexed="64"/>
      </patternFill>
    </fill>
    <fill>
      <patternFill patternType="solid">
        <fgColor rgb="FF001016"/>
        <bgColor indexed="64"/>
      </patternFill>
    </fill>
    <fill>
      <patternFill patternType="solid">
        <fgColor rgb="FF001017"/>
        <bgColor indexed="64"/>
      </patternFill>
    </fill>
    <fill>
      <patternFill patternType="solid">
        <fgColor rgb="FF001018"/>
        <bgColor indexed="64"/>
      </patternFill>
    </fill>
    <fill>
      <patternFill patternType="solid">
        <fgColor rgb="FF001019"/>
        <bgColor indexed="64"/>
      </patternFill>
    </fill>
    <fill>
      <patternFill patternType="solid">
        <fgColor rgb="FF00101A"/>
        <bgColor indexed="64"/>
      </patternFill>
    </fill>
    <fill>
      <patternFill patternType="solid">
        <fgColor rgb="FF00101B"/>
        <bgColor indexed="64"/>
      </patternFill>
    </fill>
    <fill>
      <patternFill patternType="solid">
        <fgColor rgb="FF00101C"/>
        <bgColor indexed="64"/>
      </patternFill>
    </fill>
    <fill>
      <patternFill patternType="solid">
        <fgColor rgb="FF00101D"/>
        <bgColor indexed="64"/>
      </patternFill>
    </fill>
    <fill>
      <patternFill patternType="solid">
        <fgColor rgb="FF00101E"/>
        <bgColor indexed="64"/>
      </patternFill>
    </fill>
    <fill>
      <patternFill patternType="solid">
        <fgColor rgb="FF00101F"/>
        <bgColor indexed="64"/>
      </patternFill>
    </fill>
    <fill>
      <patternFill patternType="solid">
        <fgColor rgb="FF001020"/>
        <bgColor indexed="64"/>
      </patternFill>
    </fill>
    <fill>
      <patternFill patternType="solid">
        <fgColor rgb="FF001021"/>
        <bgColor indexed="64"/>
      </patternFill>
    </fill>
    <fill>
      <patternFill patternType="solid">
        <fgColor rgb="FF001022"/>
        <bgColor indexed="64"/>
      </patternFill>
    </fill>
    <fill>
      <patternFill patternType="solid">
        <fgColor rgb="FF001023"/>
        <bgColor indexed="64"/>
      </patternFill>
    </fill>
    <fill>
      <patternFill patternType="solid">
        <fgColor rgb="FF001024"/>
        <bgColor indexed="64"/>
      </patternFill>
    </fill>
    <fill>
      <patternFill patternType="solid">
        <fgColor rgb="FF001025"/>
        <bgColor indexed="64"/>
      </patternFill>
    </fill>
    <fill>
      <patternFill patternType="solid">
        <fgColor rgb="FF001026"/>
        <bgColor indexed="64"/>
      </patternFill>
    </fill>
    <fill>
      <patternFill patternType="solid">
        <fgColor rgb="FF001027"/>
        <bgColor indexed="64"/>
      </patternFill>
    </fill>
    <fill>
      <patternFill patternType="solid">
        <fgColor rgb="FF001028"/>
        <bgColor indexed="64"/>
      </patternFill>
    </fill>
    <fill>
      <patternFill patternType="solid">
        <fgColor rgb="FF001029"/>
        <bgColor indexed="64"/>
      </patternFill>
    </fill>
    <fill>
      <patternFill patternType="solid">
        <fgColor rgb="FF00102A"/>
        <bgColor indexed="64"/>
      </patternFill>
    </fill>
    <fill>
      <patternFill patternType="solid">
        <fgColor rgb="FF00102B"/>
        <bgColor indexed="64"/>
      </patternFill>
    </fill>
    <fill>
      <patternFill patternType="solid">
        <fgColor rgb="FF00102C"/>
        <bgColor indexed="64"/>
      </patternFill>
    </fill>
    <fill>
      <patternFill patternType="solid">
        <fgColor rgb="FF00102D"/>
        <bgColor indexed="64"/>
      </patternFill>
    </fill>
    <fill>
      <patternFill patternType="solid">
        <fgColor rgb="FF00102E"/>
        <bgColor indexed="64"/>
      </patternFill>
    </fill>
    <fill>
      <patternFill patternType="solid">
        <fgColor rgb="FF00102F"/>
        <bgColor indexed="64"/>
      </patternFill>
    </fill>
    <fill>
      <patternFill patternType="solid">
        <fgColor rgb="FF001030"/>
        <bgColor indexed="64"/>
      </patternFill>
    </fill>
    <fill>
      <patternFill patternType="solid">
        <fgColor rgb="FF001031"/>
        <bgColor indexed="64"/>
      </patternFill>
    </fill>
    <fill>
      <patternFill patternType="solid">
        <fgColor rgb="FF001032"/>
        <bgColor indexed="64"/>
      </patternFill>
    </fill>
    <fill>
      <patternFill patternType="solid">
        <fgColor rgb="FF001033"/>
        <bgColor indexed="64"/>
      </patternFill>
    </fill>
    <fill>
      <patternFill patternType="solid">
        <fgColor rgb="FF001034"/>
        <bgColor indexed="64"/>
      </patternFill>
    </fill>
    <fill>
      <patternFill patternType="solid">
        <fgColor rgb="FF001035"/>
        <bgColor indexed="64"/>
      </patternFill>
    </fill>
    <fill>
      <patternFill patternType="solid">
        <fgColor rgb="FF001036"/>
        <bgColor indexed="64"/>
      </patternFill>
    </fill>
    <fill>
      <patternFill patternType="solid">
        <fgColor rgb="FF001037"/>
        <bgColor indexed="64"/>
      </patternFill>
    </fill>
    <fill>
      <patternFill patternType="solid">
        <fgColor rgb="FF001038"/>
        <bgColor indexed="64"/>
      </patternFill>
    </fill>
    <fill>
      <patternFill patternType="solid">
        <fgColor rgb="FF001039"/>
        <bgColor indexed="64"/>
      </patternFill>
    </fill>
    <fill>
      <patternFill patternType="solid">
        <fgColor rgb="FF00103A"/>
        <bgColor indexed="64"/>
      </patternFill>
    </fill>
    <fill>
      <patternFill patternType="solid">
        <fgColor rgb="FF00103B"/>
        <bgColor indexed="64"/>
      </patternFill>
    </fill>
    <fill>
      <patternFill patternType="solid">
        <fgColor rgb="FF00103C"/>
        <bgColor indexed="64"/>
      </patternFill>
    </fill>
    <fill>
      <patternFill patternType="solid">
        <fgColor rgb="FF00103D"/>
        <bgColor indexed="64"/>
      </patternFill>
    </fill>
    <fill>
      <patternFill patternType="solid">
        <fgColor rgb="FF00103E"/>
        <bgColor indexed="64"/>
      </patternFill>
    </fill>
    <fill>
      <patternFill patternType="solid">
        <fgColor rgb="FF00103F"/>
        <bgColor indexed="64"/>
      </patternFill>
    </fill>
    <fill>
      <patternFill patternType="solid">
        <fgColor rgb="FF001040"/>
        <bgColor indexed="64"/>
      </patternFill>
    </fill>
    <fill>
      <patternFill patternType="solid">
        <fgColor rgb="FF001041"/>
        <bgColor indexed="64"/>
      </patternFill>
    </fill>
    <fill>
      <patternFill patternType="solid">
        <fgColor rgb="FF001042"/>
        <bgColor indexed="64"/>
      </patternFill>
    </fill>
    <fill>
      <patternFill patternType="solid">
        <fgColor rgb="FF001043"/>
        <bgColor indexed="64"/>
      </patternFill>
    </fill>
    <fill>
      <patternFill patternType="solid">
        <fgColor rgb="FF001044"/>
        <bgColor indexed="64"/>
      </patternFill>
    </fill>
    <fill>
      <patternFill patternType="solid">
        <fgColor rgb="FF001045"/>
        <bgColor indexed="64"/>
      </patternFill>
    </fill>
    <fill>
      <patternFill patternType="solid">
        <fgColor rgb="FF001046"/>
        <bgColor indexed="64"/>
      </patternFill>
    </fill>
    <fill>
      <patternFill patternType="solid">
        <fgColor rgb="FF001047"/>
        <bgColor indexed="64"/>
      </patternFill>
    </fill>
    <fill>
      <patternFill patternType="solid">
        <fgColor rgb="FF001048"/>
        <bgColor indexed="64"/>
      </patternFill>
    </fill>
    <fill>
      <patternFill patternType="solid">
        <fgColor rgb="FF001049"/>
        <bgColor indexed="64"/>
      </patternFill>
    </fill>
    <fill>
      <patternFill patternType="solid">
        <fgColor rgb="FF00104A"/>
        <bgColor indexed="64"/>
      </patternFill>
    </fill>
    <fill>
      <patternFill patternType="solid">
        <fgColor rgb="FF00104B"/>
        <bgColor indexed="64"/>
      </patternFill>
    </fill>
    <fill>
      <patternFill patternType="solid">
        <fgColor rgb="FF00104C"/>
        <bgColor indexed="64"/>
      </patternFill>
    </fill>
    <fill>
      <patternFill patternType="solid">
        <fgColor rgb="FF00104D"/>
        <bgColor indexed="64"/>
      </patternFill>
    </fill>
    <fill>
      <patternFill patternType="solid">
        <fgColor rgb="FF00104E"/>
        <bgColor indexed="64"/>
      </patternFill>
    </fill>
    <fill>
      <patternFill patternType="solid">
        <fgColor rgb="FF00104F"/>
        <bgColor indexed="64"/>
      </patternFill>
    </fill>
    <fill>
      <patternFill patternType="solid">
        <fgColor rgb="FF001050"/>
        <bgColor indexed="64"/>
      </patternFill>
    </fill>
    <fill>
      <patternFill patternType="solid">
        <fgColor rgb="FF001051"/>
        <bgColor indexed="64"/>
      </patternFill>
    </fill>
    <fill>
      <patternFill patternType="solid">
        <fgColor rgb="FF001052"/>
        <bgColor indexed="64"/>
      </patternFill>
    </fill>
    <fill>
      <patternFill patternType="solid">
        <fgColor rgb="FF001053"/>
        <bgColor indexed="64"/>
      </patternFill>
    </fill>
    <fill>
      <patternFill patternType="solid">
        <fgColor rgb="FF001054"/>
        <bgColor indexed="64"/>
      </patternFill>
    </fill>
    <fill>
      <patternFill patternType="solid">
        <fgColor rgb="FF001055"/>
        <bgColor indexed="64"/>
      </patternFill>
    </fill>
    <fill>
      <patternFill patternType="solid">
        <fgColor rgb="FF001056"/>
        <bgColor indexed="64"/>
      </patternFill>
    </fill>
    <fill>
      <patternFill patternType="solid">
        <fgColor rgb="FF001057"/>
        <bgColor indexed="64"/>
      </patternFill>
    </fill>
    <fill>
      <patternFill patternType="solid">
        <fgColor rgb="FF001058"/>
        <bgColor indexed="64"/>
      </patternFill>
    </fill>
    <fill>
      <patternFill patternType="solid">
        <fgColor rgb="FF001059"/>
        <bgColor indexed="64"/>
      </patternFill>
    </fill>
    <fill>
      <patternFill patternType="solid">
        <fgColor rgb="FF00105A"/>
        <bgColor indexed="64"/>
      </patternFill>
    </fill>
    <fill>
      <patternFill patternType="solid">
        <fgColor rgb="FF00105B"/>
        <bgColor indexed="64"/>
      </patternFill>
    </fill>
    <fill>
      <patternFill patternType="solid">
        <fgColor rgb="FF00105C"/>
        <bgColor indexed="64"/>
      </patternFill>
    </fill>
    <fill>
      <patternFill patternType="solid">
        <fgColor rgb="FF00105D"/>
        <bgColor indexed="64"/>
      </patternFill>
    </fill>
    <fill>
      <patternFill patternType="solid">
        <fgColor rgb="FF00105E"/>
        <bgColor indexed="64"/>
      </patternFill>
    </fill>
    <fill>
      <patternFill patternType="solid">
        <fgColor rgb="FF00105F"/>
        <bgColor indexed="64"/>
      </patternFill>
    </fill>
    <fill>
      <patternFill patternType="solid">
        <fgColor rgb="FF001060"/>
        <bgColor indexed="64"/>
      </patternFill>
    </fill>
    <fill>
      <patternFill patternType="solid">
        <fgColor rgb="FF001061"/>
        <bgColor indexed="64"/>
      </patternFill>
    </fill>
    <fill>
      <patternFill patternType="solid">
        <fgColor rgb="FF001062"/>
        <bgColor indexed="64"/>
      </patternFill>
    </fill>
    <fill>
      <patternFill patternType="solid">
        <fgColor rgb="FF001063"/>
        <bgColor indexed="64"/>
      </patternFill>
    </fill>
    <fill>
      <patternFill patternType="solid">
        <fgColor rgb="FF001064"/>
        <bgColor indexed="64"/>
      </patternFill>
    </fill>
    <fill>
      <patternFill patternType="solid">
        <fgColor rgb="FF001065"/>
        <bgColor indexed="64"/>
      </patternFill>
    </fill>
    <fill>
      <patternFill patternType="solid">
        <fgColor rgb="FF001066"/>
        <bgColor indexed="64"/>
      </patternFill>
    </fill>
    <fill>
      <patternFill patternType="solid">
        <fgColor rgb="FF001067"/>
        <bgColor indexed="64"/>
      </patternFill>
    </fill>
    <fill>
      <patternFill patternType="solid">
        <fgColor rgb="FF001068"/>
        <bgColor indexed="64"/>
      </patternFill>
    </fill>
    <fill>
      <patternFill patternType="solid">
        <fgColor rgb="FF001069"/>
        <bgColor indexed="64"/>
      </patternFill>
    </fill>
    <fill>
      <patternFill patternType="solid">
        <fgColor rgb="FF00106A"/>
        <bgColor indexed="64"/>
      </patternFill>
    </fill>
    <fill>
      <patternFill patternType="solid">
        <fgColor rgb="FF00106B"/>
        <bgColor indexed="64"/>
      </patternFill>
    </fill>
    <fill>
      <patternFill patternType="solid">
        <fgColor rgb="FF00106C"/>
        <bgColor indexed="64"/>
      </patternFill>
    </fill>
    <fill>
      <patternFill patternType="solid">
        <fgColor rgb="FF00106D"/>
        <bgColor indexed="64"/>
      </patternFill>
    </fill>
    <fill>
      <patternFill patternType="solid">
        <fgColor rgb="FF00106E"/>
        <bgColor indexed="64"/>
      </patternFill>
    </fill>
    <fill>
      <patternFill patternType="solid">
        <fgColor rgb="FF00106F"/>
        <bgColor indexed="64"/>
      </patternFill>
    </fill>
    <fill>
      <patternFill patternType="solid">
        <fgColor rgb="FF001070"/>
        <bgColor indexed="64"/>
      </patternFill>
    </fill>
    <fill>
      <patternFill patternType="solid">
        <fgColor rgb="FF001071"/>
        <bgColor indexed="64"/>
      </patternFill>
    </fill>
    <fill>
      <patternFill patternType="solid">
        <fgColor rgb="FF001072"/>
        <bgColor indexed="64"/>
      </patternFill>
    </fill>
    <fill>
      <patternFill patternType="solid">
        <fgColor rgb="FF001073"/>
        <bgColor indexed="64"/>
      </patternFill>
    </fill>
    <fill>
      <patternFill patternType="solid">
        <fgColor rgb="FF001074"/>
        <bgColor indexed="64"/>
      </patternFill>
    </fill>
    <fill>
      <patternFill patternType="solid">
        <fgColor rgb="FF001075"/>
        <bgColor indexed="64"/>
      </patternFill>
    </fill>
    <fill>
      <patternFill patternType="solid">
        <fgColor rgb="FF001076"/>
        <bgColor indexed="64"/>
      </patternFill>
    </fill>
    <fill>
      <patternFill patternType="solid">
        <fgColor rgb="FF001077"/>
        <bgColor indexed="64"/>
      </patternFill>
    </fill>
    <fill>
      <patternFill patternType="solid">
        <fgColor rgb="FF001078"/>
        <bgColor indexed="64"/>
      </patternFill>
    </fill>
    <fill>
      <patternFill patternType="solid">
        <fgColor rgb="FF001079"/>
        <bgColor indexed="64"/>
      </patternFill>
    </fill>
    <fill>
      <patternFill patternType="solid">
        <fgColor rgb="FF00107A"/>
        <bgColor indexed="64"/>
      </patternFill>
    </fill>
    <fill>
      <patternFill patternType="solid">
        <fgColor rgb="FF00107B"/>
        <bgColor indexed="64"/>
      </patternFill>
    </fill>
    <fill>
      <patternFill patternType="solid">
        <fgColor rgb="FF00107C"/>
        <bgColor indexed="64"/>
      </patternFill>
    </fill>
    <fill>
      <patternFill patternType="solid">
        <fgColor rgb="FF00107D"/>
        <bgColor indexed="64"/>
      </patternFill>
    </fill>
    <fill>
      <patternFill patternType="solid">
        <fgColor rgb="FF00107E"/>
        <bgColor indexed="64"/>
      </patternFill>
    </fill>
    <fill>
      <patternFill patternType="solid">
        <fgColor rgb="FF00107F"/>
        <bgColor indexed="64"/>
      </patternFill>
    </fill>
    <fill>
      <patternFill patternType="solid">
        <fgColor rgb="FF001080"/>
        <bgColor indexed="64"/>
      </patternFill>
    </fill>
    <fill>
      <patternFill patternType="solid">
        <fgColor rgb="FF001081"/>
        <bgColor indexed="64"/>
      </patternFill>
    </fill>
    <fill>
      <patternFill patternType="solid">
        <fgColor rgb="FF001082"/>
        <bgColor indexed="64"/>
      </patternFill>
    </fill>
    <fill>
      <patternFill patternType="solid">
        <fgColor rgb="FF001083"/>
        <bgColor indexed="64"/>
      </patternFill>
    </fill>
    <fill>
      <patternFill patternType="solid">
        <fgColor rgb="FF001084"/>
        <bgColor indexed="64"/>
      </patternFill>
    </fill>
    <fill>
      <patternFill patternType="solid">
        <fgColor rgb="FF001085"/>
        <bgColor indexed="64"/>
      </patternFill>
    </fill>
    <fill>
      <patternFill patternType="solid">
        <fgColor rgb="FF001086"/>
        <bgColor indexed="64"/>
      </patternFill>
    </fill>
    <fill>
      <patternFill patternType="solid">
        <fgColor rgb="FF001087"/>
        <bgColor indexed="64"/>
      </patternFill>
    </fill>
    <fill>
      <patternFill patternType="solid">
        <fgColor rgb="FF001088"/>
        <bgColor indexed="64"/>
      </patternFill>
    </fill>
    <fill>
      <patternFill patternType="solid">
        <fgColor rgb="FF001089"/>
        <bgColor indexed="64"/>
      </patternFill>
    </fill>
    <fill>
      <patternFill patternType="solid">
        <fgColor rgb="FF00108A"/>
        <bgColor indexed="64"/>
      </patternFill>
    </fill>
    <fill>
      <patternFill patternType="solid">
        <fgColor rgb="FF00108B"/>
        <bgColor indexed="64"/>
      </patternFill>
    </fill>
    <fill>
      <patternFill patternType="solid">
        <fgColor rgb="FF00108C"/>
        <bgColor indexed="64"/>
      </patternFill>
    </fill>
    <fill>
      <patternFill patternType="solid">
        <fgColor rgb="FF00108D"/>
        <bgColor indexed="64"/>
      </patternFill>
    </fill>
    <fill>
      <patternFill patternType="solid">
        <fgColor rgb="FF00108E"/>
        <bgColor indexed="64"/>
      </patternFill>
    </fill>
    <fill>
      <patternFill patternType="solid">
        <fgColor rgb="FF00108F"/>
        <bgColor indexed="64"/>
      </patternFill>
    </fill>
    <fill>
      <patternFill patternType="solid">
        <fgColor rgb="FF001090"/>
        <bgColor indexed="64"/>
      </patternFill>
    </fill>
    <fill>
      <patternFill patternType="solid">
        <fgColor rgb="FF001091"/>
        <bgColor indexed="64"/>
      </patternFill>
    </fill>
    <fill>
      <patternFill patternType="solid">
        <fgColor rgb="FF001092"/>
        <bgColor indexed="64"/>
      </patternFill>
    </fill>
    <fill>
      <patternFill patternType="solid">
        <fgColor rgb="FF001093"/>
        <bgColor indexed="64"/>
      </patternFill>
    </fill>
    <fill>
      <patternFill patternType="solid">
        <fgColor rgb="FF001094"/>
        <bgColor indexed="64"/>
      </patternFill>
    </fill>
    <fill>
      <patternFill patternType="solid">
        <fgColor rgb="FF001095"/>
        <bgColor indexed="64"/>
      </patternFill>
    </fill>
    <fill>
      <patternFill patternType="solid">
        <fgColor rgb="FF001096"/>
        <bgColor indexed="64"/>
      </patternFill>
    </fill>
    <fill>
      <patternFill patternType="solid">
        <fgColor rgb="FF001097"/>
        <bgColor indexed="64"/>
      </patternFill>
    </fill>
    <fill>
      <patternFill patternType="solid">
        <fgColor rgb="FF001098"/>
        <bgColor indexed="64"/>
      </patternFill>
    </fill>
    <fill>
      <patternFill patternType="solid">
        <fgColor rgb="FF001099"/>
        <bgColor indexed="64"/>
      </patternFill>
    </fill>
    <fill>
      <patternFill patternType="solid">
        <fgColor rgb="FF00109A"/>
        <bgColor indexed="64"/>
      </patternFill>
    </fill>
    <fill>
      <patternFill patternType="solid">
        <fgColor rgb="FF00109B"/>
        <bgColor indexed="64"/>
      </patternFill>
    </fill>
    <fill>
      <patternFill patternType="solid">
        <fgColor rgb="FF00109C"/>
        <bgColor indexed="64"/>
      </patternFill>
    </fill>
    <fill>
      <patternFill patternType="solid">
        <fgColor rgb="FF00109D"/>
        <bgColor indexed="64"/>
      </patternFill>
    </fill>
    <fill>
      <patternFill patternType="solid">
        <fgColor rgb="FF00109E"/>
        <bgColor indexed="64"/>
      </patternFill>
    </fill>
    <fill>
      <patternFill patternType="solid">
        <fgColor rgb="FF00109F"/>
        <bgColor indexed="64"/>
      </patternFill>
    </fill>
    <fill>
      <patternFill patternType="solid">
        <fgColor rgb="FF0010A0"/>
        <bgColor indexed="64"/>
      </patternFill>
    </fill>
    <fill>
      <patternFill patternType="solid">
        <fgColor rgb="FF0010A1"/>
        <bgColor indexed="64"/>
      </patternFill>
    </fill>
    <fill>
      <patternFill patternType="solid">
        <fgColor rgb="FF0010A2"/>
        <bgColor indexed="64"/>
      </patternFill>
    </fill>
    <fill>
      <patternFill patternType="solid">
        <fgColor rgb="FF0010A3"/>
        <bgColor indexed="64"/>
      </patternFill>
    </fill>
    <fill>
      <patternFill patternType="solid">
        <fgColor rgb="FF0010A4"/>
        <bgColor indexed="64"/>
      </patternFill>
    </fill>
    <fill>
      <patternFill patternType="solid">
        <fgColor rgb="FF0010A5"/>
        <bgColor indexed="64"/>
      </patternFill>
    </fill>
    <fill>
      <patternFill patternType="solid">
        <fgColor rgb="FF0010A6"/>
        <bgColor indexed="64"/>
      </patternFill>
    </fill>
    <fill>
      <patternFill patternType="solid">
        <fgColor rgb="FF0010A7"/>
        <bgColor indexed="64"/>
      </patternFill>
    </fill>
    <fill>
      <patternFill patternType="solid">
        <fgColor rgb="FF0010A8"/>
        <bgColor indexed="64"/>
      </patternFill>
    </fill>
    <fill>
      <patternFill patternType="solid">
        <fgColor rgb="FF0010A9"/>
        <bgColor indexed="64"/>
      </patternFill>
    </fill>
    <fill>
      <patternFill patternType="solid">
        <fgColor rgb="FF0010AA"/>
        <bgColor indexed="64"/>
      </patternFill>
    </fill>
    <fill>
      <patternFill patternType="solid">
        <fgColor rgb="FF0010AB"/>
        <bgColor indexed="64"/>
      </patternFill>
    </fill>
    <fill>
      <patternFill patternType="solid">
        <fgColor rgb="FF0010AC"/>
        <bgColor indexed="64"/>
      </patternFill>
    </fill>
    <fill>
      <patternFill patternType="solid">
        <fgColor rgb="FF0010AD"/>
        <bgColor indexed="64"/>
      </patternFill>
    </fill>
    <fill>
      <patternFill patternType="solid">
        <fgColor rgb="FF0010AE"/>
        <bgColor indexed="64"/>
      </patternFill>
    </fill>
    <fill>
      <patternFill patternType="solid">
        <fgColor rgb="FF0010AF"/>
        <bgColor indexed="64"/>
      </patternFill>
    </fill>
    <fill>
      <patternFill patternType="solid">
        <fgColor rgb="FF0010B0"/>
        <bgColor indexed="64"/>
      </patternFill>
    </fill>
    <fill>
      <patternFill patternType="solid">
        <fgColor rgb="FF0010B1"/>
        <bgColor indexed="64"/>
      </patternFill>
    </fill>
    <fill>
      <patternFill patternType="solid">
        <fgColor rgb="FF0010B2"/>
        <bgColor indexed="64"/>
      </patternFill>
    </fill>
    <fill>
      <patternFill patternType="solid">
        <fgColor rgb="FF0010B3"/>
        <bgColor indexed="64"/>
      </patternFill>
    </fill>
    <fill>
      <patternFill patternType="solid">
        <fgColor rgb="FF0010B4"/>
        <bgColor indexed="64"/>
      </patternFill>
    </fill>
    <fill>
      <patternFill patternType="solid">
        <fgColor rgb="FF0010B5"/>
        <bgColor indexed="64"/>
      </patternFill>
    </fill>
    <fill>
      <patternFill patternType="solid">
        <fgColor rgb="FF0010B6"/>
        <bgColor indexed="64"/>
      </patternFill>
    </fill>
    <fill>
      <patternFill patternType="solid">
        <fgColor rgb="FF0010B7"/>
        <bgColor indexed="64"/>
      </patternFill>
    </fill>
    <fill>
      <patternFill patternType="solid">
        <fgColor rgb="FF0010B8"/>
        <bgColor indexed="64"/>
      </patternFill>
    </fill>
    <fill>
      <patternFill patternType="solid">
        <fgColor rgb="FF0010B9"/>
        <bgColor indexed="64"/>
      </patternFill>
    </fill>
    <fill>
      <patternFill patternType="solid">
        <fgColor rgb="FF0010BA"/>
        <bgColor indexed="64"/>
      </patternFill>
    </fill>
    <fill>
      <patternFill patternType="solid">
        <fgColor rgb="FF0010BB"/>
        <bgColor indexed="64"/>
      </patternFill>
    </fill>
    <fill>
      <patternFill patternType="solid">
        <fgColor rgb="FF0010BC"/>
        <bgColor indexed="64"/>
      </patternFill>
    </fill>
    <fill>
      <patternFill patternType="solid">
        <fgColor rgb="FF0010BD"/>
        <bgColor indexed="64"/>
      </patternFill>
    </fill>
    <fill>
      <patternFill patternType="solid">
        <fgColor rgb="FF0010BE"/>
        <bgColor indexed="64"/>
      </patternFill>
    </fill>
    <fill>
      <patternFill patternType="solid">
        <fgColor rgb="FF0010BF"/>
        <bgColor indexed="64"/>
      </patternFill>
    </fill>
    <fill>
      <patternFill patternType="solid">
        <fgColor rgb="FF0010C0"/>
        <bgColor indexed="64"/>
      </patternFill>
    </fill>
    <fill>
      <patternFill patternType="solid">
        <fgColor rgb="FF0010C1"/>
        <bgColor indexed="64"/>
      </patternFill>
    </fill>
    <fill>
      <patternFill patternType="solid">
        <fgColor rgb="FF0010C2"/>
        <bgColor indexed="64"/>
      </patternFill>
    </fill>
    <fill>
      <patternFill patternType="solid">
        <fgColor rgb="FF0010C3"/>
        <bgColor indexed="64"/>
      </patternFill>
    </fill>
    <fill>
      <patternFill patternType="solid">
        <fgColor rgb="FF0010C4"/>
        <bgColor indexed="64"/>
      </patternFill>
    </fill>
    <fill>
      <patternFill patternType="solid">
        <fgColor rgb="FF0010C5"/>
        <bgColor indexed="64"/>
      </patternFill>
    </fill>
    <fill>
      <patternFill patternType="solid">
        <fgColor rgb="FF0010C6"/>
        <bgColor indexed="64"/>
      </patternFill>
    </fill>
    <fill>
      <patternFill patternType="solid">
        <fgColor rgb="FF0010C7"/>
        <bgColor indexed="64"/>
      </patternFill>
    </fill>
    <fill>
      <patternFill patternType="solid">
        <fgColor rgb="FF0010C8"/>
        <bgColor indexed="64"/>
      </patternFill>
    </fill>
    <fill>
      <patternFill patternType="solid">
        <fgColor rgb="FF0010C9"/>
        <bgColor indexed="64"/>
      </patternFill>
    </fill>
    <fill>
      <patternFill patternType="solid">
        <fgColor rgb="FF0010CA"/>
        <bgColor indexed="64"/>
      </patternFill>
    </fill>
    <fill>
      <patternFill patternType="solid">
        <fgColor rgb="FF0010CB"/>
        <bgColor indexed="64"/>
      </patternFill>
    </fill>
    <fill>
      <patternFill patternType="solid">
        <fgColor rgb="FF0010CC"/>
        <bgColor indexed="64"/>
      </patternFill>
    </fill>
    <fill>
      <patternFill patternType="solid">
        <fgColor rgb="FF0010CD"/>
        <bgColor indexed="64"/>
      </patternFill>
    </fill>
    <fill>
      <patternFill patternType="solid">
        <fgColor rgb="FF0010CE"/>
        <bgColor indexed="64"/>
      </patternFill>
    </fill>
    <fill>
      <patternFill patternType="solid">
        <fgColor rgb="FF0010CF"/>
        <bgColor indexed="64"/>
      </patternFill>
    </fill>
    <fill>
      <patternFill patternType="solid">
        <fgColor rgb="FF0010D0"/>
        <bgColor indexed="64"/>
      </patternFill>
    </fill>
    <fill>
      <patternFill patternType="solid">
        <fgColor rgb="FF0010D1"/>
        <bgColor indexed="64"/>
      </patternFill>
    </fill>
    <fill>
      <patternFill patternType="solid">
        <fgColor rgb="FF0010D2"/>
        <bgColor indexed="64"/>
      </patternFill>
    </fill>
    <fill>
      <patternFill patternType="solid">
        <fgColor rgb="FF0010D3"/>
        <bgColor indexed="64"/>
      </patternFill>
    </fill>
    <fill>
      <patternFill patternType="solid">
        <fgColor rgb="FF0010D4"/>
        <bgColor indexed="64"/>
      </patternFill>
    </fill>
    <fill>
      <patternFill patternType="solid">
        <fgColor rgb="FF0010D5"/>
        <bgColor indexed="64"/>
      </patternFill>
    </fill>
    <fill>
      <patternFill patternType="solid">
        <fgColor rgb="FF0010D6"/>
        <bgColor indexed="64"/>
      </patternFill>
    </fill>
    <fill>
      <patternFill patternType="solid">
        <fgColor rgb="FF0010D7"/>
        <bgColor indexed="64"/>
      </patternFill>
    </fill>
    <fill>
      <patternFill patternType="solid">
        <fgColor rgb="FF0010D8"/>
        <bgColor indexed="64"/>
      </patternFill>
    </fill>
    <fill>
      <patternFill patternType="solid">
        <fgColor rgb="FF0010D9"/>
        <bgColor indexed="64"/>
      </patternFill>
    </fill>
    <fill>
      <patternFill patternType="solid">
        <fgColor rgb="FF0010DA"/>
        <bgColor indexed="64"/>
      </patternFill>
    </fill>
    <fill>
      <patternFill patternType="solid">
        <fgColor rgb="FF0010DB"/>
        <bgColor indexed="64"/>
      </patternFill>
    </fill>
    <fill>
      <patternFill patternType="solid">
        <fgColor rgb="FF0010DC"/>
        <bgColor indexed="64"/>
      </patternFill>
    </fill>
    <fill>
      <patternFill patternType="solid">
        <fgColor rgb="FF0010DD"/>
        <bgColor indexed="64"/>
      </patternFill>
    </fill>
    <fill>
      <patternFill patternType="solid">
        <fgColor rgb="FF0010DE"/>
        <bgColor indexed="64"/>
      </patternFill>
    </fill>
    <fill>
      <patternFill patternType="solid">
        <fgColor rgb="FF0010DF"/>
        <bgColor indexed="64"/>
      </patternFill>
    </fill>
    <fill>
      <patternFill patternType="solid">
        <fgColor rgb="FF0010E0"/>
        <bgColor indexed="64"/>
      </patternFill>
    </fill>
    <fill>
      <patternFill patternType="solid">
        <fgColor rgb="FF0010E1"/>
        <bgColor indexed="64"/>
      </patternFill>
    </fill>
    <fill>
      <patternFill patternType="solid">
        <fgColor rgb="FF0010E2"/>
        <bgColor indexed="64"/>
      </patternFill>
    </fill>
    <fill>
      <patternFill patternType="solid">
        <fgColor rgb="FF0010E3"/>
        <bgColor indexed="64"/>
      </patternFill>
    </fill>
    <fill>
      <patternFill patternType="solid">
        <fgColor rgb="FF0010E4"/>
        <bgColor indexed="64"/>
      </patternFill>
    </fill>
    <fill>
      <patternFill patternType="solid">
        <fgColor rgb="FF0010E5"/>
        <bgColor indexed="64"/>
      </patternFill>
    </fill>
    <fill>
      <patternFill patternType="solid">
        <fgColor rgb="FF0010E6"/>
        <bgColor indexed="64"/>
      </patternFill>
    </fill>
    <fill>
      <patternFill patternType="solid">
        <fgColor rgb="FF0010E7"/>
        <bgColor indexed="64"/>
      </patternFill>
    </fill>
    <fill>
      <patternFill patternType="solid">
        <fgColor rgb="FF0010E8"/>
        <bgColor indexed="64"/>
      </patternFill>
    </fill>
    <fill>
      <patternFill patternType="solid">
        <fgColor rgb="FF0010E9"/>
        <bgColor indexed="64"/>
      </patternFill>
    </fill>
    <fill>
      <patternFill patternType="solid">
        <fgColor rgb="FF0010EA"/>
        <bgColor indexed="64"/>
      </patternFill>
    </fill>
    <fill>
      <patternFill patternType="solid">
        <fgColor rgb="FF0010EB"/>
        <bgColor indexed="64"/>
      </patternFill>
    </fill>
    <fill>
      <patternFill patternType="solid">
        <fgColor rgb="FF0010EC"/>
        <bgColor indexed="64"/>
      </patternFill>
    </fill>
    <fill>
      <patternFill patternType="solid">
        <fgColor rgb="FF0010ED"/>
        <bgColor indexed="64"/>
      </patternFill>
    </fill>
    <fill>
      <patternFill patternType="solid">
        <fgColor rgb="FF0010EE"/>
        <bgColor indexed="64"/>
      </patternFill>
    </fill>
    <fill>
      <patternFill patternType="solid">
        <fgColor rgb="FF0010EF"/>
        <bgColor indexed="64"/>
      </patternFill>
    </fill>
    <fill>
      <patternFill patternType="solid">
        <fgColor rgb="FF0010F0"/>
        <bgColor indexed="64"/>
      </patternFill>
    </fill>
    <fill>
      <patternFill patternType="solid">
        <fgColor rgb="FF0010F1"/>
        <bgColor indexed="64"/>
      </patternFill>
    </fill>
    <fill>
      <patternFill patternType="solid">
        <fgColor rgb="FF0010F2"/>
        <bgColor indexed="64"/>
      </patternFill>
    </fill>
    <fill>
      <patternFill patternType="solid">
        <fgColor rgb="FF0010F3"/>
        <bgColor indexed="64"/>
      </patternFill>
    </fill>
    <fill>
      <patternFill patternType="solid">
        <fgColor rgb="FF0010F4"/>
        <bgColor indexed="64"/>
      </patternFill>
    </fill>
    <fill>
      <patternFill patternType="solid">
        <fgColor rgb="FF0010F5"/>
        <bgColor indexed="64"/>
      </patternFill>
    </fill>
    <fill>
      <patternFill patternType="solid">
        <fgColor rgb="FF0010F6"/>
        <bgColor indexed="64"/>
      </patternFill>
    </fill>
    <fill>
      <patternFill patternType="solid">
        <fgColor rgb="FF0010F7"/>
        <bgColor indexed="64"/>
      </patternFill>
    </fill>
    <fill>
      <patternFill patternType="solid">
        <fgColor rgb="FF0010F8"/>
        <bgColor indexed="64"/>
      </patternFill>
    </fill>
    <fill>
      <patternFill patternType="solid">
        <fgColor rgb="FF0010F9"/>
        <bgColor indexed="64"/>
      </patternFill>
    </fill>
    <fill>
      <patternFill patternType="solid">
        <fgColor rgb="FF0010FA"/>
        <bgColor indexed="64"/>
      </patternFill>
    </fill>
    <fill>
      <patternFill patternType="solid">
        <fgColor rgb="FF0010FB"/>
        <bgColor indexed="64"/>
      </patternFill>
    </fill>
    <fill>
      <patternFill patternType="solid">
        <fgColor rgb="FF0010FC"/>
        <bgColor indexed="64"/>
      </patternFill>
    </fill>
    <fill>
      <patternFill patternType="solid">
        <fgColor rgb="FF0010FD"/>
        <bgColor indexed="64"/>
      </patternFill>
    </fill>
    <fill>
      <patternFill patternType="solid">
        <fgColor rgb="FF0010FE"/>
        <bgColor indexed="64"/>
      </patternFill>
    </fill>
    <fill>
      <patternFill patternType="solid">
        <fgColor rgb="FF0010FF"/>
        <bgColor indexed="64"/>
      </patternFill>
    </fill>
    <fill>
      <patternFill patternType="solid">
        <fgColor rgb="FF001100"/>
        <bgColor indexed="64"/>
      </patternFill>
    </fill>
    <fill>
      <patternFill patternType="solid">
        <fgColor rgb="FF001101"/>
        <bgColor indexed="64"/>
      </patternFill>
    </fill>
    <fill>
      <patternFill patternType="solid">
        <fgColor rgb="FF001102"/>
        <bgColor indexed="64"/>
      </patternFill>
    </fill>
    <fill>
      <patternFill patternType="solid">
        <fgColor rgb="FF001103"/>
        <bgColor indexed="64"/>
      </patternFill>
    </fill>
    <fill>
      <patternFill patternType="solid">
        <fgColor rgb="FF001104"/>
        <bgColor indexed="64"/>
      </patternFill>
    </fill>
    <fill>
      <patternFill patternType="solid">
        <fgColor rgb="FF001105"/>
        <bgColor indexed="64"/>
      </patternFill>
    </fill>
    <fill>
      <patternFill patternType="solid">
        <fgColor rgb="FF001106"/>
        <bgColor indexed="64"/>
      </patternFill>
    </fill>
    <fill>
      <patternFill patternType="solid">
        <fgColor rgb="FF001107"/>
        <bgColor indexed="64"/>
      </patternFill>
    </fill>
    <fill>
      <patternFill patternType="solid">
        <fgColor rgb="FF001108"/>
        <bgColor indexed="64"/>
      </patternFill>
    </fill>
    <fill>
      <patternFill patternType="solid">
        <fgColor rgb="FF001109"/>
        <bgColor indexed="64"/>
      </patternFill>
    </fill>
    <fill>
      <patternFill patternType="solid">
        <fgColor rgb="FF00110A"/>
        <bgColor indexed="64"/>
      </patternFill>
    </fill>
    <fill>
      <patternFill patternType="solid">
        <fgColor rgb="FF00110B"/>
        <bgColor indexed="64"/>
      </patternFill>
    </fill>
    <fill>
      <patternFill patternType="solid">
        <fgColor rgb="FF00110C"/>
        <bgColor indexed="64"/>
      </patternFill>
    </fill>
    <fill>
      <patternFill patternType="solid">
        <fgColor rgb="FF00110D"/>
        <bgColor indexed="64"/>
      </patternFill>
    </fill>
    <fill>
      <patternFill patternType="solid">
        <fgColor rgb="FF00110E"/>
        <bgColor indexed="64"/>
      </patternFill>
    </fill>
    <fill>
      <patternFill patternType="solid">
        <fgColor rgb="FF00110F"/>
        <bgColor indexed="64"/>
      </patternFill>
    </fill>
    <fill>
      <patternFill patternType="solid">
        <fgColor rgb="FF001110"/>
        <bgColor indexed="64"/>
      </patternFill>
    </fill>
    <fill>
      <patternFill patternType="solid">
        <fgColor rgb="FF001111"/>
        <bgColor indexed="64"/>
      </patternFill>
    </fill>
    <fill>
      <patternFill patternType="solid">
        <fgColor rgb="FF001112"/>
        <bgColor indexed="64"/>
      </patternFill>
    </fill>
    <fill>
      <patternFill patternType="solid">
        <fgColor rgb="FF001113"/>
        <bgColor indexed="64"/>
      </patternFill>
    </fill>
    <fill>
      <patternFill patternType="solid">
        <fgColor rgb="FF001114"/>
        <bgColor indexed="64"/>
      </patternFill>
    </fill>
    <fill>
      <patternFill patternType="solid">
        <fgColor rgb="FF001115"/>
        <bgColor indexed="64"/>
      </patternFill>
    </fill>
    <fill>
      <patternFill patternType="solid">
        <fgColor rgb="FF001116"/>
        <bgColor indexed="64"/>
      </patternFill>
    </fill>
    <fill>
      <patternFill patternType="solid">
        <fgColor rgb="FF001117"/>
        <bgColor indexed="64"/>
      </patternFill>
    </fill>
    <fill>
      <patternFill patternType="solid">
        <fgColor rgb="FF001118"/>
        <bgColor indexed="64"/>
      </patternFill>
    </fill>
    <fill>
      <patternFill patternType="solid">
        <fgColor rgb="FF001119"/>
        <bgColor indexed="64"/>
      </patternFill>
    </fill>
    <fill>
      <patternFill patternType="solid">
        <fgColor rgb="FF00111A"/>
        <bgColor indexed="64"/>
      </patternFill>
    </fill>
    <fill>
      <patternFill patternType="solid">
        <fgColor rgb="FF00111B"/>
        <bgColor indexed="64"/>
      </patternFill>
    </fill>
    <fill>
      <patternFill patternType="solid">
        <fgColor rgb="FF00111C"/>
        <bgColor indexed="64"/>
      </patternFill>
    </fill>
    <fill>
      <patternFill patternType="solid">
        <fgColor rgb="FF00111D"/>
        <bgColor indexed="64"/>
      </patternFill>
    </fill>
    <fill>
      <patternFill patternType="solid">
        <fgColor rgb="FF00111E"/>
        <bgColor indexed="64"/>
      </patternFill>
    </fill>
    <fill>
      <patternFill patternType="solid">
        <fgColor rgb="FF00111F"/>
        <bgColor indexed="64"/>
      </patternFill>
    </fill>
    <fill>
      <patternFill patternType="solid">
        <fgColor rgb="FF001120"/>
        <bgColor indexed="64"/>
      </patternFill>
    </fill>
    <fill>
      <patternFill patternType="solid">
        <fgColor rgb="FF001121"/>
        <bgColor indexed="64"/>
      </patternFill>
    </fill>
    <fill>
      <patternFill patternType="solid">
        <fgColor rgb="FF001122"/>
        <bgColor indexed="64"/>
      </patternFill>
    </fill>
    <fill>
      <patternFill patternType="solid">
        <fgColor rgb="FF001123"/>
        <bgColor indexed="64"/>
      </patternFill>
    </fill>
    <fill>
      <patternFill patternType="solid">
        <fgColor rgb="FF001124"/>
        <bgColor indexed="64"/>
      </patternFill>
    </fill>
    <fill>
      <patternFill patternType="solid">
        <fgColor rgb="FF001125"/>
        <bgColor indexed="64"/>
      </patternFill>
    </fill>
    <fill>
      <patternFill patternType="solid">
        <fgColor rgb="FF001126"/>
        <bgColor indexed="64"/>
      </patternFill>
    </fill>
    <fill>
      <patternFill patternType="solid">
        <fgColor rgb="FF001127"/>
        <bgColor indexed="64"/>
      </patternFill>
    </fill>
    <fill>
      <patternFill patternType="solid">
        <fgColor rgb="FF001128"/>
        <bgColor indexed="64"/>
      </patternFill>
    </fill>
    <fill>
      <patternFill patternType="solid">
        <fgColor rgb="FF001129"/>
        <bgColor indexed="64"/>
      </patternFill>
    </fill>
    <fill>
      <patternFill patternType="solid">
        <fgColor rgb="FF00112A"/>
        <bgColor indexed="64"/>
      </patternFill>
    </fill>
    <fill>
      <patternFill patternType="solid">
        <fgColor rgb="FF00112B"/>
        <bgColor indexed="64"/>
      </patternFill>
    </fill>
    <fill>
      <patternFill patternType="solid">
        <fgColor rgb="FF00112C"/>
        <bgColor indexed="64"/>
      </patternFill>
    </fill>
    <fill>
      <patternFill patternType="solid">
        <fgColor rgb="FF00112D"/>
        <bgColor indexed="64"/>
      </patternFill>
    </fill>
    <fill>
      <patternFill patternType="solid">
        <fgColor rgb="FF00112E"/>
        <bgColor indexed="64"/>
      </patternFill>
    </fill>
    <fill>
      <patternFill patternType="solid">
        <fgColor rgb="FF00112F"/>
        <bgColor indexed="64"/>
      </patternFill>
    </fill>
    <fill>
      <patternFill patternType="solid">
        <fgColor rgb="FF001130"/>
        <bgColor indexed="64"/>
      </patternFill>
    </fill>
    <fill>
      <patternFill patternType="solid">
        <fgColor rgb="FF001131"/>
        <bgColor indexed="64"/>
      </patternFill>
    </fill>
    <fill>
      <patternFill patternType="solid">
        <fgColor rgb="FF001132"/>
        <bgColor indexed="64"/>
      </patternFill>
    </fill>
    <fill>
      <patternFill patternType="solid">
        <fgColor rgb="FF001133"/>
        <bgColor indexed="64"/>
      </patternFill>
    </fill>
    <fill>
      <patternFill patternType="solid">
        <fgColor rgb="FF001134"/>
        <bgColor indexed="64"/>
      </patternFill>
    </fill>
    <fill>
      <patternFill patternType="solid">
        <fgColor rgb="FF001135"/>
        <bgColor indexed="64"/>
      </patternFill>
    </fill>
    <fill>
      <patternFill patternType="solid">
        <fgColor rgb="FF001136"/>
        <bgColor indexed="64"/>
      </patternFill>
    </fill>
    <fill>
      <patternFill patternType="solid">
        <fgColor rgb="FF001137"/>
        <bgColor indexed="64"/>
      </patternFill>
    </fill>
    <fill>
      <patternFill patternType="solid">
        <fgColor rgb="FF001138"/>
        <bgColor indexed="64"/>
      </patternFill>
    </fill>
    <fill>
      <patternFill patternType="solid">
        <fgColor rgb="FF001139"/>
        <bgColor indexed="64"/>
      </patternFill>
    </fill>
    <fill>
      <patternFill patternType="solid">
        <fgColor rgb="FF00113A"/>
        <bgColor indexed="64"/>
      </patternFill>
    </fill>
    <fill>
      <patternFill patternType="solid">
        <fgColor rgb="FF00113B"/>
        <bgColor indexed="64"/>
      </patternFill>
    </fill>
    <fill>
      <patternFill patternType="solid">
        <fgColor rgb="FF00113C"/>
        <bgColor indexed="64"/>
      </patternFill>
    </fill>
    <fill>
      <patternFill patternType="solid">
        <fgColor rgb="FF00113D"/>
        <bgColor indexed="64"/>
      </patternFill>
    </fill>
    <fill>
      <patternFill patternType="solid">
        <fgColor rgb="FF00113E"/>
        <bgColor indexed="64"/>
      </patternFill>
    </fill>
    <fill>
      <patternFill patternType="solid">
        <fgColor rgb="FF00113F"/>
        <bgColor indexed="64"/>
      </patternFill>
    </fill>
    <fill>
      <patternFill patternType="solid">
        <fgColor rgb="FF001140"/>
        <bgColor indexed="64"/>
      </patternFill>
    </fill>
    <fill>
      <patternFill patternType="solid">
        <fgColor rgb="FF001141"/>
        <bgColor indexed="64"/>
      </patternFill>
    </fill>
    <fill>
      <patternFill patternType="solid">
        <fgColor rgb="FF001142"/>
        <bgColor indexed="64"/>
      </patternFill>
    </fill>
    <fill>
      <patternFill patternType="solid">
        <fgColor rgb="FF001143"/>
        <bgColor indexed="64"/>
      </patternFill>
    </fill>
    <fill>
      <patternFill patternType="solid">
        <fgColor rgb="FF001144"/>
        <bgColor indexed="64"/>
      </patternFill>
    </fill>
    <fill>
      <patternFill patternType="solid">
        <fgColor rgb="FF001145"/>
        <bgColor indexed="64"/>
      </patternFill>
    </fill>
    <fill>
      <patternFill patternType="solid">
        <fgColor rgb="FF001146"/>
        <bgColor indexed="64"/>
      </patternFill>
    </fill>
    <fill>
      <patternFill patternType="solid">
        <fgColor rgb="FF001147"/>
        <bgColor indexed="64"/>
      </patternFill>
    </fill>
    <fill>
      <patternFill patternType="solid">
        <fgColor rgb="FF001148"/>
        <bgColor indexed="64"/>
      </patternFill>
    </fill>
    <fill>
      <patternFill patternType="solid">
        <fgColor rgb="FF001149"/>
        <bgColor indexed="64"/>
      </patternFill>
    </fill>
    <fill>
      <patternFill patternType="solid">
        <fgColor rgb="FF00114A"/>
        <bgColor indexed="64"/>
      </patternFill>
    </fill>
    <fill>
      <patternFill patternType="solid">
        <fgColor rgb="FF00114B"/>
        <bgColor indexed="64"/>
      </patternFill>
    </fill>
    <fill>
      <patternFill patternType="solid">
        <fgColor rgb="FF00114C"/>
        <bgColor indexed="64"/>
      </patternFill>
    </fill>
    <fill>
      <patternFill patternType="solid">
        <fgColor rgb="FF00114D"/>
        <bgColor indexed="64"/>
      </patternFill>
    </fill>
    <fill>
      <patternFill patternType="solid">
        <fgColor rgb="FF00114E"/>
        <bgColor indexed="64"/>
      </patternFill>
    </fill>
    <fill>
      <patternFill patternType="solid">
        <fgColor rgb="FF00114F"/>
        <bgColor indexed="64"/>
      </patternFill>
    </fill>
    <fill>
      <patternFill patternType="solid">
        <fgColor rgb="FF001150"/>
        <bgColor indexed="64"/>
      </patternFill>
    </fill>
    <fill>
      <patternFill patternType="solid">
        <fgColor rgb="FF001151"/>
        <bgColor indexed="64"/>
      </patternFill>
    </fill>
    <fill>
      <patternFill patternType="solid">
        <fgColor rgb="FF001152"/>
        <bgColor indexed="64"/>
      </patternFill>
    </fill>
    <fill>
      <patternFill patternType="solid">
        <fgColor rgb="FF001153"/>
        <bgColor indexed="64"/>
      </patternFill>
    </fill>
    <fill>
      <patternFill patternType="solid">
        <fgColor rgb="FF001154"/>
        <bgColor indexed="64"/>
      </patternFill>
    </fill>
    <fill>
      <patternFill patternType="solid">
        <fgColor rgb="FF001155"/>
        <bgColor indexed="64"/>
      </patternFill>
    </fill>
    <fill>
      <patternFill patternType="solid">
        <fgColor rgb="FF001156"/>
        <bgColor indexed="64"/>
      </patternFill>
    </fill>
    <fill>
      <patternFill patternType="solid">
        <fgColor rgb="FF001157"/>
        <bgColor indexed="64"/>
      </patternFill>
    </fill>
    <fill>
      <patternFill patternType="solid">
        <fgColor rgb="FF001158"/>
        <bgColor indexed="64"/>
      </patternFill>
    </fill>
    <fill>
      <patternFill patternType="solid">
        <fgColor rgb="FF001159"/>
        <bgColor indexed="64"/>
      </patternFill>
    </fill>
    <fill>
      <patternFill patternType="solid">
        <fgColor rgb="FF00115A"/>
        <bgColor indexed="64"/>
      </patternFill>
    </fill>
    <fill>
      <patternFill patternType="solid">
        <fgColor rgb="FF00115B"/>
        <bgColor indexed="64"/>
      </patternFill>
    </fill>
    <fill>
      <patternFill patternType="solid">
        <fgColor rgb="FF00115C"/>
        <bgColor indexed="64"/>
      </patternFill>
    </fill>
    <fill>
      <patternFill patternType="solid">
        <fgColor rgb="FF00115D"/>
        <bgColor indexed="64"/>
      </patternFill>
    </fill>
    <fill>
      <patternFill patternType="solid">
        <fgColor rgb="FF00115E"/>
        <bgColor indexed="64"/>
      </patternFill>
    </fill>
    <fill>
      <patternFill patternType="solid">
        <fgColor rgb="FF00115F"/>
        <bgColor indexed="64"/>
      </patternFill>
    </fill>
    <fill>
      <patternFill patternType="solid">
        <fgColor rgb="FF001160"/>
        <bgColor indexed="64"/>
      </patternFill>
    </fill>
    <fill>
      <patternFill patternType="solid">
        <fgColor rgb="FF001161"/>
        <bgColor indexed="64"/>
      </patternFill>
    </fill>
    <fill>
      <patternFill patternType="solid">
        <fgColor rgb="FF001162"/>
        <bgColor indexed="64"/>
      </patternFill>
    </fill>
    <fill>
      <patternFill patternType="solid">
        <fgColor rgb="FF001163"/>
        <bgColor indexed="64"/>
      </patternFill>
    </fill>
    <fill>
      <patternFill patternType="solid">
        <fgColor rgb="FF001164"/>
        <bgColor indexed="64"/>
      </patternFill>
    </fill>
    <fill>
      <patternFill patternType="solid">
        <fgColor rgb="FF001165"/>
        <bgColor indexed="64"/>
      </patternFill>
    </fill>
    <fill>
      <patternFill patternType="solid">
        <fgColor rgb="FF001166"/>
        <bgColor indexed="64"/>
      </patternFill>
    </fill>
    <fill>
      <patternFill patternType="solid">
        <fgColor rgb="FF001167"/>
        <bgColor indexed="64"/>
      </patternFill>
    </fill>
    <fill>
      <patternFill patternType="solid">
        <fgColor rgb="FF001168"/>
        <bgColor indexed="64"/>
      </patternFill>
    </fill>
    <fill>
      <patternFill patternType="solid">
        <fgColor rgb="FF001169"/>
        <bgColor indexed="64"/>
      </patternFill>
    </fill>
    <fill>
      <patternFill patternType="solid">
        <fgColor rgb="FF00116A"/>
        <bgColor indexed="64"/>
      </patternFill>
    </fill>
    <fill>
      <patternFill patternType="solid">
        <fgColor rgb="FF00116B"/>
        <bgColor indexed="64"/>
      </patternFill>
    </fill>
    <fill>
      <patternFill patternType="solid">
        <fgColor rgb="FF00116C"/>
        <bgColor indexed="64"/>
      </patternFill>
    </fill>
    <fill>
      <patternFill patternType="solid">
        <fgColor rgb="FF00116D"/>
        <bgColor indexed="64"/>
      </patternFill>
    </fill>
    <fill>
      <patternFill patternType="solid">
        <fgColor rgb="FF00116E"/>
        <bgColor indexed="64"/>
      </patternFill>
    </fill>
    <fill>
      <patternFill patternType="solid">
        <fgColor rgb="FF00116F"/>
        <bgColor indexed="64"/>
      </patternFill>
    </fill>
    <fill>
      <patternFill patternType="solid">
        <fgColor rgb="FF001170"/>
        <bgColor indexed="64"/>
      </patternFill>
    </fill>
    <fill>
      <patternFill patternType="solid">
        <fgColor rgb="FF001171"/>
        <bgColor indexed="64"/>
      </patternFill>
    </fill>
    <fill>
      <patternFill patternType="solid">
        <fgColor rgb="FF001172"/>
        <bgColor indexed="64"/>
      </patternFill>
    </fill>
    <fill>
      <patternFill patternType="solid">
        <fgColor rgb="FF001173"/>
        <bgColor indexed="64"/>
      </patternFill>
    </fill>
    <fill>
      <patternFill patternType="solid">
        <fgColor rgb="FF001174"/>
        <bgColor indexed="64"/>
      </patternFill>
    </fill>
    <fill>
      <patternFill patternType="solid">
        <fgColor rgb="FF001175"/>
        <bgColor indexed="64"/>
      </patternFill>
    </fill>
    <fill>
      <patternFill patternType="solid">
        <fgColor rgb="FF001176"/>
        <bgColor indexed="64"/>
      </patternFill>
    </fill>
    <fill>
      <patternFill patternType="solid">
        <fgColor rgb="FF001177"/>
        <bgColor indexed="64"/>
      </patternFill>
    </fill>
    <fill>
      <patternFill patternType="solid">
        <fgColor rgb="FF001178"/>
        <bgColor indexed="64"/>
      </patternFill>
    </fill>
    <fill>
      <patternFill patternType="solid">
        <fgColor rgb="FF001179"/>
        <bgColor indexed="64"/>
      </patternFill>
    </fill>
    <fill>
      <patternFill patternType="solid">
        <fgColor rgb="FF00117A"/>
        <bgColor indexed="64"/>
      </patternFill>
    </fill>
    <fill>
      <patternFill patternType="solid">
        <fgColor rgb="FF00117B"/>
        <bgColor indexed="64"/>
      </patternFill>
    </fill>
    <fill>
      <patternFill patternType="solid">
        <fgColor rgb="FF00117C"/>
        <bgColor indexed="64"/>
      </patternFill>
    </fill>
    <fill>
      <patternFill patternType="solid">
        <fgColor rgb="FF00117D"/>
        <bgColor indexed="64"/>
      </patternFill>
    </fill>
    <fill>
      <patternFill patternType="solid">
        <fgColor rgb="FF00117E"/>
        <bgColor indexed="64"/>
      </patternFill>
    </fill>
    <fill>
      <patternFill patternType="solid">
        <fgColor rgb="FF00117F"/>
        <bgColor indexed="64"/>
      </patternFill>
    </fill>
    <fill>
      <patternFill patternType="solid">
        <fgColor rgb="FF001180"/>
        <bgColor indexed="64"/>
      </patternFill>
    </fill>
    <fill>
      <patternFill patternType="solid">
        <fgColor rgb="FF001181"/>
        <bgColor indexed="64"/>
      </patternFill>
    </fill>
    <fill>
      <patternFill patternType="solid">
        <fgColor rgb="FF001182"/>
        <bgColor indexed="64"/>
      </patternFill>
    </fill>
    <fill>
      <patternFill patternType="solid">
        <fgColor rgb="FF001183"/>
        <bgColor indexed="64"/>
      </patternFill>
    </fill>
    <fill>
      <patternFill patternType="solid">
        <fgColor rgb="FF001184"/>
        <bgColor indexed="64"/>
      </patternFill>
    </fill>
    <fill>
      <patternFill patternType="solid">
        <fgColor rgb="FF001185"/>
        <bgColor indexed="64"/>
      </patternFill>
    </fill>
    <fill>
      <patternFill patternType="solid">
        <fgColor rgb="FF001186"/>
        <bgColor indexed="64"/>
      </patternFill>
    </fill>
    <fill>
      <patternFill patternType="solid">
        <fgColor rgb="FF001187"/>
        <bgColor indexed="64"/>
      </patternFill>
    </fill>
    <fill>
      <patternFill patternType="solid">
        <fgColor rgb="FF001188"/>
        <bgColor indexed="64"/>
      </patternFill>
    </fill>
    <fill>
      <patternFill patternType="solid">
        <fgColor rgb="FF001189"/>
        <bgColor indexed="64"/>
      </patternFill>
    </fill>
    <fill>
      <patternFill patternType="solid">
        <fgColor rgb="FF00118A"/>
        <bgColor indexed="64"/>
      </patternFill>
    </fill>
    <fill>
      <patternFill patternType="solid">
        <fgColor rgb="FF00118B"/>
        <bgColor indexed="64"/>
      </patternFill>
    </fill>
    <fill>
      <patternFill patternType="solid">
        <fgColor rgb="FF00118C"/>
        <bgColor indexed="64"/>
      </patternFill>
    </fill>
    <fill>
      <patternFill patternType="solid">
        <fgColor rgb="FF00118D"/>
        <bgColor indexed="64"/>
      </patternFill>
    </fill>
    <fill>
      <patternFill patternType="solid">
        <fgColor rgb="FF00118E"/>
        <bgColor indexed="64"/>
      </patternFill>
    </fill>
    <fill>
      <patternFill patternType="solid">
        <fgColor rgb="FF00118F"/>
        <bgColor indexed="64"/>
      </patternFill>
    </fill>
    <fill>
      <patternFill patternType="solid">
        <fgColor rgb="FF001190"/>
        <bgColor indexed="64"/>
      </patternFill>
    </fill>
    <fill>
      <patternFill patternType="solid">
        <fgColor rgb="FF001191"/>
        <bgColor indexed="64"/>
      </patternFill>
    </fill>
    <fill>
      <patternFill patternType="solid">
        <fgColor rgb="FF001192"/>
        <bgColor indexed="64"/>
      </patternFill>
    </fill>
    <fill>
      <patternFill patternType="solid">
        <fgColor rgb="FF001193"/>
        <bgColor indexed="64"/>
      </patternFill>
    </fill>
    <fill>
      <patternFill patternType="solid">
        <fgColor rgb="FF001194"/>
        <bgColor indexed="64"/>
      </patternFill>
    </fill>
    <fill>
      <patternFill patternType="solid">
        <fgColor rgb="FF001195"/>
        <bgColor indexed="64"/>
      </patternFill>
    </fill>
    <fill>
      <patternFill patternType="solid">
        <fgColor rgb="FF001196"/>
        <bgColor indexed="64"/>
      </patternFill>
    </fill>
    <fill>
      <patternFill patternType="solid">
        <fgColor rgb="FF001197"/>
        <bgColor indexed="64"/>
      </patternFill>
    </fill>
    <fill>
      <patternFill patternType="solid">
        <fgColor rgb="FF001198"/>
        <bgColor indexed="64"/>
      </patternFill>
    </fill>
    <fill>
      <patternFill patternType="solid">
        <fgColor rgb="FF001199"/>
        <bgColor indexed="64"/>
      </patternFill>
    </fill>
    <fill>
      <patternFill patternType="solid">
        <fgColor rgb="FF00119A"/>
        <bgColor indexed="64"/>
      </patternFill>
    </fill>
    <fill>
      <patternFill patternType="solid">
        <fgColor rgb="FF00119B"/>
        <bgColor indexed="64"/>
      </patternFill>
    </fill>
    <fill>
      <patternFill patternType="solid">
        <fgColor rgb="FF00119C"/>
        <bgColor indexed="64"/>
      </patternFill>
    </fill>
    <fill>
      <patternFill patternType="solid">
        <fgColor rgb="FF00119D"/>
        <bgColor indexed="64"/>
      </patternFill>
    </fill>
    <fill>
      <patternFill patternType="solid">
        <fgColor rgb="FF00119E"/>
        <bgColor indexed="64"/>
      </patternFill>
    </fill>
    <fill>
      <patternFill patternType="solid">
        <fgColor rgb="FF00119F"/>
        <bgColor indexed="64"/>
      </patternFill>
    </fill>
    <fill>
      <patternFill patternType="solid">
        <fgColor rgb="FF0011A0"/>
        <bgColor indexed="64"/>
      </patternFill>
    </fill>
    <fill>
      <patternFill patternType="solid">
        <fgColor rgb="FF0011A1"/>
        <bgColor indexed="64"/>
      </patternFill>
    </fill>
    <fill>
      <patternFill patternType="solid">
        <fgColor rgb="FF0011A2"/>
        <bgColor indexed="64"/>
      </patternFill>
    </fill>
    <fill>
      <patternFill patternType="solid">
        <fgColor rgb="FF0011A3"/>
        <bgColor indexed="64"/>
      </patternFill>
    </fill>
    <fill>
      <patternFill patternType="solid">
        <fgColor rgb="FF0011A4"/>
        <bgColor indexed="64"/>
      </patternFill>
    </fill>
    <fill>
      <patternFill patternType="solid">
        <fgColor rgb="FF0011A5"/>
        <bgColor indexed="64"/>
      </patternFill>
    </fill>
    <fill>
      <patternFill patternType="solid">
        <fgColor rgb="FF0011A6"/>
        <bgColor indexed="64"/>
      </patternFill>
    </fill>
    <fill>
      <patternFill patternType="solid">
        <fgColor rgb="FF0011A7"/>
        <bgColor indexed="64"/>
      </patternFill>
    </fill>
    <fill>
      <patternFill patternType="solid">
        <fgColor rgb="FF0011A8"/>
        <bgColor indexed="64"/>
      </patternFill>
    </fill>
    <fill>
      <patternFill patternType="solid">
        <fgColor rgb="FF0011A9"/>
        <bgColor indexed="64"/>
      </patternFill>
    </fill>
    <fill>
      <patternFill patternType="solid">
        <fgColor rgb="FF0011AA"/>
        <bgColor indexed="64"/>
      </patternFill>
    </fill>
    <fill>
      <patternFill patternType="solid">
        <fgColor rgb="FF0011AB"/>
        <bgColor indexed="64"/>
      </patternFill>
    </fill>
    <fill>
      <patternFill patternType="solid">
        <fgColor rgb="FF0011AC"/>
        <bgColor indexed="64"/>
      </patternFill>
    </fill>
    <fill>
      <patternFill patternType="solid">
        <fgColor rgb="FF0011AD"/>
        <bgColor indexed="64"/>
      </patternFill>
    </fill>
    <fill>
      <patternFill patternType="solid">
        <fgColor rgb="FF0011AE"/>
        <bgColor indexed="64"/>
      </patternFill>
    </fill>
    <fill>
      <patternFill patternType="solid">
        <fgColor rgb="FF0011AF"/>
        <bgColor indexed="64"/>
      </patternFill>
    </fill>
    <fill>
      <patternFill patternType="solid">
        <fgColor rgb="FF0011B0"/>
        <bgColor indexed="64"/>
      </patternFill>
    </fill>
    <fill>
      <patternFill patternType="solid">
        <fgColor rgb="FF0011B1"/>
        <bgColor indexed="64"/>
      </patternFill>
    </fill>
    <fill>
      <patternFill patternType="solid">
        <fgColor rgb="FF0011B2"/>
        <bgColor indexed="64"/>
      </patternFill>
    </fill>
    <fill>
      <patternFill patternType="solid">
        <fgColor rgb="FF0011B3"/>
        <bgColor indexed="64"/>
      </patternFill>
    </fill>
    <fill>
      <patternFill patternType="solid">
        <fgColor rgb="FF0011B4"/>
        <bgColor indexed="64"/>
      </patternFill>
    </fill>
    <fill>
      <patternFill patternType="solid">
        <fgColor rgb="FF0011B5"/>
        <bgColor indexed="64"/>
      </patternFill>
    </fill>
    <fill>
      <patternFill patternType="solid">
        <fgColor rgb="FF0011B6"/>
        <bgColor indexed="64"/>
      </patternFill>
    </fill>
    <fill>
      <patternFill patternType="solid">
        <fgColor rgb="FF0011B7"/>
        <bgColor indexed="64"/>
      </patternFill>
    </fill>
    <fill>
      <patternFill patternType="solid">
        <fgColor rgb="FF0011B8"/>
        <bgColor indexed="64"/>
      </patternFill>
    </fill>
    <fill>
      <patternFill patternType="solid">
        <fgColor rgb="FF0011B9"/>
        <bgColor indexed="64"/>
      </patternFill>
    </fill>
    <fill>
      <patternFill patternType="solid">
        <fgColor rgb="FF0011BA"/>
        <bgColor indexed="64"/>
      </patternFill>
    </fill>
    <fill>
      <patternFill patternType="solid">
        <fgColor rgb="FF0011BB"/>
        <bgColor indexed="64"/>
      </patternFill>
    </fill>
    <fill>
      <patternFill patternType="solid">
        <fgColor rgb="FF0011BC"/>
        <bgColor indexed="64"/>
      </patternFill>
    </fill>
    <fill>
      <patternFill patternType="solid">
        <fgColor rgb="FF0011BD"/>
        <bgColor indexed="64"/>
      </patternFill>
    </fill>
    <fill>
      <patternFill patternType="solid">
        <fgColor rgb="FF0011BE"/>
        <bgColor indexed="64"/>
      </patternFill>
    </fill>
    <fill>
      <patternFill patternType="solid">
        <fgColor rgb="FF0011BF"/>
        <bgColor indexed="64"/>
      </patternFill>
    </fill>
    <fill>
      <patternFill patternType="solid">
        <fgColor rgb="FF0011C0"/>
        <bgColor indexed="64"/>
      </patternFill>
    </fill>
    <fill>
      <patternFill patternType="solid">
        <fgColor rgb="FF0011C1"/>
        <bgColor indexed="64"/>
      </patternFill>
    </fill>
    <fill>
      <patternFill patternType="solid">
        <fgColor rgb="FF0011C2"/>
        <bgColor indexed="64"/>
      </patternFill>
    </fill>
    <fill>
      <patternFill patternType="solid">
        <fgColor rgb="FF0011C3"/>
        <bgColor indexed="64"/>
      </patternFill>
    </fill>
    <fill>
      <patternFill patternType="solid">
        <fgColor rgb="FF0011C4"/>
        <bgColor indexed="64"/>
      </patternFill>
    </fill>
    <fill>
      <patternFill patternType="solid">
        <fgColor rgb="FF0011C5"/>
        <bgColor indexed="64"/>
      </patternFill>
    </fill>
    <fill>
      <patternFill patternType="solid">
        <fgColor rgb="FF0011C6"/>
        <bgColor indexed="64"/>
      </patternFill>
    </fill>
    <fill>
      <patternFill patternType="solid">
        <fgColor rgb="FF0011C7"/>
        <bgColor indexed="64"/>
      </patternFill>
    </fill>
    <fill>
      <patternFill patternType="solid">
        <fgColor rgb="FF0011C8"/>
        <bgColor indexed="64"/>
      </patternFill>
    </fill>
    <fill>
      <patternFill patternType="solid">
        <fgColor rgb="FF0011C9"/>
        <bgColor indexed="64"/>
      </patternFill>
    </fill>
    <fill>
      <patternFill patternType="solid">
        <fgColor rgb="FF0011CA"/>
        <bgColor indexed="64"/>
      </patternFill>
    </fill>
    <fill>
      <patternFill patternType="solid">
        <fgColor rgb="FF0011CB"/>
        <bgColor indexed="64"/>
      </patternFill>
    </fill>
    <fill>
      <patternFill patternType="solid">
        <fgColor rgb="FF0011CC"/>
        <bgColor indexed="64"/>
      </patternFill>
    </fill>
    <fill>
      <patternFill patternType="solid">
        <fgColor rgb="FF0011CD"/>
        <bgColor indexed="64"/>
      </patternFill>
    </fill>
    <fill>
      <patternFill patternType="solid">
        <fgColor rgb="FF0011CE"/>
        <bgColor indexed="64"/>
      </patternFill>
    </fill>
    <fill>
      <patternFill patternType="solid">
        <fgColor rgb="FF0011CF"/>
        <bgColor indexed="64"/>
      </patternFill>
    </fill>
    <fill>
      <patternFill patternType="solid">
        <fgColor rgb="FF0011D0"/>
        <bgColor indexed="64"/>
      </patternFill>
    </fill>
    <fill>
      <patternFill patternType="solid">
        <fgColor rgb="FF0011D1"/>
        <bgColor indexed="64"/>
      </patternFill>
    </fill>
    <fill>
      <patternFill patternType="solid">
        <fgColor rgb="FF0011D2"/>
        <bgColor indexed="64"/>
      </patternFill>
    </fill>
    <fill>
      <patternFill patternType="solid">
        <fgColor rgb="FF0011D3"/>
        <bgColor indexed="64"/>
      </patternFill>
    </fill>
    <fill>
      <patternFill patternType="solid">
        <fgColor rgb="FF0011D4"/>
        <bgColor indexed="64"/>
      </patternFill>
    </fill>
    <fill>
      <patternFill patternType="solid">
        <fgColor rgb="FF0011D5"/>
        <bgColor indexed="64"/>
      </patternFill>
    </fill>
    <fill>
      <patternFill patternType="solid">
        <fgColor rgb="FF0011D6"/>
        <bgColor indexed="64"/>
      </patternFill>
    </fill>
    <fill>
      <patternFill patternType="solid">
        <fgColor rgb="FF0011D7"/>
        <bgColor indexed="64"/>
      </patternFill>
    </fill>
    <fill>
      <patternFill patternType="solid">
        <fgColor rgb="FF0011D8"/>
        <bgColor indexed="64"/>
      </patternFill>
    </fill>
    <fill>
      <patternFill patternType="solid">
        <fgColor rgb="FF0011D9"/>
        <bgColor indexed="64"/>
      </patternFill>
    </fill>
    <fill>
      <patternFill patternType="solid">
        <fgColor rgb="FF0011DA"/>
        <bgColor indexed="64"/>
      </patternFill>
    </fill>
    <fill>
      <patternFill patternType="solid">
        <fgColor rgb="FF0011DB"/>
        <bgColor indexed="64"/>
      </patternFill>
    </fill>
    <fill>
      <patternFill patternType="solid">
        <fgColor rgb="FF0011DC"/>
        <bgColor indexed="64"/>
      </patternFill>
    </fill>
    <fill>
      <patternFill patternType="solid">
        <fgColor rgb="FF0011DD"/>
        <bgColor indexed="64"/>
      </patternFill>
    </fill>
    <fill>
      <patternFill patternType="solid">
        <fgColor rgb="FF0011DE"/>
        <bgColor indexed="64"/>
      </patternFill>
    </fill>
    <fill>
      <patternFill patternType="solid">
        <fgColor rgb="FF0011DF"/>
        <bgColor indexed="64"/>
      </patternFill>
    </fill>
    <fill>
      <patternFill patternType="solid">
        <fgColor rgb="FF0011E0"/>
        <bgColor indexed="64"/>
      </patternFill>
    </fill>
    <fill>
      <patternFill patternType="solid">
        <fgColor rgb="FF0011E1"/>
        <bgColor indexed="64"/>
      </patternFill>
    </fill>
    <fill>
      <patternFill patternType="solid">
        <fgColor rgb="FF0011E2"/>
        <bgColor indexed="64"/>
      </patternFill>
    </fill>
    <fill>
      <patternFill patternType="solid">
        <fgColor rgb="FF0011E3"/>
        <bgColor indexed="64"/>
      </patternFill>
    </fill>
    <fill>
      <patternFill patternType="solid">
        <fgColor rgb="FF0011E4"/>
        <bgColor indexed="64"/>
      </patternFill>
    </fill>
    <fill>
      <patternFill patternType="solid">
        <fgColor rgb="FF0011E5"/>
        <bgColor indexed="64"/>
      </patternFill>
    </fill>
    <fill>
      <patternFill patternType="solid">
        <fgColor rgb="FF0011E6"/>
        <bgColor indexed="64"/>
      </patternFill>
    </fill>
    <fill>
      <patternFill patternType="solid">
        <fgColor rgb="FF0011E7"/>
        <bgColor indexed="64"/>
      </patternFill>
    </fill>
    <fill>
      <patternFill patternType="solid">
        <fgColor rgb="FF0011E8"/>
        <bgColor indexed="64"/>
      </patternFill>
    </fill>
    <fill>
      <patternFill patternType="solid">
        <fgColor rgb="FF0011E9"/>
        <bgColor indexed="64"/>
      </patternFill>
    </fill>
    <fill>
      <patternFill patternType="solid">
        <fgColor rgb="FF0011EA"/>
        <bgColor indexed="64"/>
      </patternFill>
    </fill>
    <fill>
      <patternFill patternType="solid">
        <fgColor rgb="FF0011EB"/>
        <bgColor indexed="64"/>
      </patternFill>
    </fill>
    <fill>
      <patternFill patternType="solid">
        <fgColor rgb="FF0011EC"/>
        <bgColor indexed="64"/>
      </patternFill>
    </fill>
    <fill>
      <patternFill patternType="solid">
        <fgColor rgb="FF0011ED"/>
        <bgColor indexed="64"/>
      </patternFill>
    </fill>
    <fill>
      <patternFill patternType="solid">
        <fgColor rgb="FF0011EE"/>
        <bgColor indexed="64"/>
      </patternFill>
    </fill>
    <fill>
      <patternFill patternType="solid">
        <fgColor rgb="FF0011EF"/>
        <bgColor indexed="64"/>
      </patternFill>
    </fill>
    <fill>
      <patternFill patternType="solid">
        <fgColor rgb="FF0011F0"/>
        <bgColor indexed="64"/>
      </patternFill>
    </fill>
    <fill>
      <patternFill patternType="solid">
        <fgColor rgb="FF0011F1"/>
        <bgColor indexed="64"/>
      </patternFill>
    </fill>
    <fill>
      <patternFill patternType="solid">
        <fgColor rgb="FF0011F2"/>
        <bgColor indexed="64"/>
      </patternFill>
    </fill>
    <fill>
      <patternFill patternType="solid">
        <fgColor rgb="FF0011F3"/>
        <bgColor indexed="64"/>
      </patternFill>
    </fill>
    <fill>
      <patternFill patternType="solid">
        <fgColor rgb="FF0011F4"/>
        <bgColor indexed="64"/>
      </patternFill>
    </fill>
    <fill>
      <patternFill patternType="solid">
        <fgColor rgb="FF0011F5"/>
        <bgColor indexed="64"/>
      </patternFill>
    </fill>
    <fill>
      <patternFill patternType="solid">
        <fgColor rgb="FF0011F6"/>
        <bgColor indexed="64"/>
      </patternFill>
    </fill>
    <fill>
      <patternFill patternType="solid">
        <fgColor rgb="FF0011F7"/>
        <bgColor indexed="64"/>
      </patternFill>
    </fill>
    <fill>
      <patternFill patternType="solid">
        <fgColor rgb="FF0011F8"/>
        <bgColor indexed="64"/>
      </patternFill>
    </fill>
    <fill>
      <patternFill patternType="solid">
        <fgColor rgb="FF0011F9"/>
        <bgColor indexed="64"/>
      </patternFill>
    </fill>
    <fill>
      <patternFill patternType="solid">
        <fgColor rgb="FF0011FA"/>
        <bgColor indexed="64"/>
      </patternFill>
    </fill>
    <fill>
      <patternFill patternType="solid">
        <fgColor rgb="FF0011FB"/>
        <bgColor indexed="64"/>
      </patternFill>
    </fill>
    <fill>
      <patternFill patternType="solid">
        <fgColor rgb="FF0011FC"/>
        <bgColor indexed="64"/>
      </patternFill>
    </fill>
    <fill>
      <patternFill patternType="solid">
        <fgColor rgb="FF0011FD"/>
        <bgColor indexed="64"/>
      </patternFill>
    </fill>
    <fill>
      <patternFill patternType="solid">
        <fgColor rgb="FF0011FE"/>
        <bgColor indexed="64"/>
      </patternFill>
    </fill>
    <fill>
      <patternFill patternType="solid">
        <fgColor rgb="FF0011FF"/>
        <bgColor indexed="64"/>
      </patternFill>
    </fill>
    <fill>
      <patternFill patternType="solid">
        <fgColor rgb="FF001200"/>
        <bgColor indexed="64"/>
      </patternFill>
    </fill>
    <fill>
      <patternFill patternType="solid">
        <fgColor rgb="FF001201"/>
        <bgColor indexed="64"/>
      </patternFill>
    </fill>
    <fill>
      <patternFill patternType="solid">
        <fgColor rgb="FF001202"/>
        <bgColor indexed="64"/>
      </patternFill>
    </fill>
    <fill>
      <patternFill patternType="solid">
        <fgColor rgb="FF001203"/>
        <bgColor indexed="64"/>
      </patternFill>
    </fill>
    <fill>
      <patternFill patternType="solid">
        <fgColor rgb="FF001204"/>
        <bgColor indexed="64"/>
      </patternFill>
    </fill>
    <fill>
      <patternFill patternType="solid">
        <fgColor rgb="FF001205"/>
        <bgColor indexed="64"/>
      </patternFill>
    </fill>
    <fill>
      <patternFill patternType="solid">
        <fgColor rgb="FF001206"/>
        <bgColor indexed="64"/>
      </patternFill>
    </fill>
    <fill>
      <patternFill patternType="solid">
        <fgColor rgb="FF001207"/>
        <bgColor indexed="64"/>
      </patternFill>
    </fill>
    <fill>
      <patternFill patternType="solid">
        <fgColor rgb="FF001208"/>
        <bgColor indexed="64"/>
      </patternFill>
    </fill>
    <fill>
      <patternFill patternType="solid">
        <fgColor rgb="FF001209"/>
        <bgColor indexed="64"/>
      </patternFill>
    </fill>
    <fill>
      <patternFill patternType="solid">
        <fgColor rgb="FF00120A"/>
        <bgColor indexed="64"/>
      </patternFill>
    </fill>
    <fill>
      <patternFill patternType="solid">
        <fgColor rgb="FF00120B"/>
        <bgColor indexed="64"/>
      </patternFill>
    </fill>
    <fill>
      <patternFill patternType="solid">
        <fgColor rgb="FF00120C"/>
        <bgColor indexed="64"/>
      </patternFill>
    </fill>
    <fill>
      <patternFill patternType="solid">
        <fgColor rgb="FF00120D"/>
        <bgColor indexed="64"/>
      </patternFill>
    </fill>
    <fill>
      <patternFill patternType="solid">
        <fgColor rgb="FF00120E"/>
        <bgColor indexed="64"/>
      </patternFill>
    </fill>
    <fill>
      <patternFill patternType="solid">
        <fgColor rgb="FF00120F"/>
        <bgColor indexed="64"/>
      </patternFill>
    </fill>
    <fill>
      <patternFill patternType="solid">
        <fgColor rgb="FF001210"/>
        <bgColor indexed="64"/>
      </patternFill>
    </fill>
    <fill>
      <patternFill patternType="solid">
        <fgColor rgb="FF001211"/>
        <bgColor indexed="64"/>
      </patternFill>
    </fill>
    <fill>
      <patternFill patternType="solid">
        <fgColor rgb="FF001212"/>
        <bgColor indexed="64"/>
      </patternFill>
    </fill>
    <fill>
      <patternFill patternType="solid">
        <fgColor rgb="FF001213"/>
        <bgColor indexed="64"/>
      </patternFill>
    </fill>
    <fill>
      <patternFill patternType="solid">
        <fgColor rgb="FF001214"/>
        <bgColor indexed="64"/>
      </patternFill>
    </fill>
    <fill>
      <patternFill patternType="solid">
        <fgColor rgb="FF001215"/>
        <bgColor indexed="64"/>
      </patternFill>
    </fill>
    <fill>
      <patternFill patternType="solid">
        <fgColor rgb="FF001216"/>
        <bgColor indexed="64"/>
      </patternFill>
    </fill>
    <fill>
      <patternFill patternType="solid">
        <fgColor rgb="FF001217"/>
        <bgColor indexed="64"/>
      </patternFill>
    </fill>
    <fill>
      <patternFill patternType="solid">
        <fgColor rgb="FF001218"/>
        <bgColor indexed="64"/>
      </patternFill>
    </fill>
    <fill>
      <patternFill patternType="solid">
        <fgColor rgb="FF001219"/>
        <bgColor indexed="64"/>
      </patternFill>
    </fill>
    <fill>
      <patternFill patternType="solid">
        <fgColor rgb="FF00121A"/>
        <bgColor indexed="64"/>
      </patternFill>
    </fill>
    <fill>
      <patternFill patternType="solid">
        <fgColor rgb="FF00121B"/>
        <bgColor indexed="64"/>
      </patternFill>
    </fill>
    <fill>
      <patternFill patternType="solid">
        <fgColor rgb="FF00121C"/>
        <bgColor indexed="64"/>
      </patternFill>
    </fill>
    <fill>
      <patternFill patternType="solid">
        <fgColor rgb="FF00121D"/>
        <bgColor indexed="64"/>
      </patternFill>
    </fill>
    <fill>
      <patternFill patternType="solid">
        <fgColor rgb="FF00121E"/>
        <bgColor indexed="64"/>
      </patternFill>
    </fill>
    <fill>
      <patternFill patternType="solid">
        <fgColor rgb="FF00121F"/>
        <bgColor indexed="64"/>
      </patternFill>
    </fill>
    <fill>
      <patternFill patternType="solid">
        <fgColor rgb="FF001220"/>
        <bgColor indexed="64"/>
      </patternFill>
    </fill>
    <fill>
      <patternFill patternType="solid">
        <fgColor rgb="FF001221"/>
        <bgColor indexed="64"/>
      </patternFill>
    </fill>
    <fill>
      <patternFill patternType="solid">
        <fgColor rgb="FF001222"/>
        <bgColor indexed="64"/>
      </patternFill>
    </fill>
    <fill>
      <patternFill patternType="solid">
        <fgColor rgb="FF001223"/>
        <bgColor indexed="64"/>
      </patternFill>
    </fill>
    <fill>
      <patternFill patternType="solid">
        <fgColor rgb="FF001224"/>
        <bgColor indexed="64"/>
      </patternFill>
    </fill>
    <fill>
      <patternFill patternType="solid">
        <fgColor rgb="FF001225"/>
        <bgColor indexed="64"/>
      </patternFill>
    </fill>
    <fill>
      <patternFill patternType="solid">
        <fgColor rgb="FF001226"/>
        <bgColor indexed="64"/>
      </patternFill>
    </fill>
    <fill>
      <patternFill patternType="solid">
        <fgColor rgb="FF001227"/>
        <bgColor indexed="64"/>
      </patternFill>
    </fill>
    <fill>
      <patternFill patternType="solid">
        <fgColor rgb="FF001228"/>
        <bgColor indexed="64"/>
      </patternFill>
    </fill>
    <fill>
      <patternFill patternType="solid">
        <fgColor rgb="FF001229"/>
        <bgColor indexed="64"/>
      </patternFill>
    </fill>
    <fill>
      <patternFill patternType="solid">
        <fgColor rgb="FF00122A"/>
        <bgColor indexed="64"/>
      </patternFill>
    </fill>
    <fill>
      <patternFill patternType="solid">
        <fgColor rgb="FF00122B"/>
        <bgColor indexed="64"/>
      </patternFill>
    </fill>
    <fill>
      <patternFill patternType="solid">
        <fgColor rgb="FF00122C"/>
        <bgColor indexed="64"/>
      </patternFill>
    </fill>
    <fill>
      <patternFill patternType="solid">
        <fgColor rgb="FF00122D"/>
        <bgColor indexed="64"/>
      </patternFill>
    </fill>
    <fill>
      <patternFill patternType="solid">
        <fgColor rgb="FF00122E"/>
        <bgColor indexed="64"/>
      </patternFill>
    </fill>
    <fill>
      <patternFill patternType="solid">
        <fgColor rgb="FF00122F"/>
        <bgColor indexed="64"/>
      </patternFill>
    </fill>
    <fill>
      <patternFill patternType="solid">
        <fgColor rgb="FF001230"/>
        <bgColor indexed="64"/>
      </patternFill>
    </fill>
    <fill>
      <patternFill patternType="solid">
        <fgColor rgb="FF001231"/>
        <bgColor indexed="64"/>
      </patternFill>
    </fill>
    <fill>
      <patternFill patternType="solid">
        <fgColor rgb="FF001232"/>
        <bgColor indexed="64"/>
      </patternFill>
    </fill>
    <fill>
      <patternFill patternType="solid">
        <fgColor rgb="FF001233"/>
        <bgColor indexed="64"/>
      </patternFill>
    </fill>
    <fill>
      <patternFill patternType="solid">
        <fgColor rgb="FF001234"/>
        <bgColor indexed="64"/>
      </patternFill>
    </fill>
    <fill>
      <patternFill patternType="solid">
        <fgColor rgb="FF001235"/>
        <bgColor indexed="64"/>
      </patternFill>
    </fill>
    <fill>
      <patternFill patternType="solid">
        <fgColor rgb="FF001236"/>
        <bgColor indexed="64"/>
      </patternFill>
    </fill>
    <fill>
      <patternFill patternType="solid">
        <fgColor rgb="FF001237"/>
        <bgColor indexed="64"/>
      </patternFill>
    </fill>
    <fill>
      <patternFill patternType="solid">
        <fgColor rgb="FF001238"/>
        <bgColor indexed="64"/>
      </patternFill>
    </fill>
    <fill>
      <patternFill patternType="solid">
        <fgColor rgb="FF001239"/>
        <bgColor indexed="64"/>
      </patternFill>
    </fill>
    <fill>
      <patternFill patternType="solid">
        <fgColor rgb="FF00123A"/>
        <bgColor indexed="64"/>
      </patternFill>
    </fill>
    <fill>
      <patternFill patternType="solid">
        <fgColor rgb="FF00123B"/>
        <bgColor indexed="64"/>
      </patternFill>
    </fill>
    <fill>
      <patternFill patternType="solid">
        <fgColor rgb="FF00123C"/>
        <bgColor indexed="64"/>
      </patternFill>
    </fill>
    <fill>
      <patternFill patternType="solid">
        <fgColor rgb="FF00123D"/>
        <bgColor indexed="64"/>
      </patternFill>
    </fill>
    <fill>
      <patternFill patternType="solid">
        <fgColor rgb="FF00123E"/>
        <bgColor indexed="64"/>
      </patternFill>
    </fill>
    <fill>
      <patternFill patternType="solid">
        <fgColor rgb="FF00123F"/>
        <bgColor indexed="64"/>
      </patternFill>
    </fill>
    <fill>
      <patternFill patternType="solid">
        <fgColor rgb="FF001240"/>
        <bgColor indexed="64"/>
      </patternFill>
    </fill>
    <fill>
      <patternFill patternType="solid">
        <fgColor rgb="FF001241"/>
        <bgColor indexed="64"/>
      </patternFill>
    </fill>
    <fill>
      <patternFill patternType="solid">
        <fgColor rgb="FF001242"/>
        <bgColor indexed="64"/>
      </patternFill>
    </fill>
    <fill>
      <patternFill patternType="solid">
        <fgColor rgb="FF001243"/>
        <bgColor indexed="64"/>
      </patternFill>
    </fill>
    <fill>
      <patternFill patternType="solid">
        <fgColor rgb="FF001244"/>
        <bgColor indexed="64"/>
      </patternFill>
    </fill>
    <fill>
      <patternFill patternType="solid">
        <fgColor rgb="FF001245"/>
        <bgColor indexed="64"/>
      </patternFill>
    </fill>
    <fill>
      <patternFill patternType="solid">
        <fgColor rgb="FF001246"/>
        <bgColor indexed="64"/>
      </patternFill>
    </fill>
    <fill>
      <patternFill patternType="solid">
        <fgColor rgb="FF001247"/>
        <bgColor indexed="64"/>
      </patternFill>
    </fill>
    <fill>
      <patternFill patternType="solid">
        <fgColor rgb="FF001248"/>
        <bgColor indexed="64"/>
      </patternFill>
    </fill>
    <fill>
      <patternFill patternType="solid">
        <fgColor rgb="FF001249"/>
        <bgColor indexed="64"/>
      </patternFill>
    </fill>
    <fill>
      <patternFill patternType="solid">
        <fgColor rgb="FF00124A"/>
        <bgColor indexed="64"/>
      </patternFill>
    </fill>
    <fill>
      <patternFill patternType="solid">
        <fgColor rgb="FF00124B"/>
        <bgColor indexed="64"/>
      </patternFill>
    </fill>
    <fill>
      <patternFill patternType="solid">
        <fgColor rgb="FF00124C"/>
        <bgColor indexed="64"/>
      </patternFill>
    </fill>
    <fill>
      <patternFill patternType="solid">
        <fgColor rgb="FF00124D"/>
        <bgColor indexed="64"/>
      </patternFill>
    </fill>
    <fill>
      <patternFill patternType="solid">
        <fgColor rgb="FF00124E"/>
        <bgColor indexed="64"/>
      </patternFill>
    </fill>
    <fill>
      <patternFill patternType="solid">
        <fgColor rgb="FF00124F"/>
        <bgColor indexed="64"/>
      </patternFill>
    </fill>
    <fill>
      <patternFill patternType="solid">
        <fgColor rgb="FF001250"/>
        <bgColor indexed="64"/>
      </patternFill>
    </fill>
    <fill>
      <patternFill patternType="solid">
        <fgColor rgb="FF001251"/>
        <bgColor indexed="64"/>
      </patternFill>
    </fill>
    <fill>
      <patternFill patternType="solid">
        <fgColor rgb="FF001252"/>
        <bgColor indexed="64"/>
      </patternFill>
    </fill>
    <fill>
      <patternFill patternType="solid">
        <fgColor rgb="FF001253"/>
        <bgColor indexed="64"/>
      </patternFill>
    </fill>
    <fill>
      <patternFill patternType="solid">
        <fgColor rgb="FF001254"/>
        <bgColor indexed="64"/>
      </patternFill>
    </fill>
    <fill>
      <patternFill patternType="solid">
        <fgColor rgb="FF001255"/>
        <bgColor indexed="64"/>
      </patternFill>
    </fill>
    <fill>
      <patternFill patternType="solid">
        <fgColor rgb="FF001256"/>
        <bgColor indexed="64"/>
      </patternFill>
    </fill>
    <fill>
      <patternFill patternType="solid">
        <fgColor rgb="FF001257"/>
        <bgColor indexed="64"/>
      </patternFill>
    </fill>
    <fill>
      <patternFill patternType="solid">
        <fgColor rgb="FF001258"/>
        <bgColor indexed="64"/>
      </patternFill>
    </fill>
    <fill>
      <patternFill patternType="solid">
        <fgColor rgb="FF001259"/>
        <bgColor indexed="64"/>
      </patternFill>
    </fill>
    <fill>
      <patternFill patternType="solid">
        <fgColor rgb="FF00125A"/>
        <bgColor indexed="64"/>
      </patternFill>
    </fill>
    <fill>
      <patternFill patternType="solid">
        <fgColor rgb="FF00125B"/>
        <bgColor indexed="64"/>
      </patternFill>
    </fill>
    <fill>
      <patternFill patternType="solid">
        <fgColor rgb="FF00125C"/>
        <bgColor indexed="64"/>
      </patternFill>
    </fill>
    <fill>
      <patternFill patternType="solid">
        <fgColor rgb="FF00125D"/>
        <bgColor indexed="64"/>
      </patternFill>
    </fill>
    <fill>
      <patternFill patternType="solid">
        <fgColor rgb="FF00125E"/>
        <bgColor indexed="64"/>
      </patternFill>
    </fill>
    <fill>
      <patternFill patternType="solid">
        <fgColor rgb="FF00125F"/>
        <bgColor indexed="64"/>
      </patternFill>
    </fill>
    <fill>
      <patternFill patternType="solid">
        <fgColor rgb="FF001260"/>
        <bgColor indexed="64"/>
      </patternFill>
    </fill>
    <fill>
      <patternFill patternType="solid">
        <fgColor rgb="FF001261"/>
        <bgColor indexed="64"/>
      </patternFill>
    </fill>
    <fill>
      <patternFill patternType="solid">
        <fgColor rgb="FF001262"/>
        <bgColor indexed="64"/>
      </patternFill>
    </fill>
    <fill>
      <patternFill patternType="solid">
        <fgColor rgb="FF001263"/>
        <bgColor indexed="64"/>
      </patternFill>
    </fill>
    <fill>
      <patternFill patternType="solid">
        <fgColor rgb="FF001264"/>
        <bgColor indexed="64"/>
      </patternFill>
    </fill>
    <fill>
      <patternFill patternType="solid">
        <fgColor rgb="FF001265"/>
        <bgColor indexed="64"/>
      </patternFill>
    </fill>
    <fill>
      <patternFill patternType="solid">
        <fgColor rgb="FF001266"/>
        <bgColor indexed="64"/>
      </patternFill>
    </fill>
    <fill>
      <patternFill patternType="solid">
        <fgColor rgb="FF001267"/>
        <bgColor indexed="64"/>
      </patternFill>
    </fill>
    <fill>
      <patternFill patternType="solid">
        <fgColor rgb="FF001268"/>
        <bgColor indexed="64"/>
      </patternFill>
    </fill>
    <fill>
      <patternFill patternType="solid">
        <fgColor rgb="FF001269"/>
        <bgColor indexed="64"/>
      </patternFill>
    </fill>
    <fill>
      <patternFill patternType="solid">
        <fgColor rgb="FF00126A"/>
        <bgColor indexed="64"/>
      </patternFill>
    </fill>
    <fill>
      <patternFill patternType="solid">
        <fgColor rgb="FF00126B"/>
        <bgColor indexed="64"/>
      </patternFill>
    </fill>
    <fill>
      <patternFill patternType="solid">
        <fgColor rgb="FF00126C"/>
        <bgColor indexed="64"/>
      </patternFill>
    </fill>
    <fill>
      <patternFill patternType="solid">
        <fgColor rgb="FF00126D"/>
        <bgColor indexed="64"/>
      </patternFill>
    </fill>
    <fill>
      <patternFill patternType="solid">
        <fgColor rgb="FF00126E"/>
        <bgColor indexed="64"/>
      </patternFill>
    </fill>
    <fill>
      <patternFill patternType="solid">
        <fgColor rgb="FF00126F"/>
        <bgColor indexed="64"/>
      </patternFill>
    </fill>
    <fill>
      <patternFill patternType="solid">
        <fgColor rgb="FF001270"/>
        <bgColor indexed="64"/>
      </patternFill>
    </fill>
    <fill>
      <patternFill patternType="solid">
        <fgColor rgb="FF001271"/>
        <bgColor indexed="64"/>
      </patternFill>
    </fill>
    <fill>
      <patternFill patternType="solid">
        <fgColor rgb="FF001272"/>
        <bgColor indexed="64"/>
      </patternFill>
    </fill>
    <fill>
      <patternFill patternType="solid">
        <fgColor rgb="FF001273"/>
        <bgColor indexed="64"/>
      </patternFill>
    </fill>
    <fill>
      <patternFill patternType="solid">
        <fgColor rgb="FF001274"/>
        <bgColor indexed="64"/>
      </patternFill>
    </fill>
    <fill>
      <patternFill patternType="solid">
        <fgColor rgb="FF001275"/>
        <bgColor indexed="64"/>
      </patternFill>
    </fill>
    <fill>
      <patternFill patternType="solid">
        <fgColor rgb="FF001276"/>
        <bgColor indexed="64"/>
      </patternFill>
    </fill>
    <fill>
      <patternFill patternType="solid">
        <fgColor rgb="FF001277"/>
        <bgColor indexed="64"/>
      </patternFill>
    </fill>
    <fill>
      <patternFill patternType="solid">
        <fgColor rgb="FF001278"/>
        <bgColor indexed="64"/>
      </patternFill>
    </fill>
    <fill>
      <patternFill patternType="solid">
        <fgColor rgb="FF001279"/>
        <bgColor indexed="64"/>
      </patternFill>
    </fill>
    <fill>
      <patternFill patternType="solid">
        <fgColor rgb="FF00127A"/>
        <bgColor indexed="64"/>
      </patternFill>
    </fill>
    <fill>
      <patternFill patternType="solid">
        <fgColor rgb="FF00127B"/>
        <bgColor indexed="64"/>
      </patternFill>
    </fill>
    <fill>
      <patternFill patternType="solid">
        <fgColor rgb="FF00127C"/>
        <bgColor indexed="64"/>
      </patternFill>
    </fill>
    <fill>
      <patternFill patternType="solid">
        <fgColor rgb="FF00127D"/>
        <bgColor indexed="64"/>
      </patternFill>
    </fill>
    <fill>
      <patternFill patternType="solid">
        <fgColor rgb="FF00127E"/>
        <bgColor indexed="64"/>
      </patternFill>
    </fill>
    <fill>
      <patternFill patternType="solid">
        <fgColor rgb="FF00127F"/>
        <bgColor indexed="64"/>
      </patternFill>
    </fill>
    <fill>
      <patternFill patternType="solid">
        <fgColor rgb="FF001280"/>
        <bgColor indexed="64"/>
      </patternFill>
    </fill>
    <fill>
      <patternFill patternType="solid">
        <fgColor rgb="FF001281"/>
        <bgColor indexed="64"/>
      </patternFill>
    </fill>
    <fill>
      <patternFill patternType="solid">
        <fgColor rgb="FF001282"/>
        <bgColor indexed="64"/>
      </patternFill>
    </fill>
    <fill>
      <patternFill patternType="solid">
        <fgColor rgb="FF001283"/>
        <bgColor indexed="64"/>
      </patternFill>
    </fill>
    <fill>
      <patternFill patternType="solid">
        <fgColor rgb="FF001284"/>
        <bgColor indexed="64"/>
      </patternFill>
    </fill>
    <fill>
      <patternFill patternType="solid">
        <fgColor rgb="FF001285"/>
        <bgColor indexed="64"/>
      </patternFill>
    </fill>
    <fill>
      <patternFill patternType="solid">
        <fgColor rgb="FF001286"/>
        <bgColor indexed="64"/>
      </patternFill>
    </fill>
    <fill>
      <patternFill patternType="solid">
        <fgColor rgb="FF001287"/>
        <bgColor indexed="64"/>
      </patternFill>
    </fill>
    <fill>
      <patternFill patternType="solid">
        <fgColor rgb="FF001288"/>
        <bgColor indexed="64"/>
      </patternFill>
    </fill>
    <fill>
      <patternFill patternType="solid">
        <fgColor rgb="FF001289"/>
        <bgColor indexed="64"/>
      </patternFill>
    </fill>
    <fill>
      <patternFill patternType="solid">
        <fgColor rgb="FF00128A"/>
        <bgColor indexed="64"/>
      </patternFill>
    </fill>
    <fill>
      <patternFill patternType="solid">
        <fgColor rgb="FF00128B"/>
        <bgColor indexed="64"/>
      </patternFill>
    </fill>
    <fill>
      <patternFill patternType="solid">
        <fgColor rgb="FF00128C"/>
        <bgColor indexed="64"/>
      </patternFill>
    </fill>
    <fill>
      <patternFill patternType="solid">
        <fgColor rgb="FF00128D"/>
        <bgColor indexed="64"/>
      </patternFill>
    </fill>
    <fill>
      <patternFill patternType="solid">
        <fgColor rgb="FF00128E"/>
        <bgColor indexed="64"/>
      </patternFill>
    </fill>
    <fill>
      <patternFill patternType="solid">
        <fgColor rgb="FF00128F"/>
        <bgColor indexed="64"/>
      </patternFill>
    </fill>
    <fill>
      <patternFill patternType="solid">
        <fgColor rgb="FF001290"/>
        <bgColor indexed="64"/>
      </patternFill>
    </fill>
    <fill>
      <patternFill patternType="solid">
        <fgColor rgb="FF001291"/>
        <bgColor indexed="64"/>
      </patternFill>
    </fill>
    <fill>
      <patternFill patternType="solid">
        <fgColor rgb="FF001292"/>
        <bgColor indexed="64"/>
      </patternFill>
    </fill>
    <fill>
      <patternFill patternType="solid">
        <fgColor rgb="FF001293"/>
        <bgColor indexed="64"/>
      </patternFill>
    </fill>
    <fill>
      <patternFill patternType="solid">
        <fgColor rgb="FF001294"/>
        <bgColor indexed="64"/>
      </patternFill>
    </fill>
    <fill>
      <patternFill patternType="solid">
        <fgColor rgb="FF001295"/>
        <bgColor indexed="64"/>
      </patternFill>
    </fill>
    <fill>
      <patternFill patternType="solid">
        <fgColor rgb="FF001296"/>
        <bgColor indexed="64"/>
      </patternFill>
    </fill>
    <fill>
      <patternFill patternType="solid">
        <fgColor rgb="FF001297"/>
        <bgColor indexed="64"/>
      </patternFill>
    </fill>
    <fill>
      <patternFill patternType="solid">
        <fgColor rgb="FF001298"/>
        <bgColor indexed="64"/>
      </patternFill>
    </fill>
    <fill>
      <patternFill patternType="solid">
        <fgColor rgb="FF001299"/>
        <bgColor indexed="64"/>
      </patternFill>
    </fill>
    <fill>
      <patternFill patternType="solid">
        <fgColor rgb="FF00129A"/>
        <bgColor indexed="64"/>
      </patternFill>
    </fill>
    <fill>
      <patternFill patternType="solid">
        <fgColor rgb="FF00129B"/>
        <bgColor indexed="64"/>
      </patternFill>
    </fill>
    <fill>
      <patternFill patternType="solid">
        <fgColor rgb="FF00129C"/>
        <bgColor indexed="64"/>
      </patternFill>
    </fill>
    <fill>
      <patternFill patternType="solid">
        <fgColor rgb="FF00129D"/>
        <bgColor indexed="64"/>
      </patternFill>
    </fill>
    <fill>
      <patternFill patternType="solid">
        <fgColor rgb="FF00129E"/>
        <bgColor indexed="64"/>
      </patternFill>
    </fill>
    <fill>
      <patternFill patternType="solid">
        <fgColor rgb="FF00129F"/>
        <bgColor indexed="64"/>
      </patternFill>
    </fill>
    <fill>
      <patternFill patternType="solid">
        <fgColor rgb="FF0012A0"/>
        <bgColor indexed="64"/>
      </patternFill>
    </fill>
    <fill>
      <patternFill patternType="solid">
        <fgColor rgb="FF0012A1"/>
        <bgColor indexed="64"/>
      </patternFill>
    </fill>
    <fill>
      <patternFill patternType="solid">
        <fgColor rgb="FF0012A2"/>
        <bgColor indexed="64"/>
      </patternFill>
    </fill>
    <fill>
      <patternFill patternType="solid">
        <fgColor rgb="FF0012A3"/>
        <bgColor indexed="64"/>
      </patternFill>
    </fill>
    <fill>
      <patternFill patternType="solid">
        <fgColor rgb="FF0012A4"/>
        <bgColor indexed="64"/>
      </patternFill>
    </fill>
    <fill>
      <patternFill patternType="solid">
        <fgColor rgb="FF0012A5"/>
        <bgColor indexed="64"/>
      </patternFill>
    </fill>
    <fill>
      <patternFill patternType="solid">
        <fgColor rgb="FF0012A6"/>
        <bgColor indexed="64"/>
      </patternFill>
    </fill>
    <fill>
      <patternFill patternType="solid">
        <fgColor rgb="FF0012A7"/>
        <bgColor indexed="64"/>
      </patternFill>
    </fill>
    <fill>
      <patternFill patternType="solid">
        <fgColor rgb="FF0012A8"/>
        <bgColor indexed="64"/>
      </patternFill>
    </fill>
    <fill>
      <patternFill patternType="solid">
        <fgColor rgb="FF0012A9"/>
        <bgColor indexed="64"/>
      </patternFill>
    </fill>
    <fill>
      <patternFill patternType="solid">
        <fgColor rgb="FF0012AA"/>
        <bgColor indexed="64"/>
      </patternFill>
    </fill>
    <fill>
      <patternFill patternType="solid">
        <fgColor rgb="FF0012AB"/>
        <bgColor indexed="64"/>
      </patternFill>
    </fill>
    <fill>
      <patternFill patternType="solid">
        <fgColor rgb="FF0012AC"/>
        <bgColor indexed="64"/>
      </patternFill>
    </fill>
    <fill>
      <patternFill patternType="solid">
        <fgColor rgb="FF0012AD"/>
        <bgColor indexed="64"/>
      </patternFill>
    </fill>
    <fill>
      <patternFill patternType="solid">
        <fgColor rgb="FF0012AE"/>
        <bgColor indexed="64"/>
      </patternFill>
    </fill>
    <fill>
      <patternFill patternType="solid">
        <fgColor rgb="FF0012AF"/>
        <bgColor indexed="64"/>
      </patternFill>
    </fill>
    <fill>
      <patternFill patternType="solid">
        <fgColor rgb="FF0012B0"/>
        <bgColor indexed="64"/>
      </patternFill>
    </fill>
    <fill>
      <patternFill patternType="solid">
        <fgColor rgb="FF0012B1"/>
        <bgColor indexed="64"/>
      </patternFill>
    </fill>
    <fill>
      <patternFill patternType="solid">
        <fgColor rgb="FF0012B2"/>
        <bgColor indexed="64"/>
      </patternFill>
    </fill>
    <fill>
      <patternFill patternType="solid">
        <fgColor rgb="FF0012B3"/>
        <bgColor indexed="64"/>
      </patternFill>
    </fill>
    <fill>
      <patternFill patternType="solid">
        <fgColor rgb="FF0012B4"/>
        <bgColor indexed="64"/>
      </patternFill>
    </fill>
    <fill>
      <patternFill patternType="solid">
        <fgColor rgb="FF0012B5"/>
        <bgColor indexed="64"/>
      </patternFill>
    </fill>
    <fill>
      <patternFill patternType="solid">
        <fgColor rgb="FF0012B6"/>
        <bgColor indexed="64"/>
      </patternFill>
    </fill>
    <fill>
      <patternFill patternType="solid">
        <fgColor rgb="FF0012B7"/>
        <bgColor indexed="64"/>
      </patternFill>
    </fill>
    <fill>
      <patternFill patternType="solid">
        <fgColor rgb="FF0012B8"/>
        <bgColor indexed="64"/>
      </patternFill>
    </fill>
    <fill>
      <patternFill patternType="solid">
        <fgColor rgb="FF0012B9"/>
        <bgColor indexed="64"/>
      </patternFill>
    </fill>
    <fill>
      <patternFill patternType="solid">
        <fgColor rgb="FF0012BA"/>
        <bgColor indexed="64"/>
      </patternFill>
    </fill>
    <fill>
      <patternFill patternType="solid">
        <fgColor rgb="FF0012BB"/>
        <bgColor indexed="64"/>
      </patternFill>
    </fill>
    <fill>
      <patternFill patternType="solid">
        <fgColor rgb="FF0012BC"/>
        <bgColor indexed="64"/>
      </patternFill>
    </fill>
    <fill>
      <patternFill patternType="solid">
        <fgColor rgb="FF0012BD"/>
        <bgColor indexed="64"/>
      </patternFill>
    </fill>
    <fill>
      <patternFill patternType="solid">
        <fgColor rgb="FF0012BE"/>
        <bgColor indexed="64"/>
      </patternFill>
    </fill>
    <fill>
      <patternFill patternType="solid">
        <fgColor rgb="FF0012BF"/>
        <bgColor indexed="64"/>
      </patternFill>
    </fill>
    <fill>
      <patternFill patternType="solid">
        <fgColor rgb="FF0012C0"/>
        <bgColor indexed="64"/>
      </patternFill>
    </fill>
    <fill>
      <patternFill patternType="solid">
        <fgColor rgb="FF0012C1"/>
        <bgColor indexed="64"/>
      </patternFill>
    </fill>
    <fill>
      <patternFill patternType="solid">
        <fgColor rgb="FF0012C2"/>
        <bgColor indexed="64"/>
      </patternFill>
    </fill>
    <fill>
      <patternFill patternType="solid">
        <fgColor rgb="FF0012C3"/>
        <bgColor indexed="64"/>
      </patternFill>
    </fill>
    <fill>
      <patternFill patternType="solid">
        <fgColor rgb="FF0012C4"/>
        <bgColor indexed="64"/>
      </patternFill>
    </fill>
    <fill>
      <patternFill patternType="solid">
        <fgColor rgb="FF0012C5"/>
        <bgColor indexed="64"/>
      </patternFill>
    </fill>
    <fill>
      <patternFill patternType="solid">
        <fgColor rgb="FF0012C6"/>
        <bgColor indexed="64"/>
      </patternFill>
    </fill>
    <fill>
      <patternFill patternType="solid">
        <fgColor rgb="FF0012C7"/>
        <bgColor indexed="64"/>
      </patternFill>
    </fill>
    <fill>
      <patternFill patternType="solid">
        <fgColor rgb="FF0012C8"/>
        <bgColor indexed="64"/>
      </patternFill>
    </fill>
    <fill>
      <patternFill patternType="solid">
        <fgColor rgb="FF0012C9"/>
        <bgColor indexed="64"/>
      </patternFill>
    </fill>
    <fill>
      <patternFill patternType="solid">
        <fgColor rgb="FF0012CA"/>
        <bgColor indexed="64"/>
      </patternFill>
    </fill>
    <fill>
      <patternFill patternType="solid">
        <fgColor rgb="FF0012CB"/>
        <bgColor indexed="64"/>
      </patternFill>
    </fill>
    <fill>
      <patternFill patternType="solid">
        <fgColor rgb="FF0012CC"/>
        <bgColor indexed="64"/>
      </patternFill>
    </fill>
    <fill>
      <patternFill patternType="solid">
        <fgColor rgb="FF0012CD"/>
        <bgColor indexed="64"/>
      </patternFill>
    </fill>
    <fill>
      <patternFill patternType="solid">
        <fgColor rgb="FF0012CE"/>
        <bgColor indexed="64"/>
      </patternFill>
    </fill>
    <fill>
      <patternFill patternType="solid">
        <fgColor rgb="FF0012CF"/>
        <bgColor indexed="64"/>
      </patternFill>
    </fill>
    <fill>
      <patternFill patternType="solid">
        <fgColor rgb="FF0012D0"/>
        <bgColor indexed="64"/>
      </patternFill>
    </fill>
    <fill>
      <patternFill patternType="solid">
        <fgColor rgb="FF0012D1"/>
        <bgColor indexed="64"/>
      </patternFill>
    </fill>
    <fill>
      <patternFill patternType="solid">
        <fgColor rgb="FF0012D2"/>
        <bgColor indexed="64"/>
      </patternFill>
    </fill>
    <fill>
      <patternFill patternType="solid">
        <fgColor rgb="FF0012D3"/>
        <bgColor indexed="64"/>
      </patternFill>
    </fill>
    <fill>
      <patternFill patternType="solid">
        <fgColor rgb="FF0012D4"/>
        <bgColor indexed="64"/>
      </patternFill>
    </fill>
    <fill>
      <patternFill patternType="solid">
        <fgColor rgb="FF0012D5"/>
        <bgColor indexed="64"/>
      </patternFill>
    </fill>
    <fill>
      <patternFill patternType="solid">
        <fgColor rgb="FF0012D6"/>
        <bgColor indexed="64"/>
      </patternFill>
    </fill>
    <fill>
      <patternFill patternType="solid">
        <fgColor rgb="FF0012D7"/>
        <bgColor indexed="64"/>
      </patternFill>
    </fill>
    <fill>
      <patternFill patternType="solid">
        <fgColor rgb="FF0012D8"/>
        <bgColor indexed="64"/>
      </patternFill>
    </fill>
    <fill>
      <patternFill patternType="solid">
        <fgColor rgb="FF0012D9"/>
        <bgColor indexed="64"/>
      </patternFill>
    </fill>
    <fill>
      <patternFill patternType="solid">
        <fgColor rgb="FF0012DA"/>
        <bgColor indexed="64"/>
      </patternFill>
    </fill>
    <fill>
      <patternFill patternType="solid">
        <fgColor rgb="FF0012DB"/>
        <bgColor indexed="64"/>
      </patternFill>
    </fill>
    <fill>
      <patternFill patternType="solid">
        <fgColor rgb="FF0012DC"/>
        <bgColor indexed="64"/>
      </patternFill>
    </fill>
    <fill>
      <patternFill patternType="solid">
        <fgColor rgb="FF0012DD"/>
        <bgColor indexed="64"/>
      </patternFill>
    </fill>
    <fill>
      <patternFill patternType="solid">
        <fgColor rgb="FF0012DE"/>
        <bgColor indexed="64"/>
      </patternFill>
    </fill>
    <fill>
      <patternFill patternType="solid">
        <fgColor rgb="FF0012DF"/>
        <bgColor indexed="64"/>
      </patternFill>
    </fill>
    <fill>
      <patternFill patternType="solid">
        <fgColor rgb="FF0012E0"/>
        <bgColor indexed="64"/>
      </patternFill>
    </fill>
    <fill>
      <patternFill patternType="solid">
        <fgColor rgb="FF0012E1"/>
        <bgColor indexed="64"/>
      </patternFill>
    </fill>
    <fill>
      <patternFill patternType="solid">
        <fgColor rgb="FF0012E2"/>
        <bgColor indexed="64"/>
      </patternFill>
    </fill>
    <fill>
      <patternFill patternType="solid">
        <fgColor rgb="FF0012E3"/>
        <bgColor indexed="64"/>
      </patternFill>
    </fill>
    <fill>
      <patternFill patternType="solid">
        <fgColor rgb="FF0012E4"/>
        <bgColor indexed="64"/>
      </patternFill>
    </fill>
    <fill>
      <patternFill patternType="solid">
        <fgColor rgb="FF0012E5"/>
        <bgColor indexed="64"/>
      </patternFill>
    </fill>
    <fill>
      <patternFill patternType="solid">
        <fgColor rgb="FF0012E6"/>
        <bgColor indexed="64"/>
      </patternFill>
    </fill>
    <fill>
      <patternFill patternType="solid">
        <fgColor rgb="FF0012E7"/>
        <bgColor indexed="64"/>
      </patternFill>
    </fill>
    <fill>
      <patternFill patternType="solid">
        <fgColor rgb="FF0012E8"/>
        <bgColor indexed="64"/>
      </patternFill>
    </fill>
    <fill>
      <patternFill patternType="solid">
        <fgColor rgb="FF0012E9"/>
        <bgColor indexed="64"/>
      </patternFill>
    </fill>
    <fill>
      <patternFill patternType="solid">
        <fgColor rgb="FF0012EA"/>
        <bgColor indexed="64"/>
      </patternFill>
    </fill>
    <fill>
      <patternFill patternType="solid">
        <fgColor rgb="FF0012EB"/>
        <bgColor indexed="64"/>
      </patternFill>
    </fill>
    <fill>
      <patternFill patternType="solid">
        <fgColor rgb="FF0012EC"/>
        <bgColor indexed="64"/>
      </patternFill>
    </fill>
    <fill>
      <patternFill patternType="solid">
        <fgColor rgb="FF0012ED"/>
        <bgColor indexed="64"/>
      </patternFill>
    </fill>
    <fill>
      <patternFill patternType="solid">
        <fgColor rgb="FF0012EE"/>
        <bgColor indexed="64"/>
      </patternFill>
    </fill>
    <fill>
      <patternFill patternType="solid">
        <fgColor rgb="FF0012EF"/>
        <bgColor indexed="64"/>
      </patternFill>
    </fill>
    <fill>
      <patternFill patternType="solid">
        <fgColor rgb="FF0012F0"/>
        <bgColor indexed="64"/>
      </patternFill>
    </fill>
    <fill>
      <patternFill patternType="solid">
        <fgColor rgb="FF0012F1"/>
        <bgColor indexed="64"/>
      </patternFill>
    </fill>
    <fill>
      <patternFill patternType="solid">
        <fgColor rgb="FF0012F2"/>
        <bgColor indexed="64"/>
      </patternFill>
    </fill>
    <fill>
      <patternFill patternType="solid">
        <fgColor rgb="FF0012F3"/>
        <bgColor indexed="64"/>
      </patternFill>
    </fill>
    <fill>
      <patternFill patternType="solid">
        <fgColor rgb="FF0012F4"/>
        <bgColor indexed="64"/>
      </patternFill>
    </fill>
    <fill>
      <patternFill patternType="solid">
        <fgColor rgb="FF0012F5"/>
        <bgColor indexed="64"/>
      </patternFill>
    </fill>
    <fill>
      <patternFill patternType="solid">
        <fgColor rgb="FF0012F6"/>
        <bgColor indexed="64"/>
      </patternFill>
    </fill>
    <fill>
      <patternFill patternType="solid">
        <fgColor rgb="FF0012F7"/>
        <bgColor indexed="64"/>
      </patternFill>
    </fill>
    <fill>
      <patternFill patternType="solid">
        <fgColor rgb="FF0012F8"/>
        <bgColor indexed="64"/>
      </patternFill>
    </fill>
    <fill>
      <patternFill patternType="solid">
        <fgColor rgb="FF0012F9"/>
        <bgColor indexed="64"/>
      </patternFill>
    </fill>
    <fill>
      <patternFill patternType="solid">
        <fgColor rgb="FF0012FA"/>
        <bgColor indexed="64"/>
      </patternFill>
    </fill>
    <fill>
      <patternFill patternType="solid">
        <fgColor rgb="FF0012FB"/>
        <bgColor indexed="64"/>
      </patternFill>
    </fill>
    <fill>
      <patternFill patternType="solid">
        <fgColor rgb="FF0012FC"/>
        <bgColor indexed="64"/>
      </patternFill>
    </fill>
    <fill>
      <patternFill patternType="solid">
        <fgColor rgb="FF0012FD"/>
        <bgColor indexed="64"/>
      </patternFill>
    </fill>
    <fill>
      <patternFill patternType="solid">
        <fgColor rgb="FF0012FE"/>
        <bgColor indexed="64"/>
      </patternFill>
    </fill>
    <fill>
      <patternFill patternType="solid">
        <fgColor rgb="FF0012FF"/>
        <bgColor indexed="64"/>
      </patternFill>
    </fill>
    <fill>
      <patternFill patternType="solid">
        <fgColor rgb="FF001300"/>
        <bgColor indexed="64"/>
      </patternFill>
    </fill>
    <fill>
      <patternFill patternType="solid">
        <fgColor rgb="FF001301"/>
        <bgColor indexed="64"/>
      </patternFill>
    </fill>
    <fill>
      <patternFill patternType="solid">
        <fgColor rgb="FF001302"/>
        <bgColor indexed="64"/>
      </patternFill>
    </fill>
    <fill>
      <patternFill patternType="solid">
        <fgColor rgb="FF001303"/>
        <bgColor indexed="64"/>
      </patternFill>
    </fill>
    <fill>
      <patternFill patternType="solid">
        <fgColor rgb="FF001304"/>
        <bgColor indexed="64"/>
      </patternFill>
    </fill>
    <fill>
      <patternFill patternType="solid">
        <fgColor rgb="FF001305"/>
        <bgColor indexed="64"/>
      </patternFill>
    </fill>
    <fill>
      <patternFill patternType="solid">
        <fgColor rgb="FF001306"/>
        <bgColor indexed="64"/>
      </patternFill>
    </fill>
    <fill>
      <patternFill patternType="solid">
        <fgColor rgb="FF001307"/>
        <bgColor indexed="64"/>
      </patternFill>
    </fill>
    <fill>
      <patternFill patternType="solid">
        <fgColor rgb="FF001308"/>
        <bgColor indexed="64"/>
      </patternFill>
    </fill>
    <fill>
      <patternFill patternType="solid">
        <fgColor rgb="FF001309"/>
        <bgColor indexed="64"/>
      </patternFill>
    </fill>
    <fill>
      <patternFill patternType="solid">
        <fgColor rgb="FF00130A"/>
        <bgColor indexed="64"/>
      </patternFill>
    </fill>
    <fill>
      <patternFill patternType="solid">
        <fgColor rgb="FF00130B"/>
        <bgColor indexed="64"/>
      </patternFill>
    </fill>
    <fill>
      <patternFill patternType="solid">
        <fgColor rgb="FF00130C"/>
        <bgColor indexed="64"/>
      </patternFill>
    </fill>
    <fill>
      <patternFill patternType="solid">
        <fgColor rgb="FF00130D"/>
        <bgColor indexed="64"/>
      </patternFill>
    </fill>
    <fill>
      <patternFill patternType="solid">
        <fgColor rgb="FF00130E"/>
        <bgColor indexed="64"/>
      </patternFill>
    </fill>
    <fill>
      <patternFill patternType="solid">
        <fgColor rgb="FF00130F"/>
        <bgColor indexed="64"/>
      </patternFill>
    </fill>
    <fill>
      <patternFill patternType="solid">
        <fgColor rgb="FF001310"/>
        <bgColor indexed="64"/>
      </patternFill>
    </fill>
    <fill>
      <patternFill patternType="solid">
        <fgColor rgb="FF001311"/>
        <bgColor indexed="64"/>
      </patternFill>
    </fill>
    <fill>
      <patternFill patternType="solid">
        <fgColor rgb="FF001312"/>
        <bgColor indexed="64"/>
      </patternFill>
    </fill>
    <fill>
      <patternFill patternType="solid">
        <fgColor rgb="FF001313"/>
        <bgColor indexed="64"/>
      </patternFill>
    </fill>
    <fill>
      <patternFill patternType="solid">
        <fgColor rgb="FF001314"/>
        <bgColor indexed="64"/>
      </patternFill>
    </fill>
    <fill>
      <patternFill patternType="solid">
        <fgColor rgb="FF001315"/>
        <bgColor indexed="64"/>
      </patternFill>
    </fill>
    <fill>
      <patternFill patternType="solid">
        <fgColor rgb="FF001316"/>
        <bgColor indexed="64"/>
      </patternFill>
    </fill>
    <fill>
      <patternFill patternType="solid">
        <fgColor rgb="FF001317"/>
        <bgColor indexed="64"/>
      </patternFill>
    </fill>
    <fill>
      <patternFill patternType="solid">
        <fgColor rgb="FF001318"/>
        <bgColor indexed="64"/>
      </patternFill>
    </fill>
    <fill>
      <patternFill patternType="solid">
        <fgColor rgb="FF001319"/>
        <bgColor indexed="64"/>
      </patternFill>
    </fill>
    <fill>
      <patternFill patternType="solid">
        <fgColor rgb="FF00131A"/>
        <bgColor indexed="64"/>
      </patternFill>
    </fill>
    <fill>
      <patternFill patternType="solid">
        <fgColor rgb="FF00131B"/>
        <bgColor indexed="64"/>
      </patternFill>
    </fill>
    <fill>
      <patternFill patternType="solid">
        <fgColor rgb="FF00131C"/>
        <bgColor indexed="64"/>
      </patternFill>
    </fill>
    <fill>
      <patternFill patternType="solid">
        <fgColor rgb="FF00131D"/>
        <bgColor indexed="64"/>
      </patternFill>
    </fill>
    <fill>
      <patternFill patternType="solid">
        <fgColor rgb="FF00131E"/>
        <bgColor indexed="64"/>
      </patternFill>
    </fill>
    <fill>
      <patternFill patternType="solid">
        <fgColor rgb="FF00131F"/>
        <bgColor indexed="64"/>
      </patternFill>
    </fill>
    <fill>
      <patternFill patternType="solid">
        <fgColor rgb="FF001320"/>
        <bgColor indexed="64"/>
      </patternFill>
    </fill>
    <fill>
      <patternFill patternType="solid">
        <fgColor rgb="FF001321"/>
        <bgColor indexed="64"/>
      </patternFill>
    </fill>
    <fill>
      <patternFill patternType="solid">
        <fgColor rgb="FF001322"/>
        <bgColor indexed="64"/>
      </patternFill>
    </fill>
    <fill>
      <patternFill patternType="solid">
        <fgColor rgb="FF001323"/>
        <bgColor indexed="64"/>
      </patternFill>
    </fill>
    <fill>
      <patternFill patternType="solid">
        <fgColor rgb="FF001324"/>
        <bgColor indexed="64"/>
      </patternFill>
    </fill>
    <fill>
      <patternFill patternType="solid">
        <fgColor rgb="FF001325"/>
        <bgColor indexed="64"/>
      </patternFill>
    </fill>
    <fill>
      <patternFill patternType="solid">
        <fgColor rgb="FF001326"/>
        <bgColor indexed="64"/>
      </patternFill>
    </fill>
    <fill>
      <patternFill patternType="solid">
        <fgColor rgb="FF001327"/>
        <bgColor indexed="64"/>
      </patternFill>
    </fill>
    <fill>
      <patternFill patternType="solid">
        <fgColor rgb="FF001328"/>
        <bgColor indexed="64"/>
      </patternFill>
    </fill>
    <fill>
      <patternFill patternType="solid">
        <fgColor rgb="FF001329"/>
        <bgColor indexed="64"/>
      </patternFill>
    </fill>
    <fill>
      <patternFill patternType="solid">
        <fgColor rgb="FF00132A"/>
        <bgColor indexed="64"/>
      </patternFill>
    </fill>
    <fill>
      <patternFill patternType="solid">
        <fgColor rgb="FF00132B"/>
        <bgColor indexed="64"/>
      </patternFill>
    </fill>
    <fill>
      <patternFill patternType="solid">
        <fgColor rgb="FF00132C"/>
        <bgColor indexed="64"/>
      </patternFill>
    </fill>
    <fill>
      <patternFill patternType="solid">
        <fgColor rgb="FF00132D"/>
        <bgColor indexed="64"/>
      </patternFill>
    </fill>
    <fill>
      <patternFill patternType="solid">
        <fgColor rgb="FF00132E"/>
        <bgColor indexed="64"/>
      </patternFill>
    </fill>
    <fill>
      <patternFill patternType="solid">
        <fgColor rgb="FF00132F"/>
        <bgColor indexed="64"/>
      </patternFill>
    </fill>
    <fill>
      <patternFill patternType="solid">
        <fgColor rgb="FF001330"/>
        <bgColor indexed="64"/>
      </patternFill>
    </fill>
    <fill>
      <patternFill patternType="solid">
        <fgColor rgb="FF001331"/>
        <bgColor indexed="64"/>
      </patternFill>
    </fill>
    <fill>
      <patternFill patternType="solid">
        <fgColor rgb="FF001332"/>
        <bgColor indexed="64"/>
      </patternFill>
    </fill>
    <fill>
      <patternFill patternType="solid">
        <fgColor rgb="FF001333"/>
        <bgColor indexed="64"/>
      </patternFill>
    </fill>
    <fill>
      <patternFill patternType="solid">
        <fgColor rgb="FF001334"/>
        <bgColor indexed="64"/>
      </patternFill>
    </fill>
    <fill>
      <patternFill patternType="solid">
        <fgColor rgb="FF001335"/>
        <bgColor indexed="64"/>
      </patternFill>
    </fill>
    <fill>
      <patternFill patternType="solid">
        <fgColor rgb="FF001336"/>
        <bgColor indexed="64"/>
      </patternFill>
    </fill>
    <fill>
      <patternFill patternType="solid">
        <fgColor rgb="FF001337"/>
        <bgColor indexed="64"/>
      </patternFill>
    </fill>
    <fill>
      <patternFill patternType="solid">
        <fgColor rgb="FF001338"/>
        <bgColor indexed="64"/>
      </patternFill>
    </fill>
    <fill>
      <patternFill patternType="solid">
        <fgColor rgb="FF001339"/>
        <bgColor indexed="64"/>
      </patternFill>
    </fill>
    <fill>
      <patternFill patternType="solid">
        <fgColor rgb="FF00133A"/>
        <bgColor indexed="64"/>
      </patternFill>
    </fill>
    <fill>
      <patternFill patternType="solid">
        <fgColor rgb="FF00133B"/>
        <bgColor indexed="64"/>
      </patternFill>
    </fill>
    <fill>
      <patternFill patternType="solid">
        <fgColor rgb="FF00133C"/>
        <bgColor indexed="64"/>
      </patternFill>
    </fill>
    <fill>
      <patternFill patternType="solid">
        <fgColor rgb="FF00133D"/>
        <bgColor indexed="64"/>
      </patternFill>
    </fill>
    <fill>
      <patternFill patternType="solid">
        <fgColor rgb="FF00133E"/>
        <bgColor indexed="64"/>
      </patternFill>
    </fill>
    <fill>
      <patternFill patternType="solid">
        <fgColor rgb="FF00133F"/>
        <bgColor indexed="64"/>
      </patternFill>
    </fill>
    <fill>
      <patternFill patternType="solid">
        <fgColor rgb="FF001340"/>
        <bgColor indexed="64"/>
      </patternFill>
    </fill>
    <fill>
      <patternFill patternType="solid">
        <fgColor rgb="FF001341"/>
        <bgColor indexed="64"/>
      </patternFill>
    </fill>
    <fill>
      <patternFill patternType="solid">
        <fgColor rgb="FF001342"/>
        <bgColor indexed="64"/>
      </patternFill>
    </fill>
    <fill>
      <patternFill patternType="solid">
        <fgColor rgb="FF001343"/>
        <bgColor indexed="64"/>
      </patternFill>
    </fill>
    <fill>
      <patternFill patternType="solid">
        <fgColor rgb="FF001344"/>
        <bgColor indexed="64"/>
      </patternFill>
    </fill>
    <fill>
      <patternFill patternType="solid">
        <fgColor rgb="FF001345"/>
        <bgColor indexed="64"/>
      </patternFill>
    </fill>
    <fill>
      <patternFill patternType="solid">
        <fgColor rgb="FF001346"/>
        <bgColor indexed="64"/>
      </patternFill>
    </fill>
    <fill>
      <patternFill patternType="solid">
        <fgColor rgb="FF001347"/>
        <bgColor indexed="64"/>
      </patternFill>
    </fill>
    <fill>
      <patternFill patternType="solid">
        <fgColor rgb="FF001348"/>
        <bgColor indexed="64"/>
      </patternFill>
    </fill>
    <fill>
      <patternFill patternType="solid">
        <fgColor rgb="FF001349"/>
        <bgColor indexed="64"/>
      </patternFill>
    </fill>
    <fill>
      <patternFill patternType="solid">
        <fgColor rgb="FF00134A"/>
        <bgColor indexed="64"/>
      </patternFill>
    </fill>
    <fill>
      <patternFill patternType="solid">
        <fgColor rgb="FF00134B"/>
        <bgColor indexed="64"/>
      </patternFill>
    </fill>
    <fill>
      <patternFill patternType="solid">
        <fgColor rgb="FF00134C"/>
        <bgColor indexed="64"/>
      </patternFill>
    </fill>
    <fill>
      <patternFill patternType="solid">
        <fgColor rgb="FF00134D"/>
        <bgColor indexed="64"/>
      </patternFill>
    </fill>
    <fill>
      <patternFill patternType="solid">
        <fgColor rgb="FF00134E"/>
        <bgColor indexed="64"/>
      </patternFill>
    </fill>
    <fill>
      <patternFill patternType="solid">
        <fgColor rgb="FF00134F"/>
        <bgColor indexed="64"/>
      </patternFill>
    </fill>
    <fill>
      <patternFill patternType="solid">
        <fgColor rgb="FF001350"/>
        <bgColor indexed="64"/>
      </patternFill>
    </fill>
    <fill>
      <patternFill patternType="solid">
        <fgColor rgb="FF001351"/>
        <bgColor indexed="64"/>
      </patternFill>
    </fill>
    <fill>
      <patternFill patternType="solid">
        <fgColor rgb="FF001352"/>
        <bgColor indexed="64"/>
      </patternFill>
    </fill>
    <fill>
      <patternFill patternType="solid">
        <fgColor rgb="FF001353"/>
        <bgColor indexed="64"/>
      </patternFill>
    </fill>
    <fill>
      <patternFill patternType="solid">
        <fgColor rgb="FF001354"/>
        <bgColor indexed="64"/>
      </patternFill>
    </fill>
    <fill>
      <patternFill patternType="solid">
        <fgColor rgb="FF001355"/>
        <bgColor indexed="64"/>
      </patternFill>
    </fill>
    <fill>
      <patternFill patternType="solid">
        <fgColor rgb="FF001356"/>
        <bgColor indexed="64"/>
      </patternFill>
    </fill>
    <fill>
      <patternFill patternType="solid">
        <fgColor rgb="FF001357"/>
        <bgColor indexed="64"/>
      </patternFill>
    </fill>
    <fill>
      <patternFill patternType="solid">
        <fgColor rgb="FF001358"/>
        <bgColor indexed="64"/>
      </patternFill>
    </fill>
    <fill>
      <patternFill patternType="solid">
        <fgColor rgb="FF001359"/>
        <bgColor indexed="64"/>
      </patternFill>
    </fill>
    <fill>
      <patternFill patternType="solid">
        <fgColor rgb="FF00135A"/>
        <bgColor indexed="64"/>
      </patternFill>
    </fill>
    <fill>
      <patternFill patternType="solid">
        <fgColor rgb="FF00135B"/>
        <bgColor indexed="64"/>
      </patternFill>
    </fill>
    <fill>
      <patternFill patternType="solid">
        <fgColor rgb="FF00135C"/>
        <bgColor indexed="64"/>
      </patternFill>
    </fill>
    <fill>
      <patternFill patternType="solid">
        <fgColor rgb="FF00135D"/>
        <bgColor indexed="64"/>
      </patternFill>
    </fill>
    <fill>
      <patternFill patternType="solid">
        <fgColor rgb="FF00135E"/>
        <bgColor indexed="64"/>
      </patternFill>
    </fill>
    <fill>
      <patternFill patternType="solid">
        <fgColor rgb="FF00135F"/>
        <bgColor indexed="64"/>
      </patternFill>
    </fill>
    <fill>
      <patternFill patternType="solid">
        <fgColor rgb="FF001360"/>
        <bgColor indexed="64"/>
      </patternFill>
    </fill>
    <fill>
      <patternFill patternType="solid">
        <fgColor rgb="FF001361"/>
        <bgColor indexed="64"/>
      </patternFill>
    </fill>
    <fill>
      <patternFill patternType="solid">
        <fgColor rgb="FF001362"/>
        <bgColor indexed="64"/>
      </patternFill>
    </fill>
    <fill>
      <patternFill patternType="solid">
        <fgColor rgb="FF001363"/>
        <bgColor indexed="64"/>
      </patternFill>
    </fill>
    <fill>
      <patternFill patternType="solid">
        <fgColor rgb="FF001364"/>
        <bgColor indexed="64"/>
      </patternFill>
    </fill>
    <fill>
      <patternFill patternType="solid">
        <fgColor rgb="FF001365"/>
        <bgColor indexed="64"/>
      </patternFill>
    </fill>
    <fill>
      <patternFill patternType="solid">
        <fgColor rgb="FF001366"/>
        <bgColor indexed="64"/>
      </patternFill>
    </fill>
    <fill>
      <patternFill patternType="solid">
        <fgColor rgb="FF001367"/>
        <bgColor indexed="64"/>
      </patternFill>
    </fill>
    <fill>
      <patternFill patternType="solid">
        <fgColor rgb="FF001368"/>
        <bgColor indexed="64"/>
      </patternFill>
    </fill>
    <fill>
      <patternFill patternType="solid">
        <fgColor rgb="FF001369"/>
        <bgColor indexed="64"/>
      </patternFill>
    </fill>
    <fill>
      <patternFill patternType="solid">
        <fgColor rgb="FF00136A"/>
        <bgColor indexed="64"/>
      </patternFill>
    </fill>
    <fill>
      <patternFill patternType="solid">
        <fgColor rgb="FF00136B"/>
        <bgColor indexed="64"/>
      </patternFill>
    </fill>
    <fill>
      <patternFill patternType="solid">
        <fgColor rgb="FF00136C"/>
        <bgColor indexed="64"/>
      </patternFill>
    </fill>
    <fill>
      <patternFill patternType="solid">
        <fgColor rgb="FF00136D"/>
        <bgColor indexed="64"/>
      </patternFill>
    </fill>
    <fill>
      <patternFill patternType="solid">
        <fgColor rgb="FF00136E"/>
        <bgColor indexed="64"/>
      </patternFill>
    </fill>
    <fill>
      <patternFill patternType="solid">
        <fgColor rgb="FF00136F"/>
        <bgColor indexed="64"/>
      </patternFill>
    </fill>
    <fill>
      <patternFill patternType="solid">
        <fgColor rgb="FF001370"/>
        <bgColor indexed="64"/>
      </patternFill>
    </fill>
    <fill>
      <patternFill patternType="solid">
        <fgColor rgb="FF001371"/>
        <bgColor indexed="64"/>
      </patternFill>
    </fill>
    <fill>
      <patternFill patternType="solid">
        <fgColor rgb="FF001372"/>
        <bgColor indexed="64"/>
      </patternFill>
    </fill>
    <fill>
      <patternFill patternType="solid">
        <fgColor rgb="FF001373"/>
        <bgColor indexed="64"/>
      </patternFill>
    </fill>
    <fill>
      <patternFill patternType="solid">
        <fgColor rgb="FF001374"/>
        <bgColor indexed="64"/>
      </patternFill>
    </fill>
    <fill>
      <patternFill patternType="solid">
        <fgColor rgb="FF001375"/>
        <bgColor indexed="64"/>
      </patternFill>
    </fill>
    <fill>
      <patternFill patternType="solid">
        <fgColor rgb="FF001376"/>
        <bgColor indexed="64"/>
      </patternFill>
    </fill>
    <fill>
      <patternFill patternType="solid">
        <fgColor rgb="FF001377"/>
        <bgColor indexed="64"/>
      </patternFill>
    </fill>
    <fill>
      <patternFill patternType="solid">
        <fgColor rgb="FF001378"/>
        <bgColor indexed="64"/>
      </patternFill>
    </fill>
    <fill>
      <patternFill patternType="solid">
        <fgColor rgb="FF001379"/>
        <bgColor indexed="64"/>
      </patternFill>
    </fill>
    <fill>
      <patternFill patternType="solid">
        <fgColor rgb="FF00137A"/>
        <bgColor indexed="64"/>
      </patternFill>
    </fill>
    <fill>
      <patternFill patternType="solid">
        <fgColor rgb="FF00137B"/>
        <bgColor indexed="64"/>
      </patternFill>
    </fill>
    <fill>
      <patternFill patternType="solid">
        <fgColor rgb="FF00137C"/>
        <bgColor indexed="64"/>
      </patternFill>
    </fill>
    <fill>
      <patternFill patternType="solid">
        <fgColor rgb="FF00137D"/>
        <bgColor indexed="64"/>
      </patternFill>
    </fill>
    <fill>
      <patternFill patternType="solid">
        <fgColor rgb="FF00137E"/>
        <bgColor indexed="64"/>
      </patternFill>
    </fill>
    <fill>
      <patternFill patternType="solid">
        <fgColor rgb="FF00137F"/>
        <bgColor indexed="64"/>
      </patternFill>
    </fill>
    <fill>
      <patternFill patternType="solid">
        <fgColor rgb="FF001380"/>
        <bgColor indexed="64"/>
      </patternFill>
    </fill>
    <fill>
      <patternFill patternType="solid">
        <fgColor rgb="FF001381"/>
        <bgColor indexed="64"/>
      </patternFill>
    </fill>
    <fill>
      <patternFill patternType="solid">
        <fgColor rgb="FF001382"/>
        <bgColor indexed="64"/>
      </patternFill>
    </fill>
    <fill>
      <patternFill patternType="solid">
        <fgColor rgb="FF001383"/>
        <bgColor indexed="64"/>
      </patternFill>
    </fill>
    <fill>
      <patternFill patternType="solid">
        <fgColor rgb="FF001384"/>
        <bgColor indexed="64"/>
      </patternFill>
    </fill>
    <fill>
      <patternFill patternType="solid">
        <fgColor rgb="FF001385"/>
        <bgColor indexed="64"/>
      </patternFill>
    </fill>
    <fill>
      <patternFill patternType="solid">
        <fgColor rgb="FF001386"/>
        <bgColor indexed="64"/>
      </patternFill>
    </fill>
    <fill>
      <patternFill patternType="solid">
        <fgColor rgb="FF001387"/>
        <bgColor indexed="64"/>
      </patternFill>
    </fill>
    <fill>
      <patternFill patternType="solid">
        <fgColor rgb="FF001388"/>
        <bgColor indexed="64"/>
      </patternFill>
    </fill>
    <fill>
      <patternFill patternType="solid">
        <fgColor rgb="FF001389"/>
        <bgColor indexed="64"/>
      </patternFill>
    </fill>
    <fill>
      <patternFill patternType="solid">
        <fgColor rgb="FF00138A"/>
        <bgColor indexed="64"/>
      </patternFill>
    </fill>
    <fill>
      <patternFill patternType="solid">
        <fgColor rgb="FF00138B"/>
        <bgColor indexed="64"/>
      </patternFill>
    </fill>
    <fill>
      <patternFill patternType="solid">
        <fgColor rgb="FF00138C"/>
        <bgColor indexed="64"/>
      </patternFill>
    </fill>
    <fill>
      <patternFill patternType="solid">
        <fgColor rgb="FF00138D"/>
        <bgColor indexed="64"/>
      </patternFill>
    </fill>
    <fill>
      <patternFill patternType="solid">
        <fgColor rgb="FF00138E"/>
        <bgColor indexed="64"/>
      </patternFill>
    </fill>
    <fill>
      <patternFill patternType="solid">
        <fgColor rgb="FF00138F"/>
        <bgColor indexed="64"/>
      </patternFill>
    </fill>
    <fill>
      <patternFill patternType="solid">
        <fgColor rgb="FF001390"/>
        <bgColor indexed="64"/>
      </patternFill>
    </fill>
    <fill>
      <patternFill patternType="solid">
        <fgColor rgb="FF001391"/>
        <bgColor indexed="64"/>
      </patternFill>
    </fill>
    <fill>
      <patternFill patternType="solid">
        <fgColor rgb="FF001392"/>
        <bgColor indexed="64"/>
      </patternFill>
    </fill>
    <fill>
      <patternFill patternType="solid">
        <fgColor rgb="FF001393"/>
        <bgColor indexed="64"/>
      </patternFill>
    </fill>
    <fill>
      <patternFill patternType="solid">
        <fgColor rgb="FF001394"/>
        <bgColor indexed="64"/>
      </patternFill>
    </fill>
    <fill>
      <patternFill patternType="solid">
        <fgColor rgb="FF001395"/>
        <bgColor indexed="64"/>
      </patternFill>
    </fill>
    <fill>
      <patternFill patternType="solid">
        <fgColor rgb="FF001396"/>
        <bgColor indexed="64"/>
      </patternFill>
    </fill>
    <fill>
      <patternFill patternType="solid">
        <fgColor rgb="FF001397"/>
        <bgColor indexed="64"/>
      </patternFill>
    </fill>
    <fill>
      <patternFill patternType="solid">
        <fgColor rgb="FF001398"/>
        <bgColor indexed="64"/>
      </patternFill>
    </fill>
    <fill>
      <patternFill patternType="solid">
        <fgColor rgb="FF001399"/>
        <bgColor indexed="64"/>
      </patternFill>
    </fill>
    <fill>
      <patternFill patternType="solid">
        <fgColor rgb="FF00139A"/>
        <bgColor indexed="64"/>
      </patternFill>
    </fill>
    <fill>
      <patternFill patternType="solid">
        <fgColor rgb="FF00139B"/>
        <bgColor indexed="64"/>
      </patternFill>
    </fill>
    <fill>
      <patternFill patternType="solid">
        <fgColor rgb="FF00139C"/>
        <bgColor indexed="64"/>
      </patternFill>
    </fill>
    <fill>
      <patternFill patternType="solid">
        <fgColor rgb="FF00139D"/>
        <bgColor indexed="64"/>
      </patternFill>
    </fill>
    <fill>
      <patternFill patternType="solid">
        <fgColor rgb="FF00139E"/>
        <bgColor indexed="64"/>
      </patternFill>
    </fill>
    <fill>
      <patternFill patternType="solid">
        <fgColor rgb="FF00139F"/>
        <bgColor indexed="64"/>
      </patternFill>
    </fill>
    <fill>
      <patternFill patternType="solid">
        <fgColor rgb="FF0013A0"/>
        <bgColor indexed="64"/>
      </patternFill>
    </fill>
    <fill>
      <patternFill patternType="solid">
        <fgColor rgb="FF0013A1"/>
        <bgColor indexed="64"/>
      </patternFill>
    </fill>
    <fill>
      <patternFill patternType="solid">
        <fgColor rgb="FF0013A2"/>
        <bgColor indexed="64"/>
      </patternFill>
    </fill>
    <fill>
      <patternFill patternType="solid">
        <fgColor rgb="FF0013A3"/>
        <bgColor indexed="64"/>
      </patternFill>
    </fill>
    <fill>
      <patternFill patternType="solid">
        <fgColor rgb="FF0013A4"/>
        <bgColor indexed="64"/>
      </patternFill>
    </fill>
    <fill>
      <patternFill patternType="solid">
        <fgColor rgb="FF0013A5"/>
        <bgColor indexed="64"/>
      </patternFill>
    </fill>
    <fill>
      <patternFill patternType="solid">
        <fgColor rgb="FF0013A6"/>
        <bgColor indexed="64"/>
      </patternFill>
    </fill>
    <fill>
      <patternFill patternType="solid">
        <fgColor rgb="FF0013A7"/>
        <bgColor indexed="64"/>
      </patternFill>
    </fill>
    <fill>
      <patternFill patternType="solid">
        <fgColor rgb="FF0013A8"/>
        <bgColor indexed="64"/>
      </patternFill>
    </fill>
    <fill>
      <patternFill patternType="solid">
        <fgColor rgb="FF0013A9"/>
        <bgColor indexed="64"/>
      </patternFill>
    </fill>
    <fill>
      <patternFill patternType="solid">
        <fgColor rgb="FF0013AA"/>
        <bgColor indexed="64"/>
      </patternFill>
    </fill>
    <fill>
      <patternFill patternType="solid">
        <fgColor rgb="FF0013AB"/>
        <bgColor indexed="64"/>
      </patternFill>
    </fill>
    <fill>
      <patternFill patternType="solid">
        <fgColor rgb="FF0013AC"/>
        <bgColor indexed="64"/>
      </patternFill>
    </fill>
    <fill>
      <patternFill patternType="solid">
        <fgColor rgb="FF0013AD"/>
        <bgColor indexed="64"/>
      </patternFill>
    </fill>
    <fill>
      <patternFill patternType="solid">
        <fgColor rgb="FF0013AE"/>
        <bgColor indexed="64"/>
      </patternFill>
    </fill>
    <fill>
      <patternFill patternType="solid">
        <fgColor rgb="FF0013AF"/>
        <bgColor indexed="64"/>
      </patternFill>
    </fill>
    <fill>
      <patternFill patternType="solid">
        <fgColor rgb="FF0013B0"/>
        <bgColor indexed="64"/>
      </patternFill>
    </fill>
    <fill>
      <patternFill patternType="solid">
        <fgColor rgb="FF0013B1"/>
        <bgColor indexed="64"/>
      </patternFill>
    </fill>
    <fill>
      <patternFill patternType="solid">
        <fgColor rgb="FF0013B2"/>
        <bgColor indexed="64"/>
      </patternFill>
    </fill>
    <fill>
      <patternFill patternType="solid">
        <fgColor rgb="FF0013B3"/>
        <bgColor indexed="64"/>
      </patternFill>
    </fill>
    <fill>
      <patternFill patternType="solid">
        <fgColor rgb="FF0013B4"/>
        <bgColor indexed="64"/>
      </patternFill>
    </fill>
    <fill>
      <patternFill patternType="solid">
        <fgColor rgb="FF0013B5"/>
        <bgColor indexed="64"/>
      </patternFill>
    </fill>
    <fill>
      <patternFill patternType="solid">
        <fgColor rgb="FF0013B6"/>
        <bgColor indexed="64"/>
      </patternFill>
    </fill>
    <fill>
      <patternFill patternType="solid">
        <fgColor rgb="FF0013B7"/>
        <bgColor indexed="64"/>
      </patternFill>
    </fill>
    <fill>
      <patternFill patternType="solid">
        <fgColor rgb="FF0013B8"/>
        <bgColor indexed="64"/>
      </patternFill>
    </fill>
    <fill>
      <patternFill patternType="solid">
        <fgColor rgb="FF0013B9"/>
        <bgColor indexed="64"/>
      </patternFill>
    </fill>
    <fill>
      <patternFill patternType="solid">
        <fgColor rgb="FF0013BA"/>
        <bgColor indexed="64"/>
      </patternFill>
    </fill>
    <fill>
      <patternFill patternType="solid">
        <fgColor rgb="FF0013BB"/>
        <bgColor indexed="64"/>
      </patternFill>
    </fill>
    <fill>
      <patternFill patternType="solid">
        <fgColor rgb="FF0013BC"/>
        <bgColor indexed="64"/>
      </patternFill>
    </fill>
    <fill>
      <patternFill patternType="solid">
        <fgColor rgb="FF0013BD"/>
        <bgColor indexed="64"/>
      </patternFill>
    </fill>
    <fill>
      <patternFill patternType="solid">
        <fgColor rgb="FF0013BE"/>
        <bgColor indexed="64"/>
      </patternFill>
    </fill>
    <fill>
      <patternFill patternType="solid">
        <fgColor rgb="FF0013BF"/>
        <bgColor indexed="64"/>
      </patternFill>
    </fill>
    <fill>
      <patternFill patternType="solid">
        <fgColor rgb="FF0013C0"/>
        <bgColor indexed="64"/>
      </patternFill>
    </fill>
    <fill>
      <patternFill patternType="solid">
        <fgColor rgb="FF0013C1"/>
        <bgColor indexed="64"/>
      </patternFill>
    </fill>
    <fill>
      <patternFill patternType="solid">
        <fgColor rgb="FF0013C2"/>
        <bgColor indexed="64"/>
      </patternFill>
    </fill>
    <fill>
      <patternFill patternType="solid">
        <fgColor rgb="FF0013C3"/>
        <bgColor indexed="64"/>
      </patternFill>
    </fill>
    <fill>
      <patternFill patternType="solid">
        <fgColor rgb="FF0013C4"/>
        <bgColor indexed="64"/>
      </patternFill>
    </fill>
    <fill>
      <patternFill patternType="solid">
        <fgColor rgb="FF0013C5"/>
        <bgColor indexed="64"/>
      </patternFill>
    </fill>
    <fill>
      <patternFill patternType="solid">
        <fgColor rgb="FF0013C6"/>
        <bgColor indexed="64"/>
      </patternFill>
    </fill>
    <fill>
      <patternFill patternType="solid">
        <fgColor rgb="FF0013C7"/>
        <bgColor indexed="64"/>
      </patternFill>
    </fill>
    <fill>
      <patternFill patternType="solid">
        <fgColor rgb="FF0013C8"/>
        <bgColor indexed="64"/>
      </patternFill>
    </fill>
    <fill>
      <patternFill patternType="solid">
        <fgColor rgb="FF0013C9"/>
        <bgColor indexed="64"/>
      </patternFill>
    </fill>
    <fill>
      <patternFill patternType="solid">
        <fgColor rgb="FF0013CA"/>
        <bgColor indexed="64"/>
      </patternFill>
    </fill>
    <fill>
      <patternFill patternType="solid">
        <fgColor rgb="FF0013CB"/>
        <bgColor indexed="64"/>
      </patternFill>
    </fill>
    <fill>
      <patternFill patternType="solid">
        <fgColor rgb="FF0013CC"/>
        <bgColor indexed="64"/>
      </patternFill>
    </fill>
    <fill>
      <patternFill patternType="solid">
        <fgColor rgb="FF0013CD"/>
        <bgColor indexed="64"/>
      </patternFill>
    </fill>
    <fill>
      <patternFill patternType="solid">
        <fgColor rgb="FF0013CE"/>
        <bgColor indexed="64"/>
      </patternFill>
    </fill>
    <fill>
      <patternFill patternType="solid">
        <fgColor rgb="FF0013CF"/>
        <bgColor indexed="64"/>
      </patternFill>
    </fill>
    <fill>
      <patternFill patternType="solid">
        <fgColor rgb="FF0013D0"/>
        <bgColor indexed="64"/>
      </patternFill>
    </fill>
    <fill>
      <patternFill patternType="solid">
        <fgColor rgb="FF0013D1"/>
        <bgColor indexed="64"/>
      </patternFill>
    </fill>
    <fill>
      <patternFill patternType="solid">
        <fgColor rgb="FF0013D2"/>
        <bgColor indexed="64"/>
      </patternFill>
    </fill>
    <fill>
      <patternFill patternType="solid">
        <fgColor rgb="FF0013D3"/>
        <bgColor indexed="64"/>
      </patternFill>
    </fill>
    <fill>
      <patternFill patternType="solid">
        <fgColor rgb="FF0013D4"/>
        <bgColor indexed="64"/>
      </patternFill>
    </fill>
    <fill>
      <patternFill patternType="solid">
        <fgColor rgb="FF0013D5"/>
        <bgColor indexed="64"/>
      </patternFill>
    </fill>
    <fill>
      <patternFill patternType="solid">
        <fgColor rgb="FF0013D6"/>
        <bgColor indexed="64"/>
      </patternFill>
    </fill>
    <fill>
      <patternFill patternType="solid">
        <fgColor rgb="FF0013D7"/>
        <bgColor indexed="64"/>
      </patternFill>
    </fill>
    <fill>
      <patternFill patternType="solid">
        <fgColor rgb="FF0013D8"/>
        <bgColor indexed="64"/>
      </patternFill>
    </fill>
    <fill>
      <patternFill patternType="solid">
        <fgColor rgb="FF0013D9"/>
        <bgColor indexed="64"/>
      </patternFill>
    </fill>
    <fill>
      <patternFill patternType="solid">
        <fgColor rgb="FF0013DA"/>
        <bgColor indexed="64"/>
      </patternFill>
    </fill>
    <fill>
      <patternFill patternType="solid">
        <fgColor rgb="FF0013DB"/>
        <bgColor indexed="64"/>
      </patternFill>
    </fill>
    <fill>
      <patternFill patternType="solid">
        <fgColor rgb="FF0013DC"/>
        <bgColor indexed="64"/>
      </patternFill>
    </fill>
    <fill>
      <patternFill patternType="solid">
        <fgColor rgb="FF0013DD"/>
        <bgColor indexed="64"/>
      </patternFill>
    </fill>
    <fill>
      <patternFill patternType="solid">
        <fgColor rgb="FF0013DE"/>
        <bgColor indexed="64"/>
      </patternFill>
    </fill>
    <fill>
      <patternFill patternType="solid">
        <fgColor rgb="FF0013DF"/>
        <bgColor indexed="64"/>
      </patternFill>
    </fill>
    <fill>
      <patternFill patternType="solid">
        <fgColor rgb="FF0013E0"/>
        <bgColor indexed="64"/>
      </patternFill>
    </fill>
    <fill>
      <patternFill patternType="solid">
        <fgColor rgb="FF0013E1"/>
        <bgColor indexed="64"/>
      </patternFill>
    </fill>
    <fill>
      <patternFill patternType="solid">
        <fgColor rgb="FF0013E2"/>
        <bgColor indexed="64"/>
      </patternFill>
    </fill>
    <fill>
      <patternFill patternType="solid">
        <fgColor rgb="FF0013E3"/>
        <bgColor indexed="64"/>
      </patternFill>
    </fill>
    <fill>
      <patternFill patternType="solid">
        <fgColor rgb="FF0013E4"/>
        <bgColor indexed="64"/>
      </patternFill>
    </fill>
    <fill>
      <patternFill patternType="solid">
        <fgColor rgb="FF0013E5"/>
        <bgColor indexed="64"/>
      </patternFill>
    </fill>
    <fill>
      <patternFill patternType="solid">
        <fgColor rgb="FF0013E6"/>
        <bgColor indexed="64"/>
      </patternFill>
    </fill>
    <fill>
      <patternFill patternType="solid">
        <fgColor rgb="FF0013E7"/>
        <bgColor indexed="64"/>
      </patternFill>
    </fill>
    <fill>
      <patternFill patternType="solid">
        <fgColor rgb="FF0013E8"/>
        <bgColor indexed="64"/>
      </patternFill>
    </fill>
    <fill>
      <patternFill patternType="solid">
        <fgColor rgb="FF0013E9"/>
        <bgColor indexed="64"/>
      </patternFill>
    </fill>
    <fill>
      <patternFill patternType="solid">
        <fgColor rgb="FF0013EA"/>
        <bgColor indexed="64"/>
      </patternFill>
    </fill>
    <fill>
      <patternFill patternType="solid">
        <fgColor rgb="FF0013EB"/>
        <bgColor indexed="64"/>
      </patternFill>
    </fill>
    <fill>
      <patternFill patternType="solid">
        <fgColor rgb="FF0013EC"/>
        <bgColor indexed="64"/>
      </patternFill>
    </fill>
    <fill>
      <patternFill patternType="solid">
        <fgColor rgb="FF0013ED"/>
        <bgColor indexed="64"/>
      </patternFill>
    </fill>
    <fill>
      <patternFill patternType="solid">
        <fgColor rgb="FF0013EE"/>
        <bgColor indexed="64"/>
      </patternFill>
    </fill>
    <fill>
      <patternFill patternType="solid">
        <fgColor rgb="FF0013EF"/>
        <bgColor indexed="64"/>
      </patternFill>
    </fill>
    <fill>
      <patternFill patternType="solid">
        <fgColor rgb="FF0013F0"/>
        <bgColor indexed="64"/>
      </patternFill>
    </fill>
    <fill>
      <patternFill patternType="solid">
        <fgColor rgb="FF0013F1"/>
        <bgColor indexed="64"/>
      </patternFill>
    </fill>
    <fill>
      <patternFill patternType="solid">
        <fgColor rgb="FF0013F2"/>
        <bgColor indexed="64"/>
      </patternFill>
    </fill>
    <fill>
      <patternFill patternType="solid">
        <fgColor rgb="FF0013F3"/>
        <bgColor indexed="64"/>
      </patternFill>
    </fill>
    <fill>
      <patternFill patternType="solid">
        <fgColor rgb="FF0013F4"/>
        <bgColor indexed="64"/>
      </patternFill>
    </fill>
    <fill>
      <patternFill patternType="solid">
        <fgColor rgb="FF0013F5"/>
        <bgColor indexed="64"/>
      </patternFill>
    </fill>
    <fill>
      <patternFill patternType="solid">
        <fgColor rgb="FF0013F6"/>
        <bgColor indexed="64"/>
      </patternFill>
    </fill>
    <fill>
      <patternFill patternType="solid">
        <fgColor rgb="FF0013F7"/>
        <bgColor indexed="64"/>
      </patternFill>
    </fill>
    <fill>
      <patternFill patternType="solid">
        <fgColor rgb="FF0013F8"/>
        <bgColor indexed="64"/>
      </patternFill>
    </fill>
    <fill>
      <patternFill patternType="solid">
        <fgColor rgb="FF0013F9"/>
        <bgColor indexed="64"/>
      </patternFill>
    </fill>
    <fill>
      <patternFill patternType="solid">
        <fgColor rgb="FF0013FA"/>
        <bgColor indexed="64"/>
      </patternFill>
    </fill>
    <fill>
      <patternFill patternType="solid">
        <fgColor rgb="FF0013FB"/>
        <bgColor indexed="64"/>
      </patternFill>
    </fill>
    <fill>
      <patternFill patternType="solid">
        <fgColor rgb="FF0013FC"/>
        <bgColor indexed="64"/>
      </patternFill>
    </fill>
    <fill>
      <patternFill patternType="solid">
        <fgColor rgb="FF0013FD"/>
        <bgColor indexed="64"/>
      </patternFill>
    </fill>
    <fill>
      <patternFill patternType="solid">
        <fgColor rgb="FF0013FE"/>
        <bgColor indexed="64"/>
      </patternFill>
    </fill>
    <fill>
      <patternFill patternType="solid">
        <fgColor rgb="FF0013FF"/>
        <bgColor indexed="64"/>
      </patternFill>
    </fill>
    <fill>
      <patternFill patternType="solid">
        <fgColor rgb="FF001400"/>
        <bgColor indexed="64"/>
      </patternFill>
    </fill>
    <fill>
      <patternFill patternType="solid">
        <fgColor rgb="FF001401"/>
        <bgColor indexed="64"/>
      </patternFill>
    </fill>
    <fill>
      <patternFill patternType="solid">
        <fgColor rgb="FF001402"/>
        <bgColor indexed="64"/>
      </patternFill>
    </fill>
    <fill>
      <patternFill patternType="solid">
        <fgColor rgb="FF001403"/>
        <bgColor indexed="64"/>
      </patternFill>
    </fill>
    <fill>
      <patternFill patternType="solid">
        <fgColor rgb="FF001404"/>
        <bgColor indexed="64"/>
      </patternFill>
    </fill>
    <fill>
      <patternFill patternType="solid">
        <fgColor rgb="FF001405"/>
        <bgColor indexed="64"/>
      </patternFill>
    </fill>
    <fill>
      <patternFill patternType="solid">
        <fgColor rgb="FF001406"/>
        <bgColor indexed="64"/>
      </patternFill>
    </fill>
    <fill>
      <patternFill patternType="solid">
        <fgColor rgb="FF001407"/>
        <bgColor indexed="64"/>
      </patternFill>
    </fill>
    <fill>
      <patternFill patternType="solid">
        <fgColor rgb="FF001408"/>
        <bgColor indexed="64"/>
      </patternFill>
    </fill>
    <fill>
      <patternFill patternType="solid">
        <fgColor rgb="FF001409"/>
        <bgColor indexed="64"/>
      </patternFill>
    </fill>
    <fill>
      <patternFill patternType="solid">
        <fgColor rgb="FF00140A"/>
        <bgColor indexed="64"/>
      </patternFill>
    </fill>
    <fill>
      <patternFill patternType="solid">
        <fgColor rgb="FF00140B"/>
        <bgColor indexed="64"/>
      </patternFill>
    </fill>
    <fill>
      <patternFill patternType="solid">
        <fgColor rgb="FF00140C"/>
        <bgColor indexed="64"/>
      </patternFill>
    </fill>
    <fill>
      <patternFill patternType="solid">
        <fgColor rgb="FF00140D"/>
        <bgColor indexed="64"/>
      </patternFill>
    </fill>
    <fill>
      <patternFill patternType="solid">
        <fgColor rgb="FF00140E"/>
        <bgColor indexed="64"/>
      </patternFill>
    </fill>
    <fill>
      <patternFill patternType="solid">
        <fgColor rgb="FF00140F"/>
        <bgColor indexed="64"/>
      </patternFill>
    </fill>
    <fill>
      <patternFill patternType="solid">
        <fgColor rgb="FF001410"/>
        <bgColor indexed="64"/>
      </patternFill>
    </fill>
    <fill>
      <patternFill patternType="solid">
        <fgColor rgb="FF001411"/>
        <bgColor indexed="64"/>
      </patternFill>
    </fill>
    <fill>
      <patternFill patternType="solid">
        <fgColor rgb="FF001412"/>
        <bgColor indexed="64"/>
      </patternFill>
    </fill>
    <fill>
      <patternFill patternType="solid">
        <fgColor rgb="FF001413"/>
        <bgColor indexed="64"/>
      </patternFill>
    </fill>
    <fill>
      <patternFill patternType="solid">
        <fgColor rgb="FF001414"/>
        <bgColor indexed="64"/>
      </patternFill>
    </fill>
    <fill>
      <patternFill patternType="solid">
        <fgColor rgb="FF001415"/>
        <bgColor indexed="64"/>
      </patternFill>
    </fill>
    <fill>
      <patternFill patternType="solid">
        <fgColor rgb="FF001416"/>
        <bgColor indexed="64"/>
      </patternFill>
    </fill>
    <fill>
      <patternFill patternType="solid">
        <fgColor rgb="FF001417"/>
        <bgColor indexed="64"/>
      </patternFill>
    </fill>
    <fill>
      <patternFill patternType="solid">
        <fgColor rgb="FF001418"/>
        <bgColor indexed="64"/>
      </patternFill>
    </fill>
    <fill>
      <patternFill patternType="solid">
        <fgColor rgb="FF001419"/>
        <bgColor indexed="64"/>
      </patternFill>
    </fill>
    <fill>
      <patternFill patternType="solid">
        <fgColor rgb="FF00141A"/>
        <bgColor indexed="64"/>
      </patternFill>
    </fill>
    <fill>
      <patternFill patternType="solid">
        <fgColor rgb="FF00141B"/>
        <bgColor indexed="64"/>
      </patternFill>
    </fill>
    <fill>
      <patternFill patternType="solid">
        <fgColor rgb="FF00141C"/>
        <bgColor indexed="64"/>
      </patternFill>
    </fill>
    <fill>
      <patternFill patternType="solid">
        <fgColor rgb="FF00141D"/>
        <bgColor indexed="64"/>
      </patternFill>
    </fill>
    <fill>
      <patternFill patternType="solid">
        <fgColor rgb="FF00141E"/>
        <bgColor indexed="64"/>
      </patternFill>
    </fill>
    <fill>
      <patternFill patternType="solid">
        <fgColor rgb="FF00141F"/>
        <bgColor indexed="64"/>
      </patternFill>
    </fill>
    <fill>
      <patternFill patternType="solid">
        <fgColor rgb="FF001420"/>
        <bgColor indexed="64"/>
      </patternFill>
    </fill>
    <fill>
      <patternFill patternType="solid">
        <fgColor rgb="FF001421"/>
        <bgColor indexed="64"/>
      </patternFill>
    </fill>
    <fill>
      <patternFill patternType="solid">
        <fgColor rgb="FF001422"/>
        <bgColor indexed="64"/>
      </patternFill>
    </fill>
    <fill>
      <patternFill patternType="solid">
        <fgColor rgb="FF001423"/>
        <bgColor indexed="64"/>
      </patternFill>
    </fill>
    <fill>
      <patternFill patternType="solid">
        <fgColor rgb="FF001424"/>
        <bgColor indexed="64"/>
      </patternFill>
    </fill>
    <fill>
      <patternFill patternType="solid">
        <fgColor rgb="FF001425"/>
        <bgColor indexed="64"/>
      </patternFill>
    </fill>
    <fill>
      <patternFill patternType="solid">
        <fgColor rgb="FF001426"/>
        <bgColor indexed="64"/>
      </patternFill>
    </fill>
    <fill>
      <patternFill patternType="solid">
        <fgColor rgb="FF001427"/>
        <bgColor indexed="64"/>
      </patternFill>
    </fill>
    <fill>
      <patternFill patternType="solid">
        <fgColor rgb="FF001428"/>
        <bgColor indexed="64"/>
      </patternFill>
    </fill>
    <fill>
      <patternFill patternType="solid">
        <fgColor rgb="FF001429"/>
        <bgColor indexed="64"/>
      </patternFill>
    </fill>
    <fill>
      <patternFill patternType="solid">
        <fgColor rgb="FF00142A"/>
        <bgColor indexed="64"/>
      </patternFill>
    </fill>
    <fill>
      <patternFill patternType="solid">
        <fgColor rgb="FF00142B"/>
        <bgColor indexed="64"/>
      </patternFill>
    </fill>
    <fill>
      <patternFill patternType="solid">
        <fgColor rgb="FF00142C"/>
        <bgColor indexed="64"/>
      </patternFill>
    </fill>
    <fill>
      <patternFill patternType="solid">
        <fgColor rgb="FF00142D"/>
        <bgColor indexed="64"/>
      </patternFill>
    </fill>
    <fill>
      <patternFill patternType="solid">
        <fgColor rgb="FF00142E"/>
        <bgColor indexed="64"/>
      </patternFill>
    </fill>
    <fill>
      <patternFill patternType="solid">
        <fgColor rgb="FF00142F"/>
        <bgColor indexed="64"/>
      </patternFill>
    </fill>
    <fill>
      <patternFill patternType="solid">
        <fgColor rgb="FF001430"/>
        <bgColor indexed="64"/>
      </patternFill>
    </fill>
    <fill>
      <patternFill patternType="solid">
        <fgColor rgb="FF001431"/>
        <bgColor indexed="64"/>
      </patternFill>
    </fill>
    <fill>
      <patternFill patternType="solid">
        <fgColor rgb="FF001432"/>
        <bgColor indexed="64"/>
      </patternFill>
    </fill>
    <fill>
      <patternFill patternType="solid">
        <fgColor rgb="FF001433"/>
        <bgColor indexed="64"/>
      </patternFill>
    </fill>
    <fill>
      <patternFill patternType="solid">
        <fgColor rgb="FF001434"/>
        <bgColor indexed="64"/>
      </patternFill>
    </fill>
    <fill>
      <patternFill patternType="solid">
        <fgColor rgb="FF001435"/>
        <bgColor indexed="64"/>
      </patternFill>
    </fill>
    <fill>
      <patternFill patternType="solid">
        <fgColor rgb="FF001436"/>
        <bgColor indexed="64"/>
      </patternFill>
    </fill>
    <fill>
      <patternFill patternType="solid">
        <fgColor rgb="FF001437"/>
        <bgColor indexed="64"/>
      </patternFill>
    </fill>
    <fill>
      <patternFill patternType="solid">
        <fgColor rgb="FF001438"/>
        <bgColor indexed="64"/>
      </patternFill>
    </fill>
    <fill>
      <patternFill patternType="solid">
        <fgColor rgb="FF001439"/>
        <bgColor indexed="64"/>
      </patternFill>
    </fill>
    <fill>
      <patternFill patternType="solid">
        <fgColor rgb="FF00143A"/>
        <bgColor indexed="64"/>
      </patternFill>
    </fill>
    <fill>
      <patternFill patternType="solid">
        <fgColor rgb="FF00143B"/>
        <bgColor indexed="64"/>
      </patternFill>
    </fill>
    <fill>
      <patternFill patternType="solid">
        <fgColor rgb="FF00143C"/>
        <bgColor indexed="64"/>
      </patternFill>
    </fill>
    <fill>
      <patternFill patternType="solid">
        <fgColor rgb="FF00143D"/>
        <bgColor indexed="64"/>
      </patternFill>
    </fill>
    <fill>
      <patternFill patternType="solid">
        <fgColor rgb="FF00143E"/>
        <bgColor indexed="64"/>
      </patternFill>
    </fill>
    <fill>
      <patternFill patternType="solid">
        <fgColor rgb="FF00143F"/>
        <bgColor indexed="64"/>
      </patternFill>
    </fill>
    <fill>
      <patternFill patternType="solid">
        <fgColor rgb="FF001440"/>
        <bgColor indexed="64"/>
      </patternFill>
    </fill>
    <fill>
      <patternFill patternType="solid">
        <fgColor rgb="FF001441"/>
        <bgColor indexed="64"/>
      </patternFill>
    </fill>
    <fill>
      <patternFill patternType="solid">
        <fgColor rgb="FF001442"/>
        <bgColor indexed="64"/>
      </patternFill>
    </fill>
    <fill>
      <patternFill patternType="solid">
        <fgColor rgb="FF001443"/>
        <bgColor indexed="64"/>
      </patternFill>
    </fill>
    <fill>
      <patternFill patternType="solid">
        <fgColor rgb="FF001444"/>
        <bgColor indexed="64"/>
      </patternFill>
    </fill>
    <fill>
      <patternFill patternType="solid">
        <fgColor rgb="FF001445"/>
        <bgColor indexed="64"/>
      </patternFill>
    </fill>
    <fill>
      <patternFill patternType="solid">
        <fgColor rgb="FF001446"/>
        <bgColor indexed="64"/>
      </patternFill>
    </fill>
    <fill>
      <patternFill patternType="solid">
        <fgColor rgb="FF001447"/>
        <bgColor indexed="64"/>
      </patternFill>
    </fill>
    <fill>
      <patternFill patternType="solid">
        <fgColor rgb="FF001448"/>
        <bgColor indexed="64"/>
      </patternFill>
    </fill>
    <fill>
      <patternFill patternType="solid">
        <fgColor rgb="FF001449"/>
        <bgColor indexed="64"/>
      </patternFill>
    </fill>
    <fill>
      <patternFill patternType="solid">
        <fgColor rgb="FF00144A"/>
        <bgColor indexed="64"/>
      </patternFill>
    </fill>
    <fill>
      <patternFill patternType="solid">
        <fgColor rgb="FF00144B"/>
        <bgColor indexed="64"/>
      </patternFill>
    </fill>
    <fill>
      <patternFill patternType="solid">
        <fgColor rgb="FF00144C"/>
        <bgColor indexed="64"/>
      </patternFill>
    </fill>
    <fill>
      <patternFill patternType="solid">
        <fgColor rgb="FF00144D"/>
        <bgColor indexed="64"/>
      </patternFill>
    </fill>
    <fill>
      <patternFill patternType="solid">
        <fgColor rgb="FF00144E"/>
        <bgColor indexed="64"/>
      </patternFill>
    </fill>
    <fill>
      <patternFill patternType="solid">
        <fgColor rgb="FF00144F"/>
        <bgColor indexed="64"/>
      </patternFill>
    </fill>
    <fill>
      <patternFill patternType="solid">
        <fgColor rgb="FF001450"/>
        <bgColor indexed="64"/>
      </patternFill>
    </fill>
    <fill>
      <patternFill patternType="solid">
        <fgColor rgb="FF001451"/>
        <bgColor indexed="64"/>
      </patternFill>
    </fill>
    <fill>
      <patternFill patternType="solid">
        <fgColor rgb="FF001452"/>
        <bgColor indexed="64"/>
      </patternFill>
    </fill>
    <fill>
      <patternFill patternType="solid">
        <fgColor rgb="FF001453"/>
        <bgColor indexed="64"/>
      </patternFill>
    </fill>
    <fill>
      <patternFill patternType="solid">
        <fgColor rgb="FF001454"/>
        <bgColor indexed="64"/>
      </patternFill>
    </fill>
    <fill>
      <patternFill patternType="solid">
        <fgColor rgb="FF001455"/>
        <bgColor indexed="64"/>
      </patternFill>
    </fill>
    <fill>
      <patternFill patternType="solid">
        <fgColor rgb="FF001456"/>
        <bgColor indexed="64"/>
      </patternFill>
    </fill>
    <fill>
      <patternFill patternType="solid">
        <fgColor rgb="FF001457"/>
        <bgColor indexed="64"/>
      </patternFill>
    </fill>
    <fill>
      <patternFill patternType="solid">
        <fgColor rgb="FF001458"/>
        <bgColor indexed="64"/>
      </patternFill>
    </fill>
    <fill>
      <patternFill patternType="solid">
        <fgColor rgb="FF001459"/>
        <bgColor indexed="64"/>
      </patternFill>
    </fill>
    <fill>
      <patternFill patternType="solid">
        <fgColor rgb="FF00145A"/>
        <bgColor indexed="64"/>
      </patternFill>
    </fill>
    <fill>
      <patternFill patternType="solid">
        <fgColor rgb="FF00145B"/>
        <bgColor indexed="64"/>
      </patternFill>
    </fill>
    <fill>
      <patternFill patternType="solid">
        <fgColor rgb="FF00145C"/>
        <bgColor indexed="64"/>
      </patternFill>
    </fill>
    <fill>
      <patternFill patternType="solid">
        <fgColor rgb="FF00145D"/>
        <bgColor indexed="64"/>
      </patternFill>
    </fill>
    <fill>
      <patternFill patternType="solid">
        <fgColor rgb="FF00145E"/>
        <bgColor indexed="64"/>
      </patternFill>
    </fill>
    <fill>
      <patternFill patternType="solid">
        <fgColor rgb="FF00145F"/>
        <bgColor indexed="64"/>
      </patternFill>
    </fill>
    <fill>
      <patternFill patternType="solid">
        <fgColor rgb="FF001460"/>
        <bgColor indexed="64"/>
      </patternFill>
    </fill>
    <fill>
      <patternFill patternType="solid">
        <fgColor rgb="FF001461"/>
        <bgColor indexed="64"/>
      </patternFill>
    </fill>
    <fill>
      <patternFill patternType="solid">
        <fgColor rgb="FF001462"/>
        <bgColor indexed="64"/>
      </patternFill>
    </fill>
    <fill>
      <patternFill patternType="solid">
        <fgColor rgb="FF001463"/>
        <bgColor indexed="64"/>
      </patternFill>
    </fill>
    <fill>
      <patternFill patternType="solid">
        <fgColor rgb="FF001464"/>
        <bgColor indexed="64"/>
      </patternFill>
    </fill>
    <fill>
      <patternFill patternType="solid">
        <fgColor rgb="FF001465"/>
        <bgColor indexed="64"/>
      </patternFill>
    </fill>
    <fill>
      <patternFill patternType="solid">
        <fgColor rgb="FF001466"/>
        <bgColor indexed="64"/>
      </patternFill>
    </fill>
    <fill>
      <patternFill patternType="solid">
        <fgColor rgb="FF001467"/>
        <bgColor indexed="64"/>
      </patternFill>
    </fill>
    <fill>
      <patternFill patternType="solid">
        <fgColor rgb="FF001468"/>
        <bgColor indexed="64"/>
      </patternFill>
    </fill>
    <fill>
      <patternFill patternType="solid">
        <fgColor rgb="FF001469"/>
        <bgColor indexed="64"/>
      </patternFill>
    </fill>
    <fill>
      <patternFill patternType="solid">
        <fgColor rgb="FF00146A"/>
        <bgColor indexed="64"/>
      </patternFill>
    </fill>
    <fill>
      <patternFill patternType="solid">
        <fgColor rgb="FF00146B"/>
        <bgColor indexed="64"/>
      </patternFill>
    </fill>
    <fill>
      <patternFill patternType="solid">
        <fgColor rgb="FF00146C"/>
        <bgColor indexed="64"/>
      </patternFill>
    </fill>
    <fill>
      <patternFill patternType="solid">
        <fgColor rgb="FF00146D"/>
        <bgColor indexed="64"/>
      </patternFill>
    </fill>
    <fill>
      <patternFill patternType="solid">
        <fgColor rgb="FF00146E"/>
        <bgColor indexed="64"/>
      </patternFill>
    </fill>
    <fill>
      <patternFill patternType="solid">
        <fgColor rgb="FF00146F"/>
        <bgColor indexed="64"/>
      </patternFill>
    </fill>
    <fill>
      <patternFill patternType="solid">
        <fgColor rgb="FF001470"/>
        <bgColor indexed="64"/>
      </patternFill>
    </fill>
    <fill>
      <patternFill patternType="solid">
        <fgColor rgb="FF001471"/>
        <bgColor indexed="64"/>
      </patternFill>
    </fill>
    <fill>
      <patternFill patternType="solid">
        <fgColor rgb="FF001472"/>
        <bgColor indexed="64"/>
      </patternFill>
    </fill>
    <fill>
      <patternFill patternType="solid">
        <fgColor rgb="FF001473"/>
        <bgColor indexed="64"/>
      </patternFill>
    </fill>
    <fill>
      <patternFill patternType="solid">
        <fgColor rgb="FF001474"/>
        <bgColor indexed="64"/>
      </patternFill>
    </fill>
    <fill>
      <patternFill patternType="solid">
        <fgColor rgb="FF001475"/>
        <bgColor indexed="64"/>
      </patternFill>
    </fill>
    <fill>
      <patternFill patternType="solid">
        <fgColor rgb="FF001476"/>
        <bgColor indexed="64"/>
      </patternFill>
    </fill>
    <fill>
      <patternFill patternType="solid">
        <fgColor rgb="FF001477"/>
        <bgColor indexed="64"/>
      </patternFill>
    </fill>
    <fill>
      <patternFill patternType="solid">
        <fgColor rgb="FF001478"/>
        <bgColor indexed="64"/>
      </patternFill>
    </fill>
    <fill>
      <patternFill patternType="solid">
        <fgColor rgb="FF001479"/>
        <bgColor indexed="64"/>
      </patternFill>
    </fill>
    <fill>
      <patternFill patternType="solid">
        <fgColor rgb="FF00147A"/>
        <bgColor indexed="64"/>
      </patternFill>
    </fill>
    <fill>
      <patternFill patternType="solid">
        <fgColor rgb="FF00147B"/>
        <bgColor indexed="64"/>
      </patternFill>
    </fill>
    <fill>
      <patternFill patternType="solid">
        <fgColor rgb="FF00147C"/>
        <bgColor indexed="64"/>
      </patternFill>
    </fill>
    <fill>
      <patternFill patternType="solid">
        <fgColor rgb="FF00147D"/>
        <bgColor indexed="64"/>
      </patternFill>
    </fill>
    <fill>
      <patternFill patternType="solid">
        <fgColor rgb="FF00147E"/>
        <bgColor indexed="64"/>
      </patternFill>
    </fill>
    <fill>
      <patternFill patternType="solid">
        <fgColor rgb="FF00147F"/>
        <bgColor indexed="64"/>
      </patternFill>
    </fill>
    <fill>
      <patternFill patternType="solid">
        <fgColor rgb="FF001480"/>
        <bgColor indexed="64"/>
      </patternFill>
    </fill>
    <fill>
      <patternFill patternType="solid">
        <fgColor rgb="FF001481"/>
        <bgColor indexed="64"/>
      </patternFill>
    </fill>
    <fill>
      <patternFill patternType="solid">
        <fgColor rgb="FF001482"/>
        <bgColor indexed="64"/>
      </patternFill>
    </fill>
    <fill>
      <patternFill patternType="solid">
        <fgColor rgb="FF001483"/>
        <bgColor indexed="64"/>
      </patternFill>
    </fill>
    <fill>
      <patternFill patternType="solid">
        <fgColor rgb="FF001484"/>
        <bgColor indexed="64"/>
      </patternFill>
    </fill>
    <fill>
      <patternFill patternType="solid">
        <fgColor rgb="FF001485"/>
        <bgColor indexed="64"/>
      </patternFill>
    </fill>
    <fill>
      <patternFill patternType="solid">
        <fgColor rgb="FF001486"/>
        <bgColor indexed="64"/>
      </patternFill>
    </fill>
    <fill>
      <patternFill patternType="solid">
        <fgColor rgb="FF001487"/>
        <bgColor indexed="64"/>
      </patternFill>
    </fill>
    <fill>
      <patternFill patternType="solid">
        <fgColor rgb="FF001488"/>
        <bgColor indexed="64"/>
      </patternFill>
    </fill>
    <fill>
      <patternFill patternType="solid">
        <fgColor rgb="FF001489"/>
        <bgColor indexed="64"/>
      </patternFill>
    </fill>
    <fill>
      <patternFill patternType="solid">
        <fgColor rgb="FF00148A"/>
        <bgColor indexed="64"/>
      </patternFill>
    </fill>
    <fill>
      <patternFill patternType="solid">
        <fgColor rgb="FF00148B"/>
        <bgColor indexed="64"/>
      </patternFill>
    </fill>
    <fill>
      <patternFill patternType="solid">
        <fgColor rgb="FF00148C"/>
        <bgColor indexed="64"/>
      </patternFill>
    </fill>
    <fill>
      <patternFill patternType="solid">
        <fgColor rgb="FF00148D"/>
        <bgColor indexed="64"/>
      </patternFill>
    </fill>
    <fill>
      <patternFill patternType="solid">
        <fgColor rgb="FF00148E"/>
        <bgColor indexed="64"/>
      </patternFill>
    </fill>
    <fill>
      <patternFill patternType="solid">
        <fgColor rgb="FF00148F"/>
        <bgColor indexed="64"/>
      </patternFill>
    </fill>
    <fill>
      <patternFill patternType="solid">
        <fgColor rgb="FF001490"/>
        <bgColor indexed="64"/>
      </patternFill>
    </fill>
    <fill>
      <patternFill patternType="solid">
        <fgColor rgb="FF001491"/>
        <bgColor indexed="64"/>
      </patternFill>
    </fill>
    <fill>
      <patternFill patternType="solid">
        <fgColor rgb="FF001492"/>
        <bgColor indexed="64"/>
      </patternFill>
    </fill>
    <fill>
      <patternFill patternType="solid">
        <fgColor rgb="FF001493"/>
        <bgColor indexed="64"/>
      </patternFill>
    </fill>
    <fill>
      <patternFill patternType="solid">
        <fgColor rgb="FF001494"/>
        <bgColor indexed="64"/>
      </patternFill>
    </fill>
    <fill>
      <patternFill patternType="solid">
        <fgColor rgb="FF001495"/>
        <bgColor indexed="64"/>
      </patternFill>
    </fill>
    <fill>
      <patternFill patternType="solid">
        <fgColor rgb="FF001496"/>
        <bgColor indexed="64"/>
      </patternFill>
    </fill>
    <fill>
      <patternFill patternType="solid">
        <fgColor rgb="FF001497"/>
        <bgColor indexed="64"/>
      </patternFill>
    </fill>
    <fill>
      <patternFill patternType="solid">
        <fgColor rgb="FF001498"/>
        <bgColor indexed="64"/>
      </patternFill>
    </fill>
    <fill>
      <patternFill patternType="solid">
        <fgColor rgb="FF001499"/>
        <bgColor indexed="64"/>
      </patternFill>
    </fill>
    <fill>
      <patternFill patternType="solid">
        <fgColor rgb="FF00149A"/>
        <bgColor indexed="64"/>
      </patternFill>
    </fill>
    <fill>
      <patternFill patternType="solid">
        <fgColor rgb="FF00149B"/>
        <bgColor indexed="64"/>
      </patternFill>
    </fill>
    <fill>
      <patternFill patternType="solid">
        <fgColor rgb="FF00149C"/>
        <bgColor indexed="64"/>
      </patternFill>
    </fill>
    <fill>
      <patternFill patternType="solid">
        <fgColor rgb="FF00149D"/>
        <bgColor indexed="64"/>
      </patternFill>
    </fill>
    <fill>
      <patternFill patternType="solid">
        <fgColor rgb="FF00149E"/>
        <bgColor indexed="64"/>
      </patternFill>
    </fill>
    <fill>
      <patternFill patternType="solid">
        <fgColor rgb="FF00149F"/>
        <bgColor indexed="64"/>
      </patternFill>
    </fill>
    <fill>
      <patternFill patternType="solid">
        <fgColor rgb="FF0014A0"/>
        <bgColor indexed="64"/>
      </patternFill>
    </fill>
    <fill>
      <patternFill patternType="solid">
        <fgColor rgb="FF0014A1"/>
        <bgColor indexed="64"/>
      </patternFill>
    </fill>
    <fill>
      <patternFill patternType="solid">
        <fgColor rgb="FF0014A2"/>
        <bgColor indexed="64"/>
      </patternFill>
    </fill>
    <fill>
      <patternFill patternType="solid">
        <fgColor rgb="FF0014A3"/>
        <bgColor indexed="64"/>
      </patternFill>
    </fill>
    <fill>
      <patternFill patternType="solid">
        <fgColor rgb="FF0014A4"/>
        <bgColor indexed="64"/>
      </patternFill>
    </fill>
    <fill>
      <patternFill patternType="solid">
        <fgColor rgb="FF0014A5"/>
        <bgColor indexed="64"/>
      </patternFill>
    </fill>
    <fill>
      <patternFill patternType="solid">
        <fgColor rgb="FF0014A6"/>
        <bgColor indexed="64"/>
      </patternFill>
    </fill>
    <fill>
      <patternFill patternType="solid">
        <fgColor rgb="FF0014A7"/>
        <bgColor indexed="64"/>
      </patternFill>
    </fill>
    <fill>
      <patternFill patternType="solid">
        <fgColor rgb="FF0014A8"/>
        <bgColor indexed="64"/>
      </patternFill>
    </fill>
    <fill>
      <patternFill patternType="solid">
        <fgColor rgb="FF0014A9"/>
        <bgColor indexed="64"/>
      </patternFill>
    </fill>
    <fill>
      <patternFill patternType="solid">
        <fgColor rgb="FF0014AA"/>
        <bgColor indexed="64"/>
      </patternFill>
    </fill>
    <fill>
      <patternFill patternType="solid">
        <fgColor rgb="FF0014AB"/>
        <bgColor indexed="64"/>
      </patternFill>
    </fill>
    <fill>
      <patternFill patternType="solid">
        <fgColor rgb="FF0014AC"/>
        <bgColor indexed="64"/>
      </patternFill>
    </fill>
    <fill>
      <patternFill patternType="solid">
        <fgColor rgb="FF0014AD"/>
        <bgColor indexed="64"/>
      </patternFill>
    </fill>
    <fill>
      <patternFill patternType="solid">
        <fgColor rgb="FF0014AE"/>
        <bgColor indexed="64"/>
      </patternFill>
    </fill>
    <fill>
      <patternFill patternType="solid">
        <fgColor rgb="FF0014AF"/>
        <bgColor indexed="64"/>
      </patternFill>
    </fill>
    <fill>
      <patternFill patternType="solid">
        <fgColor rgb="FF0014B0"/>
        <bgColor indexed="64"/>
      </patternFill>
    </fill>
    <fill>
      <patternFill patternType="solid">
        <fgColor rgb="FF0014B1"/>
        <bgColor indexed="64"/>
      </patternFill>
    </fill>
    <fill>
      <patternFill patternType="solid">
        <fgColor rgb="FF0014B2"/>
        <bgColor indexed="64"/>
      </patternFill>
    </fill>
    <fill>
      <patternFill patternType="solid">
        <fgColor rgb="FF0014B3"/>
        <bgColor indexed="64"/>
      </patternFill>
    </fill>
    <fill>
      <patternFill patternType="solid">
        <fgColor rgb="FF0014B4"/>
        <bgColor indexed="64"/>
      </patternFill>
    </fill>
    <fill>
      <patternFill patternType="solid">
        <fgColor rgb="FF0014B5"/>
        <bgColor indexed="64"/>
      </patternFill>
    </fill>
    <fill>
      <patternFill patternType="solid">
        <fgColor rgb="FF0014B6"/>
        <bgColor indexed="64"/>
      </patternFill>
    </fill>
    <fill>
      <patternFill patternType="solid">
        <fgColor rgb="FF0014B7"/>
        <bgColor indexed="64"/>
      </patternFill>
    </fill>
    <fill>
      <patternFill patternType="solid">
        <fgColor rgb="FF0014B8"/>
        <bgColor indexed="64"/>
      </patternFill>
    </fill>
    <fill>
      <patternFill patternType="solid">
        <fgColor rgb="FF0014B9"/>
        <bgColor indexed="64"/>
      </patternFill>
    </fill>
    <fill>
      <patternFill patternType="solid">
        <fgColor rgb="FF0014BA"/>
        <bgColor indexed="64"/>
      </patternFill>
    </fill>
    <fill>
      <patternFill patternType="solid">
        <fgColor rgb="FF0014BB"/>
        <bgColor indexed="64"/>
      </patternFill>
    </fill>
    <fill>
      <patternFill patternType="solid">
        <fgColor rgb="FF0014BC"/>
        <bgColor indexed="64"/>
      </patternFill>
    </fill>
    <fill>
      <patternFill patternType="solid">
        <fgColor rgb="FF0014BD"/>
        <bgColor indexed="64"/>
      </patternFill>
    </fill>
    <fill>
      <patternFill patternType="solid">
        <fgColor rgb="FF0014BE"/>
        <bgColor indexed="64"/>
      </patternFill>
    </fill>
    <fill>
      <patternFill patternType="solid">
        <fgColor rgb="FF0014BF"/>
        <bgColor indexed="64"/>
      </patternFill>
    </fill>
    <fill>
      <patternFill patternType="solid">
        <fgColor rgb="FF0014C0"/>
        <bgColor indexed="64"/>
      </patternFill>
    </fill>
    <fill>
      <patternFill patternType="solid">
        <fgColor rgb="FF0014C1"/>
        <bgColor indexed="64"/>
      </patternFill>
    </fill>
    <fill>
      <patternFill patternType="solid">
        <fgColor rgb="FF0014C2"/>
        <bgColor indexed="64"/>
      </patternFill>
    </fill>
    <fill>
      <patternFill patternType="solid">
        <fgColor rgb="FF0014C3"/>
        <bgColor indexed="64"/>
      </patternFill>
    </fill>
    <fill>
      <patternFill patternType="solid">
        <fgColor rgb="FF0014C4"/>
        <bgColor indexed="64"/>
      </patternFill>
    </fill>
    <fill>
      <patternFill patternType="solid">
        <fgColor rgb="FF0014C5"/>
        <bgColor indexed="64"/>
      </patternFill>
    </fill>
    <fill>
      <patternFill patternType="solid">
        <fgColor rgb="FF0014C6"/>
        <bgColor indexed="64"/>
      </patternFill>
    </fill>
    <fill>
      <patternFill patternType="solid">
        <fgColor rgb="FF0014C7"/>
        <bgColor indexed="64"/>
      </patternFill>
    </fill>
    <fill>
      <patternFill patternType="solid">
        <fgColor rgb="FF0014C8"/>
        <bgColor indexed="64"/>
      </patternFill>
    </fill>
    <fill>
      <patternFill patternType="solid">
        <fgColor rgb="FF0014C9"/>
        <bgColor indexed="64"/>
      </patternFill>
    </fill>
    <fill>
      <patternFill patternType="solid">
        <fgColor rgb="FF0014CA"/>
        <bgColor indexed="64"/>
      </patternFill>
    </fill>
    <fill>
      <patternFill patternType="solid">
        <fgColor rgb="FF0014CB"/>
        <bgColor indexed="64"/>
      </patternFill>
    </fill>
    <fill>
      <patternFill patternType="solid">
        <fgColor rgb="FF0014CC"/>
        <bgColor indexed="64"/>
      </patternFill>
    </fill>
    <fill>
      <patternFill patternType="solid">
        <fgColor rgb="FF0014CD"/>
        <bgColor indexed="64"/>
      </patternFill>
    </fill>
    <fill>
      <patternFill patternType="solid">
        <fgColor rgb="FF0014CE"/>
        <bgColor indexed="64"/>
      </patternFill>
    </fill>
    <fill>
      <patternFill patternType="solid">
        <fgColor rgb="FF0014CF"/>
        <bgColor indexed="64"/>
      </patternFill>
    </fill>
    <fill>
      <patternFill patternType="solid">
        <fgColor rgb="FF0014D0"/>
        <bgColor indexed="64"/>
      </patternFill>
    </fill>
    <fill>
      <patternFill patternType="solid">
        <fgColor rgb="FF0014D1"/>
        <bgColor indexed="64"/>
      </patternFill>
    </fill>
    <fill>
      <patternFill patternType="solid">
        <fgColor rgb="FF0014D2"/>
        <bgColor indexed="64"/>
      </patternFill>
    </fill>
    <fill>
      <patternFill patternType="solid">
        <fgColor rgb="FF0014D3"/>
        <bgColor indexed="64"/>
      </patternFill>
    </fill>
    <fill>
      <patternFill patternType="solid">
        <fgColor rgb="FF0014D4"/>
        <bgColor indexed="64"/>
      </patternFill>
    </fill>
    <fill>
      <patternFill patternType="solid">
        <fgColor rgb="FF0014D5"/>
        <bgColor indexed="64"/>
      </patternFill>
    </fill>
    <fill>
      <patternFill patternType="solid">
        <fgColor rgb="FF0014D6"/>
        <bgColor indexed="64"/>
      </patternFill>
    </fill>
    <fill>
      <patternFill patternType="solid">
        <fgColor rgb="FF0014D7"/>
        <bgColor indexed="64"/>
      </patternFill>
    </fill>
    <fill>
      <patternFill patternType="solid">
        <fgColor rgb="FF0014D8"/>
        <bgColor indexed="64"/>
      </patternFill>
    </fill>
    <fill>
      <patternFill patternType="solid">
        <fgColor rgb="FF0014D9"/>
        <bgColor indexed="64"/>
      </patternFill>
    </fill>
    <fill>
      <patternFill patternType="solid">
        <fgColor rgb="FF0014DA"/>
        <bgColor indexed="64"/>
      </patternFill>
    </fill>
    <fill>
      <patternFill patternType="solid">
        <fgColor rgb="FF0014DB"/>
        <bgColor indexed="64"/>
      </patternFill>
    </fill>
    <fill>
      <patternFill patternType="solid">
        <fgColor rgb="FF0014DC"/>
        <bgColor indexed="64"/>
      </patternFill>
    </fill>
    <fill>
      <patternFill patternType="solid">
        <fgColor rgb="FF0014DD"/>
        <bgColor indexed="64"/>
      </patternFill>
    </fill>
    <fill>
      <patternFill patternType="solid">
        <fgColor rgb="FF0014DE"/>
        <bgColor indexed="64"/>
      </patternFill>
    </fill>
    <fill>
      <patternFill patternType="solid">
        <fgColor rgb="FF0014DF"/>
        <bgColor indexed="64"/>
      </patternFill>
    </fill>
    <fill>
      <patternFill patternType="solid">
        <fgColor rgb="FF0014E0"/>
        <bgColor indexed="64"/>
      </patternFill>
    </fill>
    <fill>
      <patternFill patternType="solid">
        <fgColor rgb="FF0014E1"/>
        <bgColor indexed="64"/>
      </patternFill>
    </fill>
    <fill>
      <patternFill patternType="solid">
        <fgColor rgb="FF0014E2"/>
        <bgColor indexed="64"/>
      </patternFill>
    </fill>
    <fill>
      <patternFill patternType="solid">
        <fgColor rgb="FF0014E3"/>
        <bgColor indexed="64"/>
      </patternFill>
    </fill>
    <fill>
      <patternFill patternType="solid">
        <fgColor rgb="FF0014E4"/>
        <bgColor indexed="64"/>
      </patternFill>
    </fill>
    <fill>
      <patternFill patternType="solid">
        <fgColor rgb="FF0014E5"/>
        <bgColor indexed="64"/>
      </patternFill>
    </fill>
    <fill>
      <patternFill patternType="solid">
        <fgColor rgb="FF0014E6"/>
        <bgColor indexed="64"/>
      </patternFill>
    </fill>
    <fill>
      <patternFill patternType="solid">
        <fgColor rgb="FF0014E7"/>
        <bgColor indexed="64"/>
      </patternFill>
    </fill>
    <fill>
      <patternFill patternType="solid">
        <fgColor rgb="FF0014E8"/>
        <bgColor indexed="64"/>
      </patternFill>
    </fill>
    <fill>
      <patternFill patternType="solid">
        <fgColor rgb="FF0014E9"/>
        <bgColor indexed="64"/>
      </patternFill>
    </fill>
    <fill>
      <patternFill patternType="solid">
        <fgColor rgb="FF0014EA"/>
        <bgColor indexed="64"/>
      </patternFill>
    </fill>
    <fill>
      <patternFill patternType="solid">
        <fgColor rgb="FF0014EB"/>
        <bgColor indexed="64"/>
      </patternFill>
    </fill>
    <fill>
      <patternFill patternType="solid">
        <fgColor rgb="FF0014EC"/>
        <bgColor indexed="64"/>
      </patternFill>
    </fill>
    <fill>
      <patternFill patternType="solid">
        <fgColor rgb="FF0014ED"/>
        <bgColor indexed="64"/>
      </patternFill>
    </fill>
    <fill>
      <patternFill patternType="solid">
        <fgColor rgb="FF0014EE"/>
        <bgColor indexed="64"/>
      </patternFill>
    </fill>
    <fill>
      <patternFill patternType="solid">
        <fgColor rgb="FF0014EF"/>
        <bgColor indexed="64"/>
      </patternFill>
    </fill>
    <fill>
      <patternFill patternType="solid">
        <fgColor rgb="FF0014F0"/>
        <bgColor indexed="64"/>
      </patternFill>
    </fill>
    <fill>
      <patternFill patternType="solid">
        <fgColor rgb="FF0014F1"/>
        <bgColor indexed="64"/>
      </patternFill>
    </fill>
    <fill>
      <patternFill patternType="solid">
        <fgColor rgb="FF0014F2"/>
        <bgColor indexed="64"/>
      </patternFill>
    </fill>
    <fill>
      <patternFill patternType="solid">
        <fgColor rgb="FF0014F3"/>
        <bgColor indexed="64"/>
      </patternFill>
    </fill>
    <fill>
      <patternFill patternType="solid">
        <fgColor rgb="FF0014F4"/>
        <bgColor indexed="64"/>
      </patternFill>
    </fill>
    <fill>
      <patternFill patternType="solid">
        <fgColor rgb="FF0014F5"/>
        <bgColor indexed="64"/>
      </patternFill>
    </fill>
    <fill>
      <patternFill patternType="solid">
        <fgColor rgb="FF0014F6"/>
        <bgColor indexed="64"/>
      </patternFill>
    </fill>
    <fill>
      <patternFill patternType="solid">
        <fgColor rgb="FF0014F7"/>
        <bgColor indexed="64"/>
      </patternFill>
    </fill>
    <fill>
      <patternFill patternType="solid">
        <fgColor rgb="FF0014F8"/>
        <bgColor indexed="64"/>
      </patternFill>
    </fill>
    <fill>
      <patternFill patternType="solid">
        <fgColor rgb="FF0014F9"/>
        <bgColor indexed="64"/>
      </patternFill>
    </fill>
    <fill>
      <patternFill patternType="solid">
        <fgColor rgb="FF0014FA"/>
        <bgColor indexed="64"/>
      </patternFill>
    </fill>
    <fill>
      <patternFill patternType="solid">
        <fgColor rgb="FF0014FB"/>
        <bgColor indexed="64"/>
      </patternFill>
    </fill>
    <fill>
      <patternFill patternType="solid">
        <fgColor rgb="FF0014FC"/>
        <bgColor indexed="64"/>
      </patternFill>
    </fill>
    <fill>
      <patternFill patternType="solid">
        <fgColor rgb="FF0014FD"/>
        <bgColor indexed="64"/>
      </patternFill>
    </fill>
    <fill>
      <patternFill patternType="solid">
        <fgColor rgb="FF0014FE"/>
        <bgColor indexed="64"/>
      </patternFill>
    </fill>
    <fill>
      <patternFill patternType="solid">
        <fgColor rgb="FF0014FF"/>
        <bgColor indexed="64"/>
      </patternFill>
    </fill>
    <fill>
      <patternFill patternType="solid">
        <fgColor rgb="FF001500"/>
        <bgColor indexed="64"/>
      </patternFill>
    </fill>
    <fill>
      <patternFill patternType="solid">
        <fgColor rgb="FF001501"/>
        <bgColor indexed="64"/>
      </patternFill>
    </fill>
    <fill>
      <patternFill patternType="solid">
        <fgColor rgb="FF001502"/>
        <bgColor indexed="64"/>
      </patternFill>
    </fill>
    <fill>
      <patternFill patternType="solid">
        <fgColor rgb="FF001503"/>
        <bgColor indexed="64"/>
      </patternFill>
    </fill>
    <fill>
      <patternFill patternType="solid">
        <fgColor rgb="FF001504"/>
        <bgColor indexed="64"/>
      </patternFill>
    </fill>
    <fill>
      <patternFill patternType="solid">
        <fgColor rgb="FF001505"/>
        <bgColor indexed="64"/>
      </patternFill>
    </fill>
    <fill>
      <patternFill patternType="solid">
        <fgColor rgb="FF001506"/>
        <bgColor indexed="64"/>
      </patternFill>
    </fill>
    <fill>
      <patternFill patternType="solid">
        <fgColor rgb="FF001507"/>
        <bgColor indexed="64"/>
      </patternFill>
    </fill>
    <fill>
      <patternFill patternType="solid">
        <fgColor rgb="FF001508"/>
        <bgColor indexed="64"/>
      </patternFill>
    </fill>
    <fill>
      <patternFill patternType="solid">
        <fgColor rgb="FF001509"/>
        <bgColor indexed="64"/>
      </patternFill>
    </fill>
    <fill>
      <patternFill patternType="solid">
        <fgColor rgb="FF00150A"/>
        <bgColor indexed="64"/>
      </patternFill>
    </fill>
    <fill>
      <patternFill patternType="solid">
        <fgColor rgb="FF00150B"/>
        <bgColor indexed="64"/>
      </patternFill>
    </fill>
    <fill>
      <patternFill patternType="solid">
        <fgColor rgb="FF00150C"/>
        <bgColor indexed="64"/>
      </patternFill>
    </fill>
    <fill>
      <patternFill patternType="solid">
        <fgColor rgb="FF00150D"/>
        <bgColor indexed="64"/>
      </patternFill>
    </fill>
    <fill>
      <patternFill patternType="solid">
        <fgColor rgb="FF00150E"/>
        <bgColor indexed="64"/>
      </patternFill>
    </fill>
    <fill>
      <patternFill patternType="solid">
        <fgColor rgb="FF00150F"/>
        <bgColor indexed="64"/>
      </patternFill>
    </fill>
    <fill>
      <patternFill patternType="solid">
        <fgColor rgb="FF001510"/>
        <bgColor indexed="64"/>
      </patternFill>
    </fill>
    <fill>
      <patternFill patternType="solid">
        <fgColor rgb="FF001511"/>
        <bgColor indexed="64"/>
      </patternFill>
    </fill>
    <fill>
      <patternFill patternType="solid">
        <fgColor rgb="FF001512"/>
        <bgColor indexed="64"/>
      </patternFill>
    </fill>
    <fill>
      <patternFill patternType="solid">
        <fgColor rgb="FF001513"/>
        <bgColor indexed="64"/>
      </patternFill>
    </fill>
    <fill>
      <patternFill patternType="solid">
        <fgColor rgb="FF001514"/>
        <bgColor indexed="64"/>
      </patternFill>
    </fill>
    <fill>
      <patternFill patternType="solid">
        <fgColor rgb="FF001515"/>
        <bgColor indexed="64"/>
      </patternFill>
    </fill>
    <fill>
      <patternFill patternType="solid">
        <fgColor rgb="FF001516"/>
        <bgColor indexed="64"/>
      </patternFill>
    </fill>
    <fill>
      <patternFill patternType="solid">
        <fgColor rgb="FF001517"/>
        <bgColor indexed="64"/>
      </patternFill>
    </fill>
    <fill>
      <patternFill patternType="solid">
        <fgColor rgb="FF001518"/>
        <bgColor indexed="64"/>
      </patternFill>
    </fill>
    <fill>
      <patternFill patternType="solid">
        <fgColor rgb="FF001519"/>
        <bgColor indexed="64"/>
      </patternFill>
    </fill>
    <fill>
      <patternFill patternType="solid">
        <fgColor rgb="FF00151A"/>
        <bgColor indexed="64"/>
      </patternFill>
    </fill>
    <fill>
      <patternFill patternType="solid">
        <fgColor rgb="FF00151B"/>
        <bgColor indexed="64"/>
      </patternFill>
    </fill>
    <fill>
      <patternFill patternType="solid">
        <fgColor rgb="FF00151C"/>
        <bgColor indexed="64"/>
      </patternFill>
    </fill>
    <fill>
      <patternFill patternType="solid">
        <fgColor rgb="FF00151D"/>
        <bgColor indexed="64"/>
      </patternFill>
    </fill>
    <fill>
      <patternFill patternType="solid">
        <fgColor rgb="FF00151E"/>
        <bgColor indexed="64"/>
      </patternFill>
    </fill>
    <fill>
      <patternFill patternType="solid">
        <fgColor rgb="FF00151F"/>
        <bgColor indexed="64"/>
      </patternFill>
    </fill>
    <fill>
      <patternFill patternType="solid">
        <fgColor rgb="FF001520"/>
        <bgColor indexed="64"/>
      </patternFill>
    </fill>
    <fill>
      <patternFill patternType="solid">
        <fgColor rgb="FF001521"/>
        <bgColor indexed="64"/>
      </patternFill>
    </fill>
    <fill>
      <patternFill patternType="solid">
        <fgColor rgb="FF001522"/>
        <bgColor indexed="64"/>
      </patternFill>
    </fill>
    <fill>
      <patternFill patternType="solid">
        <fgColor rgb="FF001523"/>
        <bgColor indexed="64"/>
      </patternFill>
    </fill>
    <fill>
      <patternFill patternType="solid">
        <fgColor rgb="FF001524"/>
        <bgColor indexed="64"/>
      </patternFill>
    </fill>
    <fill>
      <patternFill patternType="solid">
        <fgColor rgb="FF001525"/>
        <bgColor indexed="64"/>
      </patternFill>
    </fill>
    <fill>
      <patternFill patternType="solid">
        <fgColor rgb="FF001526"/>
        <bgColor indexed="64"/>
      </patternFill>
    </fill>
    <fill>
      <patternFill patternType="solid">
        <fgColor rgb="FF001527"/>
        <bgColor indexed="64"/>
      </patternFill>
    </fill>
    <fill>
      <patternFill patternType="solid">
        <fgColor rgb="FF001528"/>
        <bgColor indexed="64"/>
      </patternFill>
    </fill>
    <fill>
      <patternFill patternType="solid">
        <fgColor rgb="FF001529"/>
        <bgColor indexed="64"/>
      </patternFill>
    </fill>
    <fill>
      <patternFill patternType="solid">
        <fgColor rgb="FF00152A"/>
        <bgColor indexed="64"/>
      </patternFill>
    </fill>
    <fill>
      <patternFill patternType="solid">
        <fgColor rgb="FF00152B"/>
        <bgColor indexed="64"/>
      </patternFill>
    </fill>
    <fill>
      <patternFill patternType="solid">
        <fgColor rgb="FF00152C"/>
        <bgColor indexed="64"/>
      </patternFill>
    </fill>
    <fill>
      <patternFill patternType="solid">
        <fgColor rgb="FF00152D"/>
        <bgColor indexed="64"/>
      </patternFill>
    </fill>
    <fill>
      <patternFill patternType="solid">
        <fgColor rgb="FF00152E"/>
        <bgColor indexed="64"/>
      </patternFill>
    </fill>
    <fill>
      <patternFill patternType="solid">
        <fgColor rgb="FF00152F"/>
        <bgColor indexed="64"/>
      </patternFill>
    </fill>
    <fill>
      <patternFill patternType="solid">
        <fgColor rgb="FF001530"/>
        <bgColor indexed="64"/>
      </patternFill>
    </fill>
    <fill>
      <patternFill patternType="solid">
        <fgColor rgb="FF001531"/>
        <bgColor indexed="64"/>
      </patternFill>
    </fill>
    <fill>
      <patternFill patternType="solid">
        <fgColor rgb="FF001532"/>
        <bgColor indexed="64"/>
      </patternFill>
    </fill>
    <fill>
      <patternFill patternType="solid">
        <fgColor rgb="FF001533"/>
        <bgColor indexed="64"/>
      </patternFill>
    </fill>
    <fill>
      <patternFill patternType="solid">
        <fgColor rgb="FF001534"/>
        <bgColor indexed="64"/>
      </patternFill>
    </fill>
    <fill>
      <patternFill patternType="solid">
        <fgColor rgb="FF001535"/>
        <bgColor indexed="64"/>
      </patternFill>
    </fill>
    <fill>
      <patternFill patternType="solid">
        <fgColor rgb="FF001536"/>
        <bgColor indexed="64"/>
      </patternFill>
    </fill>
    <fill>
      <patternFill patternType="solid">
        <fgColor rgb="FF001537"/>
        <bgColor indexed="64"/>
      </patternFill>
    </fill>
    <fill>
      <patternFill patternType="solid">
        <fgColor rgb="FF001538"/>
        <bgColor indexed="64"/>
      </patternFill>
    </fill>
    <fill>
      <patternFill patternType="solid">
        <fgColor rgb="FF001539"/>
        <bgColor indexed="64"/>
      </patternFill>
    </fill>
    <fill>
      <patternFill patternType="solid">
        <fgColor rgb="FF00153A"/>
        <bgColor indexed="64"/>
      </patternFill>
    </fill>
    <fill>
      <patternFill patternType="solid">
        <fgColor rgb="FF00153B"/>
        <bgColor indexed="64"/>
      </patternFill>
    </fill>
    <fill>
      <patternFill patternType="solid">
        <fgColor rgb="FF00153C"/>
        <bgColor indexed="64"/>
      </patternFill>
    </fill>
    <fill>
      <patternFill patternType="solid">
        <fgColor rgb="FF00153D"/>
        <bgColor indexed="64"/>
      </patternFill>
    </fill>
    <fill>
      <patternFill patternType="solid">
        <fgColor rgb="FF00153E"/>
        <bgColor indexed="64"/>
      </patternFill>
    </fill>
    <fill>
      <patternFill patternType="solid">
        <fgColor rgb="FF00153F"/>
        <bgColor indexed="64"/>
      </patternFill>
    </fill>
    <fill>
      <patternFill patternType="solid">
        <fgColor rgb="FF001540"/>
        <bgColor indexed="64"/>
      </patternFill>
    </fill>
    <fill>
      <patternFill patternType="solid">
        <fgColor rgb="FF001541"/>
        <bgColor indexed="64"/>
      </patternFill>
    </fill>
    <fill>
      <patternFill patternType="solid">
        <fgColor rgb="FF001542"/>
        <bgColor indexed="64"/>
      </patternFill>
    </fill>
    <fill>
      <patternFill patternType="solid">
        <fgColor rgb="FF001543"/>
        <bgColor indexed="64"/>
      </patternFill>
    </fill>
    <fill>
      <patternFill patternType="solid">
        <fgColor rgb="FF001544"/>
        <bgColor indexed="64"/>
      </patternFill>
    </fill>
    <fill>
      <patternFill patternType="solid">
        <fgColor rgb="FF001545"/>
        <bgColor indexed="64"/>
      </patternFill>
    </fill>
    <fill>
      <patternFill patternType="solid">
        <fgColor rgb="FF001546"/>
        <bgColor indexed="64"/>
      </patternFill>
    </fill>
    <fill>
      <patternFill patternType="solid">
        <fgColor rgb="FF001547"/>
        <bgColor indexed="64"/>
      </patternFill>
    </fill>
    <fill>
      <patternFill patternType="solid">
        <fgColor rgb="FF001548"/>
        <bgColor indexed="64"/>
      </patternFill>
    </fill>
    <fill>
      <patternFill patternType="solid">
        <fgColor rgb="FF001549"/>
        <bgColor indexed="64"/>
      </patternFill>
    </fill>
    <fill>
      <patternFill patternType="solid">
        <fgColor rgb="FF00154A"/>
        <bgColor indexed="64"/>
      </patternFill>
    </fill>
    <fill>
      <patternFill patternType="solid">
        <fgColor rgb="FF00154B"/>
        <bgColor indexed="64"/>
      </patternFill>
    </fill>
    <fill>
      <patternFill patternType="solid">
        <fgColor rgb="FF00154C"/>
        <bgColor indexed="64"/>
      </patternFill>
    </fill>
    <fill>
      <patternFill patternType="solid">
        <fgColor rgb="FF00154D"/>
        <bgColor indexed="64"/>
      </patternFill>
    </fill>
    <fill>
      <patternFill patternType="solid">
        <fgColor rgb="FF00154E"/>
        <bgColor indexed="64"/>
      </patternFill>
    </fill>
    <fill>
      <patternFill patternType="solid">
        <fgColor rgb="FF00154F"/>
        <bgColor indexed="64"/>
      </patternFill>
    </fill>
    <fill>
      <patternFill patternType="solid">
        <fgColor rgb="FF001550"/>
        <bgColor indexed="64"/>
      </patternFill>
    </fill>
    <fill>
      <patternFill patternType="solid">
        <fgColor rgb="FF001551"/>
        <bgColor indexed="64"/>
      </patternFill>
    </fill>
    <fill>
      <patternFill patternType="solid">
        <fgColor rgb="FF001552"/>
        <bgColor indexed="64"/>
      </patternFill>
    </fill>
    <fill>
      <patternFill patternType="solid">
        <fgColor rgb="FF001553"/>
        <bgColor indexed="64"/>
      </patternFill>
    </fill>
    <fill>
      <patternFill patternType="solid">
        <fgColor rgb="FF001554"/>
        <bgColor indexed="64"/>
      </patternFill>
    </fill>
    <fill>
      <patternFill patternType="solid">
        <fgColor rgb="FF001555"/>
        <bgColor indexed="64"/>
      </patternFill>
    </fill>
    <fill>
      <patternFill patternType="solid">
        <fgColor rgb="FF001556"/>
        <bgColor indexed="64"/>
      </patternFill>
    </fill>
    <fill>
      <patternFill patternType="solid">
        <fgColor rgb="FF001557"/>
        <bgColor indexed="64"/>
      </patternFill>
    </fill>
    <fill>
      <patternFill patternType="solid">
        <fgColor rgb="FF001558"/>
        <bgColor indexed="64"/>
      </patternFill>
    </fill>
    <fill>
      <patternFill patternType="solid">
        <fgColor rgb="FF001559"/>
        <bgColor indexed="64"/>
      </patternFill>
    </fill>
    <fill>
      <patternFill patternType="solid">
        <fgColor rgb="FF00155A"/>
        <bgColor indexed="64"/>
      </patternFill>
    </fill>
    <fill>
      <patternFill patternType="solid">
        <fgColor rgb="FF00155B"/>
        <bgColor indexed="64"/>
      </patternFill>
    </fill>
    <fill>
      <patternFill patternType="solid">
        <fgColor rgb="FF00155C"/>
        <bgColor indexed="64"/>
      </patternFill>
    </fill>
    <fill>
      <patternFill patternType="solid">
        <fgColor rgb="FF00155D"/>
        <bgColor indexed="64"/>
      </patternFill>
    </fill>
    <fill>
      <patternFill patternType="solid">
        <fgColor rgb="FF00155E"/>
        <bgColor indexed="64"/>
      </patternFill>
    </fill>
    <fill>
      <patternFill patternType="solid">
        <fgColor rgb="FF00155F"/>
        <bgColor indexed="64"/>
      </patternFill>
    </fill>
    <fill>
      <patternFill patternType="solid">
        <fgColor rgb="FF001560"/>
        <bgColor indexed="64"/>
      </patternFill>
    </fill>
    <fill>
      <patternFill patternType="solid">
        <fgColor rgb="FF001561"/>
        <bgColor indexed="64"/>
      </patternFill>
    </fill>
    <fill>
      <patternFill patternType="solid">
        <fgColor rgb="FF001562"/>
        <bgColor indexed="64"/>
      </patternFill>
    </fill>
    <fill>
      <patternFill patternType="solid">
        <fgColor rgb="FF001563"/>
        <bgColor indexed="64"/>
      </patternFill>
    </fill>
    <fill>
      <patternFill patternType="solid">
        <fgColor rgb="FF001564"/>
        <bgColor indexed="64"/>
      </patternFill>
    </fill>
    <fill>
      <patternFill patternType="solid">
        <fgColor rgb="FF001565"/>
        <bgColor indexed="64"/>
      </patternFill>
    </fill>
    <fill>
      <patternFill patternType="solid">
        <fgColor rgb="FF001566"/>
        <bgColor indexed="64"/>
      </patternFill>
    </fill>
    <fill>
      <patternFill patternType="solid">
        <fgColor rgb="FF001567"/>
        <bgColor indexed="64"/>
      </patternFill>
    </fill>
    <fill>
      <patternFill patternType="solid">
        <fgColor rgb="FF001568"/>
        <bgColor indexed="64"/>
      </patternFill>
    </fill>
    <fill>
      <patternFill patternType="solid">
        <fgColor rgb="FF001569"/>
        <bgColor indexed="64"/>
      </patternFill>
    </fill>
    <fill>
      <patternFill patternType="solid">
        <fgColor rgb="FF00156A"/>
        <bgColor indexed="64"/>
      </patternFill>
    </fill>
    <fill>
      <patternFill patternType="solid">
        <fgColor rgb="FF00156B"/>
        <bgColor indexed="64"/>
      </patternFill>
    </fill>
    <fill>
      <patternFill patternType="solid">
        <fgColor rgb="FF00156C"/>
        <bgColor indexed="64"/>
      </patternFill>
    </fill>
    <fill>
      <patternFill patternType="solid">
        <fgColor rgb="FF00156D"/>
        <bgColor indexed="64"/>
      </patternFill>
    </fill>
    <fill>
      <patternFill patternType="solid">
        <fgColor rgb="FF00156E"/>
        <bgColor indexed="64"/>
      </patternFill>
    </fill>
    <fill>
      <patternFill patternType="solid">
        <fgColor rgb="FF00156F"/>
        <bgColor indexed="64"/>
      </patternFill>
    </fill>
    <fill>
      <patternFill patternType="solid">
        <fgColor rgb="FF001570"/>
        <bgColor indexed="64"/>
      </patternFill>
    </fill>
    <fill>
      <patternFill patternType="solid">
        <fgColor rgb="FF001571"/>
        <bgColor indexed="64"/>
      </patternFill>
    </fill>
    <fill>
      <patternFill patternType="solid">
        <fgColor rgb="FF001572"/>
        <bgColor indexed="64"/>
      </patternFill>
    </fill>
    <fill>
      <patternFill patternType="solid">
        <fgColor rgb="FF001573"/>
        <bgColor indexed="64"/>
      </patternFill>
    </fill>
    <fill>
      <patternFill patternType="solid">
        <fgColor rgb="FF001574"/>
        <bgColor indexed="64"/>
      </patternFill>
    </fill>
    <fill>
      <patternFill patternType="solid">
        <fgColor rgb="FF001575"/>
        <bgColor indexed="64"/>
      </patternFill>
    </fill>
    <fill>
      <patternFill patternType="solid">
        <fgColor rgb="FF001576"/>
        <bgColor indexed="64"/>
      </patternFill>
    </fill>
    <fill>
      <patternFill patternType="solid">
        <fgColor rgb="FF001577"/>
        <bgColor indexed="64"/>
      </patternFill>
    </fill>
    <fill>
      <patternFill patternType="solid">
        <fgColor rgb="FF001578"/>
        <bgColor indexed="64"/>
      </patternFill>
    </fill>
    <fill>
      <patternFill patternType="solid">
        <fgColor rgb="FF001579"/>
        <bgColor indexed="64"/>
      </patternFill>
    </fill>
    <fill>
      <patternFill patternType="solid">
        <fgColor rgb="FF00157A"/>
        <bgColor indexed="64"/>
      </patternFill>
    </fill>
    <fill>
      <patternFill patternType="solid">
        <fgColor rgb="FF00157B"/>
        <bgColor indexed="64"/>
      </patternFill>
    </fill>
    <fill>
      <patternFill patternType="solid">
        <fgColor rgb="FF00157C"/>
        <bgColor indexed="64"/>
      </patternFill>
    </fill>
    <fill>
      <patternFill patternType="solid">
        <fgColor rgb="FF00157D"/>
        <bgColor indexed="64"/>
      </patternFill>
    </fill>
    <fill>
      <patternFill patternType="solid">
        <fgColor rgb="FF00157E"/>
        <bgColor indexed="64"/>
      </patternFill>
    </fill>
    <fill>
      <patternFill patternType="solid">
        <fgColor rgb="FF00157F"/>
        <bgColor indexed="64"/>
      </patternFill>
    </fill>
    <fill>
      <patternFill patternType="solid">
        <fgColor rgb="FF001580"/>
        <bgColor indexed="64"/>
      </patternFill>
    </fill>
    <fill>
      <patternFill patternType="solid">
        <fgColor rgb="FF001581"/>
        <bgColor indexed="64"/>
      </patternFill>
    </fill>
    <fill>
      <patternFill patternType="solid">
        <fgColor rgb="FF001582"/>
        <bgColor indexed="64"/>
      </patternFill>
    </fill>
    <fill>
      <patternFill patternType="solid">
        <fgColor rgb="FF001583"/>
        <bgColor indexed="64"/>
      </patternFill>
    </fill>
    <fill>
      <patternFill patternType="solid">
        <fgColor rgb="FF001584"/>
        <bgColor indexed="64"/>
      </patternFill>
    </fill>
    <fill>
      <patternFill patternType="solid">
        <fgColor rgb="FF001585"/>
        <bgColor indexed="64"/>
      </patternFill>
    </fill>
    <fill>
      <patternFill patternType="solid">
        <fgColor rgb="FF001586"/>
        <bgColor indexed="64"/>
      </patternFill>
    </fill>
    <fill>
      <patternFill patternType="solid">
        <fgColor rgb="FF001587"/>
        <bgColor indexed="64"/>
      </patternFill>
    </fill>
    <fill>
      <patternFill patternType="solid">
        <fgColor rgb="FF001588"/>
        <bgColor indexed="64"/>
      </patternFill>
    </fill>
    <fill>
      <patternFill patternType="solid">
        <fgColor rgb="FF001589"/>
        <bgColor indexed="64"/>
      </patternFill>
    </fill>
    <fill>
      <patternFill patternType="solid">
        <fgColor rgb="FF00158A"/>
        <bgColor indexed="64"/>
      </patternFill>
    </fill>
    <fill>
      <patternFill patternType="solid">
        <fgColor rgb="FF00158B"/>
        <bgColor indexed="64"/>
      </patternFill>
    </fill>
    <fill>
      <patternFill patternType="solid">
        <fgColor rgb="FF00158C"/>
        <bgColor indexed="64"/>
      </patternFill>
    </fill>
    <fill>
      <patternFill patternType="solid">
        <fgColor rgb="FF00158D"/>
        <bgColor indexed="64"/>
      </patternFill>
    </fill>
    <fill>
      <patternFill patternType="solid">
        <fgColor rgb="FF00158E"/>
        <bgColor indexed="64"/>
      </patternFill>
    </fill>
    <fill>
      <patternFill patternType="solid">
        <fgColor rgb="FF00158F"/>
        <bgColor indexed="64"/>
      </patternFill>
    </fill>
    <fill>
      <patternFill patternType="solid">
        <fgColor rgb="FF001590"/>
        <bgColor indexed="64"/>
      </patternFill>
    </fill>
    <fill>
      <patternFill patternType="solid">
        <fgColor rgb="FF001591"/>
        <bgColor indexed="64"/>
      </patternFill>
    </fill>
    <fill>
      <patternFill patternType="solid">
        <fgColor rgb="FF001592"/>
        <bgColor indexed="64"/>
      </patternFill>
    </fill>
    <fill>
      <patternFill patternType="solid">
        <fgColor rgb="FF001593"/>
        <bgColor indexed="64"/>
      </patternFill>
    </fill>
    <fill>
      <patternFill patternType="solid">
        <fgColor rgb="FF001594"/>
        <bgColor indexed="64"/>
      </patternFill>
    </fill>
    <fill>
      <patternFill patternType="solid">
        <fgColor rgb="FF001595"/>
        <bgColor indexed="64"/>
      </patternFill>
    </fill>
    <fill>
      <patternFill patternType="solid">
        <fgColor rgb="FF001596"/>
        <bgColor indexed="64"/>
      </patternFill>
    </fill>
    <fill>
      <patternFill patternType="solid">
        <fgColor rgb="FF001597"/>
        <bgColor indexed="64"/>
      </patternFill>
    </fill>
    <fill>
      <patternFill patternType="solid">
        <fgColor rgb="FF001598"/>
        <bgColor indexed="64"/>
      </patternFill>
    </fill>
    <fill>
      <patternFill patternType="solid">
        <fgColor rgb="FF001599"/>
        <bgColor indexed="64"/>
      </patternFill>
    </fill>
    <fill>
      <patternFill patternType="solid">
        <fgColor rgb="FF00159A"/>
        <bgColor indexed="64"/>
      </patternFill>
    </fill>
    <fill>
      <patternFill patternType="solid">
        <fgColor rgb="FF00159B"/>
        <bgColor indexed="64"/>
      </patternFill>
    </fill>
    <fill>
      <patternFill patternType="solid">
        <fgColor rgb="FF00159C"/>
        <bgColor indexed="64"/>
      </patternFill>
    </fill>
    <fill>
      <patternFill patternType="solid">
        <fgColor rgb="FF00159D"/>
        <bgColor indexed="64"/>
      </patternFill>
    </fill>
    <fill>
      <patternFill patternType="solid">
        <fgColor rgb="FF00159E"/>
        <bgColor indexed="64"/>
      </patternFill>
    </fill>
    <fill>
      <patternFill patternType="solid">
        <fgColor rgb="FF00159F"/>
        <bgColor indexed="64"/>
      </patternFill>
    </fill>
    <fill>
      <patternFill patternType="solid">
        <fgColor rgb="FF0015A0"/>
        <bgColor indexed="64"/>
      </patternFill>
    </fill>
    <fill>
      <patternFill patternType="solid">
        <fgColor rgb="FF0015A1"/>
        <bgColor indexed="64"/>
      </patternFill>
    </fill>
    <fill>
      <patternFill patternType="solid">
        <fgColor rgb="FF0015A2"/>
        <bgColor indexed="64"/>
      </patternFill>
    </fill>
    <fill>
      <patternFill patternType="solid">
        <fgColor rgb="FF0015A3"/>
        <bgColor indexed="64"/>
      </patternFill>
    </fill>
    <fill>
      <patternFill patternType="solid">
        <fgColor rgb="FF0015A4"/>
        <bgColor indexed="64"/>
      </patternFill>
    </fill>
    <fill>
      <patternFill patternType="solid">
        <fgColor rgb="FF0015A5"/>
        <bgColor indexed="64"/>
      </patternFill>
    </fill>
    <fill>
      <patternFill patternType="solid">
        <fgColor rgb="FF0015A6"/>
        <bgColor indexed="64"/>
      </patternFill>
    </fill>
    <fill>
      <patternFill patternType="solid">
        <fgColor rgb="FF0015A7"/>
        <bgColor indexed="64"/>
      </patternFill>
    </fill>
    <fill>
      <patternFill patternType="solid">
        <fgColor rgb="FF0015A8"/>
        <bgColor indexed="64"/>
      </patternFill>
    </fill>
    <fill>
      <patternFill patternType="solid">
        <fgColor rgb="FF0015A9"/>
        <bgColor indexed="64"/>
      </patternFill>
    </fill>
    <fill>
      <patternFill patternType="solid">
        <fgColor rgb="FF0015AA"/>
        <bgColor indexed="64"/>
      </patternFill>
    </fill>
    <fill>
      <patternFill patternType="solid">
        <fgColor rgb="FF0015AB"/>
        <bgColor indexed="64"/>
      </patternFill>
    </fill>
    <fill>
      <patternFill patternType="solid">
        <fgColor rgb="FF0015AC"/>
        <bgColor indexed="64"/>
      </patternFill>
    </fill>
    <fill>
      <patternFill patternType="solid">
        <fgColor rgb="FF0015AD"/>
        <bgColor indexed="64"/>
      </patternFill>
    </fill>
    <fill>
      <patternFill patternType="solid">
        <fgColor rgb="FF0015AE"/>
        <bgColor indexed="64"/>
      </patternFill>
    </fill>
    <fill>
      <patternFill patternType="solid">
        <fgColor rgb="FF0015AF"/>
        <bgColor indexed="64"/>
      </patternFill>
    </fill>
    <fill>
      <patternFill patternType="solid">
        <fgColor rgb="FF0015B0"/>
        <bgColor indexed="64"/>
      </patternFill>
    </fill>
    <fill>
      <patternFill patternType="solid">
        <fgColor rgb="FF0015B1"/>
        <bgColor indexed="64"/>
      </patternFill>
    </fill>
    <fill>
      <patternFill patternType="solid">
        <fgColor rgb="FF0015B2"/>
        <bgColor indexed="64"/>
      </patternFill>
    </fill>
    <fill>
      <patternFill patternType="solid">
        <fgColor rgb="FF0015B3"/>
        <bgColor indexed="64"/>
      </patternFill>
    </fill>
    <fill>
      <patternFill patternType="solid">
        <fgColor rgb="FF0015B4"/>
        <bgColor indexed="64"/>
      </patternFill>
    </fill>
    <fill>
      <patternFill patternType="solid">
        <fgColor rgb="FF0015B5"/>
        <bgColor indexed="64"/>
      </patternFill>
    </fill>
    <fill>
      <patternFill patternType="solid">
        <fgColor rgb="FF0015B6"/>
        <bgColor indexed="64"/>
      </patternFill>
    </fill>
    <fill>
      <patternFill patternType="solid">
        <fgColor rgb="FF0015B7"/>
        <bgColor indexed="64"/>
      </patternFill>
    </fill>
    <fill>
      <patternFill patternType="solid">
        <fgColor rgb="FF0015B8"/>
        <bgColor indexed="64"/>
      </patternFill>
    </fill>
    <fill>
      <patternFill patternType="solid">
        <fgColor rgb="FF0015B9"/>
        <bgColor indexed="64"/>
      </patternFill>
    </fill>
    <fill>
      <patternFill patternType="solid">
        <fgColor rgb="FF0015BA"/>
        <bgColor indexed="64"/>
      </patternFill>
    </fill>
    <fill>
      <patternFill patternType="solid">
        <fgColor rgb="FF0015BB"/>
        <bgColor indexed="64"/>
      </patternFill>
    </fill>
    <fill>
      <patternFill patternType="solid">
        <fgColor rgb="FF0015BC"/>
        <bgColor indexed="64"/>
      </patternFill>
    </fill>
    <fill>
      <patternFill patternType="solid">
        <fgColor rgb="FF0015BD"/>
        <bgColor indexed="64"/>
      </patternFill>
    </fill>
    <fill>
      <patternFill patternType="solid">
        <fgColor rgb="FF0015BE"/>
        <bgColor indexed="64"/>
      </patternFill>
    </fill>
    <fill>
      <patternFill patternType="solid">
        <fgColor rgb="FF0015BF"/>
        <bgColor indexed="64"/>
      </patternFill>
    </fill>
    <fill>
      <patternFill patternType="solid">
        <fgColor rgb="FF0015C0"/>
        <bgColor indexed="64"/>
      </patternFill>
    </fill>
    <fill>
      <patternFill patternType="solid">
        <fgColor rgb="FF0015C1"/>
        <bgColor indexed="64"/>
      </patternFill>
    </fill>
    <fill>
      <patternFill patternType="solid">
        <fgColor rgb="FF0015C2"/>
        <bgColor indexed="64"/>
      </patternFill>
    </fill>
    <fill>
      <patternFill patternType="solid">
        <fgColor rgb="FF0015C3"/>
        <bgColor indexed="64"/>
      </patternFill>
    </fill>
    <fill>
      <patternFill patternType="solid">
        <fgColor rgb="FF0015C4"/>
        <bgColor indexed="64"/>
      </patternFill>
    </fill>
    <fill>
      <patternFill patternType="solid">
        <fgColor rgb="FF0015C5"/>
        <bgColor indexed="64"/>
      </patternFill>
    </fill>
    <fill>
      <patternFill patternType="solid">
        <fgColor rgb="FF0015C6"/>
        <bgColor indexed="64"/>
      </patternFill>
    </fill>
    <fill>
      <patternFill patternType="solid">
        <fgColor rgb="FF0015C7"/>
        <bgColor indexed="64"/>
      </patternFill>
    </fill>
    <fill>
      <patternFill patternType="solid">
        <fgColor rgb="FF0015C8"/>
        <bgColor indexed="64"/>
      </patternFill>
    </fill>
    <fill>
      <patternFill patternType="solid">
        <fgColor rgb="FF0015C9"/>
        <bgColor indexed="64"/>
      </patternFill>
    </fill>
    <fill>
      <patternFill patternType="solid">
        <fgColor rgb="FF0015CA"/>
        <bgColor indexed="64"/>
      </patternFill>
    </fill>
    <fill>
      <patternFill patternType="solid">
        <fgColor rgb="FF0015CB"/>
        <bgColor indexed="64"/>
      </patternFill>
    </fill>
    <fill>
      <patternFill patternType="solid">
        <fgColor rgb="FF0015CC"/>
        <bgColor indexed="64"/>
      </patternFill>
    </fill>
    <fill>
      <patternFill patternType="solid">
        <fgColor rgb="FF0015CD"/>
        <bgColor indexed="64"/>
      </patternFill>
    </fill>
    <fill>
      <patternFill patternType="solid">
        <fgColor rgb="FF0015CE"/>
        <bgColor indexed="64"/>
      </patternFill>
    </fill>
    <fill>
      <patternFill patternType="solid">
        <fgColor rgb="FF0015CF"/>
        <bgColor indexed="64"/>
      </patternFill>
    </fill>
    <fill>
      <patternFill patternType="solid">
        <fgColor rgb="FF0015D0"/>
        <bgColor indexed="64"/>
      </patternFill>
    </fill>
    <fill>
      <patternFill patternType="solid">
        <fgColor rgb="FF0015D1"/>
        <bgColor indexed="64"/>
      </patternFill>
    </fill>
    <fill>
      <patternFill patternType="solid">
        <fgColor rgb="FF0015D2"/>
        <bgColor indexed="64"/>
      </patternFill>
    </fill>
    <fill>
      <patternFill patternType="solid">
        <fgColor rgb="FF0015D3"/>
        <bgColor indexed="64"/>
      </patternFill>
    </fill>
    <fill>
      <patternFill patternType="solid">
        <fgColor rgb="FF0015D4"/>
        <bgColor indexed="64"/>
      </patternFill>
    </fill>
    <fill>
      <patternFill patternType="solid">
        <fgColor rgb="FF0015D5"/>
        <bgColor indexed="64"/>
      </patternFill>
    </fill>
    <fill>
      <patternFill patternType="solid">
        <fgColor rgb="FF0015D6"/>
        <bgColor indexed="64"/>
      </patternFill>
    </fill>
    <fill>
      <patternFill patternType="solid">
        <fgColor rgb="FF0015D7"/>
        <bgColor indexed="64"/>
      </patternFill>
    </fill>
    <fill>
      <patternFill patternType="solid">
        <fgColor rgb="FF0015D8"/>
        <bgColor indexed="64"/>
      </patternFill>
    </fill>
    <fill>
      <patternFill patternType="solid">
        <fgColor rgb="FF0015D9"/>
        <bgColor indexed="64"/>
      </patternFill>
    </fill>
    <fill>
      <patternFill patternType="solid">
        <fgColor rgb="FF0015DA"/>
        <bgColor indexed="64"/>
      </patternFill>
    </fill>
    <fill>
      <patternFill patternType="solid">
        <fgColor rgb="FF0015DB"/>
        <bgColor indexed="64"/>
      </patternFill>
    </fill>
    <fill>
      <patternFill patternType="solid">
        <fgColor rgb="FF0015DC"/>
        <bgColor indexed="64"/>
      </patternFill>
    </fill>
    <fill>
      <patternFill patternType="solid">
        <fgColor rgb="FF0015DD"/>
        <bgColor indexed="64"/>
      </patternFill>
    </fill>
    <fill>
      <patternFill patternType="solid">
        <fgColor rgb="FF0015DE"/>
        <bgColor indexed="64"/>
      </patternFill>
    </fill>
    <fill>
      <patternFill patternType="solid">
        <fgColor rgb="FF0015DF"/>
        <bgColor indexed="64"/>
      </patternFill>
    </fill>
    <fill>
      <patternFill patternType="solid">
        <fgColor rgb="FF0015E0"/>
        <bgColor indexed="64"/>
      </patternFill>
    </fill>
    <fill>
      <patternFill patternType="solid">
        <fgColor rgb="FF0015E1"/>
        <bgColor indexed="64"/>
      </patternFill>
    </fill>
    <fill>
      <patternFill patternType="solid">
        <fgColor rgb="FF0015E2"/>
        <bgColor indexed="64"/>
      </patternFill>
    </fill>
    <fill>
      <patternFill patternType="solid">
        <fgColor rgb="FF0015E3"/>
        <bgColor indexed="64"/>
      </patternFill>
    </fill>
    <fill>
      <patternFill patternType="solid">
        <fgColor rgb="FF0015E4"/>
        <bgColor indexed="64"/>
      </patternFill>
    </fill>
    <fill>
      <patternFill patternType="solid">
        <fgColor rgb="FF0015E5"/>
        <bgColor indexed="64"/>
      </patternFill>
    </fill>
    <fill>
      <patternFill patternType="solid">
        <fgColor rgb="FF0015E6"/>
        <bgColor indexed="64"/>
      </patternFill>
    </fill>
    <fill>
      <patternFill patternType="solid">
        <fgColor rgb="FF0015E7"/>
        <bgColor indexed="64"/>
      </patternFill>
    </fill>
    <fill>
      <patternFill patternType="solid">
        <fgColor rgb="FF0015E8"/>
        <bgColor indexed="64"/>
      </patternFill>
    </fill>
    <fill>
      <patternFill patternType="solid">
        <fgColor rgb="FF0015E9"/>
        <bgColor indexed="64"/>
      </patternFill>
    </fill>
    <fill>
      <patternFill patternType="solid">
        <fgColor rgb="FF0015EA"/>
        <bgColor indexed="64"/>
      </patternFill>
    </fill>
    <fill>
      <patternFill patternType="solid">
        <fgColor rgb="FF0015EB"/>
        <bgColor indexed="64"/>
      </patternFill>
    </fill>
    <fill>
      <patternFill patternType="solid">
        <fgColor rgb="FF0015EC"/>
        <bgColor indexed="64"/>
      </patternFill>
    </fill>
    <fill>
      <patternFill patternType="solid">
        <fgColor rgb="FF0015ED"/>
        <bgColor indexed="64"/>
      </patternFill>
    </fill>
    <fill>
      <patternFill patternType="solid">
        <fgColor rgb="FF0015EE"/>
        <bgColor indexed="64"/>
      </patternFill>
    </fill>
    <fill>
      <patternFill patternType="solid">
        <fgColor rgb="FF0015EF"/>
        <bgColor indexed="64"/>
      </patternFill>
    </fill>
    <fill>
      <patternFill patternType="solid">
        <fgColor rgb="FF0015F0"/>
        <bgColor indexed="64"/>
      </patternFill>
    </fill>
    <fill>
      <patternFill patternType="solid">
        <fgColor rgb="FF0015F1"/>
        <bgColor indexed="64"/>
      </patternFill>
    </fill>
    <fill>
      <patternFill patternType="solid">
        <fgColor rgb="FF0015F2"/>
        <bgColor indexed="64"/>
      </patternFill>
    </fill>
    <fill>
      <patternFill patternType="solid">
        <fgColor rgb="FF0015F3"/>
        <bgColor indexed="64"/>
      </patternFill>
    </fill>
    <fill>
      <patternFill patternType="solid">
        <fgColor rgb="FF0015F4"/>
        <bgColor indexed="64"/>
      </patternFill>
    </fill>
    <fill>
      <patternFill patternType="solid">
        <fgColor rgb="FF0015F5"/>
        <bgColor indexed="64"/>
      </patternFill>
    </fill>
    <fill>
      <patternFill patternType="solid">
        <fgColor rgb="FF0015F6"/>
        <bgColor indexed="64"/>
      </patternFill>
    </fill>
    <fill>
      <patternFill patternType="solid">
        <fgColor rgb="FF0015F7"/>
        <bgColor indexed="64"/>
      </patternFill>
    </fill>
    <fill>
      <patternFill patternType="solid">
        <fgColor rgb="FF0015F8"/>
        <bgColor indexed="64"/>
      </patternFill>
    </fill>
    <fill>
      <patternFill patternType="solid">
        <fgColor rgb="FF0015F9"/>
        <bgColor indexed="64"/>
      </patternFill>
    </fill>
    <fill>
      <patternFill patternType="solid">
        <fgColor rgb="FF0015FA"/>
        <bgColor indexed="64"/>
      </patternFill>
    </fill>
    <fill>
      <patternFill patternType="solid">
        <fgColor rgb="FF0015FB"/>
        <bgColor indexed="64"/>
      </patternFill>
    </fill>
    <fill>
      <patternFill patternType="solid">
        <fgColor rgb="FF0015FC"/>
        <bgColor indexed="64"/>
      </patternFill>
    </fill>
    <fill>
      <patternFill patternType="solid">
        <fgColor rgb="FF0015FD"/>
        <bgColor indexed="64"/>
      </patternFill>
    </fill>
    <fill>
      <patternFill patternType="solid">
        <fgColor rgb="FF0015FE"/>
        <bgColor indexed="64"/>
      </patternFill>
    </fill>
    <fill>
      <patternFill patternType="solid">
        <fgColor rgb="FF0015FF"/>
        <bgColor indexed="64"/>
      </patternFill>
    </fill>
    <fill>
      <patternFill patternType="solid">
        <fgColor rgb="FF001600"/>
        <bgColor indexed="64"/>
      </patternFill>
    </fill>
    <fill>
      <patternFill patternType="solid">
        <fgColor rgb="FF001601"/>
        <bgColor indexed="64"/>
      </patternFill>
    </fill>
    <fill>
      <patternFill patternType="solid">
        <fgColor rgb="FF001602"/>
        <bgColor indexed="64"/>
      </patternFill>
    </fill>
    <fill>
      <patternFill patternType="solid">
        <fgColor rgb="FF001603"/>
        <bgColor indexed="64"/>
      </patternFill>
    </fill>
    <fill>
      <patternFill patternType="solid">
        <fgColor rgb="FF001604"/>
        <bgColor indexed="64"/>
      </patternFill>
    </fill>
    <fill>
      <patternFill patternType="solid">
        <fgColor rgb="FF001605"/>
        <bgColor indexed="64"/>
      </patternFill>
    </fill>
    <fill>
      <patternFill patternType="solid">
        <fgColor rgb="FF001606"/>
        <bgColor indexed="64"/>
      </patternFill>
    </fill>
    <fill>
      <patternFill patternType="solid">
        <fgColor rgb="FF001607"/>
        <bgColor indexed="64"/>
      </patternFill>
    </fill>
    <fill>
      <patternFill patternType="solid">
        <fgColor rgb="FF001608"/>
        <bgColor indexed="64"/>
      </patternFill>
    </fill>
    <fill>
      <patternFill patternType="solid">
        <fgColor rgb="FF001609"/>
        <bgColor indexed="64"/>
      </patternFill>
    </fill>
    <fill>
      <patternFill patternType="solid">
        <fgColor rgb="FF00160A"/>
        <bgColor indexed="64"/>
      </patternFill>
    </fill>
    <fill>
      <patternFill patternType="solid">
        <fgColor rgb="FF00160B"/>
        <bgColor indexed="64"/>
      </patternFill>
    </fill>
    <fill>
      <patternFill patternType="solid">
        <fgColor rgb="FF00160C"/>
        <bgColor indexed="64"/>
      </patternFill>
    </fill>
    <fill>
      <patternFill patternType="solid">
        <fgColor rgb="FF00160D"/>
        <bgColor indexed="64"/>
      </patternFill>
    </fill>
    <fill>
      <patternFill patternType="solid">
        <fgColor rgb="FF00160E"/>
        <bgColor indexed="64"/>
      </patternFill>
    </fill>
    <fill>
      <patternFill patternType="solid">
        <fgColor rgb="FF00160F"/>
        <bgColor indexed="64"/>
      </patternFill>
    </fill>
    <fill>
      <patternFill patternType="solid">
        <fgColor rgb="FF001610"/>
        <bgColor indexed="64"/>
      </patternFill>
    </fill>
    <fill>
      <patternFill patternType="solid">
        <fgColor rgb="FF001611"/>
        <bgColor indexed="64"/>
      </patternFill>
    </fill>
    <fill>
      <patternFill patternType="solid">
        <fgColor rgb="FF001612"/>
        <bgColor indexed="64"/>
      </patternFill>
    </fill>
    <fill>
      <patternFill patternType="solid">
        <fgColor rgb="FF001613"/>
        <bgColor indexed="64"/>
      </patternFill>
    </fill>
    <fill>
      <patternFill patternType="solid">
        <fgColor rgb="FF001614"/>
        <bgColor indexed="64"/>
      </patternFill>
    </fill>
    <fill>
      <patternFill patternType="solid">
        <fgColor rgb="FF001615"/>
        <bgColor indexed="64"/>
      </patternFill>
    </fill>
    <fill>
      <patternFill patternType="solid">
        <fgColor rgb="FF001616"/>
        <bgColor indexed="64"/>
      </patternFill>
    </fill>
    <fill>
      <patternFill patternType="solid">
        <fgColor rgb="FF001617"/>
        <bgColor indexed="64"/>
      </patternFill>
    </fill>
    <fill>
      <patternFill patternType="solid">
        <fgColor rgb="FF001618"/>
        <bgColor indexed="64"/>
      </patternFill>
    </fill>
    <fill>
      <patternFill patternType="solid">
        <fgColor rgb="FF001619"/>
        <bgColor indexed="64"/>
      </patternFill>
    </fill>
    <fill>
      <patternFill patternType="solid">
        <fgColor rgb="FF00161A"/>
        <bgColor indexed="64"/>
      </patternFill>
    </fill>
    <fill>
      <patternFill patternType="solid">
        <fgColor rgb="FF00161B"/>
        <bgColor indexed="64"/>
      </patternFill>
    </fill>
    <fill>
      <patternFill patternType="solid">
        <fgColor rgb="FF00161C"/>
        <bgColor indexed="64"/>
      </patternFill>
    </fill>
    <fill>
      <patternFill patternType="solid">
        <fgColor rgb="FF00161D"/>
        <bgColor indexed="64"/>
      </patternFill>
    </fill>
    <fill>
      <patternFill patternType="solid">
        <fgColor rgb="FF00161E"/>
        <bgColor indexed="64"/>
      </patternFill>
    </fill>
    <fill>
      <patternFill patternType="solid">
        <fgColor rgb="FF00161F"/>
        <bgColor indexed="64"/>
      </patternFill>
    </fill>
    <fill>
      <patternFill patternType="solid">
        <fgColor rgb="FF001620"/>
        <bgColor indexed="64"/>
      </patternFill>
    </fill>
    <fill>
      <patternFill patternType="solid">
        <fgColor rgb="FF001621"/>
        <bgColor indexed="64"/>
      </patternFill>
    </fill>
    <fill>
      <patternFill patternType="solid">
        <fgColor rgb="FF001622"/>
        <bgColor indexed="64"/>
      </patternFill>
    </fill>
    <fill>
      <patternFill patternType="solid">
        <fgColor rgb="FF001623"/>
        <bgColor indexed="64"/>
      </patternFill>
    </fill>
    <fill>
      <patternFill patternType="solid">
        <fgColor rgb="FF001624"/>
        <bgColor indexed="64"/>
      </patternFill>
    </fill>
    <fill>
      <patternFill patternType="solid">
        <fgColor rgb="FF001625"/>
        <bgColor indexed="64"/>
      </patternFill>
    </fill>
    <fill>
      <patternFill patternType="solid">
        <fgColor rgb="FF001626"/>
        <bgColor indexed="64"/>
      </patternFill>
    </fill>
    <fill>
      <patternFill patternType="solid">
        <fgColor rgb="FF001627"/>
        <bgColor indexed="64"/>
      </patternFill>
    </fill>
    <fill>
      <patternFill patternType="solid">
        <fgColor rgb="FF001628"/>
        <bgColor indexed="64"/>
      </patternFill>
    </fill>
    <fill>
      <patternFill patternType="solid">
        <fgColor rgb="FF001629"/>
        <bgColor indexed="64"/>
      </patternFill>
    </fill>
    <fill>
      <patternFill patternType="solid">
        <fgColor rgb="FF00162A"/>
        <bgColor indexed="64"/>
      </patternFill>
    </fill>
    <fill>
      <patternFill patternType="solid">
        <fgColor rgb="FF00162B"/>
        <bgColor indexed="64"/>
      </patternFill>
    </fill>
    <fill>
      <patternFill patternType="solid">
        <fgColor rgb="FF00162C"/>
        <bgColor indexed="64"/>
      </patternFill>
    </fill>
    <fill>
      <patternFill patternType="solid">
        <fgColor rgb="FF00162D"/>
        <bgColor indexed="64"/>
      </patternFill>
    </fill>
    <fill>
      <patternFill patternType="solid">
        <fgColor rgb="FF00162E"/>
        <bgColor indexed="64"/>
      </patternFill>
    </fill>
    <fill>
      <patternFill patternType="solid">
        <fgColor rgb="FF00162F"/>
        <bgColor indexed="64"/>
      </patternFill>
    </fill>
    <fill>
      <patternFill patternType="solid">
        <fgColor rgb="FF001630"/>
        <bgColor indexed="64"/>
      </patternFill>
    </fill>
    <fill>
      <patternFill patternType="solid">
        <fgColor rgb="FF001631"/>
        <bgColor indexed="64"/>
      </patternFill>
    </fill>
    <fill>
      <patternFill patternType="solid">
        <fgColor rgb="FF001632"/>
        <bgColor indexed="64"/>
      </patternFill>
    </fill>
    <fill>
      <patternFill patternType="solid">
        <fgColor rgb="FF001633"/>
        <bgColor indexed="64"/>
      </patternFill>
    </fill>
    <fill>
      <patternFill patternType="solid">
        <fgColor rgb="FF001634"/>
        <bgColor indexed="64"/>
      </patternFill>
    </fill>
    <fill>
      <patternFill patternType="solid">
        <fgColor rgb="FF001635"/>
        <bgColor indexed="64"/>
      </patternFill>
    </fill>
    <fill>
      <patternFill patternType="solid">
        <fgColor rgb="FF001636"/>
        <bgColor indexed="64"/>
      </patternFill>
    </fill>
    <fill>
      <patternFill patternType="solid">
        <fgColor rgb="FF001637"/>
        <bgColor indexed="64"/>
      </patternFill>
    </fill>
    <fill>
      <patternFill patternType="solid">
        <fgColor rgb="FF001638"/>
        <bgColor indexed="64"/>
      </patternFill>
    </fill>
    <fill>
      <patternFill patternType="solid">
        <fgColor rgb="FF001639"/>
        <bgColor indexed="64"/>
      </patternFill>
    </fill>
    <fill>
      <patternFill patternType="solid">
        <fgColor rgb="FF00163A"/>
        <bgColor indexed="64"/>
      </patternFill>
    </fill>
    <fill>
      <patternFill patternType="solid">
        <fgColor rgb="FF00163B"/>
        <bgColor indexed="64"/>
      </patternFill>
    </fill>
    <fill>
      <patternFill patternType="solid">
        <fgColor rgb="FF00163C"/>
        <bgColor indexed="64"/>
      </patternFill>
    </fill>
    <fill>
      <patternFill patternType="solid">
        <fgColor rgb="FF00163D"/>
        <bgColor indexed="64"/>
      </patternFill>
    </fill>
    <fill>
      <patternFill patternType="solid">
        <fgColor rgb="FF00163E"/>
        <bgColor indexed="64"/>
      </patternFill>
    </fill>
    <fill>
      <patternFill patternType="solid">
        <fgColor rgb="FF00163F"/>
        <bgColor indexed="64"/>
      </patternFill>
    </fill>
    <fill>
      <patternFill patternType="solid">
        <fgColor rgb="FF001640"/>
        <bgColor indexed="64"/>
      </patternFill>
    </fill>
    <fill>
      <patternFill patternType="solid">
        <fgColor rgb="FF001641"/>
        <bgColor indexed="64"/>
      </patternFill>
    </fill>
    <fill>
      <patternFill patternType="solid">
        <fgColor rgb="FF001642"/>
        <bgColor indexed="64"/>
      </patternFill>
    </fill>
    <fill>
      <patternFill patternType="solid">
        <fgColor rgb="FF001643"/>
        <bgColor indexed="64"/>
      </patternFill>
    </fill>
    <fill>
      <patternFill patternType="solid">
        <fgColor rgb="FF001644"/>
        <bgColor indexed="64"/>
      </patternFill>
    </fill>
    <fill>
      <patternFill patternType="solid">
        <fgColor rgb="FF001645"/>
        <bgColor indexed="64"/>
      </patternFill>
    </fill>
    <fill>
      <patternFill patternType="solid">
        <fgColor rgb="FF001646"/>
        <bgColor indexed="64"/>
      </patternFill>
    </fill>
    <fill>
      <patternFill patternType="solid">
        <fgColor rgb="FF001647"/>
        <bgColor indexed="64"/>
      </patternFill>
    </fill>
    <fill>
      <patternFill patternType="solid">
        <fgColor rgb="FF001648"/>
        <bgColor indexed="64"/>
      </patternFill>
    </fill>
    <fill>
      <patternFill patternType="solid">
        <fgColor rgb="FF001649"/>
        <bgColor indexed="64"/>
      </patternFill>
    </fill>
    <fill>
      <patternFill patternType="solid">
        <fgColor rgb="FF00164A"/>
        <bgColor indexed="64"/>
      </patternFill>
    </fill>
    <fill>
      <patternFill patternType="solid">
        <fgColor rgb="FF00164B"/>
        <bgColor indexed="64"/>
      </patternFill>
    </fill>
    <fill>
      <patternFill patternType="solid">
        <fgColor rgb="FF00164C"/>
        <bgColor indexed="64"/>
      </patternFill>
    </fill>
    <fill>
      <patternFill patternType="solid">
        <fgColor rgb="FF00164D"/>
        <bgColor indexed="64"/>
      </patternFill>
    </fill>
    <fill>
      <patternFill patternType="solid">
        <fgColor rgb="FF00164E"/>
        <bgColor indexed="64"/>
      </patternFill>
    </fill>
    <fill>
      <patternFill patternType="solid">
        <fgColor rgb="FF00164F"/>
        <bgColor indexed="64"/>
      </patternFill>
    </fill>
    <fill>
      <patternFill patternType="solid">
        <fgColor rgb="FF001650"/>
        <bgColor indexed="64"/>
      </patternFill>
    </fill>
    <fill>
      <patternFill patternType="solid">
        <fgColor rgb="FF001651"/>
        <bgColor indexed="64"/>
      </patternFill>
    </fill>
    <fill>
      <patternFill patternType="solid">
        <fgColor rgb="FF001652"/>
        <bgColor indexed="64"/>
      </patternFill>
    </fill>
    <fill>
      <patternFill patternType="solid">
        <fgColor rgb="FF001653"/>
        <bgColor indexed="64"/>
      </patternFill>
    </fill>
    <fill>
      <patternFill patternType="solid">
        <fgColor rgb="FF001654"/>
        <bgColor indexed="64"/>
      </patternFill>
    </fill>
    <fill>
      <patternFill patternType="solid">
        <fgColor rgb="FF001655"/>
        <bgColor indexed="64"/>
      </patternFill>
    </fill>
    <fill>
      <patternFill patternType="solid">
        <fgColor rgb="FF001656"/>
        <bgColor indexed="64"/>
      </patternFill>
    </fill>
    <fill>
      <patternFill patternType="solid">
        <fgColor rgb="FF001657"/>
        <bgColor indexed="64"/>
      </patternFill>
    </fill>
    <fill>
      <patternFill patternType="solid">
        <fgColor rgb="FF001658"/>
        <bgColor indexed="64"/>
      </patternFill>
    </fill>
    <fill>
      <patternFill patternType="solid">
        <fgColor rgb="FF001659"/>
        <bgColor indexed="64"/>
      </patternFill>
    </fill>
    <fill>
      <patternFill patternType="solid">
        <fgColor rgb="FF00165A"/>
        <bgColor indexed="64"/>
      </patternFill>
    </fill>
    <fill>
      <patternFill patternType="solid">
        <fgColor rgb="FF00165B"/>
        <bgColor indexed="64"/>
      </patternFill>
    </fill>
    <fill>
      <patternFill patternType="solid">
        <fgColor rgb="FF00165C"/>
        <bgColor indexed="64"/>
      </patternFill>
    </fill>
    <fill>
      <patternFill patternType="solid">
        <fgColor rgb="FF00165D"/>
        <bgColor indexed="64"/>
      </patternFill>
    </fill>
    <fill>
      <patternFill patternType="solid">
        <fgColor rgb="FF00165E"/>
        <bgColor indexed="64"/>
      </patternFill>
    </fill>
    <fill>
      <patternFill patternType="solid">
        <fgColor rgb="FF00165F"/>
        <bgColor indexed="64"/>
      </patternFill>
    </fill>
    <fill>
      <patternFill patternType="solid">
        <fgColor rgb="FF001660"/>
        <bgColor indexed="64"/>
      </patternFill>
    </fill>
    <fill>
      <patternFill patternType="solid">
        <fgColor rgb="FF001661"/>
        <bgColor indexed="64"/>
      </patternFill>
    </fill>
    <fill>
      <patternFill patternType="solid">
        <fgColor rgb="FF001662"/>
        <bgColor indexed="64"/>
      </patternFill>
    </fill>
    <fill>
      <patternFill patternType="solid">
        <fgColor rgb="FF001663"/>
        <bgColor indexed="64"/>
      </patternFill>
    </fill>
    <fill>
      <patternFill patternType="solid">
        <fgColor rgb="FF001664"/>
        <bgColor indexed="64"/>
      </patternFill>
    </fill>
    <fill>
      <patternFill patternType="solid">
        <fgColor rgb="FF001665"/>
        <bgColor indexed="64"/>
      </patternFill>
    </fill>
    <fill>
      <patternFill patternType="solid">
        <fgColor rgb="FF001666"/>
        <bgColor indexed="64"/>
      </patternFill>
    </fill>
    <fill>
      <patternFill patternType="solid">
        <fgColor rgb="FF001667"/>
        <bgColor indexed="64"/>
      </patternFill>
    </fill>
    <fill>
      <patternFill patternType="solid">
        <fgColor rgb="FF001668"/>
        <bgColor indexed="64"/>
      </patternFill>
    </fill>
    <fill>
      <patternFill patternType="solid">
        <fgColor rgb="FF001669"/>
        <bgColor indexed="64"/>
      </patternFill>
    </fill>
    <fill>
      <patternFill patternType="solid">
        <fgColor rgb="FF00166A"/>
        <bgColor indexed="64"/>
      </patternFill>
    </fill>
    <fill>
      <patternFill patternType="solid">
        <fgColor rgb="FF00166B"/>
        <bgColor indexed="64"/>
      </patternFill>
    </fill>
    <fill>
      <patternFill patternType="solid">
        <fgColor rgb="FF00166C"/>
        <bgColor indexed="64"/>
      </patternFill>
    </fill>
    <fill>
      <patternFill patternType="solid">
        <fgColor rgb="FF00166D"/>
        <bgColor indexed="64"/>
      </patternFill>
    </fill>
    <fill>
      <patternFill patternType="solid">
        <fgColor rgb="FF00166E"/>
        <bgColor indexed="64"/>
      </patternFill>
    </fill>
    <fill>
      <patternFill patternType="solid">
        <fgColor rgb="FF00166F"/>
        <bgColor indexed="64"/>
      </patternFill>
    </fill>
    <fill>
      <patternFill patternType="solid">
        <fgColor rgb="FF001670"/>
        <bgColor indexed="64"/>
      </patternFill>
    </fill>
    <fill>
      <patternFill patternType="solid">
        <fgColor rgb="FF001671"/>
        <bgColor indexed="64"/>
      </patternFill>
    </fill>
    <fill>
      <patternFill patternType="solid">
        <fgColor rgb="FF001672"/>
        <bgColor indexed="64"/>
      </patternFill>
    </fill>
    <fill>
      <patternFill patternType="solid">
        <fgColor rgb="FF001673"/>
        <bgColor indexed="64"/>
      </patternFill>
    </fill>
    <fill>
      <patternFill patternType="solid">
        <fgColor rgb="FF001674"/>
        <bgColor indexed="64"/>
      </patternFill>
    </fill>
    <fill>
      <patternFill patternType="solid">
        <fgColor rgb="FF001675"/>
        <bgColor indexed="64"/>
      </patternFill>
    </fill>
    <fill>
      <patternFill patternType="solid">
        <fgColor rgb="FF001676"/>
        <bgColor indexed="64"/>
      </patternFill>
    </fill>
    <fill>
      <patternFill patternType="solid">
        <fgColor rgb="FF001677"/>
        <bgColor indexed="64"/>
      </patternFill>
    </fill>
    <fill>
      <patternFill patternType="solid">
        <fgColor rgb="FF001678"/>
        <bgColor indexed="64"/>
      </patternFill>
    </fill>
    <fill>
      <patternFill patternType="solid">
        <fgColor rgb="FF001679"/>
        <bgColor indexed="64"/>
      </patternFill>
    </fill>
    <fill>
      <patternFill patternType="solid">
        <fgColor rgb="FF00167A"/>
        <bgColor indexed="64"/>
      </patternFill>
    </fill>
    <fill>
      <patternFill patternType="solid">
        <fgColor rgb="FF00167B"/>
        <bgColor indexed="64"/>
      </patternFill>
    </fill>
    <fill>
      <patternFill patternType="solid">
        <fgColor rgb="FF00167C"/>
        <bgColor indexed="64"/>
      </patternFill>
    </fill>
    <fill>
      <patternFill patternType="solid">
        <fgColor rgb="FF00167D"/>
        <bgColor indexed="64"/>
      </patternFill>
    </fill>
    <fill>
      <patternFill patternType="solid">
        <fgColor rgb="FF00167E"/>
        <bgColor indexed="64"/>
      </patternFill>
    </fill>
    <fill>
      <patternFill patternType="solid">
        <fgColor rgb="FF00167F"/>
        <bgColor indexed="64"/>
      </patternFill>
    </fill>
    <fill>
      <patternFill patternType="solid">
        <fgColor rgb="FF001680"/>
        <bgColor indexed="64"/>
      </patternFill>
    </fill>
    <fill>
      <patternFill patternType="solid">
        <fgColor rgb="FF001681"/>
        <bgColor indexed="64"/>
      </patternFill>
    </fill>
    <fill>
      <patternFill patternType="solid">
        <fgColor rgb="FF001682"/>
        <bgColor indexed="64"/>
      </patternFill>
    </fill>
    <fill>
      <patternFill patternType="solid">
        <fgColor rgb="FF001683"/>
        <bgColor indexed="64"/>
      </patternFill>
    </fill>
    <fill>
      <patternFill patternType="solid">
        <fgColor rgb="FF001684"/>
        <bgColor indexed="64"/>
      </patternFill>
    </fill>
    <fill>
      <patternFill patternType="solid">
        <fgColor rgb="FF001685"/>
        <bgColor indexed="64"/>
      </patternFill>
    </fill>
    <fill>
      <patternFill patternType="solid">
        <fgColor rgb="FF001686"/>
        <bgColor indexed="64"/>
      </patternFill>
    </fill>
    <fill>
      <patternFill patternType="solid">
        <fgColor rgb="FF001687"/>
        <bgColor indexed="64"/>
      </patternFill>
    </fill>
    <fill>
      <patternFill patternType="solid">
        <fgColor rgb="FF001688"/>
        <bgColor indexed="64"/>
      </patternFill>
    </fill>
    <fill>
      <patternFill patternType="solid">
        <fgColor rgb="FF001689"/>
        <bgColor indexed="64"/>
      </patternFill>
    </fill>
    <fill>
      <patternFill patternType="solid">
        <fgColor rgb="FF00168A"/>
        <bgColor indexed="64"/>
      </patternFill>
    </fill>
    <fill>
      <patternFill patternType="solid">
        <fgColor rgb="FF00168B"/>
        <bgColor indexed="64"/>
      </patternFill>
    </fill>
    <fill>
      <patternFill patternType="solid">
        <fgColor rgb="FF00168C"/>
        <bgColor indexed="64"/>
      </patternFill>
    </fill>
    <fill>
      <patternFill patternType="solid">
        <fgColor rgb="FF00168D"/>
        <bgColor indexed="64"/>
      </patternFill>
    </fill>
    <fill>
      <patternFill patternType="solid">
        <fgColor rgb="FF00168E"/>
        <bgColor indexed="64"/>
      </patternFill>
    </fill>
    <fill>
      <patternFill patternType="solid">
        <fgColor rgb="FF00168F"/>
        <bgColor indexed="64"/>
      </patternFill>
    </fill>
    <fill>
      <patternFill patternType="solid">
        <fgColor rgb="FF001690"/>
        <bgColor indexed="64"/>
      </patternFill>
    </fill>
    <fill>
      <patternFill patternType="solid">
        <fgColor rgb="FF001691"/>
        <bgColor indexed="64"/>
      </patternFill>
    </fill>
    <fill>
      <patternFill patternType="solid">
        <fgColor rgb="FF001692"/>
        <bgColor indexed="64"/>
      </patternFill>
    </fill>
    <fill>
      <patternFill patternType="solid">
        <fgColor rgb="FF001693"/>
        <bgColor indexed="64"/>
      </patternFill>
    </fill>
    <fill>
      <patternFill patternType="solid">
        <fgColor rgb="FF001694"/>
        <bgColor indexed="64"/>
      </patternFill>
    </fill>
    <fill>
      <patternFill patternType="solid">
        <fgColor rgb="FF001695"/>
        <bgColor indexed="64"/>
      </patternFill>
    </fill>
    <fill>
      <patternFill patternType="solid">
        <fgColor rgb="FF001696"/>
        <bgColor indexed="64"/>
      </patternFill>
    </fill>
    <fill>
      <patternFill patternType="solid">
        <fgColor rgb="FF001697"/>
        <bgColor indexed="64"/>
      </patternFill>
    </fill>
    <fill>
      <patternFill patternType="solid">
        <fgColor rgb="FF001698"/>
        <bgColor indexed="64"/>
      </patternFill>
    </fill>
    <fill>
      <patternFill patternType="solid">
        <fgColor rgb="FF001699"/>
        <bgColor indexed="64"/>
      </patternFill>
    </fill>
    <fill>
      <patternFill patternType="solid">
        <fgColor rgb="FF00169A"/>
        <bgColor indexed="64"/>
      </patternFill>
    </fill>
    <fill>
      <patternFill patternType="solid">
        <fgColor rgb="FF00169B"/>
        <bgColor indexed="64"/>
      </patternFill>
    </fill>
    <fill>
      <patternFill patternType="solid">
        <fgColor rgb="FF00169C"/>
        <bgColor indexed="64"/>
      </patternFill>
    </fill>
    <fill>
      <patternFill patternType="solid">
        <fgColor rgb="FF00169D"/>
        <bgColor indexed="64"/>
      </patternFill>
    </fill>
    <fill>
      <patternFill patternType="solid">
        <fgColor rgb="FF00169E"/>
        <bgColor indexed="64"/>
      </patternFill>
    </fill>
    <fill>
      <patternFill patternType="solid">
        <fgColor rgb="FF00169F"/>
        <bgColor indexed="64"/>
      </patternFill>
    </fill>
    <fill>
      <patternFill patternType="solid">
        <fgColor rgb="FF0016A0"/>
        <bgColor indexed="64"/>
      </patternFill>
    </fill>
    <fill>
      <patternFill patternType="solid">
        <fgColor rgb="FF0016A1"/>
        <bgColor indexed="64"/>
      </patternFill>
    </fill>
    <fill>
      <patternFill patternType="solid">
        <fgColor rgb="FF0016A2"/>
        <bgColor indexed="64"/>
      </patternFill>
    </fill>
    <fill>
      <patternFill patternType="solid">
        <fgColor rgb="FF0016A3"/>
        <bgColor indexed="64"/>
      </patternFill>
    </fill>
    <fill>
      <patternFill patternType="solid">
        <fgColor rgb="FF0016A4"/>
        <bgColor indexed="64"/>
      </patternFill>
    </fill>
    <fill>
      <patternFill patternType="solid">
        <fgColor rgb="FF0016A5"/>
        <bgColor indexed="64"/>
      </patternFill>
    </fill>
    <fill>
      <patternFill patternType="solid">
        <fgColor rgb="FF0016A6"/>
        <bgColor indexed="64"/>
      </patternFill>
    </fill>
    <fill>
      <patternFill patternType="solid">
        <fgColor rgb="FF0016A7"/>
        <bgColor indexed="64"/>
      </patternFill>
    </fill>
    <fill>
      <patternFill patternType="solid">
        <fgColor rgb="FF0016A8"/>
        <bgColor indexed="64"/>
      </patternFill>
    </fill>
    <fill>
      <patternFill patternType="solid">
        <fgColor rgb="FF0016A9"/>
        <bgColor indexed="64"/>
      </patternFill>
    </fill>
    <fill>
      <patternFill patternType="solid">
        <fgColor rgb="FF0016AA"/>
        <bgColor indexed="64"/>
      </patternFill>
    </fill>
    <fill>
      <patternFill patternType="solid">
        <fgColor rgb="FF0016AB"/>
        <bgColor indexed="64"/>
      </patternFill>
    </fill>
    <fill>
      <patternFill patternType="solid">
        <fgColor rgb="FF0016AC"/>
        <bgColor indexed="64"/>
      </patternFill>
    </fill>
    <fill>
      <patternFill patternType="solid">
        <fgColor rgb="FF0016AD"/>
        <bgColor indexed="64"/>
      </patternFill>
    </fill>
    <fill>
      <patternFill patternType="solid">
        <fgColor rgb="FF0016AE"/>
        <bgColor indexed="64"/>
      </patternFill>
    </fill>
    <fill>
      <patternFill patternType="solid">
        <fgColor rgb="FF0016AF"/>
        <bgColor indexed="64"/>
      </patternFill>
    </fill>
    <fill>
      <patternFill patternType="solid">
        <fgColor rgb="FF0016B0"/>
        <bgColor indexed="64"/>
      </patternFill>
    </fill>
    <fill>
      <patternFill patternType="solid">
        <fgColor rgb="FF0016B1"/>
        <bgColor indexed="64"/>
      </patternFill>
    </fill>
    <fill>
      <patternFill patternType="solid">
        <fgColor rgb="FF0016B2"/>
        <bgColor indexed="64"/>
      </patternFill>
    </fill>
    <fill>
      <patternFill patternType="solid">
        <fgColor rgb="FF0016B3"/>
        <bgColor indexed="64"/>
      </patternFill>
    </fill>
    <fill>
      <patternFill patternType="solid">
        <fgColor rgb="FF0016B4"/>
        <bgColor indexed="64"/>
      </patternFill>
    </fill>
    <fill>
      <patternFill patternType="solid">
        <fgColor rgb="FF0016B5"/>
        <bgColor indexed="64"/>
      </patternFill>
    </fill>
    <fill>
      <patternFill patternType="solid">
        <fgColor rgb="FF0016B6"/>
        <bgColor indexed="64"/>
      </patternFill>
    </fill>
    <fill>
      <patternFill patternType="solid">
        <fgColor rgb="FF0016B7"/>
        <bgColor indexed="64"/>
      </patternFill>
    </fill>
    <fill>
      <patternFill patternType="solid">
        <fgColor rgb="FF0016B8"/>
        <bgColor indexed="64"/>
      </patternFill>
    </fill>
    <fill>
      <patternFill patternType="solid">
        <fgColor rgb="FF0016B9"/>
        <bgColor indexed="64"/>
      </patternFill>
    </fill>
    <fill>
      <patternFill patternType="solid">
        <fgColor rgb="FF0016BA"/>
        <bgColor indexed="64"/>
      </patternFill>
    </fill>
    <fill>
      <patternFill patternType="solid">
        <fgColor rgb="FF0016BB"/>
        <bgColor indexed="64"/>
      </patternFill>
    </fill>
    <fill>
      <patternFill patternType="solid">
        <fgColor rgb="FF0016BC"/>
        <bgColor indexed="64"/>
      </patternFill>
    </fill>
    <fill>
      <patternFill patternType="solid">
        <fgColor rgb="FF0016BD"/>
        <bgColor indexed="64"/>
      </patternFill>
    </fill>
    <fill>
      <patternFill patternType="solid">
        <fgColor rgb="FF0016BE"/>
        <bgColor indexed="64"/>
      </patternFill>
    </fill>
    <fill>
      <patternFill patternType="solid">
        <fgColor rgb="FF0016BF"/>
        <bgColor indexed="64"/>
      </patternFill>
    </fill>
    <fill>
      <patternFill patternType="solid">
        <fgColor rgb="FF0016C0"/>
        <bgColor indexed="64"/>
      </patternFill>
    </fill>
    <fill>
      <patternFill patternType="solid">
        <fgColor rgb="FF0016C1"/>
        <bgColor indexed="64"/>
      </patternFill>
    </fill>
    <fill>
      <patternFill patternType="solid">
        <fgColor rgb="FF0016C2"/>
        <bgColor indexed="64"/>
      </patternFill>
    </fill>
    <fill>
      <patternFill patternType="solid">
        <fgColor rgb="FF0016C3"/>
        <bgColor indexed="64"/>
      </patternFill>
    </fill>
    <fill>
      <patternFill patternType="solid">
        <fgColor rgb="FF0016C4"/>
        <bgColor indexed="64"/>
      </patternFill>
    </fill>
    <fill>
      <patternFill patternType="solid">
        <fgColor rgb="FF0016C5"/>
        <bgColor indexed="64"/>
      </patternFill>
    </fill>
    <fill>
      <patternFill patternType="solid">
        <fgColor rgb="FF0016C6"/>
        <bgColor indexed="64"/>
      </patternFill>
    </fill>
    <fill>
      <patternFill patternType="solid">
        <fgColor rgb="FF0016C7"/>
        <bgColor indexed="64"/>
      </patternFill>
    </fill>
    <fill>
      <patternFill patternType="solid">
        <fgColor rgb="FF0016C8"/>
        <bgColor indexed="64"/>
      </patternFill>
    </fill>
    <fill>
      <patternFill patternType="solid">
        <fgColor rgb="FF0016C9"/>
        <bgColor indexed="64"/>
      </patternFill>
    </fill>
    <fill>
      <patternFill patternType="solid">
        <fgColor rgb="FF0016CA"/>
        <bgColor indexed="64"/>
      </patternFill>
    </fill>
    <fill>
      <patternFill patternType="solid">
        <fgColor rgb="FF0016CB"/>
        <bgColor indexed="64"/>
      </patternFill>
    </fill>
    <fill>
      <patternFill patternType="solid">
        <fgColor rgb="FF0016CC"/>
        <bgColor indexed="64"/>
      </patternFill>
    </fill>
    <fill>
      <patternFill patternType="solid">
        <fgColor rgb="FF0016CD"/>
        <bgColor indexed="64"/>
      </patternFill>
    </fill>
    <fill>
      <patternFill patternType="solid">
        <fgColor rgb="FF0016CE"/>
        <bgColor indexed="64"/>
      </patternFill>
    </fill>
    <fill>
      <patternFill patternType="solid">
        <fgColor rgb="FF0016CF"/>
        <bgColor indexed="64"/>
      </patternFill>
    </fill>
    <fill>
      <patternFill patternType="solid">
        <fgColor rgb="FF0016D0"/>
        <bgColor indexed="64"/>
      </patternFill>
    </fill>
    <fill>
      <patternFill patternType="solid">
        <fgColor rgb="FF0016D1"/>
        <bgColor indexed="64"/>
      </patternFill>
    </fill>
    <fill>
      <patternFill patternType="solid">
        <fgColor rgb="FF0016D2"/>
        <bgColor indexed="64"/>
      </patternFill>
    </fill>
    <fill>
      <patternFill patternType="solid">
        <fgColor rgb="FF0016D3"/>
        <bgColor indexed="64"/>
      </patternFill>
    </fill>
    <fill>
      <patternFill patternType="solid">
        <fgColor rgb="FF0016D4"/>
        <bgColor indexed="64"/>
      </patternFill>
    </fill>
    <fill>
      <patternFill patternType="solid">
        <fgColor rgb="FF0016D5"/>
        <bgColor indexed="64"/>
      </patternFill>
    </fill>
    <fill>
      <patternFill patternType="solid">
        <fgColor rgb="FF0016D6"/>
        <bgColor indexed="64"/>
      </patternFill>
    </fill>
    <fill>
      <patternFill patternType="solid">
        <fgColor rgb="FF0016D7"/>
        <bgColor indexed="64"/>
      </patternFill>
    </fill>
    <fill>
      <patternFill patternType="solid">
        <fgColor rgb="FF0016D8"/>
        <bgColor indexed="64"/>
      </patternFill>
    </fill>
    <fill>
      <patternFill patternType="solid">
        <fgColor rgb="FF0016D9"/>
        <bgColor indexed="64"/>
      </patternFill>
    </fill>
    <fill>
      <patternFill patternType="solid">
        <fgColor rgb="FF0016DA"/>
        <bgColor indexed="64"/>
      </patternFill>
    </fill>
    <fill>
      <patternFill patternType="solid">
        <fgColor rgb="FF0016DB"/>
        <bgColor indexed="64"/>
      </patternFill>
    </fill>
    <fill>
      <patternFill patternType="solid">
        <fgColor rgb="FF0016DC"/>
        <bgColor indexed="64"/>
      </patternFill>
    </fill>
    <fill>
      <patternFill patternType="solid">
        <fgColor rgb="FF0016DD"/>
        <bgColor indexed="64"/>
      </patternFill>
    </fill>
    <fill>
      <patternFill patternType="solid">
        <fgColor rgb="FF0016DE"/>
        <bgColor indexed="64"/>
      </patternFill>
    </fill>
    <fill>
      <patternFill patternType="solid">
        <fgColor rgb="FF0016DF"/>
        <bgColor indexed="64"/>
      </patternFill>
    </fill>
    <fill>
      <patternFill patternType="solid">
        <fgColor rgb="FF0016E0"/>
        <bgColor indexed="64"/>
      </patternFill>
    </fill>
    <fill>
      <patternFill patternType="solid">
        <fgColor rgb="FF0016E1"/>
        <bgColor indexed="64"/>
      </patternFill>
    </fill>
    <fill>
      <patternFill patternType="solid">
        <fgColor rgb="FF0016E2"/>
        <bgColor indexed="64"/>
      </patternFill>
    </fill>
    <fill>
      <patternFill patternType="solid">
        <fgColor rgb="FF0016E3"/>
        <bgColor indexed="64"/>
      </patternFill>
    </fill>
    <fill>
      <patternFill patternType="solid">
        <fgColor rgb="FF0016E4"/>
        <bgColor indexed="64"/>
      </patternFill>
    </fill>
    <fill>
      <patternFill patternType="solid">
        <fgColor rgb="FF0016E5"/>
        <bgColor indexed="64"/>
      </patternFill>
    </fill>
    <fill>
      <patternFill patternType="solid">
        <fgColor rgb="FF0016E6"/>
        <bgColor indexed="64"/>
      </patternFill>
    </fill>
    <fill>
      <patternFill patternType="solid">
        <fgColor rgb="FF0016E7"/>
        <bgColor indexed="64"/>
      </patternFill>
    </fill>
    <fill>
      <patternFill patternType="solid">
        <fgColor rgb="FF0016E8"/>
        <bgColor indexed="64"/>
      </patternFill>
    </fill>
    <fill>
      <patternFill patternType="solid">
        <fgColor rgb="FF0016E9"/>
        <bgColor indexed="64"/>
      </patternFill>
    </fill>
    <fill>
      <patternFill patternType="solid">
        <fgColor rgb="FF0016EA"/>
        <bgColor indexed="64"/>
      </patternFill>
    </fill>
    <fill>
      <patternFill patternType="solid">
        <fgColor rgb="FF0016EB"/>
        <bgColor indexed="64"/>
      </patternFill>
    </fill>
    <fill>
      <patternFill patternType="solid">
        <fgColor rgb="FF0016EC"/>
        <bgColor indexed="64"/>
      </patternFill>
    </fill>
    <fill>
      <patternFill patternType="solid">
        <fgColor rgb="FF0016ED"/>
        <bgColor indexed="64"/>
      </patternFill>
    </fill>
    <fill>
      <patternFill patternType="solid">
        <fgColor rgb="FF0016EE"/>
        <bgColor indexed="64"/>
      </patternFill>
    </fill>
    <fill>
      <patternFill patternType="solid">
        <fgColor rgb="FF0016EF"/>
        <bgColor indexed="64"/>
      </patternFill>
    </fill>
    <fill>
      <patternFill patternType="solid">
        <fgColor rgb="FF0016F0"/>
        <bgColor indexed="64"/>
      </patternFill>
    </fill>
    <fill>
      <patternFill patternType="solid">
        <fgColor rgb="FF0016F1"/>
        <bgColor indexed="64"/>
      </patternFill>
    </fill>
    <fill>
      <patternFill patternType="solid">
        <fgColor rgb="FF0016F2"/>
        <bgColor indexed="64"/>
      </patternFill>
    </fill>
    <fill>
      <patternFill patternType="solid">
        <fgColor rgb="FF0016F3"/>
        <bgColor indexed="64"/>
      </patternFill>
    </fill>
    <fill>
      <patternFill patternType="solid">
        <fgColor rgb="FF0016F4"/>
        <bgColor indexed="64"/>
      </patternFill>
    </fill>
    <fill>
      <patternFill patternType="solid">
        <fgColor rgb="FF0016F5"/>
        <bgColor indexed="64"/>
      </patternFill>
    </fill>
    <fill>
      <patternFill patternType="solid">
        <fgColor rgb="FF0016F6"/>
        <bgColor indexed="64"/>
      </patternFill>
    </fill>
    <fill>
      <patternFill patternType="solid">
        <fgColor rgb="FF0016F7"/>
        <bgColor indexed="64"/>
      </patternFill>
    </fill>
    <fill>
      <patternFill patternType="solid">
        <fgColor rgb="FF0016F8"/>
        <bgColor indexed="64"/>
      </patternFill>
    </fill>
    <fill>
      <patternFill patternType="solid">
        <fgColor rgb="FF0016F9"/>
        <bgColor indexed="64"/>
      </patternFill>
    </fill>
    <fill>
      <patternFill patternType="solid">
        <fgColor rgb="FF0016FA"/>
        <bgColor indexed="64"/>
      </patternFill>
    </fill>
    <fill>
      <patternFill patternType="solid">
        <fgColor rgb="FF0016FB"/>
        <bgColor indexed="64"/>
      </patternFill>
    </fill>
    <fill>
      <patternFill patternType="solid">
        <fgColor rgb="FF0016FC"/>
        <bgColor indexed="64"/>
      </patternFill>
    </fill>
    <fill>
      <patternFill patternType="solid">
        <fgColor rgb="FF0016FD"/>
        <bgColor indexed="64"/>
      </patternFill>
    </fill>
    <fill>
      <patternFill patternType="solid">
        <fgColor rgb="FF0016FE"/>
        <bgColor indexed="64"/>
      </patternFill>
    </fill>
    <fill>
      <patternFill patternType="solid">
        <fgColor rgb="FF0016FF"/>
        <bgColor indexed="64"/>
      </patternFill>
    </fill>
    <fill>
      <patternFill patternType="solid">
        <fgColor rgb="FF001700"/>
        <bgColor indexed="64"/>
      </patternFill>
    </fill>
    <fill>
      <patternFill patternType="solid">
        <fgColor rgb="FF001701"/>
        <bgColor indexed="64"/>
      </patternFill>
    </fill>
    <fill>
      <patternFill patternType="solid">
        <fgColor rgb="FF001702"/>
        <bgColor indexed="64"/>
      </patternFill>
    </fill>
    <fill>
      <patternFill patternType="solid">
        <fgColor rgb="FF001703"/>
        <bgColor indexed="64"/>
      </patternFill>
    </fill>
    <fill>
      <patternFill patternType="solid">
        <fgColor rgb="FF001704"/>
        <bgColor indexed="64"/>
      </patternFill>
    </fill>
    <fill>
      <patternFill patternType="solid">
        <fgColor rgb="FF001705"/>
        <bgColor indexed="64"/>
      </patternFill>
    </fill>
    <fill>
      <patternFill patternType="solid">
        <fgColor rgb="FF001706"/>
        <bgColor indexed="64"/>
      </patternFill>
    </fill>
    <fill>
      <patternFill patternType="solid">
        <fgColor rgb="FF001707"/>
        <bgColor indexed="64"/>
      </patternFill>
    </fill>
    <fill>
      <patternFill patternType="solid">
        <fgColor rgb="FF001708"/>
        <bgColor indexed="64"/>
      </patternFill>
    </fill>
    <fill>
      <patternFill patternType="solid">
        <fgColor rgb="FF001709"/>
        <bgColor indexed="64"/>
      </patternFill>
    </fill>
    <fill>
      <patternFill patternType="solid">
        <fgColor rgb="FF00170A"/>
        <bgColor indexed="64"/>
      </patternFill>
    </fill>
    <fill>
      <patternFill patternType="solid">
        <fgColor rgb="FF00170B"/>
        <bgColor indexed="64"/>
      </patternFill>
    </fill>
    <fill>
      <patternFill patternType="solid">
        <fgColor rgb="FF00170C"/>
        <bgColor indexed="64"/>
      </patternFill>
    </fill>
    <fill>
      <patternFill patternType="solid">
        <fgColor rgb="FF00170D"/>
        <bgColor indexed="64"/>
      </patternFill>
    </fill>
    <fill>
      <patternFill patternType="solid">
        <fgColor rgb="FF00170E"/>
        <bgColor indexed="64"/>
      </patternFill>
    </fill>
    <fill>
      <patternFill patternType="solid">
        <fgColor rgb="FF00170F"/>
        <bgColor indexed="64"/>
      </patternFill>
    </fill>
    <fill>
      <patternFill patternType="solid">
        <fgColor rgb="FF001710"/>
        <bgColor indexed="64"/>
      </patternFill>
    </fill>
    <fill>
      <patternFill patternType="solid">
        <fgColor rgb="FF001711"/>
        <bgColor indexed="64"/>
      </patternFill>
    </fill>
    <fill>
      <patternFill patternType="solid">
        <fgColor rgb="FF001712"/>
        <bgColor indexed="64"/>
      </patternFill>
    </fill>
    <fill>
      <patternFill patternType="solid">
        <fgColor rgb="FF001713"/>
        <bgColor indexed="64"/>
      </patternFill>
    </fill>
    <fill>
      <patternFill patternType="solid">
        <fgColor rgb="FF001714"/>
        <bgColor indexed="64"/>
      </patternFill>
    </fill>
    <fill>
      <patternFill patternType="solid">
        <fgColor rgb="FF001715"/>
        <bgColor indexed="64"/>
      </patternFill>
    </fill>
    <fill>
      <patternFill patternType="solid">
        <fgColor rgb="FF001716"/>
        <bgColor indexed="64"/>
      </patternFill>
    </fill>
    <fill>
      <patternFill patternType="solid">
        <fgColor rgb="FF001717"/>
        <bgColor indexed="64"/>
      </patternFill>
    </fill>
    <fill>
      <patternFill patternType="solid">
        <fgColor rgb="FF001718"/>
        <bgColor indexed="64"/>
      </patternFill>
    </fill>
    <fill>
      <patternFill patternType="solid">
        <fgColor rgb="FF001719"/>
        <bgColor indexed="64"/>
      </patternFill>
    </fill>
    <fill>
      <patternFill patternType="solid">
        <fgColor rgb="FF00171A"/>
        <bgColor indexed="64"/>
      </patternFill>
    </fill>
    <fill>
      <patternFill patternType="solid">
        <fgColor rgb="FF00171B"/>
        <bgColor indexed="64"/>
      </patternFill>
    </fill>
    <fill>
      <patternFill patternType="solid">
        <fgColor rgb="FF00171C"/>
        <bgColor indexed="64"/>
      </patternFill>
    </fill>
    <fill>
      <patternFill patternType="solid">
        <fgColor rgb="FF00171D"/>
        <bgColor indexed="64"/>
      </patternFill>
    </fill>
    <fill>
      <patternFill patternType="solid">
        <fgColor rgb="FF00171E"/>
        <bgColor indexed="64"/>
      </patternFill>
    </fill>
    <fill>
      <patternFill patternType="solid">
        <fgColor rgb="FF00171F"/>
        <bgColor indexed="64"/>
      </patternFill>
    </fill>
    <fill>
      <patternFill patternType="solid">
        <fgColor rgb="FF001720"/>
        <bgColor indexed="64"/>
      </patternFill>
    </fill>
    <fill>
      <patternFill patternType="solid">
        <fgColor rgb="FF001721"/>
        <bgColor indexed="64"/>
      </patternFill>
    </fill>
    <fill>
      <patternFill patternType="solid">
        <fgColor rgb="FF001722"/>
        <bgColor indexed="64"/>
      </patternFill>
    </fill>
    <fill>
      <patternFill patternType="solid">
        <fgColor rgb="FF001723"/>
        <bgColor indexed="64"/>
      </patternFill>
    </fill>
    <fill>
      <patternFill patternType="solid">
        <fgColor rgb="FF001724"/>
        <bgColor indexed="64"/>
      </patternFill>
    </fill>
    <fill>
      <patternFill patternType="solid">
        <fgColor rgb="FF001725"/>
        <bgColor indexed="64"/>
      </patternFill>
    </fill>
    <fill>
      <patternFill patternType="solid">
        <fgColor rgb="FF001726"/>
        <bgColor indexed="64"/>
      </patternFill>
    </fill>
    <fill>
      <patternFill patternType="solid">
        <fgColor rgb="FF001727"/>
        <bgColor indexed="64"/>
      </patternFill>
    </fill>
    <fill>
      <patternFill patternType="solid">
        <fgColor rgb="FF001728"/>
        <bgColor indexed="64"/>
      </patternFill>
    </fill>
    <fill>
      <patternFill patternType="solid">
        <fgColor rgb="FF001729"/>
        <bgColor indexed="64"/>
      </patternFill>
    </fill>
    <fill>
      <patternFill patternType="solid">
        <fgColor rgb="FF00172A"/>
        <bgColor indexed="64"/>
      </patternFill>
    </fill>
    <fill>
      <patternFill patternType="solid">
        <fgColor rgb="FF00172B"/>
        <bgColor indexed="64"/>
      </patternFill>
    </fill>
    <fill>
      <patternFill patternType="solid">
        <fgColor rgb="FF00172C"/>
        <bgColor indexed="64"/>
      </patternFill>
    </fill>
    <fill>
      <patternFill patternType="solid">
        <fgColor rgb="FF00172D"/>
        <bgColor indexed="64"/>
      </patternFill>
    </fill>
    <fill>
      <patternFill patternType="solid">
        <fgColor rgb="FF00172E"/>
        <bgColor indexed="64"/>
      </patternFill>
    </fill>
    <fill>
      <patternFill patternType="solid">
        <fgColor rgb="FF00172F"/>
        <bgColor indexed="64"/>
      </patternFill>
    </fill>
    <fill>
      <patternFill patternType="solid">
        <fgColor rgb="FF001730"/>
        <bgColor indexed="64"/>
      </patternFill>
    </fill>
    <fill>
      <patternFill patternType="solid">
        <fgColor rgb="FF001731"/>
        <bgColor indexed="64"/>
      </patternFill>
    </fill>
    <fill>
      <patternFill patternType="solid">
        <fgColor rgb="FF001732"/>
        <bgColor indexed="64"/>
      </patternFill>
    </fill>
    <fill>
      <patternFill patternType="solid">
        <fgColor rgb="FF001733"/>
        <bgColor indexed="64"/>
      </patternFill>
    </fill>
    <fill>
      <patternFill patternType="solid">
        <fgColor rgb="FF001734"/>
        <bgColor indexed="64"/>
      </patternFill>
    </fill>
    <fill>
      <patternFill patternType="solid">
        <fgColor rgb="FF001735"/>
        <bgColor indexed="64"/>
      </patternFill>
    </fill>
    <fill>
      <patternFill patternType="solid">
        <fgColor rgb="FF001736"/>
        <bgColor indexed="64"/>
      </patternFill>
    </fill>
    <fill>
      <patternFill patternType="solid">
        <fgColor rgb="FF001737"/>
        <bgColor indexed="64"/>
      </patternFill>
    </fill>
    <fill>
      <patternFill patternType="solid">
        <fgColor rgb="FF001738"/>
        <bgColor indexed="64"/>
      </patternFill>
    </fill>
    <fill>
      <patternFill patternType="solid">
        <fgColor rgb="FF001739"/>
        <bgColor indexed="64"/>
      </patternFill>
    </fill>
    <fill>
      <patternFill patternType="solid">
        <fgColor rgb="FF00173A"/>
        <bgColor indexed="64"/>
      </patternFill>
    </fill>
    <fill>
      <patternFill patternType="solid">
        <fgColor rgb="FF00173B"/>
        <bgColor indexed="64"/>
      </patternFill>
    </fill>
    <fill>
      <patternFill patternType="solid">
        <fgColor rgb="FF00173C"/>
        <bgColor indexed="64"/>
      </patternFill>
    </fill>
    <fill>
      <patternFill patternType="solid">
        <fgColor rgb="FF00173D"/>
        <bgColor indexed="64"/>
      </patternFill>
    </fill>
    <fill>
      <patternFill patternType="solid">
        <fgColor rgb="FF00173E"/>
        <bgColor indexed="64"/>
      </patternFill>
    </fill>
    <fill>
      <patternFill patternType="solid">
        <fgColor rgb="FF00173F"/>
        <bgColor indexed="64"/>
      </patternFill>
    </fill>
    <fill>
      <patternFill patternType="solid">
        <fgColor rgb="FF001740"/>
        <bgColor indexed="64"/>
      </patternFill>
    </fill>
    <fill>
      <patternFill patternType="solid">
        <fgColor rgb="FF001741"/>
        <bgColor indexed="64"/>
      </patternFill>
    </fill>
    <fill>
      <patternFill patternType="solid">
        <fgColor rgb="FF001742"/>
        <bgColor indexed="64"/>
      </patternFill>
    </fill>
    <fill>
      <patternFill patternType="solid">
        <fgColor rgb="FF001743"/>
        <bgColor indexed="64"/>
      </patternFill>
    </fill>
    <fill>
      <patternFill patternType="solid">
        <fgColor rgb="FF001744"/>
        <bgColor indexed="64"/>
      </patternFill>
    </fill>
    <fill>
      <patternFill patternType="solid">
        <fgColor rgb="FF001745"/>
        <bgColor indexed="64"/>
      </patternFill>
    </fill>
    <fill>
      <patternFill patternType="solid">
        <fgColor rgb="FF001746"/>
        <bgColor indexed="64"/>
      </patternFill>
    </fill>
    <fill>
      <patternFill patternType="solid">
        <fgColor rgb="FF001747"/>
        <bgColor indexed="64"/>
      </patternFill>
    </fill>
    <fill>
      <patternFill patternType="solid">
        <fgColor rgb="FF001748"/>
        <bgColor indexed="64"/>
      </patternFill>
    </fill>
    <fill>
      <patternFill patternType="solid">
        <fgColor rgb="FF001749"/>
        <bgColor indexed="64"/>
      </patternFill>
    </fill>
    <fill>
      <patternFill patternType="solid">
        <fgColor rgb="FF00174A"/>
        <bgColor indexed="64"/>
      </patternFill>
    </fill>
    <fill>
      <patternFill patternType="solid">
        <fgColor rgb="FF00174B"/>
        <bgColor indexed="64"/>
      </patternFill>
    </fill>
    <fill>
      <patternFill patternType="solid">
        <fgColor rgb="FF00174C"/>
        <bgColor indexed="64"/>
      </patternFill>
    </fill>
    <fill>
      <patternFill patternType="solid">
        <fgColor rgb="FF00174D"/>
        <bgColor indexed="64"/>
      </patternFill>
    </fill>
    <fill>
      <patternFill patternType="solid">
        <fgColor rgb="FF00174E"/>
        <bgColor indexed="64"/>
      </patternFill>
    </fill>
    <fill>
      <patternFill patternType="solid">
        <fgColor rgb="FF00174F"/>
        <bgColor indexed="64"/>
      </patternFill>
    </fill>
    <fill>
      <patternFill patternType="solid">
        <fgColor rgb="FF001750"/>
        <bgColor indexed="64"/>
      </patternFill>
    </fill>
    <fill>
      <patternFill patternType="solid">
        <fgColor rgb="FF001751"/>
        <bgColor indexed="64"/>
      </patternFill>
    </fill>
    <fill>
      <patternFill patternType="solid">
        <fgColor rgb="FF001752"/>
        <bgColor indexed="64"/>
      </patternFill>
    </fill>
    <fill>
      <patternFill patternType="solid">
        <fgColor rgb="FF001753"/>
        <bgColor indexed="64"/>
      </patternFill>
    </fill>
    <fill>
      <patternFill patternType="solid">
        <fgColor rgb="FF001754"/>
        <bgColor indexed="64"/>
      </patternFill>
    </fill>
    <fill>
      <patternFill patternType="solid">
        <fgColor rgb="FF001755"/>
        <bgColor indexed="64"/>
      </patternFill>
    </fill>
    <fill>
      <patternFill patternType="solid">
        <fgColor rgb="FF001756"/>
        <bgColor indexed="64"/>
      </patternFill>
    </fill>
    <fill>
      <patternFill patternType="solid">
        <fgColor rgb="FF001757"/>
        <bgColor indexed="64"/>
      </patternFill>
    </fill>
    <fill>
      <patternFill patternType="solid">
        <fgColor rgb="FF001758"/>
        <bgColor indexed="64"/>
      </patternFill>
    </fill>
    <fill>
      <patternFill patternType="solid">
        <fgColor rgb="FF001759"/>
        <bgColor indexed="64"/>
      </patternFill>
    </fill>
    <fill>
      <patternFill patternType="solid">
        <fgColor rgb="FF00175A"/>
        <bgColor indexed="64"/>
      </patternFill>
    </fill>
    <fill>
      <patternFill patternType="solid">
        <fgColor rgb="FF00175B"/>
        <bgColor indexed="64"/>
      </patternFill>
    </fill>
    <fill>
      <patternFill patternType="solid">
        <fgColor rgb="FF00175C"/>
        <bgColor indexed="64"/>
      </patternFill>
    </fill>
    <fill>
      <patternFill patternType="solid">
        <fgColor rgb="FF00175D"/>
        <bgColor indexed="64"/>
      </patternFill>
    </fill>
    <fill>
      <patternFill patternType="solid">
        <fgColor rgb="FF00175E"/>
        <bgColor indexed="64"/>
      </patternFill>
    </fill>
    <fill>
      <patternFill patternType="solid">
        <fgColor rgb="FF00175F"/>
        <bgColor indexed="64"/>
      </patternFill>
    </fill>
    <fill>
      <patternFill patternType="solid">
        <fgColor rgb="FF001760"/>
        <bgColor indexed="64"/>
      </patternFill>
    </fill>
    <fill>
      <patternFill patternType="solid">
        <fgColor rgb="FF001761"/>
        <bgColor indexed="64"/>
      </patternFill>
    </fill>
    <fill>
      <patternFill patternType="solid">
        <fgColor rgb="FF001762"/>
        <bgColor indexed="64"/>
      </patternFill>
    </fill>
    <fill>
      <patternFill patternType="solid">
        <fgColor rgb="FF001763"/>
        <bgColor indexed="64"/>
      </patternFill>
    </fill>
    <fill>
      <patternFill patternType="solid">
        <fgColor rgb="FF001764"/>
        <bgColor indexed="64"/>
      </patternFill>
    </fill>
    <fill>
      <patternFill patternType="solid">
        <fgColor rgb="FF001765"/>
        <bgColor indexed="64"/>
      </patternFill>
    </fill>
    <fill>
      <patternFill patternType="solid">
        <fgColor rgb="FF001766"/>
        <bgColor indexed="64"/>
      </patternFill>
    </fill>
    <fill>
      <patternFill patternType="solid">
        <fgColor rgb="FF001767"/>
        <bgColor indexed="64"/>
      </patternFill>
    </fill>
    <fill>
      <patternFill patternType="solid">
        <fgColor rgb="FF001768"/>
        <bgColor indexed="64"/>
      </patternFill>
    </fill>
    <fill>
      <patternFill patternType="solid">
        <fgColor rgb="FF001769"/>
        <bgColor indexed="64"/>
      </patternFill>
    </fill>
    <fill>
      <patternFill patternType="solid">
        <fgColor rgb="FF00176A"/>
        <bgColor indexed="64"/>
      </patternFill>
    </fill>
    <fill>
      <patternFill patternType="solid">
        <fgColor rgb="FF00176B"/>
        <bgColor indexed="64"/>
      </patternFill>
    </fill>
    <fill>
      <patternFill patternType="solid">
        <fgColor rgb="FF00176C"/>
        <bgColor indexed="64"/>
      </patternFill>
    </fill>
    <fill>
      <patternFill patternType="solid">
        <fgColor rgb="FF00176D"/>
        <bgColor indexed="64"/>
      </patternFill>
    </fill>
    <fill>
      <patternFill patternType="solid">
        <fgColor rgb="FF00176E"/>
        <bgColor indexed="64"/>
      </patternFill>
    </fill>
    <fill>
      <patternFill patternType="solid">
        <fgColor rgb="FF00176F"/>
        <bgColor indexed="64"/>
      </patternFill>
    </fill>
    <fill>
      <patternFill patternType="solid">
        <fgColor rgb="FF001770"/>
        <bgColor indexed="64"/>
      </patternFill>
    </fill>
    <fill>
      <patternFill patternType="solid">
        <fgColor rgb="FF001771"/>
        <bgColor indexed="64"/>
      </patternFill>
    </fill>
    <fill>
      <patternFill patternType="solid">
        <fgColor rgb="FF001772"/>
        <bgColor indexed="64"/>
      </patternFill>
    </fill>
    <fill>
      <patternFill patternType="solid">
        <fgColor rgb="FF001773"/>
        <bgColor indexed="64"/>
      </patternFill>
    </fill>
    <fill>
      <patternFill patternType="solid">
        <fgColor rgb="FF001774"/>
        <bgColor indexed="64"/>
      </patternFill>
    </fill>
    <fill>
      <patternFill patternType="solid">
        <fgColor rgb="FF001775"/>
        <bgColor indexed="64"/>
      </patternFill>
    </fill>
    <fill>
      <patternFill patternType="solid">
        <fgColor rgb="FF001776"/>
        <bgColor indexed="64"/>
      </patternFill>
    </fill>
    <fill>
      <patternFill patternType="solid">
        <fgColor rgb="FF001777"/>
        <bgColor indexed="64"/>
      </patternFill>
    </fill>
    <fill>
      <patternFill patternType="solid">
        <fgColor rgb="FF001778"/>
        <bgColor indexed="64"/>
      </patternFill>
    </fill>
    <fill>
      <patternFill patternType="solid">
        <fgColor rgb="FF001779"/>
        <bgColor indexed="64"/>
      </patternFill>
    </fill>
    <fill>
      <patternFill patternType="solid">
        <fgColor rgb="FF00177A"/>
        <bgColor indexed="64"/>
      </patternFill>
    </fill>
    <fill>
      <patternFill patternType="solid">
        <fgColor rgb="FF00177B"/>
        <bgColor indexed="64"/>
      </patternFill>
    </fill>
    <fill>
      <patternFill patternType="solid">
        <fgColor rgb="FF00177C"/>
        <bgColor indexed="64"/>
      </patternFill>
    </fill>
    <fill>
      <patternFill patternType="solid">
        <fgColor rgb="FF00177D"/>
        <bgColor indexed="64"/>
      </patternFill>
    </fill>
    <fill>
      <patternFill patternType="solid">
        <fgColor rgb="FF00177E"/>
        <bgColor indexed="64"/>
      </patternFill>
    </fill>
    <fill>
      <patternFill patternType="solid">
        <fgColor rgb="FF00177F"/>
        <bgColor indexed="64"/>
      </patternFill>
    </fill>
    <fill>
      <patternFill patternType="solid">
        <fgColor rgb="FF001780"/>
        <bgColor indexed="64"/>
      </patternFill>
    </fill>
    <fill>
      <patternFill patternType="solid">
        <fgColor rgb="FF001781"/>
        <bgColor indexed="64"/>
      </patternFill>
    </fill>
    <fill>
      <patternFill patternType="solid">
        <fgColor rgb="FF001782"/>
        <bgColor indexed="64"/>
      </patternFill>
    </fill>
    <fill>
      <patternFill patternType="solid">
        <fgColor rgb="FF001783"/>
        <bgColor indexed="64"/>
      </patternFill>
    </fill>
    <fill>
      <patternFill patternType="solid">
        <fgColor rgb="FF001784"/>
        <bgColor indexed="64"/>
      </patternFill>
    </fill>
    <fill>
      <patternFill patternType="solid">
        <fgColor rgb="FF001785"/>
        <bgColor indexed="64"/>
      </patternFill>
    </fill>
    <fill>
      <patternFill patternType="solid">
        <fgColor rgb="FF001786"/>
        <bgColor indexed="64"/>
      </patternFill>
    </fill>
    <fill>
      <patternFill patternType="solid">
        <fgColor rgb="FF001787"/>
        <bgColor indexed="64"/>
      </patternFill>
    </fill>
    <fill>
      <patternFill patternType="solid">
        <fgColor rgb="FF001788"/>
        <bgColor indexed="64"/>
      </patternFill>
    </fill>
    <fill>
      <patternFill patternType="solid">
        <fgColor rgb="FF001789"/>
        <bgColor indexed="64"/>
      </patternFill>
    </fill>
    <fill>
      <patternFill patternType="solid">
        <fgColor rgb="FF00178A"/>
        <bgColor indexed="64"/>
      </patternFill>
    </fill>
    <fill>
      <patternFill patternType="solid">
        <fgColor rgb="FF00178B"/>
        <bgColor indexed="64"/>
      </patternFill>
    </fill>
    <fill>
      <patternFill patternType="solid">
        <fgColor rgb="FF00178C"/>
        <bgColor indexed="64"/>
      </patternFill>
    </fill>
    <fill>
      <patternFill patternType="solid">
        <fgColor rgb="FF00178D"/>
        <bgColor indexed="64"/>
      </patternFill>
    </fill>
    <fill>
      <patternFill patternType="solid">
        <fgColor rgb="FF00178E"/>
        <bgColor indexed="64"/>
      </patternFill>
    </fill>
    <fill>
      <patternFill patternType="solid">
        <fgColor rgb="FF00178F"/>
        <bgColor indexed="64"/>
      </patternFill>
    </fill>
    <fill>
      <patternFill patternType="solid">
        <fgColor rgb="FF001790"/>
        <bgColor indexed="64"/>
      </patternFill>
    </fill>
    <fill>
      <patternFill patternType="solid">
        <fgColor rgb="FF001791"/>
        <bgColor indexed="64"/>
      </patternFill>
    </fill>
    <fill>
      <patternFill patternType="solid">
        <fgColor rgb="FF001792"/>
        <bgColor indexed="64"/>
      </patternFill>
    </fill>
    <fill>
      <patternFill patternType="solid">
        <fgColor rgb="FF001793"/>
        <bgColor indexed="64"/>
      </patternFill>
    </fill>
    <fill>
      <patternFill patternType="solid">
        <fgColor rgb="FF001794"/>
        <bgColor indexed="64"/>
      </patternFill>
    </fill>
    <fill>
      <patternFill patternType="solid">
        <fgColor rgb="FF001795"/>
        <bgColor indexed="64"/>
      </patternFill>
    </fill>
    <fill>
      <patternFill patternType="solid">
        <fgColor rgb="FF001796"/>
        <bgColor indexed="64"/>
      </patternFill>
    </fill>
    <fill>
      <patternFill patternType="solid">
        <fgColor rgb="FF001797"/>
        <bgColor indexed="64"/>
      </patternFill>
    </fill>
    <fill>
      <patternFill patternType="solid">
        <fgColor rgb="FF001798"/>
        <bgColor indexed="64"/>
      </patternFill>
    </fill>
    <fill>
      <patternFill patternType="solid">
        <fgColor rgb="FF001799"/>
        <bgColor indexed="64"/>
      </patternFill>
    </fill>
    <fill>
      <patternFill patternType="solid">
        <fgColor rgb="FF00179A"/>
        <bgColor indexed="64"/>
      </patternFill>
    </fill>
    <fill>
      <patternFill patternType="solid">
        <fgColor rgb="FF00179B"/>
        <bgColor indexed="64"/>
      </patternFill>
    </fill>
    <fill>
      <patternFill patternType="solid">
        <fgColor rgb="FF00179C"/>
        <bgColor indexed="64"/>
      </patternFill>
    </fill>
    <fill>
      <patternFill patternType="solid">
        <fgColor rgb="FF00179D"/>
        <bgColor indexed="64"/>
      </patternFill>
    </fill>
    <fill>
      <patternFill patternType="solid">
        <fgColor rgb="FF00179E"/>
        <bgColor indexed="64"/>
      </patternFill>
    </fill>
    <fill>
      <patternFill patternType="solid">
        <fgColor rgb="FF00179F"/>
        <bgColor indexed="64"/>
      </patternFill>
    </fill>
    <fill>
      <patternFill patternType="solid">
        <fgColor rgb="FF0017A0"/>
        <bgColor indexed="64"/>
      </patternFill>
    </fill>
    <fill>
      <patternFill patternType="solid">
        <fgColor rgb="FF0017A1"/>
        <bgColor indexed="64"/>
      </patternFill>
    </fill>
    <fill>
      <patternFill patternType="solid">
        <fgColor rgb="FF0017A2"/>
        <bgColor indexed="64"/>
      </patternFill>
    </fill>
    <fill>
      <patternFill patternType="solid">
        <fgColor rgb="FF0017A3"/>
        <bgColor indexed="64"/>
      </patternFill>
    </fill>
    <fill>
      <patternFill patternType="solid">
        <fgColor rgb="FF0017A4"/>
        <bgColor indexed="64"/>
      </patternFill>
    </fill>
    <fill>
      <patternFill patternType="solid">
        <fgColor rgb="FF0017A5"/>
        <bgColor indexed="64"/>
      </patternFill>
    </fill>
    <fill>
      <patternFill patternType="solid">
        <fgColor rgb="FF0017A6"/>
        <bgColor indexed="64"/>
      </patternFill>
    </fill>
    <fill>
      <patternFill patternType="solid">
        <fgColor rgb="FF0017A7"/>
        <bgColor indexed="64"/>
      </patternFill>
    </fill>
    <fill>
      <patternFill patternType="solid">
        <fgColor rgb="FF0017A8"/>
        <bgColor indexed="64"/>
      </patternFill>
    </fill>
    <fill>
      <patternFill patternType="solid">
        <fgColor rgb="FF0017A9"/>
        <bgColor indexed="64"/>
      </patternFill>
    </fill>
    <fill>
      <patternFill patternType="solid">
        <fgColor rgb="FF0017AA"/>
        <bgColor indexed="64"/>
      </patternFill>
    </fill>
    <fill>
      <patternFill patternType="solid">
        <fgColor rgb="FF0017AB"/>
        <bgColor indexed="64"/>
      </patternFill>
    </fill>
    <fill>
      <patternFill patternType="solid">
        <fgColor rgb="FF0017AC"/>
        <bgColor indexed="64"/>
      </patternFill>
    </fill>
    <fill>
      <patternFill patternType="solid">
        <fgColor rgb="FF0017AD"/>
        <bgColor indexed="64"/>
      </patternFill>
    </fill>
    <fill>
      <patternFill patternType="solid">
        <fgColor rgb="FF0017AE"/>
        <bgColor indexed="64"/>
      </patternFill>
    </fill>
    <fill>
      <patternFill patternType="solid">
        <fgColor rgb="FF0017AF"/>
        <bgColor indexed="64"/>
      </patternFill>
    </fill>
    <fill>
      <patternFill patternType="solid">
        <fgColor rgb="FF0017B0"/>
        <bgColor indexed="64"/>
      </patternFill>
    </fill>
    <fill>
      <patternFill patternType="solid">
        <fgColor rgb="FF0017B1"/>
        <bgColor indexed="64"/>
      </patternFill>
    </fill>
    <fill>
      <patternFill patternType="solid">
        <fgColor rgb="FF0017B2"/>
        <bgColor indexed="64"/>
      </patternFill>
    </fill>
    <fill>
      <patternFill patternType="solid">
        <fgColor rgb="FF0017B3"/>
        <bgColor indexed="64"/>
      </patternFill>
    </fill>
    <fill>
      <patternFill patternType="solid">
        <fgColor rgb="FF0017B4"/>
        <bgColor indexed="64"/>
      </patternFill>
    </fill>
    <fill>
      <patternFill patternType="solid">
        <fgColor rgb="FF0017B5"/>
        <bgColor indexed="64"/>
      </patternFill>
    </fill>
    <fill>
      <patternFill patternType="solid">
        <fgColor rgb="FF0017B6"/>
        <bgColor indexed="64"/>
      </patternFill>
    </fill>
    <fill>
      <patternFill patternType="solid">
        <fgColor rgb="FF0017B7"/>
        <bgColor indexed="64"/>
      </patternFill>
    </fill>
    <fill>
      <patternFill patternType="solid">
        <fgColor rgb="FF0017B8"/>
        <bgColor indexed="64"/>
      </patternFill>
    </fill>
    <fill>
      <patternFill patternType="solid">
        <fgColor rgb="FF0017B9"/>
        <bgColor indexed="64"/>
      </patternFill>
    </fill>
    <fill>
      <patternFill patternType="solid">
        <fgColor rgb="FF0017BA"/>
        <bgColor indexed="64"/>
      </patternFill>
    </fill>
    <fill>
      <patternFill patternType="solid">
        <fgColor rgb="FF0017BB"/>
        <bgColor indexed="64"/>
      </patternFill>
    </fill>
    <fill>
      <patternFill patternType="solid">
        <fgColor rgb="FF0017BC"/>
        <bgColor indexed="64"/>
      </patternFill>
    </fill>
    <fill>
      <patternFill patternType="solid">
        <fgColor rgb="FF0017BD"/>
        <bgColor indexed="64"/>
      </patternFill>
    </fill>
    <fill>
      <patternFill patternType="solid">
        <fgColor rgb="FF0017BE"/>
        <bgColor indexed="64"/>
      </patternFill>
    </fill>
    <fill>
      <patternFill patternType="solid">
        <fgColor rgb="FF0017BF"/>
        <bgColor indexed="64"/>
      </patternFill>
    </fill>
    <fill>
      <patternFill patternType="solid">
        <fgColor rgb="FF0017C0"/>
        <bgColor indexed="64"/>
      </patternFill>
    </fill>
    <fill>
      <patternFill patternType="solid">
        <fgColor rgb="FF0017C1"/>
        <bgColor indexed="64"/>
      </patternFill>
    </fill>
    <fill>
      <patternFill patternType="solid">
        <fgColor rgb="FF0017C2"/>
        <bgColor indexed="64"/>
      </patternFill>
    </fill>
    <fill>
      <patternFill patternType="solid">
        <fgColor rgb="FF0017C3"/>
        <bgColor indexed="64"/>
      </patternFill>
    </fill>
    <fill>
      <patternFill patternType="solid">
        <fgColor rgb="FF0017C4"/>
        <bgColor indexed="64"/>
      </patternFill>
    </fill>
    <fill>
      <patternFill patternType="solid">
        <fgColor rgb="FF0017C5"/>
        <bgColor indexed="64"/>
      </patternFill>
    </fill>
    <fill>
      <patternFill patternType="solid">
        <fgColor rgb="FF0017C6"/>
        <bgColor indexed="64"/>
      </patternFill>
    </fill>
    <fill>
      <patternFill patternType="solid">
        <fgColor rgb="FF0017C7"/>
        <bgColor indexed="64"/>
      </patternFill>
    </fill>
    <fill>
      <patternFill patternType="solid">
        <fgColor rgb="FF0017C8"/>
        <bgColor indexed="64"/>
      </patternFill>
    </fill>
    <fill>
      <patternFill patternType="solid">
        <fgColor rgb="FF0017C9"/>
        <bgColor indexed="64"/>
      </patternFill>
    </fill>
    <fill>
      <patternFill patternType="solid">
        <fgColor rgb="FF0017CA"/>
        <bgColor indexed="64"/>
      </patternFill>
    </fill>
    <fill>
      <patternFill patternType="solid">
        <fgColor rgb="FF0017CB"/>
        <bgColor indexed="64"/>
      </patternFill>
    </fill>
    <fill>
      <patternFill patternType="solid">
        <fgColor rgb="FF0017CC"/>
        <bgColor indexed="64"/>
      </patternFill>
    </fill>
    <fill>
      <patternFill patternType="solid">
        <fgColor rgb="FF0017CD"/>
        <bgColor indexed="64"/>
      </patternFill>
    </fill>
    <fill>
      <patternFill patternType="solid">
        <fgColor rgb="FF0017CE"/>
        <bgColor indexed="64"/>
      </patternFill>
    </fill>
    <fill>
      <patternFill patternType="solid">
        <fgColor rgb="FF0017CF"/>
        <bgColor indexed="64"/>
      </patternFill>
    </fill>
    <fill>
      <patternFill patternType="solid">
        <fgColor rgb="FF0017D0"/>
        <bgColor indexed="64"/>
      </patternFill>
    </fill>
    <fill>
      <patternFill patternType="solid">
        <fgColor rgb="FF0017D1"/>
        <bgColor indexed="64"/>
      </patternFill>
    </fill>
    <fill>
      <patternFill patternType="solid">
        <fgColor rgb="FF0017D2"/>
        <bgColor indexed="64"/>
      </patternFill>
    </fill>
    <fill>
      <patternFill patternType="solid">
        <fgColor rgb="FF0017D3"/>
        <bgColor indexed="64"/>
      </patternFill>
    </fill>
    <fill>
      <patternFill patternType="solid">
        <fgColor rgb="FF0017D4"/>
        <bgColor indexed="64"/>
      </patternFill>
    </fill>
    <fill>
      <patternFill patternType="solid">
        <fgColor rgb="FF0017D5"/>
        <bgColor indexed="64"/>
      </patternFill>
    </fill>
    <fill>
      <patternFill patternType="solid">
        <fgColor rgb="FF0017D6"/>
        <bgColor indexed="64"/>
      </patternFill>
    </fill>
    <fill>
      <patternFill patternType="solid">
        <fgColor rgb="FF0017D7"/>
        <bgColor indexed="64"/>
      </patternFill>
    </fill>
    <fill>
      <patternFill patternType="solid">
        <fgColor rgb="FF0017D8"/>
        <bgColor indexed="64"/>
      </patternFill>
    </fill>
    <fill>
      <patternFill patternType="solid">
        <fgColor rgb="FF0017D9"/>
        <bgColor indexed="64"/>
      </patternFill>
    </fill>
    <fill>
      <patternFill patternType="solid">
        <fgColor rgb="FF0017DA"/>
        <bgColor indexed="64"/>
      </patternFill>
    </fill>
    <fill>
      <patternFill patternType="solid">
        <fgColor rgb="FF0017DB"/>
        <bgColor indexed="64"/>
      </patternFill>
    </fill>
    <fill>
      <patternFill patternType="solid">
        <fgColor rgb="FF0017DC"/>
        <bgColor indexed="64"/>
      </patternFill>
    </fill>
    <fill>
      <patternFill patternType="solid">
        <fgColor rgb="FF0017DD"/>
        <bgColor indexed="64"/>
      </patternFill>
    </fill>
    <fill>
      <patternFill patternType="solid">
        <fgColor rgb="FF0017DE"/>
        <bgColor indexed="64"/>
      </patternFill>
    </fill>
    <fill>
      <patternFill patternType="solid">
        <fgColor rgb="FF0017DF"/>
        <bgColor indexed="64"/>
      </patternFill>
    </fill>
    <fill>
      <patternFill patternType="solid">
        <fgColor rgb="FF0017E0"/>
        <bgColor indexed="64"/>
      </patternFill>
    </fill>
    <fill>
      <patternFill patternType="solid">
        <fgColor rgb="FF0017E1"/>
        <bgColor indexed="64"/>
      </patternFill>
    </fill>
    <fill>
      <patternFill patternType="solid">
        <fgColor rgb="FF0017E2"/>
        <bgColor indexed="64"/>
      </patternFill>
    </fill>
    <fill>
      <patternFill patternType="solid">
        <fgColor rgb="FF0017E3"/>
        <bgColor indexed="64"/>
      </patternFill>
    </fill>
    <fill>
      <patternFill patternType="solid">
        <fgColor rgb="FF0017E4"/>
        <bgColor indexed="64"/>
      </patternFill>
    </fill>
    <fill>
      <patternFill patternType="solid">
        <fgColor rgb="FF0017E5"/>
        <bgColor indexed="64"/>
      </patternFill>
    </fill>
    <fill>
      <patternFill patternType="solid">
        <fgColor rgb="FF0017E6"/>
        <bgColor indexed="64"/>
      </patternFill>
    </fill>
    <fill>
      <patternFill patternType="solid">
        <fgColor rgb="FF0017E7"/>
        <bgColor indexed="64"/>
      </patternFill>
    </fill>
    <fill>
      <patternFill patternType="solid">
        <fgColor rgb="FF0017E8"/>
        <bgColor indexed="64"/>
      </patternFill>
    </fill>
    <fill>
      <patternFill patternType="solid">
        <fgColor rgb="FF0017E9"/>
        <bgColor indexed="64"/>
      </patternFill>
    </fill>
    <fill>
      <patternFill patternType="solid">
        <fgColor rgb="FF0017EA"/>
        <bgColor indexed="64"/>
      </patternFill>
    </fill>
    <fill>
      <patternFill patternType="solid">
        <fgColor rgb="FF0017EB"/>
        <bgColor indexed="64"/>
      </patternFill>
    </fill>
    <fill>
      <patternFill patternType="solid">
        <fgColor rgb="FF0017EC"/>
        <bgColor indexed="64"/>
      </patternFill>
    </fill>
    <fill>
      <patternFill patternType="solid">
        <fgColor rgb="FF0017ED"/>
        <bgColor indexed="64"/>
      </patternFill>
    </fill>
    <fill>
      <patternFill patternType="solid">
        <fgColor rgb="FF0017EE"/>
        <bgColor indexed="64"/>
      </patternFill>
    </fill>
    <fill>
      <patternFill patternType="solid">
        <fgColor rgb="FF0017EF"/>
        <bgColor indexed="64"/>
      </patternFill>
    </fill>
    <fill>
      <patternFill patternType="solid">
        <fgColor rgb="FF0017F0"/>
        <bgColor indexed="64"/>
      </patternFill>
    </fill>
    <fill>
      <patternFill patternType="solid">
        <fgColor rgb="FF0017F1"/>
        <bgColor indexed="64"/>
      </patternFill>
    </fill>
    <fill>
      <patternFill patternType="solid">
        <fgColor rgb="FF0017F2"/>
        <bgColor indexed="64"/>
      </patternFill>
    </fill>
    <fill>
      <patternFill patternType="solid">
        <fgColor rgb="FF0017F3"/>
        <bgColor indexed="64"/>
      </patternFill>
    </fill>
    <fill>
      <patternFill patternType="solid">
        <fgColor rgb="FF0017F4"/>
        <bgColor indexed="64"/>
      </patternFill>
    </fill>
    <fill>
      <patternFill patternType="solid">
        <fgColor rgb="FF0017F5"/>
        <bgColor indexed="64"/>
      </patternFill>
    </fill>
    <fill>
      <patternFill patternType="solid">
        <fgColor rgb="FF0017F6"/>
        <bgColor indexed="64"/>
      </patternFill>
    </fill>
    <fill>
      <patternFill patternType="solid">
        <fgColor rgb="FF0017F7"/>
        <bgColor indexed="64"/>
      </patternFill>
    </fill>
    <fill>
      <patternFill patternType="solid">
        <fgColor rgb="FF0017F8"/>
        <bgColor indexed="64"/>
      </patternFill>
    </fill>
    <fill>
      <patternFill patternType="solid">
        <fgColor rgb="FF0017F9"/>
        <bgColor indexed="64"/>
      </patternFill>
    </fill>
    <fill>
      <patternFill patternType="solid">
        <fgColor rgb="FF0017FA"/>
        <bgColor indexed="64"/>
      </patternFill>
    </fill>
    <fill>
      <patternFill patternType="solid">
        <fgColor rgb="FF0017FB"/>
        <bgColor indexed="64"/>
      </patternFill>
    </fill>
    <fill>
      <patternFill patternType="solid">
        <fgColor rgb="FF0017FC"/>
        <bgColor indexed="64"/>
      </patternFill>
    </fill>
    <fill>
      <patternFill patternType="solid">
        <fgColor rgb="FF0017FD"/>
        <bgColor indexed="64"/>
      </patternFill>
    </fill>
    <fill>
      <patternFill patternType="solid">
        <fgColor rgb="FF0017FE"/>
        <bgColor indexed="64"/>
      </patternFill>
    </fill>
    <fill>
      <patternFill patternType="solid">
        <fgColor rgb="FF0017FF"/>
        <bgColor indexed="64"/>
      </patternFill>
    </fill>
    <fill>
      <patternFill patternType="solid">
        <fgColor rgb="FF001800"/>
        <bgColor indexed="64"/>
      </patternFill>
    </fill>
    <fill>
      <patternFill patternType="solid">
        <fgColor rgb="FF001801"/>
        <bgColor indexed="64"/>
      </patternFill>
    </fill>
    <fill>
      <patternFill patternType="solid">
        <fgColor rgb="FF001802"/>
        <bgColor indexed="64"/>
      </patternFill>
    </fill>
    <fill>
      <patternFill patternType="solid">
        <fgColor rgb="FF001803"/>
        <bgColor indexed="64"/>
      </patternFill>
    </fill>
    <fill>
      <patternFill patternType="solid">
        <fgColor rgb="FF001804"/>
        <bgColor indexed="64"/>
      </patternFill>
    </fill>
    <fill>
      <patternFill patternType="solid">
        <fgColor rgb="FF001805"/>
        <bgColor indexed="64"/>
      </patternFill>
    </fill>
    <fill>
      <patternFill patternType="solid">
        <fgColor rgb="FF001806"/>
        <bgColor indexed="64"/>
      </patternFill>
    </fill>
    <fill>
      <patternFill patternType="solid">
        <fgColor rgb="FF001807"/>
        <bgColor indexed="64"/>
      </patternFill>
    </fill>
    <fill>
      <patternFill patternType="solid">
        <fgColor rgb="FF001808"/>
        <bgColor indexed="64"/>
      </patternFill>
    </fill>
    <fill>
      <patternFill patternType="solid">
        <fgColor rgb="FF001809"/>
        <bgColor indexed="64"/>
      </patternFill>
    </fill>
    <fill>
      <patternFill patternType="solid">
        <fgColor rgb="FF00180A"/>
        <bgColor indexed="64"/>
      </patternFill>
    </fill>
    <fill>
      <patternFill patternType="solid">
        <fgColor rgb="FF00180B"/>
        <bgColor indexed="64"/>
      </patternFill>
    </fill>
    <fill>
      <patternFill patternType="solid">
        <fgColor rgb="FF00180C"/>
        <bgColor indexed="64"/>
      </patternFill>
    </fill>
    <fill>
      <patternFill patternType="solid">
        <fgColor rgb="FF00180D"/>
        <bgColor indexed="64"/>
      </patternFill>
    </fill>
    <fill>
      <patternFill patternType="solid">
        <fgColor rgb="FF00180E"/>
        <bgColor indexed="64"/>
      </patternFill>
    </fill>
    <fill>
      <patternFill patternType="solid">
        <fgColor rgb="FF00180F"/>
        <bgColor indexed="64"/>
      </patternFill>
    </fill>
    <fill>
      <patternFill patternType="solid">
        <fgColor rgb="FF001810"/>
        <bgColor indexed="64"/>
      </patternFill>
    </fill>
    <fill>
      <patternFill patternType="solid">
        <fgColor rgb="FF001811"/>
        <bgColor indexed="64"/>
      </patternFill>
    </fill>
    <fill>
      <patternFill patternType="solid">
        <fgColor rgb="FF001812"/>
        <bgColor indexed="64"/>
      </patternFill>
    </fill>
    <fill>
      <patternFill patternType="solid">
        <fgColor rgb="FF001813"/>
        <bgColor indexed="64"/>
      </patternFill>
    </fill>
    <fill>
      <patternFill patternType="solid">
        <fgColor rgb="FF001814"/>
        <bgColor indexed="64"/>
      </patternFill>
    </fill>
    <fill>
      <patternFill patternType="solid">
        <fgColor rgb="FF001815"/>
        <bgColor indexed="64"/>
      </patternFill>
    </fill>
    <fill>
      <patternFill patternType="solid">
        <fgColor rgb="FF001816"/>
        <bgColor indexed="64"/>
      </patternFill>
    </fill>
    <fill>
      <patternFill patternType="solid">
        <fgColor rgb="FF001817"/>
        <bgColor indexed="64"/>
      </patternFill>
    </fill>
    <fill>
      <patternFill patternType="solid">
        <fgColor rgb="FF001818"/>
        <bgColor indexed="64"/>
      </patternFill>
    </fill>
    <fill>
      <patternFill patternType="solid">
        <fgColor rgb="FF001819"/>
        <bgColor indexed="64"/>
      </patternFill>
    </fill>
    <fill>
      <patternFill patternType="solid">
        <fgColor rgb="FF00181A"/>
        <bgColor indexed="64"/>
      </patternFill>
    </fill>
    <fill>
      <patternFill patternType="solid">
        <fgColor rgb="FF00181B"/>
        <bgColor indexed="64"/>
      </patternFill>
    </fill>
    <fill>
      <patternFill patternType="solid">
        <fgColor rgb="FF00181C"/>
        <bgColor indexed="64"/>
      </patternFill>
    </fill>
    <fill>
      <patternFill patternType="solid">
        <fgColor rgb="FF00181D"/>
        <bgColor indexed="64"/>
      </patternFill>
    </fill>
    <fill>
      <patternFill patternType="solid">
        <fgColor rgb="FF00181E"/>
        <bgColor indexed="64"/>
      </patternFill>
    </fill>
    <fill>
      <patternFill patternType="solid">
        <fgColor rgb="FF00181F"/>
        <bgColor indexed="64"/>
      </patternFill>
    </fill>
    <fill>
      <patternFill patternType="solid">
        <fgColor rgb="FF001820"/>
        <bgColor indexed="64"/>
      </patternFill>
    </fill>
    <fill>
      <patternFill patternType="solid">
        <fgColor rgb="FF001821"/>
        <bgColor indexed="64"/>
      </patternFill>
    </fill>
    <fill>
      <patternFill patternType="solid">
        <fgColor rgb="FF001822"/>
        <bgColor indexed="64"/>
      </patternFill>
    </fill>
    <fill>
      <patternFill patternType="solid">
        <fgColor rgb="FF001823"/>
        <bgColor indexed="64"/>
      </patternFill>
    </fill>
    <fill>
      <patternFill patternType="solid">
        <fgColor rgb="FF001824"/>
        <bgColor indexed="64"/>
      </patternFill>
    </fill>
    <fill>
      <patternFill patternType="solid">
        <fgColor rgb="FF001825"/>
        <bgColor indexed="64"/>
      </patternFill>
    </fill>
    <fill>
      <patternFill patternType="solid">
        <fgColor rgb="FF001826"/>
        <bgColor indexed="64"/>
      </patternFill>
    </fill>
    <fill>
      <patternFill patternType="solid">
        <fgColor rgb="FF001827"/>
        <bgColor indexed="64"/>
      </patternFill>
    </fill>
    <fill>
      <patternFill patternType="solid">
        <fgColor rgb="FF001828"/>
        <bgColor indexed="64"/>
      </patternFill>
    </fill>
    <fill>
      <patternFill patternType="solid">
        <fgColor rgb="FF001829"/>
        <bgColor indexed="64"/>
      </patternFill>
    </fill>
    <fill>
      <patternFill patternType="solid">
        <fgColor rgb="FF00182A"/>
        <bgColor indexed="64"/>
      </patternFill>
    </fill>
    <fill>
      <patternFill patternType="solid">
        <fgColor rgb="FF00182B"/>
        <bgColor indexed="64"/>
      </patternFill>
    </fill>
    <fill>
      <patternFill patternType="solid">
        <fgColor rgb="FF00182C"/>
        <bgColor indexed="64"/>
      </patternFill>
    </fill>
    <fill>
      <patternFill patternType="solid">
        <fgColor rgb="FF00182D"/>
        <bgColor indexed="64"/>
      </patternFill>
    </fill>
    <fill>
      <patternFill patternType="solid">
        <fgColor rgb="FF00182E"/>
        <bgColor indexed="64"/>
      </patternFill>
    </fill>
    <fill>
      <patternFill patternType="solid">
        <fgColor rgb="FF00182F"/>
        <bgColor indexed="64"/>
      </patternFill>
    </fill>
    <fill>
      <patternFill patternType="solid">
        <fgColor rgb="FF001830"/>
        <bgColor indexed="64"/>
      </patternFill>
    </fill>
    <fill>
      <patternFill patternType="solid">
        <fgColor rgb="FF001831"/>
        <bgColor indexed="64"/>
      </patternFill>
    </fill>
    <fill>
      <patternFill patternType="solid">
        <fgColor rgb="FF001832"/>
        <bgColor indexed="64"/>
      </patternFill>
    </fill>
    <fill>
      <patternFill patternType="solid">
        <fgColor rgb="FF001833"/>
        <bgColor indexed="64"/>
      </patternFill>
    </fill>
    <fill>
      <patternFill patternType="solid">
        <fgColor rgb="FF001834"/>
        <bgColor indexed="64"/>
      </patternFill>
    </fill>
    <fill>
      <patternFill patternType="solid">
        <fgColor rgb="FF001835"/>
        <bgColor indexed="64"/>
      </patternFill>
    </fill>
    <fill>
      <patternFill patternType="solid">
        <fgColor rgb="FF001836"/>
        <bgColor indexed="64"/>
      </patternFill>
    </fill>
    <fill>
      <patternFill patternType="solid">
        <fgColor rgb="FF001837"/>
        <bgColor indexed="64"/>
      </patternFill>
    </fill>
    <fill>
      <patternFill patternType="solid">
        <fgColor rgb="FF001838"/>
        <bgColor indexed="64"/>
      </patternFill>
    </fill>
    <fill>
      <patternFill patternType="solid">
        <fgColor rgb="FF001839"/>
        <bgColor indexed="64"/>
      </patternFill>
    </fill>
    <fill>
      <patternFill patternType="solid">
        <fgColor rgb="FF00183A"/>
        <bgColor indexed="64"/>
      </patternFill>
    </fill>
    <fill>
      <patternFill patternType="solid">
        <fgColor rgb="FF00183B"/>
        <bgColor indexed="64"/>
      </patternFill>
    </fill>
    <fill>
      <patternFill patternType="solid">
        <fgColor rgb="FF00183C"/>
        <bgColor indexed="64"/>
      </patternFill>
    </fill>
    <fill>
      <patternFill patternType="solid">
        <fgColor rgb="FF00183D"/>
        <bgColor indexed="64"/>
      </patternFill>
    </fill>
    <fill>
      <patternFill patternType="solid">
        <fgColor rgb="FF00183E"/>
        <bgColor indexed="64"/>
      </patternFill>
    </fill>
    <fill>
      <patternFill patternType="solid">
        <fgColor rgb="FF00183F"/>
        <bgColor indexed="64"/>
      </patternFill>
    </fill>
    <fill>
      <patternFill patternType="solid">
        <fgColor rgb="FF001840"/>
        <bgColor indexed="64"/>
      </patternFill>
    </fill>
    <fill>
      <patternFill patternType="solid">
        <fgColor rgb="FF001841"/>
        <bgColor indexed="64"/>
      </patternFill>
    </fill>
    <fill>
      <patternFill patternType="solid">
        <fgColor rgb="FF001842"/>
        <bgColor indexed="64"/>
      </patternFill>
    </fill>
    <fill>
      <patternFill patternType="solid">
        <fgColor rgb="FF001843"/>
        <bgColor indexed="64"/>
      </patternFill>
    </fill>
    <fill>
      <patternFill patternType="solid">
        <fgColor rgb="FF001844"/>
        <bgColor indexed="64"/>
      </patternFill>
    </fill>
    <fill>
      <patternFill patternType="solid">
        <fgColor rgb="FF001845"/>
        <bgColor indexed="64"/>
      </patternFill>
    </fill>
    <fill>
      <patternFill patternType="solid">
        <fgColor rgb="FF001846"/>
        <bgColor indexed="64"/>
      </patternFill>
    </fill>
    <fill>
      <patternFill patternType="solid">
        <fgColor rgb="FF001847"/>
        <bgColor indexed="64"/>
      </patternFill>
    </fill>
    <fill>
      <patternFill patternType="solid">
        <fgColor rgb="FF001848"/>
        <bgColor indexed="64"/>
      </patternFill>
    </fill>
    <fill>
      <patternFill patternType="solid">
        <fgColor rgb="FF001849"/>
        <bgColor indexed="64"/>
      </patternFill>
    </fill>
    <fill>
      <patternFill patternType="solid">
        <fgColor rgb="FF00184A"/>
        <bgColor indexed="64"/>
      </patternFill>
    </fill>
    <fill>
      <patternFill patternType="solid">
        <fgColor rgb="FF00184B"/>
        <bgColor indexed="64"/>
      </patternFill>
    </fill>
    <fill>
      <patternFill patternType="solid">
        <fgColor rgb="FF00184C"/>
        <bgColor indexed="64"/>
      </patternFill>
    </fill>
    <fill>
      <patternFill patternType="solid">
        <fgColor rgb="FF00184D"/>
        <bgColor indexed="64"/>
      </patternFill>
    </fill>
    <fill>
      <patternFill patternType="solid">
        <fgColor rgb="FF00184E"/>
        <bgColor indexed="64"/>
      </patternFill>
    </fill>
    <fill>
      <patternFill patternType="solid">
        <fgColor rgb="FF00184F"/>
        <bgColor indexed="64"/>
      </patternFill>
    </fill>
    <fill>
      <patternFill patternType="solid">
        <fgColor rgb="FF001850"/>
        <bgColor indexed="64"/>
      </patternFill>
    </fill>
    <fill>
      <patternFill patternType="solid">
        <fgColor rgb="FF001851"/>
        <bgColor indexed="64"/>
      </patternFill>
    </fill>
    <fill>
      <patternFill patternType="solid">
        <fgColor rgb="FF001852"/>
        <bgColor indexed="64"/>
      </patternFill>
    </fill>
    <fill>
      <patternFill patternType="solid">
        <fgColor rgb="FF001853"/>
        <bgColor indexed="64"/>
      </patternFill>
    </fill>
    <fill>
      <patternFill patternType="solid">
        <fgColor rgb="FF001854"/>
        <bgColor indexed="64"/>
      </patternFill>
    </fill>
    <fill>
      <patternFill patternType="solid">
        <fgColor rgb="FF001855"/>
        <bgColor indexed="64"/>
      </patternFill>
    </fill>
    <fill>
      <patternFill patternType="solid">
        <fgColor rgb="FF001856"/>
        <bgColor indexed="64"/>
      </patternFill>
    </fill>
    <fill>
      <patternFill patternType="solid">
        <fgColor rgb="FF001857"/>
        <bgColor indexed="64"/>
      </patternFill>
    </fill>
    <fill>
      <patternFill patternType="solid">
        <fgColor rgb="FF001858"/>
        <bgColor indexed="64"/>
      </patternFill>
    </fill>
    <fill>
      <patternFill patternType="solid">
        <fgColor rgb="FF001859"/>
        <bgColor indexed="64"/>
      </patternFill>
    </fill>
    <fill>
      <patternFill patternType="solid">
        <fgColor rgb="FF00185A"/>
        <bgColor indexed="64"/>
      </patternFill>
    </fill>
    <fill>
      <patternFill patternType="solid">
        <fgColor rgb="FF00185B"/>
        <bgColor indexed="64"/>
      </patternFill>
    </fill>
    <fill>
      <patternFill patternType="solid">
        <fgColor rgb="FF00185C"/>
        <bgColor indexed="64"/>
      </patternFill>
    </fill>
    <fill>
      <patternFill patternType="solid">
        <fgColor rgb="FF00185D"/>
        <bgColor indexed="64"/>
      </patternFill>
    </fill>
    <fill>
      <patternFill patternType="solid">
        <fgColor rgb="FF00185E"/>
        <bgColor indexed="64"/>
      </patternFill>
    </fill>
    <fill>
      <patternFill patternType="solid">
        <fgColor rgb="FF00185F"/>
        <bgColor indexed="64"/>
      </patternFill>
    </fill>
    <fill>
      <patternFill patternType="solid">
        <fgColor rgb="FF001860"/>
        <bgColor indexed="64"/>
      </patternFill>
    </fill>
    <fill>
      <patternFill patternType="solid">
        <fgColor rgb="FF001861"/>
        <bgColor indexed="64"/>
      </patternFill>
    </fill>
    <fill>
      <patternFill patternType="solid">
        <fgColor rgb="FF001862"/>
        <bgColor indexed="64"/>
      </patternFill>
    </fill>
    <fill>
      <patternFill patternType="solid">
        <fgColor rgb="FF001863"/>
        <bgColor indexed="64"/>
      </patternFill>
    </fill>
    <fill>
      <patternFill patternType="solid">
        <fgColor rgb="FF001864"/>
        <bgColor indexed="64"/>
      </patternFill>
    </fill>
    <fill>
      <patternFill patternType="solid">
        <fgColor rgb="FF001865"/>
        <bgColor indexed="64"/>
      </patternFill>
    </fill>
    <fill>
      <patternFill patternType="solid">
        <fgColor rgb="FF001866"/>
        <bgColor indexed="64"/>
      </patternFill>
    </fill>
    <fill>
      <patternFill patternType="solid">
        <fgColor rgb="FF001867"/>
        <bgColor indexed="64"/>
      </patternFill>
    </fill>
    <fill>
      <patternFill patternType="solid">
        <fgColor rgb="FF001868"/>
        <bgColor indexed="64"/>
      </patternFill>
    </fill>
    <fill>
      <patternFill patternType="solid">
        <fgColor rgb="FF001869"/>
        <bgColor indexed="64"/>
      </patternFill>
    </fill>
    <fill>
      <patternFill patternType="solid">
        <fgColor rgb="FF00186A"/>
        <bgColor indexed="64"/>
      </patternFill>
    </fill>
    <fill>
      <patternFill patternType="solid">
        <fgColor rgb="FF00186B"/>
        <bgColor indexed="64"/>
      </patternFill>
    </fill>
    <fill>
      <patternFill patternType="solid">
        <fgColor rgb="FF00186C"/>
        <bgColor indexed="64"/>
      </patternFill>
    </fill>
    <fill>
      <patternFill patternType="solid">
        <fgColor rgb="FF00186D"/>
        <bgColor indexed="64"/>
      </patternFill>
    </fill>
    <fill>
      <patternFill patternType="solid">
        <fgColor rgb="FF00186E"/>
        <bgColor indexed="64"/>
      </patternFill>
    </fill>
    <fill>
      <patternFill patternType="solid">
        <fgColor rgb="FF00186F"/>
        <bgColor indexed="64"/>
      </patternFill>
    </fill>
    <fill>
      <patternFill patternType="solid">
        <fgColor rgb="FF001870"/>
        <bgColor indexed="64"/>
      </patternFill>
    </fill>
    <fill>
      <patternFill patternType="solid">
        <fgColor rgb="FF001871"/>
        <bgColor indexed="64"/>
      </patternFill>
    </fill>
    <fill>
      <patternFill patternType="solid">
        <fgColor rgb="FF001872"/>
        <bgColor indexed="64"/>
      </patternFill>
    </fill>
    <fill>
      <patternFill patternType="solid">
        <fgColor rgb="FF001873"/>
        <bgColor indexed="64"/>
      </patternFill>
    </fill>
    <fill>
      <patternFill patternType="solid">
        <fgColor rgb="FF001874"/>
        <bgColor indexed="64"/>
      </patternFill>
    </fill>
    <fill>
      <patternFill patternType="solid">
        <fgColor rgb="FF001875"/>
        <bgColor indexed="64"/>
      </patternFill>
    </fill>
    <fill>
      <patternFill patternType="solid">
        <fgColor rgb="FF001876"/>
        <bgColor indexed="64"/>
      </patternFill>
    </fill>
    <fill>
      <patternFill patternType="solid">
        <fgColor rgb="FF001877"/>
        <bgColor indexed="64"/>
      </patternFill>
    </fill>
    <fill>
      <patternFill patternType="solid">
        <fgColor rgb="FF001878"/>
        <bgColor indexed="64"/>
      </patternFill>
    </fill>
    <fill>
      <patternFill patternType="solid">
        <fgColor rgb="FF001879"/>
        <bgColor indexed="64"/>
      </patternFill>
    </fill>
    <fill>
      <patternFill patternType="solid">
        <fgColor rgb="FF00187A"/>
        <bgColor indexed="64"/>
      </patternFill>
    </fill>
    <fill>
      <patternFill patternType="solid">
        <fgColor rgb="FF00187B"/>
        <bgColor indexed="64"/>
      </patternFill>
    </fill>
    <fill>
      <patternFill patternType="solid">
        <fgColor rgb="FF00187C"/>
        <bgColor indexed="64"/>
      </patternFill>
    </fill>
    <fill>
      <patternFill patternType="solid">
        <fgColor rgb="FF00187D"/>
        <bgColor indexed="64"/>
      </patternFill>
    </fill>
    <fill>
      <patternFill patternType="solid">
        <fgColor rgb="FF00187E"/>
        <bgColor indexed="64"/>
      </patternFill>
    </fill>
    <fill>
      <patternFill patternType="solid">
        <fgColor rgb="FF00187F"/>
        <bgColor indexed="64"/>
      </patternFill>
    </fill>
    <fill>
      <patternFill patternType="solid">
        <fgColor rgb="FF001880"/>
        <bgColor indexed="64"/>
      </patternFill>
    </fill>
    <fill>
      <patternFill patternType="solid">
        <fgColor rgb="FF001881"/>
        <bgColor indexed="64"/>
      </patternFill>
    </fill>
    <fill>
      <patternFill patternType="solid">
        <fgColor rgb="FF001882"/>
        <bgColor indexed="64"/>
      </patternFill>
    </fill>
    <fill>
      <patternFill patternType="solid">
        <fgColor rgb="FF001883"/>
        <bgColor indexed="64"/>
      </patternFill>
    </fill>
    <fill>
      <patternFill patternType="solid">
        <fgColor rgb="FF001884"/>
        <bgColor indexed="64"/>
      </patternFill>
    </fill>
    <fill>
      <patternFill patternType="solid">
        <fgColor rgb="FF001885"/>
        <bgColor indexed="64"/>
      </patternFill>
    </fill>
    <fill>
      <patternFill patternType="solid">
        <fgColor rgb="FF001886"/>
        <bgColor indexed="64"/>
      </patternFill>
    </fill>
    <fill>
      <patternFill patternType="solid">
        <fgColor rgb="FF001887"/>
        <bgColor indexed="64"/>
      </patternFill>
    </fill>
    <fill>
      <patternFill patternType="solid">
        <fgColor rgb="FF001888"/>
        <bgColor indexed="64"/>
      </patternFill>
    </fill>
    <fill>
      <patternFill patternType="solid">
        <fgColor rgb="FF001889"/>
        <bgColor indexed="64"/>
      </patternFill>
    </fill>
    <fill>
      <patternFill patternType="solid">
        <fgColor rgb="FF00188A"/>
        <bgColor indexed="64"/>
      </patternFill>
    </fill>
    <fill>
      <patternFill patternType="solid">
        <fgColor rgb="FF00188B"/>
        <bgColor indexed="64"/>
      </patternFill>
    </fill>
    <fill>
      <patternFill patternType="solid">
        <fgColor rgb="FF00188C"/>
        <bgColor indexed="64"/>
      </patternFill>
    </fill>
    <fill>
      <patternFill patternType="solid">
        <fgColor rgb="FF00188D"/>
        <bgColor indexed="64"/>
      </patternFill>
    </fill>
    <fill>
      <patternFill patternType="solid">
        <fgColor rgb="FF00188E"/>
        <bgColor indexed="64"/>
      </patternFill>
    </fill>
    <fill>
      <patternFill patternType="solid">
        <fgColor rgb="FF00188F"/>
        <bgColor indexed="64"/>
      </patternFill>
    </fill>
    <fill>
      <patternFill patternType="solid">
        <fgColor rgb="FF001890"/>
        <bgColor indexed="64"/>
      </patternFill>
    </fill>
    <fill>
      <patternFill patternType="solid">
        <fgColor rgb="FF001891"/>
        <bgColor indexed="64"/>
      </patternFill>
    </fill>
    <fill>
      <patternFill patternType="solid">
        <fgColor rgb="FF001892"/>
        <bgColor indexed="64"/>
      </patternFill>
    </fill>
    <fill>
      <patternFill patternType="solid">
        <fgColor rgb="FF001893"/>
        <bgColor indexed="64"/>
      </patternFill>
    </fill>
    <fill>
      <patternFill patternType="solid">
        <fgColor rgb="FF001894"/>
        <bgColor indexed="64"/>
      </patternFill>
    </fill>
    <fill>
      <patternFill patternType="solid">
        <fgColor rgb="FF001895"/>
        <bgColor indexed="64"/>
      </patternFill>
    </fill>
    <fill>
      <patternFill patternType="solid">
        <fgColor rgb="FF001896"/>
        <bgColor indexed="64"/>
      </patternFill>
    </fill>
    <fill>
      <patternFill patternType="solid">
        <fgColor rgb="FF001897"/>
        <bgColor indexed="64"/>
      </patternFill>
    </fill>
    <fill>
      <patternFill patternType="solid">
        <fgColor rgb="FF001898"/>
        <bgColor indexed="64"/>
      </patternFill>
    </fill>
    <fill>
      <patternFill patternType="solid">
        <fgColor rgb="FF001899"/>
        <bgColor indexed="64"/>
      </patternFill>
    </fill>
    <fill>
      <patternFill patternType="solid">
        <fgColor rgb="FF00189A"/>
        <bgColor indexed="64"/>
      </patternFill>
    </fill>
    <fill>
      <patternFill patternType="solid">
        <fgColor rgb="FF00189B"/>
        <bgColor indexed="64"/>
      </patternFill>
    </fill>
    <fill>
      <patternFill patternType="solid">
        <fgColor rgb="FF00189C"/>
        <bgColor indexed="64"/>
      </patternFill>
    </fill>
    <fill>
      <patternFill patternType="solid">
        <fgColor rgb="FF00189D"/>
        <bgColor indexed="64"/>
      </patternFill>
    </fill>
    <fill>
      <patternFill patternType="solid">
        <fgColor rgb="FF00189E"/>
        <bgColor indexed="64"/>
      </patternFill>
    </fill>
    <fill>
      <patternFill patternType="solid">
        <fgColor rgb="FF00189F"/>
        <bgColor indexed="64"/>
      </patternFill>
    </fill>
    <fill>
      <patternFill patternType="solid">
        <fgColor rgb="FF0018A0"/>
        <bgColor indexed="64"/>
      </patternFill>
    </fill>
    <fill>
      <patternFill patternType="solid">
        <fgColor rgb="FF0018A1"/>
        <bgColor indexed="64"/>
      </patternFill>
    </fill>
    <fill>
      <patternFill patternType="solid">
        <fgColor rgb="FF0018A2"/>
        <bgColor indexed="64"/>
      </patternFill>
    </fill>
    <fill>
      <patternFill patternType="solid">
        <fgColor rgb="FF0018A3"/>
        <bgColor indexed="64"/>
      </patternFill>
    </fill>
    <fill>
      <patternFill patternType="solid">
        <fgColor rgb="FF0018A4"/>
        <bgColor indexed="64"/>
      </patternFill>
    </fill>
    <fill>
      <patternFill patternType="solid">
        <fgColor rgb="FF0018A5"/>
        <bgColor indexed="64"/>
      </patternFill>
    </fill>
    <fill>
      <patternFill patternType="solid">
        <fgColor rgb="FF0018A6"/>
        <bgColor indexed="64"/>
      </patternFill>
    </fill>
    <fill>
      <patternFill patternType="solid">
        <fgColor rgb="FF0018A7"/>
        <bgColor indexed="64"/>
      </patternFill>
    </fill>
    <fill>
      <patternFill patternType="solid">
        <fgColor rgb="FF0018A8"/>
        <bgColor indexed="64"/>
      </patternFill>
    </fill>
    <fill>
      <patternFill patternType="solid">
        <fgColor rgb="FF0018A9"/>
        <bgColor indexed="64"/>
      </patternFill>
    </fill>
    <fill>
      <patternFill patternType="solid">
        <fgColor rgb="FF0018AA"/>
        <bgColor indexed="64"/>
      </patternFill>
    </fill>
    <fill>
      <patternFill patternType="solid">
        <fgColor rgb="FF0018AB"/>
        <bgColor indexed="64"/>
      </patternFill>
    </fill>
    <fill>
      <patternFill patternType="solid">
        <fgColor rgb="FF0018AC"/>
        <bgColor indexed="64"/>
      </patternFill>
    </fill>
    <fill>
      <patternFill patternType="solid">
        <fgColor rgb="FF0018AD"/>
        <bgColor indexed="64"/>
      </patternFill>
    </fill>
    <fill>
      <patternFill patternType="solid">
        <fgColor rgb="FF0018AE"/>
        <bgColor indexed="64"/>
      </patternFill>
    </fill>
    <fill>
      <patternFill patternType="solid">
        <fgColor rgb="FF0018AF"/>
        <bgColor indexed="64"/>
      </patternFill>
    </fill>
    <fill>
      <patternFill patternType="solid">
        <fgColor rgb="FF0018B0"/>
        <bgColor indexed="64"/>
      </patternFill>
    </fill>
    <fill>
      <patternFill patternType="solid">
        <fgColor rgb="FF0018B1"/>
        <bgColor indexed="64"/>
      </patternFill>
    </fill>
    <fill>
      <patternFill patternType="solid">
        <fgColor rgb="FF0018B2"/>
        <bgColor indexed="64"/>
      </patternFill>
    </fill>
    <fill>
      <patternFill patternType="solid">
        <fgColor rgb="FF0018B3"/>
        <bgColor indexed="64"/>
      </patternFill>
    </fill>
    <fill>
      <patternFill patternType="solid">
        <fgColor rgb="FF0018B4"/>
        <bgColor indexed="64"/>
      </patternFill>
    </fill>
    <fill>
      <patternFill patternType="solid">
        <fgColor rgb="FF0018B5"/>
        <bgColor indexed="64"/>
      </patternFill>
    </fill>
    <fill>
      <patternFill patternType="solid">
        <fgColor rgb="FF0018B6"/>
        <bgColor indexed="64"/>
      </patternFill>
    </fill>
    <fill>
      <patternFill patternType="solid">
        <fgColor rgb="FF0018B7"/>
        <bgColor indexed="64"/>
      </patternFill>
    </fill>
    <fill>
      <patternFill patternType="solid">
        <fgColor rgb="FF0018B8"/>
        <bgColor indexed="64"/>
      </patternFill>
    </fill>
    <fill>
      <patternFill patternType="solid">
        <fgColor rgb="FF0018B9"/>
        <bgColor indexed="64"/>
      </patternFill>
    </fill>
    <fill>
      <patternFill patternType="solid">
        <fgColor rgb="FF0018BA"/>
        <bgColor indexed="64"/>
      </patternFill>
    </fill>
    <fill>
      <patternFill patternType="solid">
        <fgColor rgb="FF0018BB"/>
        <bgColor indexed="64"/>
      </patternFill>
    </fill>
    <fill>
      <patternFill patternType="solid">
        <fgColor rgb="FF0018BC"/>
        <bgColor indexed="64"/>
      </patternFill>
    </fill>
    <fill>
      <patternFill patternType="solid">
        <fgColor rgb="FF0018BD"/>
        <bgColor indexed="64"/>
      </patternFill>
    </fill>
    <fill>
      <patternFill patternType="solid">
        <fgColor rgb="FF0018BE"/>
        <bgColor indexed="64"/>
      </patternFill>
    </fill>
    <fill>
      <patternFill patternType="solid">
        <fgColor rgb="FF0018BF"/>
        <bgColor indexed="64"/>
      </patternFill>
    </fill>
    <fill>
      <patternFill patternType="solid">
        <fgColor rgb="FF0018C0"/>
        <bgColor indexed="64"/>
      </patternFill>
    </fill>
    <fill>
      <patternFill patternType="solid">
        <fgColor rgb="FF0018C1"/>
        <bgColor indexed="64"/>
      </patternFill>
    </fill>
    <fill>
      <patternFill patternType="solid">
        <fgColor rgb="FF0018C2"/>
        <bgColor indexed="64"/>
      </patternFill>
    </fill>
    <fill>
      <patternFill patternType="solid">
        <fgColor rgb="FF0018C3"/>
        <bgColor indexed="64"/>
      </patternFill>
    </fill>
    <fill>
      <patternFill patternType="solid">
        <fgColor rgb="FF0018C4"/>
        <bgColor indexed="64"/>
      </patternFill>
    </fill>
    <fill>
      <patternFill patternType="solid">
        <fgColor rgb="FF0018C5"/>
        <bgColor indexed="64"/>
      </patternFill>
    </fill>
    <fill>
      <patternFill patternType="solid">
        <fgColor rgb="FF0018C6"/>
        <bgColor indexed="64"/>
      </patternFill>
    </fill>
    <fill>
      <patternFill patternType="solid">
        <fgColor rgb="FF0018C7"/>
        <bgColor indexed="64"/>
      </patternFill>
    </fill>
    <fill>
      <patternFill patternType="solid">
        <fgColor rgb="FF0018C8"/>
        <bgColor indexed="64"/>
      </patternFill>
    </fill>
    <fill>
      <patternFill patternType="solid">
        <fgColor rgb="FF0018C9"/>
        <bgColor indexed="64"/>
      </patternFill>
    </fill>
    <fill>
      <patternFill patternType="solid">
        <fgColor rgb="FF0018CA"/>
        <bgColor indexed="64"/>
      </patternFill>
    </fill>
    <fill>
      <patternFill patternType="solid">
        <fgColor rgb="FF0018CB"/>
        <bgColor indexed="64"/>
      </patternFill>
    </fill>
    <fill>
      <patternFill patternType="solid">
        <fgColor rgb="FF0018CC"/>
        <bgColor indexed="64"/>
      </patternFill>
    </fill>
    <fill>
      <patternFill patternType="solid">
        <fgColor rgb="FF0018CD"/>
        <bgColor indexed="64"/>
      </patternFill>
    </fill>
    <fill>
      <patternFill patternType="solid">
        <fgColor rgb="FF0018CE"/>
        <bgColor indexed="64"/>
      </patternFill>
    </fill>
    <fill>
      <patternFill patternType="solid">
        <fgColor rgb="FF0018CF"/>
        <bgColor indexed="64"/>
      </patternFill>
    </fill>
    <fill>
      <patternFill patternType="solid">
        <fgColor rgb="FF0018D0"/>
        <bgColor indexed="64"/>
      </patternFill>
    </fill>
    <fill>
      <patternFill patternType="solid">
        <fgColor rgb="FF0018D1"/>
        <bgColor indexed="64"/>
      </patternFill>
    </fill>
    <fill>
      <patternFill patternType="solid">
        <fgColor rgb="FF0018D2"/>
        <bgColor indexed="64"/>
      </patternFill>
    </fill>
    <fill>
      <patternFill patternType="solid">
        <fgColor rgb="FF0018D3"/>
        <bgColor indexed="64"/>
      </patternFill>
    </fill>
    <fill>
      <patternFill patternType="solid">
        <fgColor rgb="FF0018D4"/>
        <bgColor indexed="64"/>
      </patternFill>
    </fill>
    <fill>
      <patternFill patternType="solid">
        <fgColor rgb="FF0018D5"/>
        <bgColor indexed="64"/>
      </patternFill>
    </fill>
    <fill>
      <patternFill patternType="solid">
        <fgColor rgb="FF0018D6"/>
        <bgColor indexed="64"/>
      </patternFill>
    </fill>
    <fill>
      <patternFill patternType="solid">
        <fgColor rgb="FF0018D7"/>
        <bgColor indexed="64"/>
      </patternFill>
    </fill>
    <fill>
      <patternFill patternType="solid">
        <fgColor rgb="FF0018D8"/>
        <bgColor indexed="64"/>
      </patternFill>
    </fill>
    <fill>
      <patternFill patternType="solid">
        <fgColor rgb="FF0018D9"/>
        <bgColor indexed="64"/>
      </patternFill>
    </fill>
    <fill>
      <patternFill patternType="solid">
        <fgColor rgb="FF0018DA"/>
        <bgColor indexed="64"/>
      </patternFill>
    </fill>
    <fill>
      <patternFill patternType="solid">
        <fgColor rgb="FF0018DB"/>
        <bgColor indexed="64"/>
      </patternFill>
    </fill>
    <fill>
      <patternFill patternType="solid">
        <fgColor rgb="FF0018DC"/>
        <bgColor indexed="64"/>
      </patternFill>
    </fill>
    <fill>
      <patternFill patternType="solid">
        <fgColor rgb="FF0018DD"/>
        <bgColor indexed="64"/>
      </patternFill>
    </fill>
    <fill>
      <patternFill patternType="solid">
        <fgColor rgb="FF0018DE"/>
        <bgColor indexed="64"/>
      </patternFill>
    </fill>
    <fill>
      <patternFill patternType="solid">
        <fgColor rgb="FF0018DF"/>
        <bgColor indexed="64"/>
      </patternFill>
    </fill>
    <fill>
      <patternFill patternType="solid">
        <fgColor rgb="FF0018E0"/>
        <bgColor indexed="64"/>
      </patternFill>
    </fill>
    <fill>
      <patternFill patternType="solid">
        <fgColor rgb="FF0018E1"/>
        <bgColor indexed="64"/>
      </patternFill>
    </fill>
    <fill>
      <patternFill patternType="solid">
        <fgColor rgb="FF0018E2"/>
        <bgColor indexed="64"/>
      </patternFill>
    </fill>
    <fill>
      <patternFill patternType="solid">
        <fgColor rgb="FF0018E3"/>
        <bgColor indexed="64"/>
      </patternFill>
    </fill>
    <fill>
      <patternFill patternType="solid">
        <fgColor rgb="FF0018E4"/>
        <bgColor indexed="64"/>
      </patternFill>
    </fill>
    <fill>
      <patternFill patternType="solid">
        <fgColor rgb="FF0018E5"/>
        <bgColor indexed="64"/>
      </patternFill>
    </fill>
    <fill>
      <patternFill patternType="solid">
        <fgColor rgb="FF0018E6"/>
        <bgColor indexed="64"/>
      </patternFill>
    </fill>
    <fill>
      <patternFill patternType="solid">
        <fgColor rgb="FF0018E7"/>
        <bgColor indexed="64"/>
      </patternFill>
    </fill>
    <fill>
      <patternFill patternType="solid">
        <fgColor rgb="FF0018E8"/>
        <bgColor indexed="64"/>
      </patternFill>
    </fill>
    <fill>
      <patternFill patternType="solid">
        <fgColor rgb="FF0018E9"/>
        <bgColor indexed="64"/>
      </patternFill>
    </fill>
    <fill>
      <patternFill patternType="solid">
        <fgColor rgb="FF0018EA"/>
        <bgColor indexed="64"/>
      </patternFill>
    </fill>
    <fill>
      <patternFill patternType="solid">
        <fgColor rgb="FF0018EB"/>
        <bgColor indexed="64"/>
      </patternFill>
    </fill>
    <fill>
      <patternFill patternType="solid">
        <fgColor rgb="FF0018EC"/>
        <bgColor indexed="64"/>
      </patternFill>
    </fill>
    <fill>
      <patternFill patternType="solid">
        <fgColor rgb="FF0018ED"/>
        <bgColor indexed="64"/>
      </patternFill>
    </fill>
    <fill>
      <patternFill patternType="solid">
        <fgColor rgb="FF0018EE"/>
        <bgColor indexed="64"/>
      </patternFill>
    </fill>
    <fill>
      <patternFill patternType="solid">
        <fgColor rgb="FF0018EF"/>
        <bgColor indexed="64"/>
      </patternFill>
    </fill>
    <fill>
      <patternFill patternType="solid">
        <fgColor rgb="FF0018F0"/>
        <bgColor indexed="64"/>
      </patternFill>
    </fill>
    <fill>
      <patternFill patternType="solid">
        <fgColor rgb="FF0018F1"/>
        <bgColor indexed="64"/>
      </patternFill>
    </fill>
    <fill>
      <patternFill patternType="solid">
        <fgColor rgb="FF0018F2"/>
        <bgColor indexed="64"/>
      </patternFill>
    </fill>
    <fill>
      <patternFill patternType="solid">
        <fgColor rgb="FF0018F3"/>
        <bgColor indexed="64"/>
      </patternFill>
    </fill>
    <fill>
      <patternFill patternType="solid">
        <fgColor rgb="FF0018F4"/>
        <bgColor indexed="64"/>
      </patternFill>
    </fill>
    <fill>
      <patternFill patternType="solid">
        <fgColor rgb="FF0018F5"/>
        <bgColor indexed="64"/>
      </patternFill>
    </fill>
    <fill>
      <patternFill patternType="solid">
        <fgColor rgb="FF0018F6"/>
        <bgColor indexed="64"/>
      </patternFill>
    </fill>
    <fill>
      <patternFill patternType="solid">
        <fgColor rgb="FF0018F7"/>
        <bgColor indexed="64"/>
      </patternFill>
    </fill>
    <fill>
      <patternFill patternType="solid">
        <fgColor rgb="FF0018F8"/>
        <bgColor indexed="64"/>
      </patternFill>
    </fill>
    <fill>
      <patternFill patternType="solid">
        <fgColor rgb="FF0018F9"/>
        <bgColor indexed="64"/>
      </patternFill>
    </fill>
    <fill>
      <patternFill patternType="solid">
        <fgColor rgb="FF0018FA"/>
        <bgColor indexed="64"/>
      </patternFill>
    </fill>
    <fill>
      <patternFill patternType="solid">
        <fgColor rgb="FF0018FB"/>
        <bgColor indexed="64"/>
      </patternFill>
    </fill>
    <fill>
      <patternFill patternType="solid">
        <fgColor rgb="FF0018FC"/>
        <bgColor indexed="64"/>
      </patternFill>
    </fill>
    <fill>
      <patternFill patternType="solid">
        <fgColor rgb="FF0018FD"/>
        <bgColor indexed="64"/>
      </patternFill>
    </fill>
    <fill>
      <patternFill patternType="solid">
        <fgColor rgb="FF0018FE"/>
        <bgColor indexed="64"/>
      </patternFill>
    </fill>
    <fill>
      <patternFill patternType="solid">
        <fgColor rgb="FF0018FF"/>
        <bgColor indexed="64"/>
      </patternFill>
    </fill>
    <fill>
      <patternFill patternType="solid">
        <fgColor rgb="FF001900"/>
        <bgColor indexed="64"/>
      </patternFill>
    </fill>
    <fill>
      <patternFill patternType="solid">
        <fgColor rgb="FF001901"/>
        <bgColor indexed="64"/>
      </patternFill>
    </fill>
    <fill>
      <patternFill patternType="solid">
        <fgColor rgb="FF001902"/>
        <bgColor indexed="64"/>
      </patternFill>
    </fill>
    <fill>
      <patternFill patternType="solid">
        <fgColor rgb="FF001903"/>
        <bgColor indexed="64"/>
      </patternFill>
    </fill>
    <fill>
      <patternFill patternType="solid">
        <fgColor rgb="FF001904"/>
        <bgColor indexed="64"/>
      </patternFill>
    </fill>
    <fill>
      <patternFill patternType="solid">
        <fgColor rgb="FF001905"/>
        <bgColor indexed="64"/>
      </patternFill>
    </fill>
    <fill>
      <patternFill patternType="solid">
        <fgColor rgb="FF001906"/>
        <bgColor indexed="64"/>
      </patternFill>
    </fill>
    <fill>
      <patternFill patternType="solid">
        <fgColor rgb="FF001907"/>
        <bgColor indexed="64"/>
      </patternFill>
    </fill>
    <fill>
      <patternFill patternType="solid">
        <fgColor rgb="FF001908"/>
        <bgColor indexed="64"/>
      </patternFill>
    </fill>
    <fill>
      <patternFill patternType="solid">
        <fgColor rgb="FF001909"/>
        <bgColor indexed="64"/>
      </patternFill>
    </fill>
    <fill>
      <patternFill patternType="solid">
        <fgColor rgb="FF00190A"/>
        <bgColor indexed="64"/>
      </patternFill>
    </fill>
    <fill>
      <patternFill patternType="solid">
        <fgColor rgb="FF00190B"/>
        <bgColor indexed="64"/>
      </patternFill>
    </fill>
    <fill>
      <patternFill patternType="solid">
        <fgColor rgb="FF00190C"/>
        <bgColor indexed="64"/>
      </patternFill>
    </fill>
    <fill>
      <patternFill patternType="solid">
        <fgColor rgb="FF00190D"/>
        <bgColor indexed="64"/>
      </patternFill>
    </fill>
    <fill>
      <patternFill patternType="solid">
        <fgColor rgb="FF00190E"/>
        <bgColor indexed="64"/>
      </patternFill>
    </fill>
    <fill>
      <patternFill patternType="solid">
        <fgColor rgb="FF00190F"/>
        <bgColor indexed="64"/>
      </patternFill>
    </fill>
    <fill>
      <patternFill patternType="solid">
        <fgColor rgb="FF001910"/>
        <bgColor indexed="64"/>
      </patternFill>
    </fill>
    <fill>
      <patternFill patternType="solid">
        <fgColor rgb="FF001911"/>
        <bgColor indexed="64"/>
      </patternFill>
    </fill>
    <fill>
      <patternFill patternType="solid">
        <fgColor rgb="FF001912"/>
        <bgColor indexed="64"/>
      </patternFill>
    </fill>
    <fill>
      <patternFill patternType="solid">
        <fgColor rgb="FF001913"/>
        <bgColor indexed="64"/>
      </patternFill>
    </fill>
    <fill>
      <patternFill patternType="solid">
        <fgColor rgb="FF001914"/>
        <bgColor indexed="64"/>
      </patternFill>
    </fill>
    <fill>
      <patternFill patternType="solid">
        <fgColor rgb="FF001915"/>
        <bgColor indexed="64"/>
      </patternFill>
    </fill>
    <fill>
      <patternFill patternType="solid">
        <fgColor rgb="FF001916"/>
        <bgColor indexed="64"/>
      </patternFill>
    </fill>
    <fill>
      <patternFill patternType="solid">
        <fgColor rgb="FF001917"/>
        <bgColor indexed="64"/>
      </patternFill>
    </fill>
    <fill>
      <patternFill patternType="solid">
        <fgColor rgb="FF001918"/>
        <bgColor indexed="64"/>
      </patternFill>
    </fill>
    <fill>
      <patternFill patternType="solid">
        <fgColor rgb="FF001919"/>
        <bgColor indexed="64"/>
      </patternFill>
    </fill>
    <fill>
      <patternFill patternType="solid">
        <fgColor rgb="FF00191A"/>
        <bgColor indexed="64"/>
      </patternFill>
    </fill>
    <fill>
      <patternFill patternType="solid">
        <fgColor rgb="FF00191B"/>
        <bgColor indexed="64"/>
      </patternFill>
    </fill>
    <fill>
      <patternFill patternType="solid">
        <fgColor rgb="FF00191C"/>
        <bgColor indexed="64"/>
      </patternFill>
    </fill>
    <fill>
      <patternFill patternType="solid">
        <fgColor rgb="FF00191D"/>
        <bgColor indexed="64"/>
      </patternFill>
    </fill>
    <fill>
      <patternFill patternType="solid">
        <fgColor rgb="FF00191E"/>
        <bgColor indexed="64"/>
      </patternFill>
    </fill>
    <fill>
      <patternFill patternType="solid">
        <fgColor rgb="FF00191F"/>
        <bgColor indexed="64"/>
      </patternFill>
    </fill>
    <fill>
      <patternFill patternType="solid">
        <fgColor rgb="FF001920"/>
        <bgColor indexed="64"/>
      </patternFill>
    </fill>
    <fill>
      <patternFill patternType="solid">
        <fgColor rgb="FF001921"/>
        <bgColor indexed="64"/>
      </patternFill>
    </fill>
    <fill>
      <patternFill patternType="solid">
        <fgColor rgb="FF001922"/>
        <bgColor indexed="64"/>
      </patternFill>
    </fill>
    <fill>
      <patternFill patternType="solid">
        <fgColor rgb="FF001923"/>
        <bgColor indexed="64"/>
      </patternFill>
    </fill>
    <fill>
      <patternFill patternType="solid">
        <fgColor rgb="FF001924"/>
        <bgColor indexed="64"/>
      </patternFill>
    </fill>
    <fill>
      <patternFill patternType="solid">
        <fgColor rgb="FF001925"/>
        <bgColor indexed="64"/>
      </patternFill>
    </fill>
    <fill>
      <patternFill patternType="solid">
        <fgColor rgb="FF001926"/>
        <bgColor indexed="64"/>
      </patternFill>
    </fill>
    <fill>
      <patternFill patternType="solid">
        <fgColor rgb="FF001927"/>
        <bgColor indexed="64"/>
      </patternFill>
    </fill>
    <fill>
      <patternFill patternType="solid">
        <fgColor rgb="FF001928"/>
        <bgColor indexed="64"/>
      </patternFill>
    </fill>
    <fill>
      <patternFill patternType="solid">
        <fgColor rgb="FF001929"/>
        <bgColor indexed="64"/>
      </patternFill>
    </fill>
    <fill>
      <patternFill patternType="solid">
        <fgColor rgb="FF00192A"/>
        <bgColor indexed="64"/>
      </patternFill>
    </fill>
    <fill>
      <patternFill patternType="solid">
        <fgColor rgb="FF00192B"/>
        <bgColor indexed="64"/>
      </patternFill>
    </fill>
    <fill>
      <patternFill patternType="solid">
        <fgColor rgb="FF00192C"/>
        <bgColor indexed="64"/>
      </patternFill>
    </fill>
    <fill>
      <patternFill patternType="solid">
        <fgColor rgb="FF00192D"/>
        <bgColor indexed="64"/>
      </patternFill>
    </fill>
    <fill>
      <patternFill patternType="solid">
        <fgColor rgb="FF00192E"/>
        <bgColor indexed="64"/>
      </patternFill>
    </fill>
    <fill>
      <patternFill patternType="solid">
        <fgColor rgb="FF00192F"/>
        <bgColor indexed="64"/>
      </patternFill>
    </fill>
    <fill>
      <patternFill patternType="solid">
        <fgColor rgb="FF001930"/>
        <bgColor indexed="64"/>
      </patternFill>
    </fill>
    <fill>
      <patternFill patternType="solid">
        <fgColor rgb="FF001931"/>
        <bgColor indexed="64"/>
      </patternFill>
    </fill>
    <fill>
      <patternFill patternType="solid">
        <fgColor rgb="FF001932"/>
        <bgColor indexed="64"/>
      </patternFill>
    </fill>
    <fill>
      <patternFill patternType="solid">
        <fgColor rgb="FF001933"/>
        <bgColor indexed="64"/>
      </patternFill>
    </fill>
    <fill>
      <patternFill patternType="solid">
        <fgColor rgb="FF001934"/>
        <bgColor indexed="64"/>
      </patternFill>
    </fill>
    <fill>
      <patternFill patternType="solid">
        <fgColor rgb="FF001935"/>
        <bgColor indexed="64"/>
      </patternFill>
    </fill>
    <fill>
      <patternFill patternType="solid">
        <fgColor rgb="FF001936"/>
        <bgColor indexed="64"/>
      </patternFill>
    </fill>
    <fill>
      <patternFill patternType="solid">
        <fgColor rgb="FF001937"/>
        <bgColor indexed="64"/>
      </patternFill>
    </fill>
    <fill>
      <patternFill patternType="solid">
        <fgColor rgb="FF001938"/>
        <bgColor indexed="64"/>
      </patternFill>
    </fill>
    <fill>
      <patternFill patternType="solid">
        <fgColor rgb="FF001939"/>
        <bgColor indexed="64"/>
      </patternFill>
    </fill>
    <fill>
      <patternFill patternType="solid">
        <fgColor rgb="FF00193A"/>
        <bgColor indexed="64"/>
      </patternFill>
    </fill>
    <fill>
      <patternFill patternType="solid">
        <fgColor rgb="FF00193B"/>
        <bgColor indexed="64"/>
      </patternFill>
    </fill>
    <fill>
      <patternFill patternType="solid">
        <fgColor rgb="FF00193C"/>
        <bgColor indexed="64"/>
      </patternFill>
    </fill>
    <fill>
      <patternFill patternType="solid">
        <fgColor rgb="FF00193D"/>
        <bgColor indexed="64"/>
      </patternFill>
    </fill>
    <fill>
      <patternFill patternType="solid">
        <fgColor rgb="FF00193E"/>
        <bgColor indexed="64"/>
      </patternFill>
    </fill>
    <fill>
      <patternFill patternType="solid">
        <fgColor rgb="FF00193F"/>
        <bgColor indexed="64"/>
      </patternFill>
    </fill>
    <fill>
      <patternFill patternType="solid">
        <fgColor rgb="FF001940"/>
        <bgColor indexed="64"/>
      </patternFill>
    </fill>
    <fill>
      <patternFill patternType="solid">
        <fgColor rgb="FF001941"/>
        <bgColor indexed="64"/>
      </patternFill>
    </fill>
    <fill>
      <patternFill patternType="solid">
        <fgColor rgb="FF001942"/>
        <bgColor indexed="64"/>
      </patternFill>
    </fill>
    <fill>
      <patternFill patternType="solid">
        <fgColor rgb="FF001943"/>
        <bgColor indexed="64"/>
      </patternFill>
    </fill>
    <fill>
      <patternFill patternType="solid">
        <fgColor rgb="FF001944"/>
        <bgColor indexed="64"/>
      </patternFill>
    </fill>
    <fill>
      <patternFill patternType="solid">
        <fgColor rgb="FF001945"/>
        <bgColor indexed="64"/>
      </patternFill>
    </fill>
    <fill>
      <patternFill patternType="solid">
        <fgColor rgb="FF001946"/>
        <bgColor indexed="64"/>
      </patternFill>
    </fill>
    <fill>
      <patternFill patternType="solid">
        <fgColor rgb="FF001947"/>
        <bgColor indexed="64"/>
      </patternFill>
    </fill>
    <fill>
      <patternFill patternType="solid">
        <fgColor rgb="FF001948"/>
        <bgColor indexed="64"/>
      </patternFill>
    </fill>
    <fill>
      <patternFill patternType="solid">
        <fgColor rgb="FF001949"/>
        <bgColor indexed="64"/>
      </patternFill>
    </fill>
    <fill>
      <patternFill patternType="solid">
        <fgColor rgb="FF00194A"/>
        <bgColor indexed="64"/>
      </patternFill>
    </fill>
    <fill>
      <patternFill patternType="solid">
        <fgColor rgb="FF00194B"/>
        <bgColor indexed="64"/>
      </patternFill>
    </fill>
    <fill>
      <patternFill patternType="solid">
        <fgColor rgb="FF00194C"/>
        <bgColor indexed="64"/>
      </patternFill>
    </fill>
    <fill>
      <patternFill patternType="solid">
        <fgColor rgb="FF00194D"/>
        <bgColor indexed="64"/>
      </patternFill>
    </fill>
    <fill>
      <patternFill patternType="solid">
        <fgColor rgb="FF00194E"/>
        <bgColor indexed="64"/>
      </patternFill>
    </fill>
    <fill>
      <patternFill patternType="solid">
        <fgColor rgb="FF00194F"/>
        <bgColor indexed="64"/>
      </patternFill>
    </fill>
    <fill>
      <patternFill patternType="solid">
        <fgColor rgb="FF001950"/>
        <bgColor indexed="64"/>
      </patternFill>
    </fill>
    <fill>
      <patternFill patternType="solid">
        <fgColor rgb="FF001951"/>
        <bgColor indexed="64"/>
      </patternFill>
    </fill>
    <fill>
      <patternFill patternType="solid">
        <fgColor rgb="FF001952"/>
        <bgColor indexed="64"/>
      </patternFill>
    </fill>
    <fill>
      <patternFill patternType="solid">
        <fgColor rgb="FF001953"/>
        <bgColor indexed="64"/>
      </patternFill>
    </fill>
    <fill>
      <patternFill patternType="solid">
        <fgColor rgb="FF001954"/>
        <bgColor indexed="64"/>
      </patternFill>
    </fill>
    <fill>
      <patternFill patternType="solid">
        <fgColor rgb="FF001955"/>
        <bgColor indexed="64"/>
      </patternFill>
    </fill>
    <fill>
      <patternFill patternType="solid">
        <fgColor rgb="FF001956"/>
        <bgColor indexed="64"/>
      </patternFill>
    </fill>
    <fill>
      <patternFill patternType="solid">
        <fgColor rgb="FF001957"/>
        <bgColor indexed="64"/>
      </patternFill>
    </fill>
    <fill>
      <patternFill patternType="solid">
        <fgColor rgb="FF001958"/>
        <bgColor indexed="64"/>
      </patternFill>
    </fill>
    <fill>
      <patternFill patternType="solid">
        <fgColor rgb="FF001959"/>
        <bgColor indexed="64"/>
      </patternFill>
    </fill>
    <fill>
      <patternFill patternType="solid">
        <fgColor rgb="FF00195A"/>
        <bgColor indexed="64"/>
      </patternFill>
    </fill>
    <fill>
      <patternFill patternType="solid">
        <fgColor rgb="FF00195B"/>
        <bgColor indexed="64"/>
      </patternFill>
    </fill>
    <fill>
      <patternFill patternType="solid">
        <fgColor rgb="FF00195C"/>
        <bgColor indexed="64"/>
      </patternFill>
    </fill>
    <fill>
      <patternFill patternType="solid">
        <fgColor rgb="FF00195D"/>
        <bgColor indexed="64"/>
      </patternFill>
    </fill>
    <fill>
      <patternFill patternType="solid">
        <fgColor rgb="FF00195E"/>
        <bgColor indexed="64"/>
      </patternFill>
    </fill>
    <fill>
      <patternFill patternType="solid">
        <fgColor rgb="FF00195F"/>
        <bgColor indexed="64"/>
      </patternFill>
    </fill>
    <fill>
      <patternFill patternType="solid">
        <fgColor rgb="FF001960"/>
        <bgColor indexed="64"/>
      </patternFill>
    </fill>
    <fill>
      <patternFill patternType="solid">
        <fgColor rgb="FF001961"/>
        <bgColor indexed="64"/>
      </patternFill>
    </fill>
    <fill>
      <patternFill patternType="solid">
        <fgColor rgb="FF001962"/>
        <bgColor indexed="64"/>
      </patternFill>
    </fill>
    <fill>
      <patternFill patternType="solid">
        <fgColor rgb="FF001963"/>
        <bgColor indexed="64"/>
      </patternFill>
    </fill>
    <fill>
      <patternFill patternType="solid">
        <fgColor rgb="FF001964"/>
        <bgColor indexed="64"/>
      </patternFill>
    </fill>
    <fill>
      <patternFill patternType="solid">
        <fgColor rgb="FF001965"/>
        <bgColor indexed="64"/>
      </patternFill>
    </fill>
    <fill>
      <patternFill patternType="solid">
        <fgColor rgb="FF001966"/>
        <bgColor indexed="64"/>
      </patternFill>
    </fill>
    <fill>
      <patternFill patternType="solid">
        <fgColor rgb="FF001967"/>
        <bgColor indexed="64"/>
      </patternFill>
    </fill>
    <fill>
      <patternFill patternType="solid">
        <fgColor rgb="FF001968"/>
        <bgColor indexed="64"/>
      </patternFill>
    </fill>
    <fill>
      <patternFill patternType="solid">
        <fgColor rgb="FF001969"/>
        <bgColor indexed="64"/>
      </patternFill>
    </fill>
    <fill>
      <patternFill patternType="solid">
        <fgColor rgb="FF00196A"/>
        <bgColor indexed="64"/>
      </patternFill>
    </fill>
    <fill>
      <patternFill patternType="solid">
        <fgColor rgb="FF00196B"/>
        <bgColor indexed="64"/>
      </patternFill>
    </fill>
    <fill>
      <patternFill patternType="solid">
        <fgColor rgb="FF00196C"/>
        <bgColor indexed="64"/>
      </patternFill>
    </fill>
    <fill>
      <patternFill patternType="solid">
        <fgColor rgb="FF00196D"/>
        <bgColor indexed="64"/>
      </patternFill>
    </fill>
    <fill>
      <patternFill patternType="solid">
        <fgColor rgb="FF00196E"/>
        <bgColor indexed="64"/>
      </patternFill>
    </fill>
    <fill>
      <patternFill patternType="solid">
        <fgColor rgb="FF00196F"/>
        <bgColor indexed="64"/>
      </patternFill>
    </fill>
    <fill>
      <patternFill patternType="solid">
        <fgColor rgb="FF001970"/>
        <bgColor indexed="64"/>
      </patternFill>
    </fill>
    <fill>
      <patternFill patternType="solid">
        <fgColor rgb="FF001971"/>
        <bgColor indexed="64"/>
      </patternFill>
    </fill>
    <fill>
      <patternFill patternType="solid">
        <fgColor rgb="FF001972"/>
        <bgColor indexed="64"/>
      </patternFill>
    </fill>
    <fill>
      <patternFill patternType="solid">
        <fgColor rgb="FF001973"/>
        <bgColor indexed="64"/>
      </patternFill>
    </fill>
    <fill>
      <patternFill patternType="solid">
        <fgColor rgb="FF001974"/>
        <bgColor indexed="64"/>
      </patternFill>
    </fill>
    <fill>
      <patternFill patternType="solid">
        <fgColor rgb="FF001975"/>
        <bgColor indexed="64"/>
      </patternFill>
    </fill>
    <fill>
      <patternFill patternType="solid">
        <fgColor rgb="FF001976"/>
        <bgColor indexed="64"/>
      </patternFill>
    </fill>
    <fill>
      <patternFill patternType="solid">
        <fgColor rgb="FF001977"/>
        <bgColor indexed="64"/>
      </patternFill>
    </fill>
    <fill>
      <patternFill patternType="solid">
        <fgColor rgb="FF001978"/>
        <bgColor indexed="64"/>
      </patternFill>
    </fill>
    <fill>
      <patternFill patternType="solid">
        <fgColor rgb="FF001979"/>
        <bgColor indexed="64"/>
      </patternFill>
    </fill>
    <fill>
      <patternFill patternType="solid">
        <fgColor rgb="FF00197A"/>
        <bgColor indexed="64"/>
      </patternFill>
    </fill>
    <fill>
      <patternFill patternType="solid">
        <fgColor rgb="FF00197B"/>
        <bgColor indexed="64"/>
      </patternFill>
    </fill>
    <fill>
      <patternFill patternType="solid">
        <fgColor rgb="FF00197C"/>
        <bgColor indexed="64"/>
      </patternFill>
    </fill>
    <fill>
      <patternFill patternType="solid">
        <fgColor rgb="FF00197D"/>
        <bgColor indexed="64"/>
      </patternFill>
    </fill>
    <fill>
      <patternFill patternType="solid">
        <fgColor rgb="FF00197E"/>
        <bgColor indexed="64"/>
      </patternFill>
    </fill>
    <fill>
      <patternFill patternType="solid">
        <fgColor rgb="FF00197F"/>
        <bgColor indexed="64"/>
      </patternFill>
    </fill>
    <fill>
      <patternFill patternType="solid">
        <fgColor rgb="FF001980"/>
        <bgColor indexed="64"/>
      </patternFill>
    </fill>
    <fill>
      <patternFill patternType="solid">
        <fgColor rgb="FF001981"/>
        <bgColor indexed="64"/>
      </patternFill>
    </fill>
    <fill>
      <patternFill patternType="solid">
        <fgColor rgb="FF001982"/>
        <bgColor indexed="64"/>
      </patternFill>
    </fill>
    <fill>
      <patternFill patternType="solid">
        <fgColor rgb="FF001983"/>
        <bgColor indexed="64"/>
      </patternFill>
    </fill>
    <fill>
      <patternFill patternType="solid">
        <fgColor rgb="FF001984"/>
        <bgColor indexed="64"/>
      </patternFill>
    </fill>
    <fill>
      <patternFill patternType="solid">
        <fgColor rgb="FF001985"/>
        <bgColor indexed="64"/>
      </patternFill>
    </fill>
    <fill>
      <patternFill patternType="solid">
        <fgColor rgb="FF001986"/>
        <bgColor indexed="64"/>
      </patternFill>
    </fill>
    <fill>
      <patternFill patternType="solid">
        <fgColor rgb="FF001987"/>
        <bgColor indexed="64"/>
      </patternFill>
    </fill>
    <fill>
      <patternFill patternType="solid">
        <fgColor rgb="FF001988"/>
        <bgColor indexed="64"/>
      </patternFill>
    </fill>
    <fill>
      <patternFill patternType="solid">
        <fgColor rgb="FF001989"/>
        <bgColor indexed="64"/>
      </patternFill>
    </fill>
    <fill>
      <patternFill patternType="solid">
        <fgColor rgb="FF00198A"/>
        <bgColor indexed="64"/>
      </patternFill>
    </fill>
    <fill>
      <patternFill patternType="solid">
        <fgColor rgb="FF00198B"/>
        <bgColor indexed="64"/>
      </patternFill>
    </fill>
    <fill>
      <patternFill patternType="solid">
        <fgColor rgb="FF00198C"/>
        <bgColor indexed="64"/>
      </patternFill>
    </fill>
    <fill>
      <patternFill patternType="solid">
        <fgColor rgb="FF00198D"/>
        <bgColor indexed="64"/>
      </patternFill>
    </fill>
    <fill>
      <patternFill patternType="solid">
        <fgColor rgb="FF00198E"/>
        <bgColor indexed="64"/>
      </patternFill>
    </fill>
    <fill>
      <patternFill patternType="solid">
        <fgColor rgb="FF00198F"/>
        <bgColor indexed="64"/>
      </patternFill>
    </fill>
    <fill>
      <patternFill patternType="solid">
        <fgColor rgb="FF001990"/>
        <bgColor indexed="64"/>
      </patternFill>
    </fill>
    <fill>
      <patternFill patternType="solid">
        <fgColor rgb="FF001991"/>
        <bgColor indexed="64"/>
      </patternFill>
    </fill>
    <fill>
      <patternFill patternType="solid">
        <fgColor rgb="FF001992"/>
        <bgColor indexed="64"/>
      </patternFill>
    </fill>
    <fill>
      <patternFill patternType="solid">
        <fgColor rgb="FF001993"/>
        <bgColor indexed="64"/>
      </patternFill>
    </fill>
    <fill>
      <patternFill patternType="solid">
        <fgColor rgb="FF001994"/>
        <bgColor indexed="64"/>
      </patternFill>
    </fill>
    <fill>
      <patternFill patternType="solid">
        <fgColor rgb="FF001995"/>
        <bgColor indexed="64"/>
      </patternFill>
    </fill>
    <fill>
      <patternFill patternType="solid">
        <fgColor rgb="FF001996"/>
        <bgColor indexed="64"/>
      </patternFill>
    </fill>
    <fill>
      <patternFill patternType="solid">
        <fgColor rgb="FF001997"/>
        <bgColor indexed="64"/>
      </patternFill>
    </fill>
    <fill>
      <patternFill patternType="solid">
        <fgColor rgb="FF001998"/>
        <bgColor indexed="64"/>
      </patternFill>
    </fill>
    <fill>
      <patternFill patternType="solid">
        <fgColor rgb="FF001999"/>
        <bgColor indexed="64"/>
      </patternFill>
    </fill>
    <fill>
      <patternFill patternType="solid">
        <fgColor rgb="FF00199A"/>
        <bgColor indexed="64"/>
      </patternFill>
    </fill>
    <fill>
      <patternFill patternType="solid">
        <fgColor rgb="FF00199B"/>
        <bgColor indexed="64"/>
      </patternFill>
    </fill>
    <fill>
      <patternFill patternType="solid">
        <fgColor rgb="FF00199C"/>
        <bgColor indexed="64"/>
      </patternFill>
    </fill>
    <fill>
      <patternFill patternType="solid">
        <fgColor rgb="FF00199D"/>
        <bgColor indexed="64"/>
      </patternFill>
    </fill>
    <fill>
      <patternFill patternType="solid">
        <fgColor rgb="FF00199E"/>
        <bgColor indexed="64"/>
      </patternFill>
    </fill>
    <fill>
      <patternFill patternType="solid">
        <fgColor rgb="FF00199F"/>
        <bgColor indexed="64"/>
      </patternFill>
    </fill>
    <fill>
      <patternFill patternType="solid">
        <fgColor rgb="FF0019A0"/>
        <bgColor indexed="64"/>
      </patternFill>
    </fill>
    <fill>
      <patternFill patternType="solid">
        <fgColor rgb="FF0019A1"/>
        <bgColor indexed="64"/>
      </patternFill>
    </fill>
    <fill>
      <patternFill patternType="solid">
        <fgColor rgb="FF0019A2"/>
        <bgColor indexed="64"/>
      </patternFill>
    </fill>
    <fill>
      <patternFill patternType="solid">
        <fgColor rgb="FF0019A3"/>
        <bgColor indexed="64"/>
      </patternFill>
    </fill>
    <fill>
      <patternFill patternType="solid">
        <fgColor rgb="FF0019A4"/>
        <bgColor indexed="64"/>
      </patternFill>
    </fill>
    <fill>
      <patternFill patternType="solid">
        <fgColor rgb="FF0019A5"/>
        <bgColor indexed="64"/>
      </patternFill>
    </fill>
    <fill>
      <patternFill patternType="solid">
        <fgColor rgb="FF0019A6"/>
        <bgColor indexed="64"/>
      </patternFill>
    </fill>
    <fill>
      <patternFill patternType="solid">
        <fgColor rgb="FF0019A7"/>
        <bgColor indexed="64"/>
      </patternFill>
    </fill>
    <fill>
      <patternFill patternType="solid">
        <fgColor rgb="FF0019A8"/>
        <bgColor indexed="64"/>
      </patternFill>
    </fill>
    <fill>
      <patternFill patternType="solid">
        <fgColor rgb="FF0019A9"/>
        <bgColor indexed="64"/>
      </patternFill>
    </fill>
    <fill>
      <patternFill patternType="solid">
        <fgColor rgb="FF0019AA"/>
        <bgColor indexed="64"/>
      </patternFill>
    </fill>
    <fill>
      <patternFill patternType="solid">
        <fgColor rgb="FF0019AB"/>
        <bgColor indexed="64"/>
      </patternFill>
    </fill>
    <fill>
      <patternFill patternType="solid">
        <fgColor rgb="FF0019AC"/>
        <bgColor indexed="64"/>
      </patternFill>
    </fill>
    <fill>
      <patternFill patternType="solid">
        <fgColor rgb="FF0019AD"/>
        <bgColor indexed="64"/>
      </patternFill>
    </fill>
    <fill>
      <patternFill patternType="solid">
        <fgColor rgb="FF0019AE"/>
        <bgColor indexed="64"/>
      </patternFill>
    </fill>
    <fill>
      <patternFill patternType="solid">
        <fgColor rgb="FF0019AF"/>
        <bgColor indexed="64"/>
      </patternFill>
    </fill>
    <fill>
      <patternFill patternType="solid">
        <fgColor rgb="FF0019B0"/>
        <bgColor indexed="64"/>
      </patternFill>
    </fill>
    <fill>
      <patternFill patternType="solid">
        <fgColor rgb="FF0019B1"/>
        <bgColor indexed="64"/>
      </patternFill>
    </fill>
    <fill>
      <patternFill patternType="solid">
        <fgColor rgb="FF0019B2"/>
        <bgColor indexed="64"/>
      </patternFill>
    </fill>
    <fill>
      <patternFill patternType="solid">
        <fgColor rgb="FF0019B3"/>
        <bgColor indexed="64"/>
      </patternFill>
    </fill>
    <fill>
      <patternFill patternType="solid">
        <fgColor rgb="FF0019B4"/>
        <bgColor indexed="64"/>
      </patternFill>
    </fill>
    <fill>
      <patternFill patternType="solid">
        <fgColor rgb="FF0019B5"/>
        <bgColor indexed="64"/>
      </patternFill>
    </fill>
    <fill>
      <patternFill patternType="solid">
        <fgColor rgb="FF0019B6"/>
        <bgColor indexed="64"/>
      </patternFill>
    </fill>
    <fill>
      <patternFill patternType="solid">
        <fgColor rgb="FF0019B7"/>
        <bgColor indexed="64"/>
      </patternFill>
    </fill>
    <fill>
      <patternFill patternType="solid">
        <fgColor rgb="FF0019B8"/>
        <bgColor indexed="64"/>
      </patternFill>
    </fill>
    <fill>
      <patternFill patternType="solid">
        <fgColor rgb="FF0019B9"/>
        <bgColor indexed="64"/>
      </patternFill>
    </fill>
    <fill>
      <patternFill patternType="solid">
        <fgColor rgb="FF0019BA"/>
        <bgColor indexed="64"/>
      </patternFill>
    </fill>
    <fill>
      <patternFill patternType="solid">
        <fgColor rgb="FF0019BB"/>
        <bgColor indexed="64"/>
      </patternFill>
    </fill>
    <fill>
      <patternFill patternType="solid">
        <fgColor rgb="FF0019BC"/>
        <bgColor indexed="64"/>
      </patternFill>
    </fill>
    <fill>
      <patternFill patternType="solid">
        <fgColor rgb="FF0019BD"/>
        <bgColor indexed="64"/>
      </patternFill>
    </fill>
    <fill>
      <patternFill patternType="solid">
        <fgColor rgb="FF0019BE"/>
        <bgColor indexed="64"/>
      </patternFill>
    </fill>
    <fill>
      <patternFill patternType="solid">
        <fgColor rgb="FF0019BF"/>
        <bgColor indexed="64"/>
      </patternFill>
    </fill>
    <fill>
      <patternFill patternType="solid">
        <fgColor rgb="FF0019C0"/>
        <bgColor indexed="64"/>
      </patternFill>
    </fill>
    <fill>
      <patternFill patternType="solid">
        <fgColor rgb="FF0019C1"/>
        <bgColor indexed="64"/>
      </patternFill>
    </fill>
    <fill>
      <patternFill patternType="solid">
        <fgColor rgb="FF0019C2"/>
        <bgColor indexed="64"/>
      </patternFill>
    </fill>
    <fill>
      <patternFill patternType="solid">
        <fgColor rgb="FF0019C3"/>
        <bgColor indexed="64"/>
      </patternFill>
    </fill>
    <fill>
      <patternFill patternType="solid">
        <fgColor rgb="FF0019C4"/>
        <bgColor indexed="64"/>
      </patternFill>
    </fill>
    <fill>
      <patternFill patternType="solid">
        <fgColor rgb="FF0019C5"/>
        <bgColor indexed="64"/>
      </patternFill>
    </fill>
    <fill>
      <patternFill patternType="solid">
        <fgColor rgb="FF0019C6"/>
        <bgColor indexed="64"/>
      </patternFill>
    </fill>
    <fill>
      <patternFill patternType="solid">
        <fgColor rgb="FF0019C7"/>
        <bgColor indexed="64"/>
      </patternFill>
    </fill>
    <fill>
      <patternFill patternType="solid">
        <fgColor rgb="FF0019C8"/>
        <bgColor indexed="64"/>
      </patternFill>
    </fill>
    <fill>
      <patternFill patternType="solid">
        <fgColor rgb="FF0019C9"/>
        <bgColor indexed="64"/>
      </patternFill>
    </fill>
    <fill>
      <patternFill patternType="solid">
        <fgColor rgb="FF0019CA"/>
        <bgColor indexed="64"/>
      </patternFill>
    </fill>
    <fill>
      <patternFill patternType="solid">
        <fgColor rgb="FF0019CB"/>
        <bgColor indexed="64"/>
      </patternFill>
    </fill>
    <fill>
      <patternFill patternType="solid">
        <fgColor rgb="FF0019CC"/>
        <bgColor indexed="64"/>
      </patternFill>
    </fill>
    <fill>
      <patternFill patternType="solid">
        <fgColor rgb="FF0019CD"/>
        <bgColor indexed="64"/>
      </patternFill>
    </fill>
    <fill>
      <patternFill patternType="solid">
        <fgColor rgb="FF0019CE"/>
        <bgColor indexed="64"/>
      </patternFill>
    </fill>
    <fill>
      <patternFill patternType="solid">
        <fgColor rgb="FF0019CF"/>
        <bgColor indexed="64"/>
      </patternFill>
    </fill>
    <fill>
      <patternFill patternType="solid">
        <fgColor rgb="FF0019D0"/>
        <bgColor indexed="64"/>
      </patternFill>
    </fill>
    <fill>
      <patternFill patternType="solid">
        <fgColor rgb="FF0019D1"/>
        <bgColor indexed="64"/>
      </patternFill>
    </fill>
    <fill>
      <patternFill patternType="solid">
        <fgColor rgb="FF0019D2"/>
        <bgColor indexed="64"/>
      </patternFill>
    </fill>
    <fill>
      <patternFill patternType="solid">
        <fgColor rgb="FF0019D3"/>
        <bgColor indexed="64"/>
      </patternFill>
    </fill>
    <fill>
      <patternFill patternType="solid">
        <fgColor rgb="FF0019D4"/>
        <bgColor indexed="64"/>
      </patternFill>
    </fill>
    <fill>
      <patternFill patternType="solid">
        <fgColor rgb="FF0019D5"/>
        <bgColor indexed="64"/>
      </patternFill>
    </fill>
    <fill>
      <patternFill patternType="solid">
        <fgColor rgb="FF0019D6"/>
        <bgColor indexed="64"/>
      </patternFill>
    </fill>
    <fill>
      <patternFill patternType="solid">
        <fgColor rgb="FF0019D7"/>
        <bgColor indexed="64"/>
      </patternFill>
    </fill>
    <fill>
      <patternFill patternType="solid">
        <fgColor rgb="FF0019D8"/>
        <bgColor indexed="64"/>
      </patternFill>
    </fill>
    <fill>
      <patternFill patternType="solid">
        <fgColor rgb="FF0019D9"/>
        <bgColor indexed="64"/>
      </patternFill>
    </fill>
    <fill>
      <patternFill patternType="solid">
        <fgColor rgb="FF0019DA"/>
        <bgColor indexed="64"/>
      </patternFill>
    </fill>
    <fill>
      <patternFill patternType="solid">
        <fgColor rgb="FF0019DB"/>
        <bgColor indexed="64"/>
      </patternFill>
    </fill>
    <fill>
      <patternFill patternType="solid">
        <fgColor rgb="FF0019DC"/>
        <bgColor indexed="64"/>
      </patternFill>
    </fill>
    <fill>
      <patternFill patternType="solid">
        <fgColor rgb="FF0019DD"/>
        <bgColor indexed="64"/>
      </patternFill>
    </fill>
    <fill>
      <patternFill patternType="solid">
        <fgColor rgb="FF0019DE"/>
        <bgColor indexed="64"/>
      </patternFill>
    </fill>
    <fill>
      <patternFill patternType="solid">
        <fgColor rgb="FF0019DF"/>
        <bgColor indexed="64"/>
      </patternFill>
    </fill>
    <fill>
      <patternFill patternType="solid">
        <fgColor rgb="FF0019E0"/>
        <bgColor indexed="64"/>
      </patternFill>
    </fill>
    <fill>
      <patternFill patternType="solid">
        <fgColor rgb="FF0019E1"/>
        <bgColor indexed="64"/>
      </patternFill>
    </fill>
    <fill>
      <patternFill patternType="solid">
        <fgColor rgb="FF0019E2"/>
        <bgColor indexed="64"/>
      </patternFill>
    </fill>
    <fill>
      <patternFill patternType="solid">
        <fgColor rgb="FF0019E3"/>
        <bgColor indexed="64"/>
      </patternFill>
    </fill>
    <fill>
      <patternFill patternType="solid">
        <fgColor rgb="FF0019E4"/>
        <bgColor indexed="64"/>
      </patternFill>
    </fill>
    <fill>
      <patternFill patternType="solid">
        <fgColor rgb="FF0019E5"/>
        <bgColor indexed="64"/>
      </patternFill>
    </fill>
    <fill>
      <patternFill patternType="solid">
        <fgColor rgb="FF0019E6"/>
        <bgColor indexed="64"/>
      </patternFill>
    </fill>
    <fill>
      <patternFill patternType="solid">
        <fgColor rgb="FF0019E7"/>
        <bgColor indexed="64"/>
      </patternFill>
    </fill>
    <fill>
      <patternFill patternType="solid">
        <fgColor rgb="FF0019E8"/>
        <bgColor indexed="64"/>
      </patternFill>
    </fill>
    <fill>
      <patternFill patternType="solid">
        <fgColor rgb="FF0019E9"/>
        <bgColor indexed="64"/>
      </patternFill>
    </fill>
    <fill>
      <patternFill patternType="solid">
        <fgColor rgb="FF0019EA"/>
        <bgColor indexed="64"/>
      </patternFill>
    </fill>
    <fill>
      <patternFill patternType="solid">
        <fgColor rgb="FF0019EB"/>
        <bgColor indexed="64"/>
      </patternFill>
    </fill>
    <fill>
      <patternFill patternType="solid">
        <fgColor rgb="FF0019EC"/>
        <bgColor indexed="64"/>
      </patternFill>
    </fill>
    <fill>
      <patternFill patternType="solid">
        <fgColor rgb="FF0019ED"/>
        <bgColor indexed="64"/>
      </patternFill>
    </fill>
    <fill>
      <patternFill patternType="solid">
        <fgColor rgb="FF0019EE"/>
        <bgColor indexed="64"/>
      </patternFill>
    </fill>
    <fill>
      <patternFill patternType="solid">
        <fgColor rgb="FF0019EF"/>
        <bgColor indexed="64"/>
      </patternFill>
    </fill>
    <fill>
      <patternFill patternType="solid">
        <fgColor rgb="FF0019F0"/>
        <bgColor indexed="64"/>
      </patternFill>
    </fill>
    <fill>
      <patternFill patternType="solid">
        <fgColor rgb="FF0019F1"/>
        <bgColor indexed="64"/>
      </patternFill>
    </fill>
    <fill>
      <patternFill patternType="solid">
        <fgColor rgb="FF0019F2"/>
        <bgColor indexed="64"/>
      </patternFill>
    </fill>
    <fill>
      <patternFill patternType="solid">
        <fgColor rgb="FF0019F3"/>
        <bgColor indexed="64"/>
      </patternFill>
    </fill>
    <fill>
      <patternFill patternType="solid">
        <fgColor rgb="FF0019F4"/>
        <bgColor indexed="64"/>
      </patternFill>
    </fill>
    <fill>
      <patternFill patternType="solid">
        <fgColor rgb="FF0019F5"/>
        <bgColor indexed="64"/>
      </patternFill>
    </fill>
    <fill>
      <patternFill patternType="solid">
        <fgColor rgb="FF0019F6"/>
        <bgColor indexed="64"/>
      </patternFill>
    </fill>
    <fill>
      <patternFill patternType="solid">
        <fgColor rgb="FF0019F7"/>
        <bgColor indexed="64"/>
      </patternFill>
    </fill>
    <fill>
      <patternFill patternType="solid">
        <fgColor rgb="FF0019F8"/>
        <bgColor indexed="64"/>
      </patternFill>
    </fill>
    <fill>
      <patternFill patternType="solid">
        <fgColor rgb="FF0019F9"/>
        <bgColor indexed="64"/>
      </patternFill>
    </fill>
    <fill>
      <patternFill patternType="solid">
        <fgColor rgb="FF0019FA"/>
        <bgColor indexed="64"/>
      </patternFill>
    </fill>
    <fill>
      <patternFill patternType="solid">
        <fgColor rgb="FF0019FB"/>
        <bgColor indexed="64"/>
      </patternFill>
    </fill>
    <fill>
      <patternFill patternType="solid">
        <fgColor rgb="FF0019FC"/>
        <bgColor indexed="64"/>
      </patternFill>
    </fill>
    <fill>
      <patternFill patternType="solid">
        <fgColor rgb="FF0019FD"/>
        <bgColor indexed="64"/>
      </patternFill>
    </fill>
    <fill>
      <patternFill patternType="solid">
        <fgColor rgb="FF0019FE"/>
        <bgColor indexed="64"/>
      </patternFill>
    </fill>
    <fill>
      <patternFill patternType="solid">
        <fgColor rgb="FF0019FF"/>
        <bgColor indexed="64"/>
      </patternFill>
    </fill>
    <fill>
      <patternFill patternType="solid">
        <fgColor rgb="FF001A00"/>
        <bgColor indexed="64"/>
      </patternFill>
    </fill>
    <fill>
      <patternFill patternType="solid">
        <fgColor rgb="FF001A01"/>
        <bgColor indexed="64"/>
      </patternFill>
    </fill>
    <fill>
      <patternFill patternType="solid">
        <fgColor rgb="FF001A02"/>
        <bgColor indexed="64"/>
      </patternFill>
    </fill>
    <fill>
      <patternFill patternType="solid">
        <fgColor rgb="FF001A03"/>
        <bgColor indexed="64"/>
      </patternFill>
    </fill>
    <fill>
      <patternFill patternType="solid">
        <fgColor rgb="FF001A04"/>
        <bgColor indexed="64"/>
      </patternFill>
    </fill>
    <fill>
      <patternFill patternType="solid">
        <fgColor rgb="FF001A05"/>
        <bgColor indexed="64"/>
      </patternFill>
    </fill>
    <fill>
      <patternFill patternType="solid">
        <fgColor rgb="FF001A06"/>
        <bgColor indexed="64"/>
      </patternFill>
    </fill>
    <fill>
      <patternFill patternType="solid">
        <fgColor rgb="FF001A07"/>
        <bgColor indexed="64"/>
      </patternFill>
    </fill>
    <fill>
      <patternFill patternType="solid">
        <fgColor rgb="FF001A08"/>
        <bgColor indexed="64"/>
      </patternFill>
    </fill>
    <fill>
      <patternFill patternType="solid">
        <fgColor rgb="FF001A09"/>
        <bgColor indexed="64"/>
      </patternFill>
    </fill>
    <fill>
      <patternFill patternType="solid">
        <fgColor rgb="FF001A0A"/>
        <bgColor indexed="64"/>
      </patternFill>
    </fill>
    <fill>
      <patternFill patternType="solid">
        <fgColor rgb="FF001A0B"/>
        <bgColor indexed="64"/>
      </patternFill>
    </fill>
    <fill>
      <patternFill patternType="solid">
        <fgColor rgb="FF001A0C"/>
        <bgColor indexed="64"/>
      </patternFill>
    </fill>
    <fill>
      <patternFill patternType="solid">
        <fgColor rgb="FF001A0D"/>
        <bgColor indexed="64"/>
      </patternFill>
    </fill>
    <fill>
      <patternFill patternType="solid">
        <fgColor rgb="FF001A0E"/>
        <bgColor indexed="64"/>
      </patternFill>
    </fill>
    <fill>
      <patternFill patternType="solid">
        <fgColor rgb="FF001A0F"/>
        <bgColor indexed="64"/>
      </patternFill>
    </fill>
    <fill>
      <patternFill patternType="solid">
        <fgColor rgb="FF001A10"/>
        <bgColor indexed="64"/>
      </patternFill>
    </fill>
    <fill>
      <patternFill patternType="solid">
        <fgColor rgb="FF001A11"/>
        <bgColor indexed="64"/>
      </patternFill>
    </fill>
    <fill>
      <patternFill patternType="solid">
        <fgColor rgb="FF001A12"/>
        <bgColor indexed="64"/>
      </patternFill>
    </fill>
    <fill>
      <patternFill patternType="solid">
        <fgColor rgb="FF001A13"/>
        <bgColor indexed="64"/>
      </patternFill>
    </fill>
    <fill>
      <patternFill patternType="solid">
        <fgColor rgb="FF001A14"/>
        <bgColor indexed="64"/>
      </patternFill>
    </fill>
    <fill>
      <patternFill patternType="solid">
        <fgColor rgb="FF001A15"/>
        <bgColor indexed="64"/>
      </patternFill>
    </fill>
    <fill>
      <patternFill patternType="solid">
        <fgColor rgb="FF001A16"/>
        <bgColor indexed="64"/>
      </patternFill>
    </fill>
    <fill>
      <patternFill patternType="solid">
        <fgColor rgb="FF001A17"/>
        <bgColor indexed="64"/>
      </patternFill>
    </fill>
    <fill>
      <patternFill patternType="solid">
        <fgColor rgb="FF001A18"/>
        <bgColor indexed="64"/>
      </patternFill>
    </fill>
    <fill>
      <patternFill patternType="solid">
        <fgColor rgb="FF001A19"/>
        <bgColor indexed="64"/>
      </patternFill>
    </fill>
    <fill>
      <patternFill patternType="solid">
        <fgColor rgb="FF001A1A"/>
        <bgColor indexed="64"/>
      </patternFill>
    </fill>
    <fill>
      <patternFill patternType="solid">
        <fgColor rgb="FF001A1B"/>
        <bgColor indexed="64"/>
      </patternFill>
    </fill>
    <fill>
      <patternFill patternType="solid">
        <fgColor rgb="FF001A1C"/>
        <bgColor indexed="64"/>
      </patternFill>
    </fill>
    <fill>
      <patternFill patternType="solid">
        <fgColor rgb="FF001A1D"/>
        <bgColor indexed="64"/>
      </patternFill>
    </fill>
    <fill>
      <patternFill patternType="solid">
        <fgColor rgb="FF001A1E"/>
        <bgColor indexed="64"/>
      </patternFill>
    </fill>
    <fill>
      <patternFill patternType="solid">
        <fgColor rgb="FF001A1F"/>
        <bgColor indexed="64"/>
      </patternFill>
    </fill>
    <fill>
      <patternFill patternType="solid">
        <fgColor rgb="FF001A20"/>
        <bgColor indexed="64"/>
      </patternFill>
    </fill>
    <fill>
      <patternFill patternType="solid">
        <fgColor rgb="FF001A21"/>
        <bgColor indexed="64"/>
      </patternFill>
    </fill>
    <fill>
      <patternFill patternType="solid">
        <fgColor rgb="FF001A22"/>
        <bgColor indexed="64"/>
      </patternFill>
    </fill>
    <fill>
      <patternFill patternType="solid">
        <fgColor rgb="FF001A23"/>
        <bgColor indexed="64"/>
      </patternFill>
    </fill>
    <fill>
      <patternFill patternType="solid">
        <fgColor rgb="FF001A24"/>
        <bgColor indexed="64"/>
      </patternFill>
    </fill>
    <fill>
      <patternFill patternType="solid">
        <fgColor rgb="FF001A25"/>
        <bgColor indexed="64"/>
      </patternFill>
    </fill>
    <fill>
      <patternFill patternType="solid">
        <fgColor rgb="FF001A26"/>
        <bgColor indexed="64"/>
      </patternFill>
    </fill>
    <fill>
      <patternFill patternType="solid">
        <fgColor rgb="FF001A27"/>
        <bgColor indexed="64"/>
      </patternFill>
    </fill>
    <fill>
      <patternFill patternType="solid">
        <fgColor rgb="FF001A28"/>
        <bgColor indexed="64"/>
      </patternFill>
    </fill>
    <fill>
      <patternFill patternType="solid">
        <fgColor rgb="FF001A29"/>
        <bgColor indexed="64"/>
      </patternFill>
    </fill>
    <fill>
      <patternFill patternType="solid">
        <fgColor rgb="FF001A2A"/>
        <bgColor indexed="64"/>
      </patternFill>
    </fill>
    <fill>
      <patternFill patternType="solid">
        <fgColor rgb="FF001A2B"/>
        <bgColor indexed="64"/>
      </patternFill>
    </fill>
    <fill>
      <patternFill patternType="solid">
        <fgColor rgb="FF001A2C"/>
        <bgColor indexed="64"/>
      </patternFill>
    </fill>
    <fill>
      <patternFill patternType="solid">
        <fgColor rgb="FF001A2D"/>
        <bgColor indexed="64"/>
      </patternFill>
    </fill>
    <fill>
      <patternFill patternType="solid">
        <fgColor rgb="FF001A2E"/>
        <bgColor indexed="64"/>
      </patternFill>
    </fill>
    <fill>
      <patternFill patternType="solid">
        <fgColor rgb="FF001A2F"/>
        <bgColor indexed="64"/>
      </patternFill>
    </fill>
    <fill>
      <patternFill patternType="solid">
        <fgColor rgb="FF001A30"/>
        <bgColor indexed="64"/>
      </patternFill>
    </fill>
    <fill>
      <patternFill patternType="solid">
        <fgColor rgb="FF001A31"/>
        <bgColor indexed="64"/>
      </patternFill>
    </fill>
    <fill>
      <patternFill patternType="solid">
        <fgColor rgb="FF001A32"/>
        <bgColor indexed="64"/>
      </patternFill>
    </fill>
    <fill>
      <patternFill patternType="solid">
        <fgColor rgb="FF001A33"/>
        <bgColor indexed="64"/>
      </patternFill>
    </fill>
    <fill>
      <patternFill patternType="solid">
        <fgColor rgb="FF001A34"/>
        <bgColor indexed="64"/>
      </patternFill>
    </fill>
    <fill>
      <patternFill patternType="solid">
        <fgColor rgb="FF001A35"/>
        <bgColor indexed="64"/>
      </patternFill>
    </fill>
    <fill>
      <patternFill patternType="solid">
        <fgColor rgb="FF001A36"/>
        <bgColor indexed="64"/>
      </patternFill>
    </fill>
    <fill>
      <patternFill patternType="solid">
        <fgColor rgb="FF001A37"/>
        <bgColor indexed="64"/>
      </patternFill>
    </fill>
    <fill>
      <patternFill patternType="solid">
        <fgColor rgb="FF001A38"/>
        <bgColor indexed="64"/>
      </patternFill>
    </fill>
    <fill>
      <patternFill patternType="solid">
        <fgColor rgb="FF001A39"/>
        <bgColor indexed="64"/>
      </patternFill>
    </fill>
    <fill>
      <patternFill patternType="solid">
        <fgColor rgb="FF001A3A"/>
        <bgColor indexed="64"/>
      </patternFill>
    </fill>
    <fill>
      <patternFill patternType="solid">
        <fgColor rgb="FF001A3B"/>
        <bgColor indexed="64"/>
      </patternFill>
    </fill>
    <fill>
      <patternFill patternType="solid">
        <fgColor rgb="FF001A3C"/>
        <bgColor indexed="64"/>
      </patternFill>
    </fill>
    <fill>
      <patternFill patternType="solid">
        <fgColor rgb="FF001A3D"/>
        <bgColor indexed="64"/>
      </patternFill>
    </fill>
    <fill>
      <patternFill patternType="solid">
        <fgColor rgb="FF001A3E"/>
        <bgColor indexed="64"/>
      </patternFill>
    </fill>
    <fill>
      <patternFill patternType="solid">
        <fgColor rgb="FF001A3F"/>
        <bgColor indexed="64"/>
      </patternFill>
    </fill>
    <fill>
      <patternFill patternType="solid">
        <fgColor rgb="FF001A40"/>
        <bgColor indexed="64"/>
      </patternFill>
    </fill>
    <fill>
      <patternFill patternType="solid">
        <fgColor rgb="FF001A41"/>
        <bgColor indexed="64"/>
      </patternFill>
    </fill>
    <fill>
      <patternFill patternType="solid">
        <fgColor rgb="FF001A42"/>
        <bgColor indexed="64"/>
      </patternFill>
    </fill>
    <fill>
      <patternFill patternType="solid">
        <fgColor rgb="FF001A43"/>
        <bgColor indexed="64"/>
      </patternFill>
    </fill>
    <fill>
      <patternFill patternType="solid">
        <fgColor rgb="FF001A44"/>
        <bgColor indexed="64"/>
      </patternFill>
    </fill>
    <fill>
      <patternFill patternType="solid">
        <fgColor rgb="FF001A45"/>
        <bgColor indexed="64"/>
      </patternFill>
    </fill>
    <fill>
      <patternFill patternType="solid">
        <fgColor rgb="FF001A46"/>
        <bgColor indexed="64"/>
      </patternFill>
    </fill>
    <fill>
      <patternFill patternType="solid">
        <fgColor rgb="FF001A47"/>
        <bgColor indexed="64"/>
      </patternFill>
    </fill>
    <fill>
      <patternFill patternType="solid">
        <fgColor rgb="FF001A48"/>
        <bgColor indexed="64"/>
      </patternFill>
    </fill>
    <fill>
      <patternFill patternType="solid">
        <fgColor rgb="FF001A49"/>
        <bgColor indexed="64"/>
      </patternFill>
    </fill>
    <fill>
      <patternFill patternType="solid">
        <fgColor rgb="FF001A4A"/>
        <bgColor indexed="64"/>
      </patternFill>
    </fill>
    <fill>
      <patternFill patternType="solid">
        <fgColor rgb="FF001A4B"/>
        <bgColor indexed="64"/>
      </patternFill>
    </fill>
    <fill>
      <patternFill patternType="solid">
        <fgColor rgb="FF001A4C"/>
        <bgColor indexed="64"/>
      </patternFill>
    </fill>
    <fill>
      <patternFill patternType="solid">
        <fgColor rgb="FF001A4D"/>
        <bgColor indexed="64"/>
      </patternFill>
    </fill>
    <fill>
      <patternFill patternType="solid">
        <fgColor rgb="FF001A4E"/>
        <bgColor indexed="64"/>
      </patternFill>
    </fill>
    <fill>
      <patternFill patternType="solid">
        <fgColor rgb="FF001A4F"/>
        <bgColor indexed="64"/>
      </patternFill>
    </fill>
    <fill>
      <patternFill patternType="solid">
        <fgColor rgb="FF001A50"/>
        <bgColor indexed="64"/>
      </patternFill>
    </fill>
    <fill>
      <patternFill patternType="solid">
        <fgColor rgb="FF001A51"/>
        <bgColor indexed="64"/>
      </patternFill>
    </fill>
    <fill>
      <patternFill patternType="solid">
        <fgColor rgb="FF001A52"/>
        <bgColor indexed="64"/>
      </patternFill>
    </fill>
    <fill>
      <patternFill patternType="solid">
        <fgColor rgb="FF001A53"/>
        <bgColor indexed="64"/>
      </patternFill>
    </fill>
    <fill>
      <patternFill patternType="solid">
        <fgColor rgb="FF001A54"/>
        <bgColor indexed="64"/>
      </patternFill>
    </fill>
    <fill>
      <patternFill patternType="solid">
        <fgColor rgb="FF001A55"/>
        <bgColor indexed="64"/>
      </patternFill>
    </fill>
    <fill>
      <patternFill patternType="solid">
        <fgColor rgb="FF001A56"/>
        <bgColor indexed="64"/>
      </patternFill>
    </fill>
    <fill>
      <patternFill patternType="solid">
        <fgColor rgb="FF001A57"/>
        <bgColor indexed="64"/>
      </patternFill>
    </fill>
    <fill>
      <patternFill patternType="solid">
        <fgColor rgb="FF001A58"/>
        <bgColor indexed="64"/>
      </patternFill>
    </fill>
    <fill>
      <patternFill patternType="solid">
        <fgColor rgb="FF001A59"/>
        <bgColor indexed="64"/>
      </patternFill>
    </fill>
    <fill>
      <patternFill patternType="solid">
        <fgColor rgb="FF001A5A"/>
        <bgColor indexed="64"/>
      </patternFill>
    </fill>
    <fill>
      <patternFill patternType="solid">
        <fgColor rgb="FF001A5B"/>
        <bgColor indexed="64"/>
      </patternFill>
    </fill>
    <fill>
      <patternFill patternType="solid">
        <fgColor rgb="FF001A5C"/>
        <bgColor indexed="64"/>
      </patternFill>
    </fill>
    <fill>
      <patternFill patternType="solid">
        <fgColor rgb="FF001A5D"/>
        <bgColor indexed="64"/>
      </patternFill>
    </fill>
    <fill>
      <patternFill patternType="solid">
        <fgColor rgb="FF001A5E"/>
        <bgColor indexed="64"/>
      </patternFill>
    </fill>
    <fill>
      <patternFill patternType="solid">
        <fgColor rgb="FF001A5F"/>
        <bgColor indexed="64"/>
      </patternFill>
    </fill>
    <fill>
      <patternFill patternType="solid">
        <fgColor rgb="FF001A60"/>
        <bgColor indexed="64"/>
      </patternFill>
    </fill>
    <fill>
      <patternFill patternType="solid">
        <fgColor rgb="FF001A61"/>
        <bgColor indexed="64"/>
      </patternFill>
    </fill>
    <fill>
      <patternFill patternType="solid">
        <fgColor rgb="FF001A62"/>
        <bgColor indexed="64"/>
      </patternFill>
    </fill>
    <fill>
      <patternFill patternType="solid">
        <fgColor rgb="FF001A63"/>
        <bgColor indexed="64"/>
      </patternFill>
    </fill>
    <fill>
      <patternFill patternType="solid">
        <fgColor rgb="FF001A64"/>
        <bgColor indexed="64"/>
      </patternFill>
    </fill>
    <fill>
      <patternFill patternType="solid">
        <fgColor rgb="FF001A65"/>
        <bgColor indexed="64"/>
      </patternFill>
    </fill>
    <fill>
      <patternFill patternType="solid">
        <fgColor rgb="FF001A66"/>
        <bgColor indexed="64"/>
      </patternFill>
    </fill>
    <fill>
      <patternFill patternType="solid">
        <fgColor rgb="FF001A67"/>
        <bgColor indexed="64"/>
      </patternFill>
    </fill>
    <fill>
      <patternFill patternType="solid">
        <fgColor rgb="FF001A68"/>
        <bgColor indexed="64"/>
      </patternFill>
    </fill>
    <fill>
      <patternFill patternType="solid">
        <fgColor rgb="FF001A69"/>
        <bgColor indexed="64"/>
      </patternFill>
    </fill>
    <fill>
      <patternFill patternType="solid">
        <fgColor rgb="FF001A6A"/>
        <bgColor indexed="64"/>
      </patternFill>
    </fill>
    <fill>
      <patternFill patternType="solid">
        <fgColor rgb="FF001A6B"/>
        <bgColor indexed="64"/>
      </patternFill>
    </fill>
    <fill>
      <patternFill patternType="solid">
        <fgColor rgb="FF001A6C"/>
        <bgColor indexed="64"/>
      </patternFill>
    </fill>
    <fill>
      <patternFill patternType="solid">
        <fgColor rgb="FF001A6D"/>
        <bgColor indexed="64"/>
      </patternFill>
    </fill>
    <fill>
      <patternFill patternType="solid">
        <fgColor rgb="FF001A6E"/>
        <bgColor indexed="64"/>
      </patternFill>
    </fill>
    <fill>
      <patternFill patternType="solid">
        <fgColor rgb="FF001A6F"/>
        <bgColor indexed="64"/>
      </patternFill>
    </fill>
    <fill>
      <patternFill patternType="solid">
        <fgColor rgb="FF001A70"/>
        <bgColor indexed="64"/>
      </patternFill>
    </fill>
    <fill>
      <patternFill patternType="solid">
        <fgColor rgb="FF001A71"/>
        <bgColor indexed="64"/>
      </patternFill>
    </fill>
    <fill>
      <patternFill patternType="solid">
        <fgColor rgb="FF001A72"/>
        <bgColor indexed="64"/>
      </patternFill>
    </fill>
    <fill>
      <patternFill patternType="solid">
        <fgColor rgb="FF001A73"/>
        <bgColor indexed="64"/>
      </patternFill>
    </fill>
    <fill>
      <patternFill patternType="solid">
        <fgColor rgb="FF001A74"/>
        <bgColor indexed="64"/>
      </patternFill>
    </fill>
    <fill>
      <patternFill patternType="solid">
        <fgColor rgb="FF001A75"/>
        <bgColor indexed="64"/>
      </patternFill>
    </fill>
    <fill>
      <patternFill patternType="solid">
        <fgColor rgb="FF001A76"/>
        <bgColor indexed="64"/>
      </patternFill>
    </fill>
    <fill>
      <patternFill patternType="solid">
        <fgColor rgb="FF001A77"/>
        <bgColor indexed="64"/>
      </patternFill>
    </fill>
    <fill>
      <patternFill patternType="solid">
        <fgColor rgb="FF001A78"/>
        <bgColor indexed="64"/>
      </patternFill>
    </fill>
    <fill>
      <patternFill patternType="solid">
        <fgColor rgb="FF001A79"/>
        <bgColor indexed="64"/>
      </patternFill>
    </fill>
    <fill>
      <patternFill patternType="solid">
        <fgColor rgb="FF001A7A"/>
        <bgColor indexed="64"/>
      </patternFill>
    </fill>
    <fill>
      <patternFill patternType="solid">
        <fgColor rgb="FF001A7B"/>
        <bgColor indexed="64"/>
      </patternFill>
    </fill>
    <fill>
      <patternFill patternType="solid">
        <fgColor rgb="FF001A7C"/>
        <bgColor indexed="64"/>
      </patternFill>
    </fill>
    <fill>
      <patternFill patternType="solid">
        <fgColor rgb="FF001A7D"/>
        <bgColor indexed="64"/>
      </patternFill>
    </fill>
    <fill>
      <patternFill patternType="solid">
        <fgColor rgb="FF001A7E"/>
        <bgColor indexed="64"/>
      </patternFill>
    </fill>
    <fill>
      <patternFill patternType="solid">
        <fgColor rgb="FF001A7F"/>
        <bgColor indexed="64"/>
      </patternFill>
    </fill>
    <fill>
      <patternFill patternType="solid">
        <fgColor rgb="FF001A80"/>
        <bgColor indexed="64"/>
      </patternFill>
    </fill>
    <fill>
      <patternFill patternType="solid">
        <fgColor rgb="FF001A81"/>
        <bgColor indexed="64"/>
      </patternFill>
    </fill>
    <fill>
      <patternFill patternType="solid">
        <fgColor rgb="FF001A82"/>
        <bgColor indexed="64"/>
      </patternFill>
    </fill>
    <fill>
      <patternFill patternType="solid">
        <fgColor rgb="FF001A83"/>
        <bgColor indexed="64"/>
      </patternFill>
    </fill>
    <fill>
      <patternFill patternType="solid">
        <fgColor rgb="FF001A84"/>
        <bgColor indexed="64"/>
      </patternFill>
    </fill>
    <fill>
      <patternFill patternType="solid">
        <fgColor rgb="FF001A85"/>
        <bgColor indexed="64"/>
      </patternFill>
    </fill>
    <fill>
      <patternFill patternType="solid">
        <fgColor rgb="FF001A86"/>
        <bgColor indexed="64"/>
      </patternFill>
    </fill>
    <fill>
      <patternFill patternType="solid">
        <fgColor rgb="FF001A87"/>
        <bgColor indexed="64"/>
      </patternFill>
    </fill>
    <fill>
      <patternFill patternType="solid">
        <fgColor rgb="FF001A88"/>
        <bgColor indexed="64"/>
      </patternFill>
    </fill>
    <fill>
      <patternFill patternType="solid">
        <fgColor rgb="FF001A89"/>
        <bgColor indexed="64"/>
      </patternFill>
    </fill>
    <fill>
      <patternFill patternType="solid">
        <fgColor rgb="FF001A8A"/>
        <bgColor indexed="64"/>
      </patternFill>
    </fill>
    <fill>
      <patternFill patternType="solid">
        <fgColor rgb="FF001A8B"/>
        <bgColor indexed="64"/>
      </patternFill>
    </fill>
    <fill>
      <patternFill patternType="solid">
        <fgColor rgb="FF001A8C"/>
        <bgColor indexed="64"/>
      </patternFill>
    </fill>
    <fill>
      <patternFill patternType="solid">
        <fgColor rgb="FF001A8D"/>
        <bgColor indexed="64"/>
      </patternFill>
    </fill>
    <fill>
      <patternFill patternType="solid">
        <fgColor rgb="FF001A8E"/>
        <bgColor indexed="64"/>
      </patternFill>
    </fill>
    <fill>
      <patternFill patternType="solid">
        <fgColor rgb="FF001A8F"/>
        <bgColor indexed="64"/>
      </patternFill>
    </fill>
    <fill>
      <patternFill patternType="solid">
        <fgColor rgb="FF001A90"/>
        <bgColor indexed="64"/>
      </patternFill>
    </fill>
    <fill>
      <patternFill patternType="solid">
        <fgColor rgb="FF001A91"/>
        <bgColor indexed="64"/>
      </patternFill>
    </fill>
    <fill>
      <patternFill patternType="solid">
        <fgColor rgb="FF001A92"/>
        <bgColor indexed="64"/>
      </patternFill>
    </fill>
    <fill>
      <patternFill patternType="solid">
        <fgColor rgb="FF001A93"/>
        <bgColor indexed="64"/>
      </patternFill>
    </fill>
    <fill>
      <patternFill patternType="solid">
        <fgColor rgb="FF001A94"/>
        <bgColor indexed="64"/>
      </patternFill>
    </fill>
    <fill>
      <patternFill patternType="solid">
        <fgColor rgb="FF001A95"/>
        <bgColor indexed="64"/>
      </patternFill>
    </fill>
    <fill>
      <patternFill patternType="solid">
        <fgColor rgb="FF001A96"/>
        <bgColor indexed="64"/>
      </patternFill>
    </fill>
    <fill>
      <patternFill patternType="solid">
        <fgColor rgb="FF001A97"/>
        <bgColor indexed="64"/>
      </patternFill>
    </fill>
    <fill>
      <patternFill patternType="solid">
        <fgColor rgb="FF001A98"/>
        <bgColor indexed="64"/>
      </patternFill>
    </fill>
    <fill>
      <patternFill patternType="solid">
        <fgColor rgb="FF001A99"/>
        <bgColor indexed="64"/>
      </patternFill>
    </fill>
    <fill>
      <patternFill patternType="solid">
        <fgColor rgb="FF001A9A"/>
        <bgColor indexed="64"/>
      </patternFill>
    </fill>
    <fill>
      <patternFill patternType="solid">
        <fgColor rgb="FF001A9B"/>
        <bgColor indexed="64"/>
      </patternFill>
    </fill>
    <fill>
      <patternFill patternType="solid">
        <fgColor rgb="FF001A9C"/>
        <bgColor indexed="64"/>
      </patternFill>
    </fill>
    <fill>
      <patternFill patternType="solid">
        <fgColor rgb="FF001A9D"/>
        <bgColor indexed="64"/>
      </patternFill>
    </fill>
    <fill>
      <patternFill patternType="solid">
        <fgColor rgb="FF001A9E"/>
        <bgColor indexed="64"/>
      </patternFill>
    </fill>
    <fill>
      <patternFill patternType="solid">
        <fgColor rgb="FF001A9F"/>
        <bgColor indexed="64"/>
      </patternFill>
    </fill>
    <fill>
      <patternFill patternType="solid">
        <fgColor rgb="FF001AA0"/>
        <bgColor indexed="64"/>
      </patternFill>
    </fill>
    <fill>
      <patternFill patternType="solid">
        <fgColor rgb="FF001AA1"/>
        <bgColor indexed="64"/>
      </patternFill>
    </fill>
    <fill>
      <patternFill patternType="solid">
        <fgColor rgb="FF001AA2"/>
        <bgColor indexed="64"/>
      </patternFill>
    </fill>
    <fill>
      <patternFill patternType="solid">
        <fgColor rgb="FF001AA3"/>
        <bgColor indexed="64"/>
      </patternFill>
    </fill>
    <fill>
      <patternFill patternType="solid">
        <fgColor rgb="FF001AA4"/>
        <bgColor indexed="64"/>
      </patternFill>
    </fill>
    <fill>
      <patternFill patternType="solid">
        <fgColor rgb="FF001AA5"/>
        <bgColor indexed="64"/>
      </patternFill>
    </fill>
    <fill>
      <patternFill patternType="solid">
        <fgColor rgb="FF001AA6"/>
        <bgColor indexed="64"/>
      </patternFill>
    </fill>
    <fill>
      <patternFill patternType="solid">
        <fgColor rgb="FF001AA7"/>
        <bgColor indexed="64"/>
      </patternFill>
    </fill>
    <fill>
      <patternFill patternType="solid">
        <fgColor rgb="FF001AA8"/>
        <bgColor indexed="64"/>
      </patternFill>
    </fill>
    <fill>
      <patternFill patternType="solid">
        <fgColor rgb="FF001AA9"/>
        <bgColor indexed="64"/>
      </patternFill>
    </fill>
    <fill>
      <patternFill patternType="solid">
        <fgColor rgb="FF001AAA"/>
        <bgColor indexed="64"/>
      </patternFill>
    </fill>
    <fill>
      <patternFill patternType="solid">
        <fgColor rgb="FF001AAB"/>
        <bgColor indexed="64"/>
      </patternFill>
    </fill>
    <fill>
      <patternFill patternType="solid">
        <fgColor rgb="FF001AAC"/>
        <bgColor indexed="64"/>
      </patternFill>
    </fill>
    <fill>
      <patternFill patternType="solid">
        <fgColor rgb="FF001AAD"/>
        <bgColor indexed="64"/>
      </patternFill>
    </fill>
    <fill>
      <patternFill patternType="solid">
        <fgColor rgb="FF001AAE"/>
        <bgColor indexed="64"/>
      </patternFill>
    </fill>
    <fill>
      <patternFill patternType="solid">
        <fgColor rgb="FF001AAF"/>
        <bgColor indexed="64"/>
      </patternFill>
    </fill>
    <fill>
      <patternFill patternType="solid">
        <fgColor rgb="FF001AB0"/>
        <bgColor indexed="64"/>
      </patternFill>
    </fill>
    <fill>
      <patternFill patternType="solid">
        <fgColor rgb="FF001AB1"/>
        <bgColor indexed="64"/>
      </patternFill>
    </fill>
    <fill>
      <patternFill patternType="solid">
        <fgColor rgb="FF001AB2"/>
        <bgColor indexed="64"/>
      </patternFill>
    </fill>
    <fill>
      <patternFill patternType="solid">
        <fgColor rgb="FF001AB3"/>
        <bgColor indexed="64"/>
      </patternFill>
    </fill>
    <fill>
      <patternFill patternType="solid">
        <fgColor rgb="FF001AB4"/>
        <bgColor indexed="64"/>
      </patternFill>
    </fill>
    <fill>
      <patternFill patternType="solid">
        <fgColor rgb="FF001AB5"/>
        <bgColor indexed="64"/>
      </patternFill>
    </fill>
    <fill>
      <patternFill patternType="solid">
        <fgColor rgb="FF001AB6"/>
        <bgColor indexed="64"/>
      </patternFill>
    </fill>
    <fill>
      <patternFill patternType="solid">
        <fgColor rgb="FF001AB7"/>
        <bgColor indexed="64"/>
      </patternFill>
    </fill>
    <fill>
      <patternFill patternType="solid">
        <fgColor rgb="FF001AB8"/>
        <bgColor indexed="64"/>
      </patternFill>
    </fill>
    <fill>
      <patternFill patternType="solid">
        <fgColor rgb="FF001AB9"/>
        <bgColor indexed="64"/>
      </patternFill>
    </fill>
    <fill>
      <patternFill patternType="solid">
        <fgColor rgb="FF001ABA"/>
        <bgColor indexed="64"/>
      </patternFill>
    </fill>
    <fill>
      <patternFill patternType="solid">
        <fgColor rgb="FF001ABB"/>
        <bgColor indexed="64"/>
      </patternFill>
    </fill>
    <fill>
      <patternFill patternType="solid">
        <fgColor rgb="FF001ABC"/>
        <bgColor indexed="64"/>
      </patternFill>
    </fill>
    <fill>
      <patternFill patternType="solid">
        <fgColor rgb="FF001ABD"/>
        <bgColor indexed="64"/>
      </patternFill>
    </fill>
    <fill>
      <patternFill patternType="solid">
        <fgColor rgb="FF001ABE"/>
        <bgColor indexed="64"/>
      </patternFill>
    </fill>
    <fill>
      <patternFill patternType="solid">
        <fgColor rgb="FF001ABF"/>
        <bgColor indexed="64"/>
      </patternFill>
    </fill>
    <fill>
      <patternFill patternType="solid">
        <fgColor rgb="FF001AC0"/>
        <bgColor indexed="64"/>
      </patternFill>
    </fill>
    <fill>
      <patternFill patternType="solid">
        <fgColor rgb="FF001AC1"/>
        <bgColor indexed="64"/>
      </patternFill>
    </fill>
    <fill>
      <patternFill patternType="solid">
        <fgColor rgb="FF001AC2"/>
        <bgColor indexed="64"/>
      </patternFill>
    </fill>
    <fill>
      <patternFill patternType="solid">
        <fgColor rgb="FF001AC3"/>
        <bgColor indexed="64"/>
      </patternFill>
    </fill>
    <fill>
      <patternFill patternType="solid">
        <fgColor rgb="FF001AC4"/>
        <bgColor indexed="64"/>
      </patternFill>
    </fill>
    <fill>
      <patternFill patternType="solid">
        <fgColor rgb="FF001AC5"/>
        <bgColor indexed="64"/>
      </patternFill>
    </fill>
    <fill>
      <patternFill patternType="solid">
        <fgColor rgb="FF001AC6"/>
        <bgColor indexed="64"/>
      </patternFill>
    </fill>
    <fill>
      <patternFill patternType="solid">
        <fgColor rgb="FF001AC7"/>
        <bgColor indexed="64"/>
      </patternFill>
    </fill>
    <fill>
      <patternFill patternType="solid">
        <fgColor rgb="FF001AC8"/>
        <bgColor indexed="64"/>
      </patternFill>
    </fill>
    <fill>
      <patternFill patternType="solid">
        <fgColor rgb="FF001AC9"/>
        <bgColor indexed="64"/>
      </patternFill>
    </fill>
    <fill>
      <patternFill patternType="solid">
        <fgColor rgb="FF001ACA"/>
        <bgColor indexed="64"/>
      </patternFill>
    </fill>
    <fill>
      <patternFill patternType="solid">
        <fgColor rgb="FF001ACB"/>
        <bgColor indexed="64"/>
      </patternFill>
    </fill>
    <fill>
      <patternFill patternType="solid">
        <fgColor rgb="FF001ACC"/>
        <bgColor indexed="64"/>
      </patternFill>
    </fill>
    <fill>
      <patternFill patternType="solid">
        <fgColor rgb="FF001ACD"/>
        <bgColor indexed="64"/>
      </patternFill>
    </fill>
    <fill>
      <patternFill patternType="solid">
        <fgColor rgb="FF001ACE"/>
        <bgColor indexed="64"/>
      </patternFill>
    </fill>
    <fill>
      <patternFill patternType="solid">
        <fgColor rgb="FF001ACF"/>
        <bgColor indexed="64"/>
      </patternFill>
    </fill>
    <fill>
      <patternFill patternType="solid">
        <fgColor rgb="FF001AD0"/>
        <bgColor indexed="64"/>
      </patternFill>
    </fill>
    <fill>
      <patternFill patternType="solid">
        <fgColor rgb="FF001AD1"/>
        <bgColor indexed="64"/>
      </patternFill>
    </fill>
    <fill>
      <patternFill patternType="solid">
        <fgColor rgb="FF001AD2"/>
        <bgColor indexed="64"/>
      </patternFill>
    </fill>
    <fill>
      <patternFill patternType="solid">
        <fgColor rgb="FF001AD3"/>
        <bgColor indexed="64"/>
      </patternFill>
    </fill>
    <fill>
      <patternFill patternType="solid">
        <fgColor rgb="FF001AD4"/>
        <bgColor indexed="64"/>
      </patternFill>
    </fill>
    <fill>
      <patternFill patternType="solid">
        <fgColor rgb="FF001AD5"/>
        <bgColor indexed="64"/>
      </patternFill>
    </fill>
    <fill>
      <patternFill patternType="solid">
        <fgColor rgb="FF001AD6"/>
        <bgColor indexed="64"/>
      </patternFill>
    </fill>
    <fill>
      <patternFill patternType="solid">
        <fgColor rgb="FF001AD7"/>
        <bgColor indexed="64"/>
      </patternFill>
    </fill>
    <fill>
      <patternFill patternType="solid">
        <fgColor rgb="FF001AD8"/>
        <bgColor indexed="64"/>
      </patternFill>
    </fill>
    <fill>
      <patternFill patternType="solid">
        <fgColor rgb="FF001AD9"/>
        <bgColor indexed="64"/>
      </patternFill>
    </fill>
    <fill>
      <patternFill patternType="solid">
        <fgColor rgb="FF001ADA"/>
        <bgColor indexed="64"/>
      </patternFill>
    </fill>
    <fill>
      <patternFill patternType="solid">
        <fgColor rgb="FF001ADB"/>
        <bgColor indexed="64"/>
      </patternFill>
    </fill>
    <fill>
      <patternFill patternType="solid">
        <fgColor rgb="FF001ADC"/>
        <bgColor indexed="64"/>
      </patternFill>
    </fill>
    <fill>
      <patternFill patternType="solid">
        <fgColor rgb="FF001ADD"/>
        <bgColor indexed="64"/>
      </patternFill>
    </fill>
    <fill>
      <patternFill patternType="solid">
        <fgColor rgb="FF001ADE"/>
        <bgColor indexed="64"/>
      </patternFill>
    </fill>
    <fill>
      <patternFill patternType="solid">
        <fgColor rgb="FF001ADF"/>
        <bgColor indexed="64"/>
      </patternFill>
    </fill>
    <fill>
      <patternFill patternType="solid">
        <fgColor rgb="FF001AE0"/>
        <bgColor indexed="64"/>
      </patternFill>
    </fill>
    <fill>
      <patternFill patternType="solid">
        <fgColor rgb="FF001AE1"/>
        <bgColor indexed="64"/>
      </patternFill>
    </fill>
    <fill>
      <patternFill patternType="solid">
        <fgColor rgb="FF001AE2"/>
        <bgColor indexed="64"/>
      </patternFill>
    </fill>
    <fill>
      <patternFill patternType="solid">
        <fgColor rgb="FF001AE3"/>
        <bgColor indexed="64"/>
      </patternFill>
    </fill>
    <fill>
      <patternFill patternType="solid">
        <fgColor rgb="FF001AE4"/>
        <bgColor indexed="64"/>
      </patternFill>
    </fill>
    <fill>
      <patternFill patternType="solid">
        <fgColor rgb="FF001AE5"/>
        <bgColor indexed="64"/>
      </patternFill>
    </fill>
    <fill>
      <patternFill patternType="solid">
        <fgColor rgb="FF001AE6"/>
        <bgColor indexed="64"/>
      </patternFill>
    </fill>
    <fill>
      <patternFill patternType="solid">
        <fgColor rgb="FF001AE7"/>
        <bgColor indexed="64"/>
      </patternFill>
    </fill>
    <fill>
      <patternFill patternType="solid">
        <fgColor rgb="FF001AE8"/>
        <bgColor indexed="64"/>
      </patternFill>
    </fill>
    <fill>
      <patternFill patternType="solid">
        <fgColor rgb="FF001AE9"/>
        <bgColor indexed="64"/>
      </patternFill>
    </fill>
    <fill>
      <patternFill patternType="solid">
        <fgColor rgb="FF001AEA"/>
        <bgColor indexed="64"/>
      </patternFill>
    </fill>
    <fill>
      <patternFill patternType="solid">
        <fgColor rgb="FF001AEB"/>
        <bgColor indexed="64"/>
      </patternFill>
    </fill>
    <fill>
      <patternFill patternType="solid">
        <fgColor rgb="FF001AEC"/>
        <bgColor indexed="64"/>
      </patternFill>
    </fill>
    <fill>
      <patternFill patternType="solid">
        <fgColor rgb="FF001AED"/>
        <bgColor indexed="64"/>
      </patternFill>
    </fill>
    <fill>
      <patternFill patternType="solid">
        <fgColor rgb="FF001AEE"/>
        <bgColor indexed="64"/>
      </patternFill>
    </fill>
    <fill>
      <patternFill patternType="solid">
        <fgColor rgb="FF001AEF"/>
        <bgColor indexed="64"/>
      </patternFill>
    </fill>
    <fill>
      <patternFill patternType="solid">
        <fgColor rgb="FF001AF0"/>
        <bgColor indexed="64"/>
      </patternFill>
    </fill>
    <fill>
      <patternFill patternType="solid">
        <fgColor rgb="FF001AF1"/>
        <bgColor indexed="64"/>
      </patternFill>
    </fill>
    <fill>
      <patternFill patternType="solid">
        <fgColor rgb="FF001AF2"/>
        <bgColor indexed="64"/>
      </patternFill>
    </fill>
    <fill>
      <patternFill patternType="solid">
        <fgColor rgb="FF001AF3"/>
        <bgColor indexed="64"/>
      </patternFill>
    </fill>
    <fill>
      <patternFill patternType="solid">
        <fgColor rgb="FF001AF4"/>
        <bgColor indexed="64"/>
      </patternFill>
    </fill>
    <fill>
      <patternFill patternType="solid">
        <fgColor rgb="FF001AF5"/>
        <bgColor indexed="64"/>
      </patternFill>
    </fill>
    <fill>
      <patternFill patternType="solid">
        <fgColor rgb="FF001AF6"/>
        <bgColor indexed="64"/>
      </patternFill>
    </fill>
    <fill>
      <patternFill patternType="solid">
        <fgColor rgb="FF001AF7"/>
        <bgColor indexed="64"/>
      </patternFill>
    </fill>
    <fill>
      <patternFill patternType="solid">
        <fgColor rgb="FF001AF8"/>
        <bgColor indexed="64"/>
      </patternFill>
    </fill>
    <fill>
      <patternFill patternType="solid">
        <fgColor rgb="FF001AF9"/>
        <bgColor indexed="64"/>
      </patternFill>
    </fill>
    <fill>
      <patternFill patternType="solid">
        <fgColor rgb="FF001AFA"/>
        <bgColor indexed="64"/>
      </patternFill>
    </fill>
    <fill>
      <patternFill patternType="solid">
        <fgColor rgb="FF001AFB"/>
        <bgColor indexed="64"/>
      </patternFill>
    </fill>
    <fill>
      <patternFill patternType="solid">
        <fgColor rgb="FF001AFC"/>
        <bgColor indexed="64"/>
      </patternFill>
    </fill>
    <fill>
      <patternFill patternType="solid">
        <fgColor rgb="FF001AFD"/>
        <bgColor indexed="64"/>
      </patternFill>
    </fill>
    <fill>
      <patternFill patternType="solid">
        <fgColor rgb="FF001AFE"/>
        <bgColor indexed="64"/>
      </patternFill>
    </fill>
    <fill>
      <patternFill patternType="solid">
        <fgColor rgb="FF001AFF"/>
        <bgColor indexed="64"/>
      </patternFill>
    </fill>
    <fill>
      <patternFill patternType="solid">
        <fgColor rgb="FF001B00"/>
        <bgColor indexed="64"/>
      </patternFill>
    </fill>
    <fill>
      <patternFill patternType="solid">
        <fgColor rgb="FF001B01"/>
        <bgColor indexed="64"/>
      </patternFill>
    </fill>
    <fill>
      <patternFill patternType="solid">
        <fgColor rgb="FF001B02"/>
        <bgColor indexed="64"/>
      </patternFill>
    </fill>
    <fill>
      <patternFill patternType="solid">
        <fgColor rgb="FF001B03"/>
        <bgColor indexed="64"/>
      </patternFill>
    </fill>
    <fill>
      <patternFill patternType="solid">
        <fgColor rgb="FF001B04"/>
        <bgColor indexed="64"/>
      </patternFill>
    </fill>
    <fill>
      <patternFill patternType="solid">
        <fgColor rgb="FF001B05"/>
        <bgColor indexed="64"/>
      </patternFill>
    </fill>
    <fill>
      <patternFill patternType="solid">
        <fgColor rgb="FF001B06"/>
        <bgColor indexed="64"/>
      </patternFill>
    </fill>
    <fill>
      <patternFill patternType="solid">
        <fgColor rgb="FF001B07"/>
        <bgColor indexed="64"/>
      </patternFill>
    </fill>
    <fill>
      <patternFill patternType="solid">
        <fgColor rgb="FF001B08"/>
        <bgColor indexed="64"/>
      </patternFill>
    </fill>
    <fill>
      <patternFill patternType="solid">
        <fgColor rgb="FF001B09"/>
        <bgColor indexed="64"/>
      </patternFill>
    </fill>
    <fill>
      <patternFill patternType="solid">
        <fgColor rgb="FF001B0A"/>
        <bgColor indexed="64"/>
      </patternFill>
    </fill>
    <fill>
      <patternFill patternType="solid">
        <fgColor rgb="FF001B0B"/>
        <bgColor indexed="64"/>
      </patternFill>
    </fill>
    <fill>
      <patternFill patternType="solid">
        <fgColor rgb="FF001B0C"/>
        <bgColor indexed="64"/>
      </patternFill>
    </fill>
    <fill>
      <patternFill patternType="solid">
        <fgColor rgb="FF001B0D"/>
        <bgColor indexed="64"/>
      </patternFill>
    </fill>
    <fill>
      <patternFill patternType="solid">
        <fgColor rgb="FF001B0E"/>
        <bgColor indexed="64"/>
      </patternFill>
    </fill>
    <fill>
      <patternFill patternType="solid">
        <fgColor rgb="FF001B0F"/>
        <bgColor indexed="64"/>
      </patternFill>
    </fill>
    <fill>
      <patternFill patternType="solid">
        <fgColor rgb="FF001B10"/>
        <bgColor indexed="64"/>
      </patternFill>
    </fill>
    <fill>
      <patternFill patternType="solid">
        <fgColor rgb="FF001B11"/>
        <bgColor indexed="64"/>
      </patternFill>
    </fill>
    <fill>
      <patternFill patternType="solid">
        <fgColor rgb="FF001B12"/>
        <bgColor indexed="64"/>
      </patternFill>
    </fill>
    <fill>
      <patternFill patternType="solid">
        <fgColor rgb="FF001B13"/>
        <bgColor indexed="64"/>
      </patternFill>
    </fill>
    <fill>
      <patternFill patternType="solid">
        <fgColor rgb="FF001B14"/>
        <bgColor indexed="64"/>
      </patternFill>
    </fill>
    <fill>
      <patternFill patternType="solid">
        <fgColor rgb="FF001B15"/>
        <bgColor indexed="64"/>
      </patternFill>
    </fill>
    <fill>
      <patternFill patternType="solid">
        <fgColor rgb="FF001B16"/>
        <bgColor indexed="64"/>
      </patternFill>
    </fill>
    <fill>
      <patternFill patternType="solid">
        <fgColor rgb="FF001B17"/>
        <bgColor indexed="64"/>
      </patternFill>
    </fill>
    <fill>
      <patternFill patternType="solid">
        <fgColor rgb="FF001B18"/>
        <bgColor indexed="64"/>
      </patternFill>
    </fill>
    <fill>
      <patternFill patternType="solid">
        <fgColor rgb="FF001B19"/>
        <bgColor indexed="64"/>
      </patternFill>
    </fill>
    <fill>
      <patternFill patternType="solid">
        <fgColor rgb="FF001B1A"/>
        <bgColor indexed="64"/>
      </patternFill>
    </fill>
    <fill>
      <patternFill patternType="solid">
        <fgColor rgb="FF001B1B"/>
        <bgColor indexed="64"/>
      </patternFill>
    </fill>
    <fill>
      <patternFill patternType="solid">
        <fgColor rgb="FF001B1C"/>
        <bgColor indexed="64"/>
      </patternFill>
    </fill>
    <fill>
      <patternFill patternType="solid">
        <fgColor rgb="FF001B1D"/>
        <bgColor indexed="64"/>
      </patternFill>
    </fill>
    <fill>
      <patternFill patternType="solid">
        <fgColor rgb="FF001B1E"/>
        <bgColor indexed="64"/>
      </patternFill>
    </fill>
    <fill>
      <patternFill patternType="solid">
        <fgColor rgb="FF001B1F"/>
        <bgColor indexed="64"/>
      </patternFill>
    </fill>
    <fill>
      <patternFill patternType="solid">
        <fgColor rgb="FF001B20"/>
        <bgColor indexed="64"/>
      </patternFill>
    </fill>
    <fill>
      <patternFill patternType="solid">
        <fgColor rgb="FF001B21"/>
        <bgColor indexed="64"/>
      </patternFill>
    </fill>
    <fill>
      <patternFill patternType="solid">
        <fgColor rgb="FF001B22"/>
        <bgColor indexed="64"/>
      </patternFill>
    </fill>
    <fill>
      <patternFill patternType="solid">
        <fgColor rgb="FF001B23"/>
        <bgColor indexed="64"/>
      </patternFill>
    </fill>
    <fill>
      <patternFill patternType="solid">
        <fgColor rgb="FF001B24"/>
        <bgColor indexed="64"/>
      </patternFill>
    </fill>
    <fill>
      <patternFill patternType="solid">
        <fgColor rgb="FF001B25"/>
        <bgColor indexed="64"/>
      </patternFill>
    </fill>
    <fill>
      <patternFill patternType="solid">
        <fgColor rgb="FF001B26"/>
        <bgColor indexed="64"/>
      </patternFill>
    </fill>
    <fill>
      <patternFill patternType="solid">
        <fgColor rgb="FF001B27"/>
        <bgColor indexed="64"/>
      </patternFill>
    </fill>
    <fill>
      <patternFill patternType="solid">
        <fgColor rgb="FF001B28"/>
        <bgColor indexed="64"/>
      </patternFill>
    </fill>
    <fill>
      <patternFill patternType="solid">
        <fgColor rgb="FF001B29"/>
        <bgColor indexed="64"/>
      </patternFill>
    </fill>
    <fill>
      <patternFill patternType="solid">
        <fgColor rgb="FF001B2A"/>
        <bgColor indexed="64"/>
      </patternFill>
    </fill>
    <fill>
      <patternFill patternType="solid">
        <fgColor rgb="FF001B2B"/>
        <bgColor indexed="64"/>
      </patternFill>
    </fill>
    <fill>
      <patternFill patternType="solid">
        <fgColor rgb="FF001B2C"/>
        <bgColor indexed="64"/>
      </patternFill>
    </fill>
    <fill>
      <patternFill patternType="solid">
        <fgColor rgb="FF001B2D"/>
        <bgColor indexed="64"/>
      </patternFill>
    </fill>
    <fill>
      <patternFill patternType="solid">
        <fgColor rgb="FF001B2E"/>
        <bgColor indexed="64"/>
      </patternFill>
    </fill>
    <fill>
      <patternFill patternType="solid">
        <fgColor rgb="FF001B2F"/>
        <bgColor indexed="64"/>
      </patternFill>
    </fill>
    <fill>
      <patternFill patternType="solid">
        <fgColor rgb="FF001B30"/>
        <bgColor indexed="64"/>
      </patternFill>
    </fill>
    <fill>
      <patternFill patternType="solid">
        <fgColor rgb="FF001B31"/>
        <bgColor indexed="64"/>
      </patternFill>
    </fill>
    <fill>
      <patternFill patternType="solid">
        <fgColor rgb="FF001B32"/>
        <bgColor indexed="64"/>
      </patternFill>
    </fill>
    <fill>
      <patternFill patternType="solid">
        <fgColor rgb="FF001B33"/>
        <bgColor indexed="64"/>
      </patternFill>
    </fill>
    <fill>
      <patternFill patternType="solid">
        <fgColor rgb="FF001B34"/>
        <bgColor indexed="64"/>
      </patternFill>
    </fill>
    <fill>
      <patternFill patternType="solid">
        <fgColor rgb="FF001B35"/>
        <bgColor indexed="64"/>
      </patternFill>
    </fill>
    <fill>
      <patternFill patternType="solid">
        <fgColor rgb="FF001B36"/>
        <bgColor indexed="64"/>
      </patternFill>
    </fill>
    <fill>
      <patternFill patternType="solid">
        <fgColor rgb="FF001B37"/>
        <bgColor indexed="64"/>
      </patternFill>
    </fill>
    <fill>
      <patternFill patternType="solid">
        <fgColor rgb="FF001B38"/>
        <bgColor indexed="64"/>
      </patternFill>
    </fill>
    <fill>
      <patternFill patternType="solid">
        <fgColor rgb="FF001B39"/>
        <bgColor indexed="64"/>
      </patternFill>
    </fill>
    <fill>
      <patternFill patternType="solid">
        <fgColor rgb="FF001B3A"/>
        <bgColor indexed="64"/>
      </patternFill>
    </fill>
    <fill>
      <patternFill patternType="solid">
        <fgColor rgb="FF001B3B"/>
        <bgColor indexed="64"/>
      </patternFill>
    </fill>
    <fill>
      <patternFill patternType="solid">
        <fgColor rgb="FF001B3C"/>
        <bgColor indexed="64"/>
      </patternFill>
    </fill>
    <fill>
      <patternFill patternType="solid">
        <fgColor rgb="FF001B3D"/>
        <bgColor indexed="64"/>
      </patternFill>
    </fill>
    <fill>
      <patternFill patternType="solid">
        <fgColor rgb="FF001B3E"/>
        <bgColor indexed="64"/>
      </patternFill>
    </fill>
    <fill>
      <patternFill patternType="solid">
        <fgColor rgb="FF001B3F"/>
        <bgColor indexed="64"/>
      </patternFill>
    </fill>
    <fill>
      <patternFill patternType="solid">
        <fgColor rgb="FF001B40"/>
        <bgColor indexed="64"/>
      </patternFill>
    </fill>
    <fill>
      <patternFill patternType="solid">
        <fgColor rgb="FF001B41"/>
        <bgColor indexed="64"/>
      </patternFill>
    </fill>
    <fill>
      <patternFill patternType="solid">
        <fgColor rgb="FF001B42"/>
        <bgColor indexed="64"/>
      </patternFill>
    </fill>
    <fill>
      <patternFill patternType="solid">
        <fgColor rgb="FF001B43"/>
        <bgColor indexed="64"/>
      </patternFill>
    </fill>
    <fill>
      <patternFill patternType="solid">
        <fgColor rgb="FF001B44"/>
        <bgColor indexed="64"/>
      </patternFill>
    </fill>
    <fill>
      <patternFill patternType="solid">
        <fgColor rgb="FF001B45"/>
        <bgColor indexed="64"/>
      </patternFill>
    </fill>
    <fill>
      <patternFill patternType="solid">
        <fgColor rgb="FF001B46"/>
        <bgColor indexed="64"/>
      </patternFill>
    </fill>
    <fill>
      <patternFill patternType="solid">
        <fgColor rgb="FF001B47"/>
        <bgColor indexed="64"/>
      </patternFill>
    </fill>
    <fill>
      <patternFill patternType="solid">
        <fgColor rgb="FF001B48"/>
        <bgColor indexed="64"/>
      </patternFill>
    </fill>
    <fill>
      <patternFill patternType="solid">
        <fgColor rgb="FF001B49"/>
        <bgColor indexed="64"/>
      </patternFill>
    </fill>
    <fill>
      <patternFill patternType="solid">
        <fgColor rgb="FF001B4A"/>
        <bgColor indexed="64"/>
      </patternFill>
    </fill>
    <fill>
      <patternFill patternType="solid">
        <fgColor rgb="FF001B4B"/>
        <bgColor indexed="64"/>
      </patternFill>
    </fill>
    <fill>
      <patternFill patternType="solid">
        <fgColor rgb="FF001B4C"/>
        <bgColor indexed="64"/>
      </patternFill>
    </fill>
    <fill>
      <patternFill patternType="solid">
        <fgColor rgb="FF001B4D"/>
        <bgColor indexed="64"/>
      </patternFill>
    </fill>
    <fill>
      <patternFill patternType="solid">
        <fgColor rgb="FF001B4E"/>
        <bgColor indexed="64"/>
      </patternFill>
    </fill>
    <fill>
      <patternFill patternType="solid">
        <fgColor rgb="FF001B4F"/>
        <bgColor indexed="64"/>
      </patternFill>
    </fill>
    <fill>
      <patternFill patternType="solid">
        <fgColor rgb="FF001B50"/>
        <bgColor indexed="64"/>
      </patternFill>
    </fill>
    <fill>
      <patternFill patternType="solid">
        <fgColor rgb="FF001B51"/>
        <bgColor indexed="64"/>
      </patternFill>
    </fill>
    <fill>
      <patternFill patternType="solid">
        <fgColor rgb="FF001B52"/>
        <bgColor indexed="64"/>
      </patternFill>
    </fill>
    <fill>
      <patternFill patternType="solid">
        <fgColor rgb="FF001B53"/>
        <bgColor indexed="64"/>
      </patternFill>
    </fill>
    <fill>
      <patternFill patternType="solid">
        <fgColor rgb="FF001B54"/>
        <bgColor indexed="64"/>
      </patternFill>
    </fill>
    <fill>
      <patternFill patternType="solid">
        <fgColor rgb="FF001B55"/>
        <bgColor indexed="64"/>
      </patternFill>
    </fill>
    <fill>
      <patternFill patternType="solid">
        <fgColor rgb="FF001B56"/>
        <bgColor indexed="64"/>
      </patternFill>
    </fill>
    <fill>
      <patternFill patternType="solid">
        <fgColor rgb="FF001B57"/>
        <bgColor indexed="64"/>
      </patternFill>
    </fill>
    <fill>
      <patternFill patternType="solid">
        <fgColor rgb="FF001B58"/>
        <bgColor indexed="64"/>
      </patternFill>
    </fill>
    <fill>
      <patternFill patternType="solid">
        <fgColor rgb="FF001B59"/>
        <bgColor indexed="64"/>
      </patternFill>
    </fill>
    <fill>
      <patternFill patternType="solid">
        <fgColor rgb="FF001B5A"/>
        <bgColor indexed="64"/>
      </patternFill>
    </fill>
    <fill>
      <patternFill patternType="solid">
        <fgColor rgb="FF001B5B"/>
        <bgColor indexed="64"/>
      </patternFill>
    </fill>
    <fill>
      <patternFill patternType="solid">
        <fgColor rgb="FF001B5C"/>
        <bgColor indexed="64"/>
      </patternFill>
    </fill>
    <fill>
      <patternFill patternType="solid">
        <fgColor rgb="FF001B5D"/>
        <bgColor indexed="64"/>
      </patternFill>
    </fill>
    <fill>
      <patternFill patternType="solid">
        <fgColor rgb="FF001B5E"/>
        <bgColor indexed="64"/>
      </patternFill>
    </fill>
    <fill>
      <patternFill patternType="solid">
        <fgColor rgb="FF001B5F"/>
        <bgColor indexed="64"/>
      </patternFill>
    </fill>
    <fill>
      <patternFill patternType="solid">
        <fgColor rgb="FF001B60"/>
        <bgColor indexed="64"/>
      </patternFill>
    </fill>
    <fill>
      <patternFill patternType="solid">
        <fgColor rgb="FF001B61"/>
        <bgColor indexed="64"/>
      </patternFill>
    </fill>
    <fill>
      <patternFill patternType="solid">
        <fgColor rgb="FF001B62"/>
        <bgColor indexed="64"/>
      </patternFill>
    </fill>
    <fill>
      <patternFill patternType="solid">
        <fgColor rgb="FF001B63"/>
        <bgColor indexed="64"/>
      </patternFill>
    </fill>
    <fill>
      <patternFill patternType="solid">
        <fgColor rgb="FF001B64"/>
        <bgColor indexed="64"/>
      </patternFill>
    </fill>
    <fill>
      <patternFill patternType="solid">
        <fgColor rgb="FF001B65"/>
        <bgColor indexed="64"/>
      </patternFill>
    </fill>
    <fill>
      <patternFill patternType="solid">
        <fgColor rgb="FF001B66"/>
        <bgColor indexed="64"/>
      </patternFill>
    </fill>
    <fill>
      <patternFill patternType="solid">
        <fgColor rgb="FF001B67"/>
        <bgColor indexed="64"/>
      </patternFill>
    </fill>
    <fill>
      <patternFill patternType="solid">
        <fgColor rgb="FF001B68"/>
        <bgColor indexed="64"/>
      </patternFill>
    </fill>
    <fill>
      <patternFill patternType="solid">
        <fgColor rgb="FF001B69"/>
        <bgColor indexed="64"/>
      </patternFill>
    </fill>
    <fill>
      <patternFill patternType="solid">
        <fgColor rgb="FF001B6A"/>
        <bgColor indexed="64"/>
      </patternFill>
    </fill>
    <fill>
      <patternFill patternType="solid">
        <fgColor rgb="FF001B6B"/>
        <bgColor indexed="64"/>
      </patternFill>
    </fill>
    <fill>
      <patternFill patternType="solid">
        <fgColor rgb="FF001B6C"/>
        <bgColor indexed="64"/>
      </patternFill>
    </fill>
    <fill>
      <patternFill patternType="solid">
        <fgColor rgb="FF001B6D"/>
        <bgColor indexed="64"/>
      </patternFill>
    </fill>
    <fill>
      <patternFill patternType="solid">
        <fgColor rgb="FF001B6E"/>
        <bgColor indexed="64"/>
      </patternFill>
    </fill>
    <fill>
      <patternFill patternType="solid">
        <fgColor rgb="FF001B6F"/>
        <bgColor indexed="64"/>
      </patternFill>
    </fill>
    <fill>
      <patternFill patternType="solid">
        <fgColor rgb="FF001B70"/>
        <bgColor indexed="64"/>
      </patternFill>
    </fill>
    <fill>
      <patternFill patternType="solid">
        <fgColor rgb="FF001B71"/>
        <bgColor indexed="64"/>
      </patternFill>
    </fill>
    <fill>
      <patternFill patternType="solid">
        <fgColor rgb="FF001B72"/>
        <bgColor indexed="64"/>
      </patternFill>
    </fill>
    <fill>
      <patternFill patternType="solid">
        <fgColor rgb="FF001B73"/>
        <bgColor indexed="64"/>
      </patternFill>
    </fill>
    <fill>
      <patternFill patternType="solid">
        <fgColor rgb="FF001B74"/>
        <bgColor indexed="64"/>
      </patternFill>
    </fill>
    <fill>
      <patternFill patternType="solid">
        <fgColor rgb="FF001B75"/>
        <bgColor indexed="64"/>
      </patternFill>
    </fill>
    <fill>
      <patternFill patternType="solid">
        <fgColor rgb="FF001B76"/>
        <bgColor indexed="64"/>
      </patternFill>
    </fill>
    <fill>
      <patternFill patternType="solid">
        <fgColor rgb="FF001B77"/>
        <bgColor indexed="64"/>
      </patternFill>
    </fill>
    <fill>
      <patternFill patternType="solid">
        <fgColor rgb="FF001B78"/>
        <bgColor indexed="64"/>
      </patternFill>
    </fill>
    <fill>
      <patternFill patternType="solid">
        <fgColor rgb="FF001B79"/>
        <bgColor indexed="64"/>
      </patternFill>
    </fill>
    <fill>
      <patternFill patternType="solid">
        <fgColor rgb="FF001B7A"/>
        <bgColor indexed="64"/>
      </patternFill>
    </fill>
    <fill>
      <patternFill patternType="solid">
        <fgColor rgb="FF001B7B"/>
        <bgColor indexed="64"/>
      </patternFill>
    </fill>
    <fill>
      <patternFill patternType="solid">
        <fgColor rgb="FF001B7C"/>
        <bgColor indexed="64"/>
      </patternFill>
    </fill>
    <fill>
      <patternFill patternType="solid">
        <fgColor rgb="FF001B7D"/>
        <bgColor indexed="64"/>
      </patternFill>
    </fill>
    <fill>
      <patternFill patternType="solid">
        <fgColor rgb="FF001B7E"/>
        <bgColor indexed="64"/>
      </patternFill>
    </fill>
    <fill>
      <patternFill patternType="solid">
        <fgColor rgb="FF001B7F"/>
        <bgColor indexed="64"/>
      </patternFill>
    </fill>
    <fill>
      <patternFill patternType="solid">
        <fgColor rgb="FF001B80"/>
        <bgColor indexed="64"/>
      </patternFill>
    </fill>
    <fill>
      <patternFill patternType="solid">
        <fgColor rgb="FF001B81"/>
        <bgColor indexed="64"/>
      </patternFill>
    </fill>
    <fill>
      <patternFill patternType="solid">
        <fgColor rgb="FF001B82"/>
        <bgColor indexed="64"/>
      </patternFill>
    </fill>
    <fill>
      <patternFill patternType="solid">
        <fgColor rgb="FF001B83"/>
        <bgColor indexed="64"/>
      </patternFill>
    </fill>
    <fill>
      <patternFill patternType="solid">
        <fgColor rgb="FF001B84"/>
        <bgColor indexed="64"/>
      </patternFill>
    </fill>
    <fill>
      <patternFill patternType="solid">
        <fgColor rgb="FF001B85"/>
        <bgColor indexed="64"/>
      </patternFill>
    </fill>
    <fill>
      <patternFill patternType="solid">
        <fgColor rgb="FF001B86"/>
        <bgColor indexed="64"/>
      </patternFill>
    </fill>
    <fill>
      <patternFill patternType="solid">
        <fgColor rgb="FF001B87"/>
        <bgColor indexed="64"/>
      </patternFill>
    </fill>
    <fill>
      <patternFill patternType="solid">
        <fgColor rgb="FF001B88"/>
        <bgColor indexed="64"/>
      </patternFill>
    </fill>
    <fill>
      <patternFill patternType="solid">
        <fgColor rgb="FF001B89"/>
        <bgColor indexed="64"/>
      </patternFill>
    </fill>
    <fill>
      <patternFill patternType="solid">
        <fgColor rgb="FF001B8A"/>
        <bgColor indexed="64"/>
      </patternFill>
    </fill>
    <fill>
      <patternFill patternType="solid">
        <fgColor rgb="FF001B8B"/>
        <bgColor indexed="64"/>
      </patternFill>
    </fill>
    <fill>
      <patternFill patternType="solid">
        <fgColor rgb="FF001B8C"/>
        <bgColor indexed="64"/>
      </patternFill>
    </fill>
    <fill>
      <patternFill patternType="solid">
        <fgColor rgb="FF001B8D"/>
        <bgColor indexed="64"/>
      </patternFill>
    </fill>
    <fill>
      <patternFill patternType="solid">
        <fgColor rgb="FF001B8E"/>
        <bgColor indexed="64"/>
      </patternFill>
    </fill>
    <fill>
      <patternFill patternType="solid">
        <fgColor rgb="FF001B8F"/>
        <bgColor indexed="64"/>
      </patternFill>
    </fill>
    <fill>
      <patternFill patternType="solid">
        <fgColor rgb="FF001B90"/>
        <bgColor indexed="64"/>
      </patternFill>
    </fill>
    <fill>
      <patternFill patternType="solid">
        <fgColor rgb="FF001B91"/>
        <bgColor indexed="64"/>
      </patternFill>
    </fill>
    <fill>
      <patternFill patternType="solid">
        <fgColor rgb="FF001B92"/>
        <bgColor indexed="64"/>
      </patternFill>
    </fill>
    <fill>
      <patternFill patternType="solid">
        <fgColor rgb="FF001B93"/>
        <bgColor indexed="64"/>
      </patternFill>
    </fill>
    <fill>
      <patternFill patternType="solid">
        <fgColor rgb="FF001B94"/>
        <bgColor indexed="64"/>
      </patternFill>
    </fill>
    <fill>
      <patternFill patternType="solid">
        <fgColor rgb="FF001B95"/>
        <bgColor indexed="64"/>
      </patternFill>
    </fill>
    <fill>
      <patternFill patternType="solid">
        <fgColor rgb="FF001B96"/>
        <bgColor indexed="64"/>
      </patternFill>
    </fill>
    <fill>
      <patternFill patternType="solid">
        <fgColor rgb="FF001B97"/>
        <bgColor indexed="64"/>
      </patternFill>
    </fill>
    <fill>
      <patternFill patternType="solid">
        <fgColor rgb="FF001B98"/>
        <bgColor indexed="64"/>
      </patternFill>
    </fill>
    <fill>
      <patternFill patternType="solid">
        <fgColor rgb="FF001B99"/>
        <bgColor indexed="64"/>
      </patternFill>
    </fill>
    <fill>
      <patternFill patternType="solid">
        <fgColor rgb="FF001B9A"/>
        <bgColor indexed="64"/>
      </patternFill>
    </fill>
    <fill>
      <patternFill patternType="solid">
        <fgColor rgb="FF001B9B"/>
        <bgColor indexed="64"/>
      </patternFill>
    </fill>
    <fill>
      <patternFill patternType="solid">
        <fgColor rgb="FF001B9C"/>
        <bgColor indexed="64"/>
      </patternFill>
    </fill>
    <fill>
      <patternFill patternType="solid">
        <fgColor rgb="FF001B9D"/>
        <bgColor indexed="64"/>
      </patternFill>
    </fill>
    <fill>
      <patternFill patternType="solid">
        <fgColor rgb="FF001B9E"/>
        <bgColor indexed="64"/>
      </patternFill>
    </fill>
    <fill>
      <patternFill patternType="solid">
        <fgColor rgb="FF001B9F"/>
        <bgColor indexed="64"/>
      </patternFill>
    </fill>
    <fill>
      <patternFill patternType="solid">
        <fgColor rgb="FF001BA0"/>
        <bgColor indexed="64"/>
      </patternFill>
    </fill>
    <fill>
      <patternFill patternType="solid">
        <fgColor rgb="FF001BA1"/>
        <bgColor indexed="64"/>
      </patternFill>
    </fill>
    <fill>
      <patternFill patternType="solid">
        <fgColor rgb="FF001BA2"/>
        <bgColor indexed="64"/>
      </patternFill>
    </fill>
    <fill>
      <patternFill patternType="solid">
        <fgColor rgb="FF001BA3"/>
        <bgColor indexed="64"/>
      </patternFill>
    </fill>
    <fill>
      <patternFill patternType="solid">
        <fgColor rgb="FF001BA4"/>
        <bgColor indexed="64"/>
      </patternFill>
    </fill>
    <fill>
      <patternFill patternType="solid">
        <fgColor rgb="FF001BA5"/>
        <bgColor indexed="64"/>
      </patternFill>
    </fill>
    <fill>
      <patternFill patternType="solid">
        <fgColor rgb="FF001BA6"/>
        <bgColor indexed="64"/>
      </patternFill>
    </fill>
    <fill>
      <patternFill patternType="solid">
        <fgColor rgb="FF001BA7"/>
        <bgColor indexed="64"/>
      </patternFill>
    </fill>
    <fill>
      <patternFill patternType="solid">
        <fgColor rgb="FF001BA8"/>
        <bgColor indexed="64"/>
      </patternFill>
    </fill>
    <fill>
      <patternFill patternType="solid">
        <fgColor rgb="FF001BA9"/>
        <bgColor indexed="64"/>
      </patternFill>
    </fill>
    <fill>
      <patternFill patternType="solid">
        <fgColor rgb="FF001BAA"/>
        <bgColor indexed="64"/>
      </patternFill>
    </fill>
    <fill>
      <patternFill patternType="solid">
        <fgColor rgb="FF001BAB"/>
        <bgColor indexed="64"/>
      </patternFill>
    </fill>
    <fill>
      <patternFill patternType="solid">
        <fgColor rgb="FF001BAC"/>
        <bgColor indexed="64"/>
      </patternFill>
    </fill>
    <fill>
      <patternFill patternType="solid">
        <fgColor rgb="FF001BAD"/>
        <bgColor indexed="64"/>
      </patternFill>
    </fill>
    <fill>
      <patternFill patternType="solid">
        <fgColor rgb="FF001BAE"/>
        <bgColor indexed="64"/>
      </patternFill>
    </fill>
    <fill>
      <patternFill patternType="solid">
        <fgColor rgb="FF001BAF"/>
        <bgColor indexed="64"/>
      </patternFill>
    </fill>
    <fill>
      <patternFill patternType="solid">
        <fgColor rgb="FF001BB0"/>
        <bgColor indexed="64"/>
      </patternFill>
    </fill>
    <fill>
      <patternFill patternType="solid">
        <fgColor rgb="FF001BB1"/>
        <bgColor indexed="64"/>
      </patternFill>
    </fill>
    <fill>
      <patternFill patternType="solid">
        <fgColor rgb="FF001BB2"/>
        <bgColor indexed="64"/>
      </patternFill>
    </fill>
    <fill>
      <patternFill patternType="solid">
        <fgColor rgb="FF001BB3"/>
        <bgColor indexed="64"/>
      </patternFill>
    </fill>
    <fill>
      <patternFill patternType="solid">
        <fgColor rgb="FF001BB4"/>
        <bgColor indexed="64"/>
      </patternFill>
    </fill>
    <fill>
      <patternFill patternType="solid">
        <fgColor rgb="FF001BB5"/>
        <bgColor indexed="64"/>
      </patternFill>
    </fill>
    <fill>
      <patternFill patternType="solid">
        <fgColor rgb="FF001BB6"/>
        <bgColor indexed="64"/>
      </patternFill>
    </fill>
    <fill>
      <patternFill patternType="solid">
        <fgColor rgb="FF001BB7"/>
        <bgColor indexed="64"/>
      </patternFill>
    </fill>
    <fill>
      <patternFill patternType="solid">
        <fgColor rgb="FF001BB8"/>
        <bgColor indexed="64"/>
      </patternFill>
    </fill>
    <fill>
      <patternFill patternType="solid">
        <fgColor rgb="FF001BB9"/>
        <bgColor indexed="64"/>
      </patternFill>
    </fill>
    <fill>
      <patternFill patternType="solid">
        <fgColor rgb="FF001BBA"/>
        <bgColor indexed="64"/>
      </patternFill>
    </fill>
    <fill>
      <patternFill patternType="solid">
        <fgColor rgb="FF001BBB"/>
        <bgColor indexed="64"/>
      </patternFill>
    </fill>
    <fill>
      <patternFill patternType="solid">
        <fgColor rgb="FF001BBC"/>
        <bgColor indexed="64"/>
      </patternFill>
    </fill>
    <fill>
      <patternFill patternType="solid">
        <fgColor rgb="FF001BBD"/>
        <bgColor indexed="64"/>
      </patternFill>
    </fill>
    <fill>
      <patternFill patternType="solid">
        <fgColor rgb="FF001BBE"/>
        <bgColor indexed="64"/>
      </patternFill>
    </fill>
    <fill>
      <patternFill patternType="solid">
        <fgColor rgb="FF001BBF"/>
        <bgColor indexed="64"/>
      </patternFill>
    </fill>
    <fill>
      <patternFill patternType="solid">
        <fgColor rgb="FF001BC0"/>
        <bgColor indexed="64"/>
      </patternFill>
    </fill>
    <fill>
      <patternFill patternType="solid">
        <fgColor rgb="FF001BC1"/>
        <bgColor indexed="64"/>
      </patternFill>
    </fill>
    <fill>
      <patternFill patternType="solid">
        <fgColor rgb="FF001BC2"/>
        <bgColor indexed="64"/>
      </patternFill>
    </fill>
    <fill>
      <patternFill patternType="solid">
        <fgColor rgb="FF001BC3"/>
        <bgColor indexed="64"/>
      </patternFill>
    </fill>
    <fill>
      <patternFill patternType="solid">
        <fgColor rgb="FF001BC4"/>
        <bgColor indexed="64"/>
      </patternFill>
    </fill>
    <fill>
      <patternFill patternType="solid">
        <fgColor rgb="FF001BC5"/>
        <bgColor indexed="64"/>
      </patternFill>
    </fill>
    <fill>
      <patternFill patternType="solid">
        <fgColor rgb="FF001BC6"/>
        <bgColor indexed="64"/>
      </patternFill>
    </fill>
    <fill>
      <patternFill patternType="solid">
        <fgColor rgb="FF001BC7"/>
        <bgColor indexed="64"/>
      </patternFill>
    </fill>
    <fill>
      <patternFill patternType="solid">
        <fgColor rgb="FF001BC8"/>
        <bgColor indexed="64"/>
      </patternFill>
    </fill>
    <fill>
      <patternFill patternType="solid">
        <fgColor rgb="FF001BC9"/>
        <bgColor indexed="64"/>
      </patternFill>
    </fill>
    <fill>
      <patternFill patternType="solid">
        <fgColor rgb="FF001BCA"/>
        <bgColor indexed="64"/>
      </patternFill>
    </fill>
    <fill>
      <patternFill patternType="solid">
        <fgColor rgb="FF001BCB"/>
        <bgColor indexed="64"/>
      </patternFill>
    </fill>
    <fill>
      <patternFill patternType="solid">
        <fgColor rgb="FF001BCC"/>
        <bgColor indexed="64"/>
      </patternFill>
    </fill>
    <fill>
      <patternFill patternType="solid">
        <fgColor rgb="FF001BCD"/>
        <bgColor indexed="64"/>
      </patternFill>
    </fill>
    <fill>
      <patternFill patternType="solid">
        <fgColor rgb="FF001BCE"/>
        <bgColor indexed="64"/>
      </patternFill>
    </fill>
    <fill>
      <patternFill patternType="solid">
        <fgColor rgb="FF001BCF"/>
        <bgColor indexed="64"/>
      </patternFill>
    </fill>
    <fill>
      <patternFill patternType="solid">
        <fgColor rgb="FF001BD0"/>
        <bgColor indexed="64"/>
      </patternFill>
    </fill>
    <fill>
      <patternFill patternType="solid">
        <fgColor rgb="FF001BD1"/>
        <bgColor indexed="64"/>
      </patternFill>
    </fill>
    <fill>
      <patternFill patternType="solid">
        <fgColor rgb="FF001BD2"/>
        <bgColor indexed="64"/>
      </patternFill>
    </fill>
    <fill>
      <patternFill patternType="solid">
        <fgColor rgb="FF001BD3"/>
        <bgColor indexed="64"/>
      </patternFill>
    </fill>
    <fill>
      <patternFill patternType="solid">
        <fgColor rgb="FF001BD4"/>
        <bgColor indexed="64"/>
      </patternFill>
    </fill>
    <fill>
      <patternFill patternType="solid">
        <fgColor rgb="FF001BD5"/>
        <bgColor indexed="64"/>
      </patternFill>
    </fill>
    <fill>
      <patternFill patternType="solid">
        <fgColor rgb="FF001BD6"/>
        <bgColor indexed="64"/>
      </patternFill>
    </fill>
    <fill>
      <patternFill patternType="solid">
        <fgColor rgb="FF001BD7"/>
        <bgColor indexed="64"/>
      </patternFill>
    </fill>
    <fill>
      <patternFill patternType="solid">
        <fgColor rgb="FF001BD8"/>
        <bgColor indexed="64"/>
      </patternFill>
    </fill>
    <fill>
      <patternFill patternType="solid">
        <fgColor rgb="FF001BD9"/>
        <bgColor indexed="64"/>
      </patternFill>
    </fill>
    <fill>
      <patternFill patternType="solid">
        <fgColor rgb="FF001BDA"/>
        <bgColor indexed="64"/>
      </patternFill>
    </fill>
    <fill>
      <patternFill patternType="solid">
        <fgColor rgb="FF001BDB"/>
        <bgColor indexed="64"/>
      </patternFill>
    </fill>
    <fill>
      <patternFill patternType="solid">
        <fgColor rgb="FF001BDC"/>
        <bgColor indexed="64"/>
      </patternFill>
    </fill>
    <fill>
      <patternFill patternType="solid">
        <fgColor rgb="FF001BDD"/>
        <bgColor indexed="64"/>
      </patternFill>
    </fill>
    <fill>
      <patternFill patternType="solid">
        <fgColor rgb="FF001BDE"/>
        <bgColor indexed="64"/>
      </patternFill>
    </fill>
    <fill>
      <patternFill patternType="solid">
        <fgColor rgb="FF001BDF"/>
        <bgColor indexed="64"/>
      </patternFill>
    </fill>
    <fill>
      <patternFill patternType="solid">
        <fgColor rgb="FF001BE0"/>
        <bgColor indexed="64"/>
      </patternFill>
    </fill>
    <fill>
      <patternFill patternType="solid">
        <fgColor rgb="FF001BE1"/>
        <bgColor indexed="64"/>
      </patternFill>
    </fill>
    <fill>
      <patternFill patternType="solid">
        <fgColor rgb="FF001BE2"/>
        <bgColor indexed="64"/>
      </patternFill>
    </fill>
    <fill>
      <patternFill patternType="solid">
        <fgColor rgb="FF001BE3"/>
        <bgColor indexed="64"/>
      </patternFill>
    </fill>
    <fill>
      <patternFill patternType="solid">
        <fgColor rgb="FF001BE4"/>
        <bgColor indexed="64"/>
      </patternFill>
    </fill>
    <fill>
      <patternFill patternType="solid">
        <fgColor rgb="FF001BE5"/>
        <bgColor indexed="64"/>
      </patternFill>
    </fill>
    <fill>
      <patternFill patternType="solid">
        <fgColor rgb="FF001BE6"/>
        <bgColor indexed="64"/>
      </patternFill>
    </fill>
    <fill>
      <patternFill patternType="solid">
        <fgColor rgb="FF001BE7"/>
        <bgColor indexed="64"/>
      </patternFill>
    </fill>
    <fill>
      <patternFill patternType="solid">
        <fgColor rgb="FF001BE8"/>
        <bgColor indexed="64"/>
      </patternFill>
    </fill>
    <fill>
      <patternFill patternType="solid">
        <fgColor rgb="FF001BE9"/>
        <bgColor indexed="64"/>
      </patternFill>
    </fill>
    <fill>
      <patternFill patternType="solid">
        <fgColor rgb="FF001BEA"/>
        <bgColor indexed="64"/>
      </patternFill>
    </fill>
    <fill>
      <patternFill patternType="solid">
        <fgColor rgb="FF001BEB"/>
        <bgColor indexed="64"/>
      </patternFill>
    </fill>
    <fill>
      <patternFill patternType="solid">
        <fgColor rgb="FF001BEC"/>
        <bgColor indexed="64"/>
      </patternFill>
    </fill>
    <fill>
      <patternFill patternType="solid">
        <fgColor rgb="FF001BED"/>
        <bgColor indexed="64"/>
      </patternFill>
    </fill>
    <fill>
      <patternFill patternType="solid">
        <fgColor rgb="FF001BEE"/>
        <bgColor indexed="64"/>
      </patternFill>
    </fill>
    <fill>
      <patternFill patternType="solid">
        <fgColor rgb="FF001BEF"/>
        <bgColor indexed="64"/>
      </patternFill>
    </fill>
    <fill>
      <patternFill patternType="solid">
        <fgColor rgb="FF001BF0"/>
        <bgColor indexed="64"/>
      </patternFill>
    </fill>
    <fill>
      <patternFill patternType="solid">
        <fgColor rgb="FF001BF1"/>
        <bgColor indexed="64"/>
      </patternFill>
    </fill>
    <fill>
      <patternFill patternType="solid">
        <fgColor rgb="FF001BF2"/>
        <bgColor indexed="64"/>
      </patternFill>
    </fill>
    <fill>
      <patternFill patternType="solid">
        <fgColor rgb="FF001BF3"/>
        <bgColor indexed="64"/>
      </patternFill>
    </fill>
    <fill>
      <patternFill patternType="solid">
        <fgColor rgb="FF001BF4"/>
        <bgColor indexed="64"/>
      </patternFill>
    </fill>
    <fill>
      <patternFill patternType="solid">
        <fgColor rgb="FF001BF5"/>
        <bgColor indexed="64"/>
      </patternFill>
    </fill>
    <fill>
      <patternFill patternType="solid">
        <fgColor rgb="FF001BF6"/>
        <bgColor indexed="64"/>
      </patternFill>
    </fill>
    <fill>
      <patternFill patternType="solid">
        <fgColor rgb="FF001BF7"/>
        <bgColor indexed="64"/>
      </patternFill>
    </fill>
    <fill>
      <patternFill patternType="solid">
        <fgColor rgb="FF001BF8"/>
        <bgColor indexed="64"/>
      </patternFill>
    </fill>
    <fill>
      <patternFill patternType="solid">
        <fgColor rgb="FF001BF9"/>
        <bgColor indexed="64"/>
      </patternFill>
    </fill>
    <fill>
      <patternFill patternType="solid">
        <fgColor rgb="FF001BFA"/>
        <bgColor indexed="64"/>
      </patternFill>
    </fill>
    <fill>
      <patternFill patternType="solid">
        <fgColor rgb="FF001BFB"/>
        <bgColor indexed="64"/>
      </patternFill>
    </fill>
    <fill>
      <patternFill patternType="solid">
        <fgColor rgb="FF001BFC"/>
        <bgColor indexed="64"/>
      </patternFill>
    </fill>
    <fill>
      <patternFill patternType="solid">
        <fgColor rgb="FF001BFD"/>
        <bgColor indexed="64"/>
      </patternFill>
    </fill>
    <fill>
      <patternFill patternType="solid">
        <fgColor rgb="FF001BFE"/>
        <bgColor indexed="64"/>
      </patternFill>
    </fill>
    <fill>
      <patternFill patternType="solid">
        <fgColor rgb="FF001BFF"/>
        <bgColor indexed="64"/>
      </patternFill>
    </fill>
    <fill>
      <patternFill patternType="solid">
        <fgColor rgb="FF001C00"/>
        <bgColor indexed="64"/>
      </patternFill>
    </fill>
    <fill>
      <patternFill patternType="solid">
        <fgColor rgb="FF001C01"/>
        <bgColor indexed="64"/>
      </patternFill>
    </fill>
    <fill>
      <patternFill patternType="solid">
        <fgColor rgb="FF001C02"/>
        <bgColor indexed="64"/>
      </patternFill>
    </fill>
    <fill>
      <patternFill patternType="solid">
        <fgColor rgb="FF001C03"/>
        <bgColor indexed="64"/>
      </patternFill>
    </fill>
    <fill>
      <patternFill patternType="solid">
        <fgColor rgb="FF001C04"/>
        <bgColor indexed="64"/>
      </patternFill>
    </fill>
    <fill>
      <patternFill patternType="solid">
        <fgColor rgb="FF001C05"/>
        <bgColor indexed="64"/>
      </patternFill>
    </fill>
    <fill>
      <patternFill patternType="solid">
        <fgColor rgb="FF001C06"/>
        <bgColor indexed="64"/>
      </patternFill>
    </fill>
    <fill>
      <patternFill patternType="solid">
        <fgColor rgb="FF001C07"/>
        <bgColor indexed="64"/>
      </patternFill>
    </fill>
    <fill>
      <patternFill patternType="solid">
        <fgColor rgb="FF001C08"/>
        <bgColor indexed="64"/>
      </patternFill>
    </fill>
    <fill>
      <patternFill patternType="solid">
        <fgColor rgb="FF001C09"/>
        <bgColor indexed="64"/>
      </patternFill>
    </fill>
    <fill>
      <patternFill patternType="solid">
        <fgColor rgb="FF001C0A"/>
        <bgColor indexed="64"/>
      </patternFill>
    </fill>
    <fill>
      <patternFill patternType="solid">
        <fgColor rgb="FF001C0B"/>
        <bgColor indexed="64"/>
      </patternFill>
    </fill>
    <fill>
      <patternFill patternType="solid">
        <fgColor rgb="FF001C0C"/>
        <bgColor indexed="64"/>
      </patternFill>
    </fill>
    <fill>
      <patternFill patternType="solid">
        <fgColor rgb="FF001C0D"/>
        <bgColor indexed="64"/>
      </patternFill>
    </fill>
    <fill>
      <patternFill patternType="solid">
        <fgColor rgb="FF001C0E"/>
        <bgColor indexed="64"/>
      </patternFill>
    </fill>
    <fill>
      <patternFill patternType="solid">
        <fgColor rgb="FF001C0F"/>
        <bgColor indexed="64"/>
      </patternFill>
    </fill>
    <fill>
      <patternFill patternType="solid">
        <fgColor rgb="FF001C10"/>
        <bgColor indexed="64"/>
      </patternFill>
    </fill>
    <fill>
      <patternFill patternType="solid">
        <fgColor rgb="FF001C11"/>
        <bgColor indexed="64"/>
      </patternFill>
    </fill>
    <fill>
      <patternFill patternType="solid">
        <fgColor rgb="FF001C12"/>
        <bgColor indexed="64"/>
      </patternFill>
    </fill>
    <fill>
      <patternFill patternType="solid">
        <fgColor rgb="FF001C13"/>
        <bgColor indexed="64"/>
      </patternFill>
    </fill>
    <fill>
      <patternFill patternType="solid">
        <fgColor rgb="FF001C14"/>
        <bgColor indexed="64"/>
      </patternFill>
    </fill>
    <fill>
      <patternFill patternType="solid">
        <fgColor rgb="FF001C15"/>
        <bgColor indexed="64"/>
      </patternFill>
    </fill>
    <fill>
      <patternFill patternType="solid">
        <fgColor rgb="FF001C16"/>
        <bgColor indexed="64"/>
      </patternFill>
    </fill>
    <fill>
      <patternFill patternType="solid">
        <fgColor rgb="FF001C17"/>
        <bgColor indexed="64"/>
      </patternFill>
    </fill>
    <fill>
      <patternFill patternType="solid">
        <fgColor rgb="FF001C18"/>
        <bgColor indexed="64"/>
      </patternFill>
    </fill>
    <fill>
      <patternFill patternType="solid">
        <fgColor rgb="FF001C19"/>
        <bgColor indexed="64"/>
      </patternFill>
    </fill>
    <fill>
      <patternFill patternType="solid">
        <fgColor rgb="FF001C1A"/>
        <bgColor indexed="64"/>
      </patternFill>
    </fill>
    <fill>
      <patternFill patternType="solid">
        <fgColor rgb="FF001C1B"/>
        <bgColor indexed="64"/>
      </patternFill>
    </fill>
    <fill>
      <patternFill patternType="solid">
        <fgColor rgb="FF001C1C"/>
        <bgColor indexed="64"/>
      </patternFill>
    </fill>
    <fill>
      <patternFill patternType="solid">
        <fgColor rgb="FF001C1D"/>
        <bgColor indexed="64"/>
      </patternFill>
    </fill>
    <fill>
      <patternFill patternType="solid">
        <fgColor rgb="FF001C1E"/>
        <bgColor indexed="64"/>
      </patternFill>
    </fill>
    <fill>
      <patternFill patternType="solid">
        <fgColor rgb="FF001C1F"/>
        <bgColor indexed="64"/>
      </patternFill>
    </fill>
    <fill>
      <patternFill patternType="solid">
        <fgColor rgb="FF001C20"/>
        <bgColor indexed="64"/>
      </patternFill>
    </fill>
    <fill>
      <patternFill patternType="solid">
        <fgColor rgb="FF001C21"/>
        <bgColor indexed="64"/>
      </patternFill>
    </fill>
    <fill>
      <patternFill patternType="solid">
        <fgColor rgb="FF001C22"/>
        <bgColor indexed="64"/>
      </patternFill>
    </fill>
    <fill>
      <patternFill patternType="solid">
        <fgColor rgb="FF001C23"/>
        <bgColor indexed="64"/>
      </patternFill>
    </fill>
    <fill>
      <patternFill patternType="solid">
        <fgColor rgb="FF001C24"/>
        <bgColor indexed="64"/>
      </patternFill>
    </fill>
    <fill>
      <patternFill patternType="solid">
        <fgColor rgb="FF001C25"/>
        <bgColor indexed="64"/>
      </patternFill>
    </fill>
    <fill>
      <patternFill patternType="solid">
        <fgColor rgb="FF001C26"/>
        <bgColor indexed="64"/>
      </patternFill>
    </fill>
    <fill>
      <patternFill patternType="solid">
        <fgColor rgb="FF001C27"/>
        <bgColor indexed="64"/>
      </patternFill>
    </fill>
    <fill>
      <patternFill patternType="solid">
        <fgColor rgb="FF001C28"/>
        <bgColor indexed="64"/>
      </patternFill>
    </fill>
    <fill>
      <patternFill patternType="solid">
        <fgColor rgb="FF001C29"/>
        <bgColor indexed="64"/>
      </patternFill>
    </fill>
    <fill>
      <patternFill patternType="solid">
        <fgColor rgb="FF001C2A"/>
        <bgColor indexed="64"/>
      </patternFill>
    </fill>
    <fill>
      <patternFill patternType="solid">
        <fgColor rgb="FF001C2B"/>
        <bgColor indexed="64"/>
      </patternFill>
    </fill>
    <fill>
      <patternFill patternType="solid">
        <fgColor rgb="FF001C2C"/>
        <bgColor indexed="64"/>
      </patternFill>
    </fill>
    <fill>
      <patternFill patternType="solid">
        <fgColor rgb="FF001C2D"/>
        <bgColor indexed="64"/>
      </patternFill>
    </fill>
    <fill>
      <patternFill patternType="solid">
        <fgColor rgb="FF001C2E"/>
        <bgColor indexed="64"/>
      </patternFill>
    </fill>
    <fill>
      <patternFill patternType="solid">
        <fgColor rgb="FF001C2F"/>
        <bgColor indexed="64"/>
      </patternFill>
    </fill>
    <fill>
      <patternFill patternType="solid">
        <fgColor rgb="FF001C30"/>
        <bgColor indexed="64"/>
      </patternFill>
    </fill>
    <fill>
      <patternFill patternType="solid">
        <fgColor rgb="FF001C31"/>
        <bgColor indexed="64"/>
      </patternFill>
    </fill>
    <fill>
      <patternFill patternType="solid">
        <fgColor rgb="FF001C32"/>
        <bgColor indexed="64"/>
      </patternFill>
    </fill>
    <fill>
      <patternFill patternType="solid">
        <fgColor rgb="FF001C33"/>
        <bgColor indexed="64"/>
      </patternFill>
    </fill>
    <fill>
      <patternFill patternType="solid">
        <fgColor rgb="FF001C34"/>
        <bgColor indexed="64"/>
      </patternFill>
    </fill>
    <fill>
      <patternFill patternType="solid">
        <fgColor rgb="FF001C35"/>
        <bgColor indexed="64"/>
      </patternFill>
    </fill>
    <fill>
      <patternFill patternType="solid">
        <fgColor rgb="FF001C36"/>
        <bgColor indexed="64"/>
      </patternFill>
    </fill>
    <fill>
      <patternFill patternType="solid">
        <fgColor rgb="FF001C37"/>
        <bgColor indexed="64"/>
      </patternFill>
    </fill>
    <fill>
      <patternFill patternType="solid">
        <fgColor rgb="FF001C38"/>
        <bgColor indexed="64"/>
      </patternFill>
    </fill>
    <fill>
      <patternFill patternType="solid">
        <fgColor rgb="FF001C39"/>
        <bgColor indexed="64"/>
      </patternFill>
    </fill>
    <fill>
      <patternFill patternType="solid">
        <fgColor rgb="FF001C3A"/>
        <bgColor indexed="64"/>
      </patternFill>
    </fill>
    <fill>
      <patternFill patternType="solid">
        <fgColor rgb="FF001C3B"/>
        <bgColor indexed="64"/>
      </patternFill>
    </fill>
    <fill>
      <patternFill patternType="solid">
        <fgColor rgb="FF001C3C"/>
        <bgColor indexed="64"/>
      </patternFill>
    </fill>
    <fill>
      <patternFill patternType="solid">
        <fgColor rgb="FF001C3D"/>
        <bgColor indexed="64"/>
      </patternFill>
    </fill>
    <fill>
      <patternFill patternType="solid">
        <fgColor rgb="FF001C3E"/>
        <bgColor indexed="64"/>
      </patternFill>
    </fill>
    <fill>
      <patternFill patternType="solid">
        <fgColor rgb="FF001C3F"/>
        <bgColor indexed="64"/>
      </patternFill>
    </fill>
    <fill>
      <patternFill patternType="solid">
        <fgColor rgb="FF001C40"/>
        <bgColor indexed="64"/>
      </patternFill>
    </fill>
    <fill>
      <patternFill patternType="solid">
        <fgColor rgb="FF001C41"/>
        <bgColor indexed="64"/>
      </patternFill>
    </fill>
    <fill>
      <patternFill patternType="solid">
        <fgColor rgb="FF001C42"/>
        <bgColor indexed="64"/>
      </patternFill>
    </fill>
    <fill>
      <patternFill patternType="solid">
        <fgColor rgb="FF001C43"/>
        <bgColor indexed="64"/>
      </patternFill>
    </fill>
    <fill>
      <patternFill patternType="solid">
        <fgColor rgb="FF001C44"/>
        <bgColor indexed="64"/>
      </patternFill>
    </fill>
    <fill>
      <patternFill patternType="solid">
        <fgColor rgb="FF001C45"/>
        <bgColor indexed="64"/>
      </patternFill>
    </fill>
    <fill>
      <patternFill patternType="solid">
        <fgColor rgb="FF001C46"/>
        <bgColor indexed="64"/>
      </patternFill>
    </fill>
    <fill>
      <patternFill patternType="solid">
        <fgColor rgb="FF001C47"/>
        <bgColor indexed="64"/>
      </patternFill>
    </fill>
    <fill>
      <patternFill patternType="solid">
        <fgColor rgb="FF001C48"/>
        <bgColor indexed="64"/>
      </patternFill>
    </fill>
    <fill>
      <patternFill patternType="solid">
        <fgColor rgb="FF001C49"/>
        <bgColor indexed="64"/>
      </patternFill>
    </fill>
    <fill>
      <patternFill patternType="solid">
        <fgColor rgb="FF001C4A"/>
        <bgColor indexed="64"/>
      </patternFill>
    </fill>
    <fill>
      <patternFill patternType="solid">
        <fgColor rgb="FF001C4B"/>
        <bgColor indexed="64"/>
      </patternFill>
    </fill>
    <fill>
      <patternFill patternType="solid">
        <fgColor rgb="FF001C4C"/>
        <bgColor indexed="64"/>
      </patternFill>
    </fill>
    <fill>
      <patternFill patternType="solid">
        <fgColor rgb="FF001C4D"/>
        <bgColor indexed="64"/>
      </patternFill>
    </fill>
    <fill>
      <patternFill patternType="solid">
        <fgColor rgb="FF001C4E"/>
        <bgColor indexed="64"/>
      </patternFill>
    </fill>
    <fill>
      <patternFill patternType="solid">
        <fgColor rgb="FF001C4F"/>
        <bgColor indexed="64"/>
      </patternFill>
    </fill>
    <fill>
      <patternFill patternType="solid">
        <fgColor rgb="FF001C50"/>
        <bgColor indexed="64"/>
      </patternFill>
    </fill>
    <fill>
      <patternFill patternType="solid">
        <fgColor rgb="FF001C51"/>
        <bgColor indexed="64"/>
      </patternFill>
    </fill>
    <fill>
      <patternFill patternType="solid">
        <fgColor rgb="FF001C52"/>
        <bgColor indexed="64"/>
      </patternFill>
    </fill>
    <fill>
      <patternFill patternType="solid">
        <fgColor rgb="FF001C53"/>
        <bgColor indexed="64"/>
      </patternFill>
    </fill>
    <fill>
      <patternFill patternType="solid">
        <fgColor rgb="FF001C54"/>
        <bgColor indexed="64"/>
      </patternFill>
    </fill>
    <fill>
      <patternFill patternType="solid">
        <fgColor rgb="FF001C55"/>
        <bgColor indexed="64"/>
      </patternFill>
    </fill>
    <fill>
      <patternFill patternType="solid">
        <fgColor rgb="FF001C56"/>
        <bgColor indexed="64"/>
      </patternFill>
    </fill>
    <fill>
      <patternFill patternType="solid">
        <fgColor rgb="FF001C57"/>
        <bgColor indexed="64"/>
      </patternFill>
    </fill>
    <fill>
      <patternFill patternType="solid">
        <fgColor rgb="FF001C58"/>
        <bgColor indexed="64"/>
      </patternFill>
    </fill>
    <fill>
      <patternFill patternType="solid">
        <fgColor rgb="FF001C59"/>
        <bgColor indexed="64"/>
      </patternFill>
    </fill>
    <fill>
      <patternFill patternType="solid">
        <fgColor rgb="FF001C5A"/>
        <bgColor indexed="64"/>
      </patternFill>
    </fill>
    <fill>
      <patternFill patternType="solid">
        <fgColor rgb="FF001C5B"/>
        <bgColor indexed="64"/>
      </patternFill>
    </fill>
    <fill>
      <patternFill patternType="solid">
        <fgColor rgb="FF001C5C"/>
        <bgColor indexed="64"/>
      </patternFill>
    </fill>
    <fill>
      <patternFill patternType="solid">
        <fgColor rgb="FF001C5D"/>
        <bgColor indexed="64"/>
      </patternFill>
    </fill>
    <fill>
      <patternFill patternType="solid">
        <fgColor rgb="FF001C5E"/>
        <bgColor indexed="64"/>
      </patternFill>
    </fill>
    <fill>
      <patternFill patternType="solid">
        <fgColor rgb="FF001C5F"/>
        <bgColor indexed="64"/>
      </patternFill>
    </fill>
    <fill>
      <patternFill patternType="solid">
        <fgColor rgb="FF001C60"/>
        <bgColor indexed="64"/>
      </patternFill>
    </fill>
    <fill>
      <patternFill patternType="solid">
        <fgColor rgb="FF001C61"/>
        <bgColor indexed="64"/>
      </patternFill>
    </fill>
    <fill>
      <patternFill patternType="solid">
        <fgColor rgb="FF001C62"/>
        <bgColor indexed="64"/>
      </patternFill>
    </fill>
    <fill>
      <patternFill patternType="solid">
        <fgColor rgb="FF001C63"/>
        <bgColor indexed="64"/>
      </patternFill>
    </fill>
    <fill>
      <patternFill patternType="solid">
        <fgColor rgb="FF001C64"/>
        <bgColor indexed="64"/>
      </patternFill>
    </fill>
    <fill>
      <patternFill patternType="solid">
        <fgColor rgb="FF001C65"/>
        <bgColor indexed="64"/>
      </patternFill>
    </fill>
    <fill>
      <patternFill patternType="solid">
        <fgColor rgb="FF001C66"/>
        <bgColor indexed="64"/>
      </patternFill>
    </fill>
    <fill>
      <patternFill patternType="solid">
        <fgColor rgb="FF001C67"/>
        <bgColor indexed="64"/>
      </patternFill>
    </fill>
    <fill>
      <patternFill patternType="solid">
        <fgColor rgb="FF001C68"/>
        <bgColor indexed="64"/>
      </patternFill>
    </fill>
    <fill>
      <patternFill patternType="solid">
        <fgColor rgb="FF001C69"/>
        <bgColor indexed="64"/>
      </patternFill>
    </fill>
    <fill>
      <patternFill patternType="solid">
        <fgColor rgb="FF001C6A"/>
        <bgColor indexed="64"/>
      </patternFill>
    </fill>
    <fill>
      <patternFill patternType="solid">
        <fgColor rgb="FF001C6B"/>
        <bgColor indexed="64"/>
      </patternFill>
    </fill>
    <fill>
      <patternFill patternType="solid">
        <fgColor rgb="FF001C6C"/>
        <bgColor indexed="64"/>
      </patternFill>
    </fill>
    <fill>
      <patternFill patternType="solid">
        <fgColor rgb="FF001C6D"/>
        <bgColor indexed="64"/>
      </patternFill>
    </fill>
    <fill>
      <patternFill patternType="solid">
        <fgColor rgb="FF001C6E"/>
        <bgColor indexed="64"/>
      </patternFill>
    </fill>
    <fill>
      <patternFill patternType="solid">
        <fgColor rgb="FF001C6F"/>
        <bgColor indexed="64"/>
      </patternFill>
    </fill>
    <fill>
      <patternFill patternType="solid">
        <fgColor rgb="FF001C70"/>
        <bgColor indexed="64"/>
      </patternFill>
    </fill>
    <fill>
      <patternFill patternType="solid">
        <fgColor rgb="FF001C71"/>
        <bgColor indexed="64"/>
      </patternFill>
    </fill>
    <fill>
      <patternFill patternType="solid">
        <fgColor rgb="FF001C72"/>
        <bgColor indexed="64"/>
      </patternFill>
    </fill>
    <fill>
      <patternFill patternType="solid">
        <fgColor rgb="FF001C73"/>
        <bgColor indexed="64"/>
      </patternFill>
    </fill>
    <fill>
      <patternFill patternType="solid">
        <fgColor rgb="FF001C74"/>
        <bgColor indexed="64"/>
      </patternFill>
    </fill>
    <fill>
      <patternFill patternType="solid">
        <fgColor rgb="FF001C75"/>
        <bgColor indexed="64"/>
      </patternFill>
    </fill>
    <fill>
      <patternFill patternType="solid">
        <fgColor rgb="FF001C76"/>
        <bgColor indexed="64"/>
      </patternFill>
    </fill>
    <fill>
      <patternFill patternType="solid">
        <fgColor rgb="FF001C77"/>
        <bgColor indexed="64"/>
      </patternFill>
    </fill>
    <fill>
      <patternFill patternType="solid">
        <fgColor rgb="FF001C78"/>
        <bgColor indexed="64"/>
      </patternFill>
    </fill>
    <fill>
      <patternFill patternType="solid">
        <fgColor rgb="FF001C79"/>
        <bgColor indexed="64"/>
      </patternFill>
    </fill>
    <fill>
      <patternFill patternType="solid">
        <fgColor rgb="FF001C7A"/>
        <bgColor indexed="64"/>
      </patternFill>
    </fill>
    <fill>
      <patternFill patternType="solid">
        <fgColor rgb="FF001C7B"/>
        <bgColor indexed="64"/>
      </patternFill>
    </fill>
    <fill>
      <patternFill patternType="solid">
        <fgColor rgb="FF001C7C"/>
        <bgColor indexed="64"/>
      </patternFill>
    </fill>
    <fill>
      <patternFill patternType="solid">
        <fgColor rgb="FF001C7D"/>
        <bgColor indexed="64"/>
      </patternFill>
    </fill>
    <fill>
      <patternFill patternType="solid">
        <fgColor rgb="FF001C7E"/>
        <bgColor indexed="64"/>
      </patternFill>
    </fill>
    <fill>
      <patternFill patternType="solid">
        <fgColor rgb="FF001C7F"/>
        <bgColor indexed="64"/>
      </patternFill>
    </fill>
    <fill>
      <patternFill patternType="solid">
        <fgColor rgb="FF001C80"/>
        <bgColor indexed="64"/>
      </patternFill>
    </fill>
    <fill>
      <patternFill patternType="solid">
        <fgColor rgb="FF001C81"/>
        <bgColor indexed="64"/>
      </patternFill>
    </fill>
    <fill>
      <patternFill patternType="solid">
        <fgColor rgb="FF001C82"/>
        <bgColor indexed="64"/>
      </patternFill>
    </fill>
    <fill>
      <patternFill patternType="solid">
        <fgColor rgb="FF001C83"/>
        <bgColor indexed="64"/>
      </patternFill>
    </fill>
    <fill>
      <patternFill patternType="solid">
        <fgColor rgb="FF001C84"/>
        <bgColor indexed="64"/>
      </patternFill>
    </fill>
    <fill>
      <patternFill patternType="solid">
        <fgColor rgb="FF001C85"/>
        <bgColor indexed="64"/>
      </patternFill>
    </fill>
    <fill>
      <patternFill patternType="solid">
        <fgColor rgb="FF001C86"/>
        <bgColor indexed="64"/>
      </patternFill>
    </fill>
    <fill>
      <patternFill patternType="solid">
        <fgColor rgb="FF001C87"/>
        <bgColor indexed="64"/>
      </patternFill>
    </fill>
    <fill>
      <patternFill patternType="solid">
        <fgColor rgb="FF001C88"/>
        <bgColor indexed="64"/>
      </patternFill>
    </fill>
    <fill>
      <patternFill patternType="solid">
        <fgColor rgb="FF001C89"/>
        <bgColor indexed="64"/>
      </patternFill>
    </fill>
    <fill>
      <patternFill patternType="solid">
        <fgColor rgb="FF001C8A"/>
        <bgColor indexed="64"/>
      </patternFill>
    </fill>
    <fill>
      <patternFill patternType="solid">
        <fgColor rgb="FF001C8B"/>
        <bgColor indexed="64"/>
      </patternFill>
    </fill>
    <fill>
      <patternFill patternType="solid">
        <fgColor rgb="FF001C8C"/>
        <bgColor indexed="64"/>
      </patternFill>
    </fill>
    <fill>
      <patternFill patternType="solid">
        <fgColor rgb="FF001C8D"/>
        <bgColor indexed="64"/>
      </patternFill>
    </fill>
    <fill>
      <patternFill patternType="solid">
        <fgColor rgb="FF001C8E"/>
        <bgColor indexed="64"/>
      </patternFill>
    </fill>
    <fill>
      <patternFill patternType="solid">
        <fgColor rgb="FF001C8F"/>
        <bgColor indexed="64"/>
      </patternFill>
    </fill>
    <fill>
      <patternFill patternType="solid">
        <fgColor rgb="FF001C90"/>
        <bgColor indexed="64"/>
      </patternFill>
    </fill>
    <fill>
      <patternFill patternType="solid">
        <fgColor rgb="FF001C91"/>
        <bgColor indexed="64"/>
      </patternFill>
    </fill>
    <fill>
      <patternFill patternType="solid">
        <fgColor rgb="FF001C92"/>
        <bgColor indexed="64"/>
      </patternFill>
    </fill>
    <fill>
      <patternFill patternType="solid">
        <fgColor rgb="FF001C93"/>
        <bgColor indexed="64"/>
      </patternFill>
    </fill>
    <fill>
      <patternFill patternType="solid">
        <fgColor rgb="FF001C94"/>
        <bgColor indexed="64"/>
      </patternFill>
    </fill>
    <fill>
      <patternFill patternType="solid">
        <fgColor rgb="FF001C95"/>
        <bgColor indexed="64"/>
      </patternFill>
    </fill>
    <fill>
      <patternFill patternType="solid">
        <fgColor rgb="FF001C96"/>
        <bgColor indexed="64"/>
      </patternFill>
    </fill>
    <fill>
      <patternFill patternType="solid">
        <fgColor rgb="FF001C97"/>
        <bgColor indexed="64"/>
      </patternFill>
    </fill>
    <fill>
      <patternFill patternType="solid">
        <fgColor rgb="FF001C98"/>
        <bgColor indexed="64"/>
      </patternFill>
    </fill>
    <fill>
      <patternFill patternType="solid">
        <fgColor rgb="FF001C99"/>
        <bgColor indexed="64"/>
      </patternFill>
    </fill>
    <fill>
      <patternFill patternType="solid">
        <fgColor rgb="FF001C9A"/>
        <bgColor indexed="64"/>
      </patternFill>
    </fill>
    <fill>
      <patternFill patternType="solid">
        <fgColor rgb="FF001C9B"/>
        <bgColor indexed="64"/>
      </patternFill>
    </fill>
    <fill>
      <patternFill patternType="solid">
        <fgColor rgb="FF001C9C"/>
        <bgColor indexed="64"/>
      </patternFill>
    </fill>
    <fill>
      <patternFill patternType="solid">
        <fgColor rgb="FF001C9D"/>
        <bgColor indexed="64"/>
      </patternFill>
    </fill>
    <fill>
      <patternFill patternType="solid">
        <fgColor rgb="FF001C9E"/>
        <bgColor indexed="64"/>
      </patternFill>
    </fill>
    <fill>
      <patternFill patternType="solid">
        <fgColor rgb="FF001C9F"/>
        <bgColor indexed="64"/>
      </patternFill>
    </fill>
    <fill>
      <patternFill patternType="solid">
        <fgColor rgb="FF001CA0"/>
        <bgColor indexed="64"/>
      </patternFill>
    </fill>
    <fill>
      <patternFill patternType="solid">
        <fgColor rgb="FF001CA1"/>
        <bgColor indexed="64"/>
      </patternFill>
    </fill>
    <fill>
      <patternFill patternType="solid">
        <fgColor rgb="FF001CA2"/>
        <bgColor indexed="64"/>
      </patternFill>
    </fill>
    <fill>
      <patternFill patternType="solid">
        <fgColor rgb="FF001CA3"/>
        <bgColor indexed="64"/>
      </patternFill>
    </fill>
    <fill>
      <patternFill patternType="solid">
        <fgColor rgb="FF001CA4"/>
        <bgColor indexed="64"/>
      </patternFill>
    </fill>
    <fill>
      <patternFill patternType="solid">
        <fgColor rgb="FF001CA5"/>
        <bgColor indexed="64"/>
      </patternFill>
    </fill>
    <fill>
      <patternFill patternType="solid">
        <fgColor rgb="FF001CA6"/>
        <bgColor indexed="64"/>
      </patternFill>
    </fill>
    <fill>
      <patternFill patternType="solid">
        <fgColor rgb="FF001CA7"/>
        <bgColor indexed="64"/>
      </patternFill>
    </fill>
    <fill>
      <patternFill patternType="solid">
        <fgColor rgb="FF001CA8"/>
        <bgColor indexed="64"/>
      </patternFill>
    </fill>
    <fill>
      <patternFill patternType="solid">
        <fgColor rgb="FF001CA9"/>
        <bgColor indexed="64"/>
      </patternFill>
    </fill>
    <fill>
      <patternFill patternType="solid">
        <fgColor rgb="FF001CAA"/>
        <bgColor indexed="64"/>
      </patternFill>
    </fill>
    <fill>
      <patternFill patternType="solid">
        <fgColor rgb="FF001CAB"/>
        <bgColor indexed="64"/>
      </patternFill>
    </fill>
    <fill>
      <patternFill patternType="solid">
        <fgColor rgb="FF001CAC"/>
        <bgColor indexed="64"/>
      </patternFill>
    </fill>
    <fill>
      <patternFill patternType="solid">
        <fgColor rgb="FF001CAD"/>
        <bgColor indexed="64"/>
      </patternFill>
    </fill>
    <fill>
      <patternFill patternType="solid">
        <fgColor rgb="FF001CAE"/>
        <bgColor indexed="64"/>
      </patternFill>
    </fill>
    <fill>
      <patternFill patternType="solid">
        <fgColor rgb="FF001CAF"/>
        <bgColor indexed="64"/>
      </patternFill>
    </fill>
    <fill>
      <patternFill patternType="solid">
        <fgColor rgb="FF001CB0"/>
        <bgColor indexed="64"/>
      </patternFill>
    </fill>
    <fill>
      <patternFill patternType="solid">
        <fgColor rgb="FF001CB1"/>
        <bgColor indexed="64"/>
      </patternFill>
    </fill>
    <fill>
      <patternFill patternType="solid">
        <fgColor rgb="FF001CB2"/>
        <bgColor indexed="64"/>
      </patternFill>
    </fill>
    <fill>
      <patternFill patternType="solid">
        <fgColor rgb="FF001CB3"/>
        <bgColor indexed="64"/>
      </patternFill>
    </fill>
    <fill>
      <patternFill patternType="solid">
        <fgColor rgb="FF001CB4"/>
        <bgColor indexed="64"/>
      </patternFill>
    </fill>
    <fill>
      <patternFill patternType="solid">
        <fgColor rgb="FF001CB5"/>
        <bgColor indexed="64"/>
      </patternFill>
    </fill>
    <fill>
      <patternFill patternType="solid">
        <fgColor rgb="FF001CB6"/>
        <bgColor indexed="64"/>
      </patternFill>
    </fill>
    <fill>
      <patternFill patternType="solid">
        <fgColor rgb="FF001CB7"/>
        <bgColor indexed="64"/>
      </patternFill>
    </fill>
    <fill>
      <patternFill patternType="solid">
        <fgColor rgb="FF001CB8"/>
        <bgColor indexed="64"/>
      </patternFill>
    </fill>
    <fill>
      <patternFill patternType="solid">
        <fgColor rgb="FF001CB9"/>
        <bgColor indexed="64"/>
      </patternFill>
    </fill>
    <fill>
      <patternFill patternType="solid">
        <fgColor rgb="FF001CBA"/>
        <bgColor indexed="64"/>
      </patternFill>
    </fill>
    <fill>
      <patternFill patternType="solid">
        <fgColor rgb="FF001CBB"/>
        <bgColor indexed="64"/>
      </patternFill>
    </fill>
    <fill>
      <patternFill patternType="solid">
        <fgColor rgb="FF001CBC"/>
        <bgColor indexed="64"/>
      </patternFill>
    </fill>
    <fill>
      <patternFill patternType="solid">
        <fgColor rgb="FF001CBD"/>
        <bgColor indexed="64"/>
      </patternFill>
    </fill>
    <fill>
      <patternFill patternType="solid">
        <fgColor rgb="FF001CBE"/>
        <bgColor indexed="64"/>
      </patternFill>
    </fill>
    <fill>
      <patternFill patternType="solid">
        <fgColor rgb="FF001CBF"/>
        <bgColor indexed="64"/>
      </patternFill>
    </fill>
    <fill>
      <patternFill patternType="solid">
        <fgColor rgb="FF001CC0"/>
        <bgColor indexed="64"/>
      </patternFill>
    </fill>
    <fill>
      <patternFill patternType="solid">
        <fgColor rgb="FF001CC1"/>
        <bgColor indexed="64"/>
      </patternFill>
    </fill>
    <fill>
      <patternFill patternType="solid">
        <fgColor rgb="FF001CC2"/>
        <bgColor indexed="64"/>
      </patternFill>
    </fill>
    <fill>
      <patternFill patternType="solid">
        <fgColor rgb="FF001CC3"/>
        <bgColor indexed="64"/>
      </patternFill>
    </fill>
    <fill>
      <patternFill patternType="solid">
        <fgColor rgb="FF001CC4"/>
        <bgColor indexed="64"/>
      </patternFill>
    </fill>
    <fill>
      <patternFill patternType="solid">
        <fgColor rgb="FF001CC5"/>
        <bgColor indexed="64"/>
      </patternFill>
    </fill>
    <fill>
      <patternFill patternType="solid">
        <fgColor rgb="FF001CC6"/>
        <bgColor indexed="64"/>
      </patternFill>
    </fill>
    <fill>
      <patternFill patternType="solid">
        <fgColor rgb="FF001CC7"/>
        <bgColor indexed="64"/>
      </patternFill>
    </fill>
    <fill>
      <patternFill patternType="solid">
        <fgColor rgb="FF001CC8"/>
        <bgColor indexed="64"/>
      </patternFill>
    </fill>
    <fill>
      <patternFill patternType="solid">
        <fgColor rgb="FF001CC9"/>
        <bgColor indexed="64"/>
      </patternFill>
    </fill>
    <fill>
      <patternFill patternType="solid">
        <fgColor rgb="FF001CCA"/>
        <bgColor indexed="64"/>
      </patternFill>
    </fill>
    <fill>
      <patternFill patternType="solid">
        <fgColor rgb="FF001CCB"/>
        <bgColor indexed="64"/>
      </patternFill>
    </fill>
    <fill>
      <patternFill patternType="solid">
        <fgColor rgb="FF001CCC"/>
        <bgColor indexed="64"/>
      </patternFill>
    </fill>
    <fill>
      <patternFill patternType="solid">
        <fgColor rgb="FF001CCD"/>
        <bgColor indexed="64"/>
      </patternFill>
    </fill>
    <fill>
      <patternFill patternType="solid">
        <fgColor rgb="FF001CCE"/>
        <bgColor indexed="64"/>
      </patternFill>
    </fill>
    <fill>
      <patternFill patternType="solid">
        <fgColor rgb="FF001CCF"/>
        <bgColor indexed="64"/>
      </patternFill>
    </fill>
    <fill>
      <patternFill patternType="solid">
        <fgColor rgb="FF001CD0"/>
        <bgColor indexed="64"/>
      </patternFill>
    </fill>
    <fill>
      <patternFill patternType="solid">
        <fgColor rgb="FF001CD1"/>
        <bgColor indexed="64"/>
      </patternFill>
    </fill>
    <fill>
      <patternFill patternType="solid">
        <fgColor rgb="FF001CD2"/>
        <bgColor indexed="64"/>
      </patternFill>
    </fill>
    <fill>
      <patternFill patternType="solid">
        <fgColor rgb="FF001CD3"/>
        <bgColor indexed="64"/>
      </patternFill>
    </fill>
    <fill>
      <patternFill patternType="solid">
        <fgColor rgb="FF001CD4"/>
        <bgColor indexed="64"/>
      </patternFill>
    </fill>
    <fill>
      <patternFill patternType="solid">
        <fgColor rgb="FF001CD5"/>
        <bgColor indexed="64"/>
      </patternFill>
    </fill>
    <fill>
      <patternFill patternType="solid">
        <fgColor rgb="FF001CD6"/>
        <bgColor indexed="64"/>
      </patternFill>
    </fill>
    <fill>
      <patternFill patternType="solid">
        <fgColor rgb="FF001CD7"/>
        <bgColor indexed="64"/>
      </patternFill>
    </fill>
    <fill>
      <patternFill patternType="solid">
        <fgColor rgb="FF001CD8"/>
        <bgColor indexed="64"/>
      </patternFill>
    </fill>
    <fill>
      <patternFill patternType="solid">
        <fgColor rgb="FF001CD9"/>
        <bgColor indexed="64"/>
      </patternFill>
    </fill>
    <fill>
      <patternFill patternType="solid">
        <fgColor rgb="FF001CDA"/>
        <bgColor indexed="64"/>
      </patternFill>
    </fill>
    <fill>
      <patternFill patternType="solid">
        <fgColor rgb="FF001CDB"/>
        <bgColor indexed="64"/>
      </patternFill>
    </fill>
    <fill>
      <patternFill patternType="solid">
        <fgColor rgb="FF001CDC"/>
        <bgColor indexed="64"/>
      </patternFill>
    </fill>
    <fill>
      <patternFill patternType="solid">
        <fgColor rgb="FF001CDD"/>
        <bgColor indexed="64"/>
      </patternFill>
    </fill>
    <fill>
      <patternFill patternType="solid">
        <fgColor rgb="FF001CDE"/>
        <bgColor indexed="64"/>
      </patternFill>
    </fill>
    <fill>
      <patternFill patternType="solid">
        <fgColor rgb="FF001CDF"/>
        <bgColor indexed="64"/>
      </patternFill>
    </fill>
    <fill>
      <patternFill patternType="solid">
        <fgColor rgb="FF001CE0"/>
        <bgColor indexed="64"/>
      </patternFill>
    </fill>
    <fill>
      <patternFill patternType="solid">
        <fgColor rgb="FF001CE1"/>
        <bgColor indexed="64"/>
      </patternFill>
    </fill>
    <fill>
      <patternFill patternType="solid">
        <fgColor rgb="FF001CE2"/>
        <bgColor indexed="64"/>
      </patternFill>
    </fill>
    <fill>
      <patternFill patternType="solid">
        <fgColor rgb="FF001CE3"/>
        <bgColor indexed="64"/>
      </patternFill>
    </fill>
    <fill>
      <patternFill patternType="solid">
        <fgColor rgb="FF001CE4"/>
        <bgColor indexed="64"/>
      </patternFill>
    </fill>
    <fill>
      <patternFill patternType="solid">
        <fgColor rgb="FF001CE5"/>
        <bgColor indexed="64"/>
      </patternFill>
    </fill>
    <fill>
      <patternFill patternType="solid">
        <fgColor rgb="FF001CE6"/>
        <bgColor indexed="64"/>
      </patternFill>
    </fill>
    <fill>
      <patternFill patternType="solid">
        <fgColor rgb="FF001CE7"/>
        <bgColor indexed="64"/>
      </patternFill>
    </fill>
    <fill>
      <patternFill patternType="solid">
        <fgColor rgb="FF001CE8"/>
        <bgColor indexed="64"/>
      </patternFill>
    </fill>
    <fill>
      <patternFill patternType="solid">
        <fgColor rgb="FF001CE9"/>
        <bgColor indexed="64"/>
      </patternFill>
    </fill>
    <fill>
      <patternFill patternType="solid">
        <fgColor rgb="FF001CEA"/>
        <bgColor indexed="64"/>
      </patternFill>
    </fill>
    <fill>
      <patternFill patternType="solid">
        <fgColor rgb="FF001CEB"/>
        <bgColor indexed="64"/>
      </patternFill>
    </fill>
    <fill>
      <patternFill patternType="solid">
        <fgColor rgb="FF001CEC"/>
        <bgColor indexed="64"/>
      </patternFill>
    </fill>
    <fill>
      <patternFill patternType="solid">
        <fgColor rgb="FF001CED"/>
        <bgColor indexed="64"/>
      </patternFill>
    </fill>
    <fill>
      <patternFill patternType="solid">
        <fgColor rgb="FF001CEE"/>
        <bgColor indexed="64"/>
      </patternFill>
    </fill>
    <fill>
      <patternFill patternType="solid">
        <fgColor rgb="FF001CEF"/>
        <bgColor indexed="64"/>
      </patternFill>
    </fill>
    <fill>
      <patternFill patternType="solid">
        <fgColor rgb="FF001CF0"/>
        <bgColor indexed="64"/>
      </patternFill>
    </fill>
    <fill>
      <patternFill patternType="solid">
        <fgColor rgb="FF001CF1"/>
        <bgColor indexed="64"/>
      </patternFill>
    </fill>
    <fill>
      <patternFill patternType="solid">
        <fgColor rgb="FF001CF2"/>
        <bgColor indexed="64"/>
      </patternFill>
    </fill>
    <fill>
      <patternFill patternType="solid">
        <fgColor rgb="FF001CF3"/>
        <bgColor indexed="64"/>
      </patternFill>
    </fill>
    <fill>
      <patternFill patternType="solid">
        <fgColor rgb="FF001CF4"/>
        <bgColor indexed="64"/>
      </patternFill>
    </fill>
    <fill>
      <patternFill patternType="solid">
        <fgColor rgb="FF001CF5"/>
        <bgColor indexed="64"/>
      </patternFill>
    </fill>
    <fill>
      <patternFill patternType="solid">
        <fgColor rgb="FF001CF6"/>
        <bgColor indexed="64"/>
      </patternFill>
    </fill>
    <fill>
      <patternFill patternType="solid">
        <fgColor rgb="FF001CF7"/>
        <bgColor indexed="64"/>
      </patternFill>
    </fill>
    <fill>
      <patternFill patternType="solid">
        <fgColor rgb="FF001CF8"/>
        <bgColor indexed="64"/>
      </patternFill>
    </fill>
    <fill>
      <patternFill patternType="solid">
        <fgColor rgb="FF001CF9"/>
        <bgColor indexed="64"/>
      </patternFill>
    </fill>
    <fill>
      <patternFill patternType="solid">
        <fgColor rgb="FF001CFA"/>
        <bgColor indexed="64"/>
      </patternFill>
    </fill>
    <fill>
      <patternFill patternType="solid">
        <fgColor rgb="FF001CFB"/>
        <bgColor indexed="64"/>
      </patternFill>
    </fill>
    <fill>
      <patternFill patternType="solid">
        <fgColor rgb="FF001CFC"/>
        <bgColor indexed="64"/>
      </patternFill>
    </fill>
    <fill>
      <patternFill patternType="solid">
        <fgColor rgb="FF001CFD"/>
        <bgColor indexed="64"/>
      </patternFill>
    </fill>
    <fill>
      <patternFill patternType="solid">
        <fgColor rgb="FF001CFE"/>
        <bgColor indexed="64"/>
      </patternFill>
    </fill>
    <fill>
      <patternFill patternType="solid">
        <fgColor rgb="FF001CFF"/>
        <bgColor indexed="64"/>
      </patternFill>
    </fill>
    <fill>
      <patternFill patternType="solid">
        <fgColor rgb="FF001D00"/>
        <bgColor indexed="64"/>
      </patternFill>
    </fill>
    <fill>
      <patternFill patternType="solid">
        <fgColor rgb="FF001D01"/>
        <bgColor indexed="64"/>
      </patternFill>
    </fill>
    <fill>
      <patternFill patternType="solid">
        <fgColor rgb="FF001D02"/>
        <bgColor indexed="64"/>
      </patternFill>
    </fill>
    <fill>
      <patternFill patternType="solid">
        <fgColor rgb="FF001D03"/>
        <bgColor indexed="64"/>
      </patternFill>
    </fill>
    <fill>
      <patternFill patternType="solid">
        <fgColor rgb="FF001D04"/>
        <bgColor indexed="64"/>
      </patternFill>
    </fill>
    <fill>
      <patternFill patternType="solid">
        <fgColor rgb="FF001D05"/>
        <bgColor indexed="64"/>
      </patternFill>
    </fill>
    <fill>
      <patternFill patternType="solid">
        <fgColor rgb="FF001D06"/>
        <bgColor indexed="64"/>
      </patternFill>
    </fill>
    <fill>
      <patternFill patternType="solid">
        <fgColor rgb="FF001D07"/>
        <bgColor indexed="64"/>
      </patternFill>
    </fill>
    <fill>
      <patternFill patternType="solid">
        <fgColor rgb="FF001D08"/>
        <bgColor indexed="64"/>
      </patternFill>
    </fill>
    <fill>
      <patternFill patternType="solid">
        <fgColor rgb="FF001D09"/>
        <bgColor indexed="64"/>
      </patternFill>
    </fill>
    <fill>
      <patternFill patternType="solid">
        <fgColor rgb="FF001D0A"/>
        <bgColor indexed="64"/>
      </patternFill>
    </fill>
    <fill>
      <patternFill patternType="solid">
        <fgColor rgb="FF001D0B"/>
        <bgColor indexed="64"/>
      </patternFill>
    </fill>
    <fill>
      <patternFill patternType="solid">
        <fgColor rgb="FF001D0C"/>
        <bgColor indexed="64"/>
      </patternFill>
    </fill>
    <fill>
      <patternFill patternType="solid">
        <fgColor rgb="FF001D0D"/>
        <bgColor indexed="64"/>
      </patternFill>
    </fill>
    <fill>
      <patternFill patternType="solid">
        <fgColor rgb="FF001D0E"/>
        <bgColor indexed="64"/>
      </patternFill>
    </fill>
    <fill>
      <patternFill patternType="solid">
        <fgColor rgb="FF001D0F"/>
        <bgColor indexed="64"/>
      </patternFill>
    </fill>
    <fill>
      <patternFill patternType="solid">
        <fgColor rgb="FF001D10"/>
        <bgColor indexed="64"/>
      </patternFill>
    </fill>
    <fill>
      <patternFill patternType="solid">
        <fgColor rgb="FF001D11"/>
        <bgColor indexed="64"/>
      </patternFill>
    </fill>
    <fill>
      <patternFill patternType="solid">
        <fgColor rgb="FF001D12"/>
        <bgColor indexed="64"/>
      </patternFill>
    </fill>
    <fill>
      <patternFill patternType="solid">
        <fgColor rgb="FF001D13"/>
        <bgColor indexed="64"/>
      </patternFill>
    </fill>
    <fill>
      <patternFill patternType="solid">
        <fgColor rgb="FF001D14"/>
        <bgColor indexed="64"/>
      </patternFill>
    </fill>
    <fill>
      <patternFill patternType="solid">
        <fgColor rgb="FF001D15"/>
        <bgColor indexed="64"/>
      </patternFill>
    </fill>
    <fill>
      <patternFill patternType="solid">
        <fgColor rgb="FF001D16"/>
        <bgColor indexed="64"/>
      </patternFill>
    </fill>
    <fill>
      <patternFill patternType="solid">
        <fgColor rgb="FF001D17"/>
        <bgColor indexed="64"/>
      </patternFill>
    </fill>
    <fill>
      <patternFill patternType="solid">
        <fgColor rgb="FF001D18"/>
        <bgColor indexed="64"/>
      </patternFill>
    </fill>
    <fill>
      <patternFill patternType="solid">
        <fgColor rgb="FF001D19"/>
        <bgColor indexed="64"/>
      </patternFill>
    </fill>
    <fill>
      <patternFill patternType="solid">
        <fgColor rgb="FF001D1A"/>
        <bgColor indexed="64"/>
      </patternFill>
    </fill>
    <fill>
      <patternFill patternType="solid">
        <fgColor rgb="FF001D1B"/>
        <bgColor indexed="64"/>
      </patternFill>
    </fill>
    <fill>
      <patternFill patternType="solid">
        <fgColor rgb="FF001D1C"/>
        <bgColor indexed="64"/>
      </patternFill>
    </fill>
    <fill>
      <patternFill patternType="solid">
        <fgColor rgb="FF001D1D"/>
        <bgColor indexed="64"/>
      </patternFill>
    </fill>
    <fill>
      <patternFill patternType="solid">
        <fgColor rgb="FF001D1E"/>
        <bgColor indexed="64"/>
      </patternFill>
    </fill>
    <fill>
      <patternFill patternType="solid">
        <fgColor rgb="FF001D1F"/>
        <bgColor indexed="64"/>
      </patternFill>
    </fill>
    <fill>
      <patternFill patternType="solid">
        <fgColor rgb="FF001D20"/>
        <bgColor indexed="64"/>
      </patternFill>
    </fill>
    <fill>
      <patternFill patternType="solid">
        <fgColor rgb="FF001D21"/>
        <bgColor indexed="64"/>
      </patternFill>
    </fill>
    <fill>
      <patternFill patternType="solid">
        <fgColor rgb="FF001D22"/>
        <bgColor indexed="64"/>
      </patternFill>
    </fill>
    <fill>
      <patternFill patternType="solid">
        <fgColor rgb="FF001D23"/>
        <bgColor indexed="64"/>
      </patternFill>
    </fill>
    <fill>
      <patternFill patternType="solid">
        <fgColor rgb="FF001D24"/>
        <bgColor indexed="64"/>
      </patternFill>
    </fill>
    <fill>
      <patternFill patternType="solid">
        <fgColor rgb="FF001D25"/>
        <bgColor indexed="64"/>
      </patternFill>
    </fill>
    <fill>
      <patternFill patternType="solid">
        <fgColor rgb="FF001D26"/>
        <bgColor indexed="64"/>
      </patternFill>
    </fill>
    <fill>
      <patternFill patternType="solid">
        <fgColor rgb="FF001D27"/>
        <bgColor indexed="64"/>
      </patternFill>
    </fill>
    <fill>
      <patternFill patternType="solid">
        <fgColor rgb="FF001D28"/>
        <bgColor indexed="64"/>
      </patternFill>
    </fill>
    <fill>
      <patternFill patternType="solid">
        <fgColor rgb="FF001D29"/>
        <bgColor indexed="64"/>
      </patternFill>
    </fill>
    <fill>
      <patternFill patternType="solid">
        <fgColor rgb="FF001D2A"/>
        <bgColor indexed="64"/>
      </patternFill>
    </fill>
    <fill>
      <patternFill patternType="solid">
        <fgColor rgb="FF001D2B"/>
        <bgColor indexed="64"/>
      </patternFill>
    </fill>
    <fill>
      <patternFill patternType="solid">
        <fgColor rgb="FF001D2C"/>
        <bgColor indexed="64"/>
      </patternFill>
    </fill>
    <fill>
      <patternFill patternType="solid">
        <fgColor rgb="FF001D2D"/>
        <bgColor indexed="64"/>
      </patternFill>
    </fill>
    <fill>
      <patternFill patternType="solid">
        <fgColor rgb="FF001D2E"/>
        <bgColor indexed="64"/>
      </patternFill>
    </fill>
    <fill>
      <patternFill patternType="solid">
        <fgColor rgb="FF001D2F"/>
        <bgColor indexed="64"/>
      </patternFill>
    </fill>
    <fill>
      <patternFill patternType="solid">
        <fgColor rgb="FF001D30"/>
        <bgColor indexed="64"/>
      </patternFill>
    </fill>
    <fill>
      <patternFill patternType="solid">
        <fgColor rgb="FF001D31"/>
        <bgColor indexed="64"/>
      </patternFill>
    </fill>
    <fill>
      <patternFill patternType="solid">
        <fgColor rgb="FF001D32"/>
        <bgColor indexed="64"/>
      </patternFill>
    </fill>
    <fill>
      <patternFill patternType="solid">
        <fgColor rgb="FF001D33"/>
        <bgColor indexed="64"/>
      </patternFill>
    </fill>
    <fill>
      <patternFill patternType="solid">
        <fgColor rgb="FF001D34"/>
        <bgColor indexed="64"/>
      </patternFill>
    </fill>
    <fill>
      <patternFill patternType="solid">
        <fgColor rgb="FF001D35"/>
        <bgColor indexed="64"/>
      </patternFill>
    </fill>
    <fill>
      <patternFill patternType="solid">
        <fgColor rgb="FF001D36"/>
        <bgColor indexed="64"/>
      </patternFill>
    </fill>
    <fill>
      <patternFill patternType="solid">
        <fgColor rgb="FF001D37"/>
        <bgColor indexed="64"/>
      </patternFill>
    </fill>
    <fill>
      <patternFill patternType="solid">
        <fgColor rgb="FF001D38"/>
        <bgColor indexed="64"/>
      </patternFill>
    </fill>
    <fill>
      <patternFill patternType="solid">
        <fgColor rgb="FF001D39"/>
        <bgColor indexed="64"/>
      </patternFill>
    </fill>
    <fill>
      <patternFill patternType="solid">
        <fgColor rgb="FF001D3A"/>
        <bgColor indexed="64"/>
      </patternFill>
    </fill>
    <fill>
      <patternFill patternType="solid">
        <fgColor rgb="FF001D3B"/>
        <bgColor indexed="64"/>
      </patternFill>
    </fill>
    <fill>
      <patternFill patternType="solid">
        <fgColor rgb="FF001D3C"/>
        <bgColor indexed="64"/>
      </patternFill>
    </fill>
    <fill>
      <patternFill patternType="solid">
        <fgColor rgb="FF001D3D"/>
        <bgColor indexed="64"/>
      </patternFill>
    </fill>
    <fill>
      <patternFill patternType="solid">
        <fgColor rgb="FF001D3E"/>
        <bgColor indexed="64"/>
      </patternFill>
    </fill>
    <fill>
      <patternFill patternType="solid">
        <fgColor rgb="FF001D3F"/>
        <bgColor indexed="64"/>
      </patternFill>
    </fill>
    <fill>
      <patternFill patternType="solid">
        <fgColor rgb="FF001D40"/>
        <bgColor indexed="64"/>
      </patternFill>
    </fill>
    <fill>
      <patternFill patternType="solid">
        <fgColor rgb="FF001D41"/>
        <bgColor indexed="64"/>
      </patternFill>
    </fill>
    <fill>
      <patternFill patternType="solid">
        <fgColor rgb="FF001D42"/>
        <bgColor indexed="64"/>
      </patternFill>
    </fill>
    <fill>
      <patternFill patternType="solid">
        <fgColor rgb="FF001D43"/>
        <bgColor indexed="64"/>
      </patternFill>
    </fill>
    <fill>
      <patternFill patternType="solid">
        <fgColor rgb="FF001D44"/>
        <bgColor indexed="64"/>
      </patternFill>
    </fill>
    <fill>
      <patternFill patternType="solid">
        <fgColor rgb="FF001D45"/>
        <bgColor indexed="64"/>
      </patternFill>
    </fill>
    <fill>
      <patternFill patternType="solid">
        <fgColor rgb="FF001D46"/>
        <bgColor indexed="64"/>
      </patternFill>
    </fill>
    <fill>
      <patternFill patternType="solid">
        <fgColor rgb="FF001D47"/>
        <bgColor indexed="64"/>
      </patternFill>
    </fill>
    <fill>
      <patternFill patternType="solid">
        <fgColor rgb="FF001D48"/>
        <bgColor indexed="64"/>
      </patternFill>
    </fill>
    <fill>
      <patternFill patternType="solid">
        <fgColor rgb="FF001D49"/>
        <bgColor indexed="64"/>
      </patternFill>
    </fill>
    <fill>
      <patternFill patternType="solid">
        <fgColor rgb="FF001D4A"/>
        <bgColor indexed="64"/>
      </patternFill>
    </fill>
    <fill>
      <patternFill patternType="solid">
        <fgColor rgb="FF001D4B"/>
        <bgColor indexed="64"/>
      </patternFill>
    </fill>
    <fill>
      <patternFill patternType="solid">
        <fgColor rgb="FF001D4C"/>
        <bgColor indexed="64"/>
      </patternFill>
    </fill>
    <fill>
      <patternFill patternType="solid">
        <fgColor rgb="FF001D4D"/>
        <bgColor indexed="64"/>
      </patternFill>
    </fill>
    <fill>
      <patternFill patternType="solid">
        <fgColor rgb="FF001D4E"/>
        <bgColor indexed="64"/>
      </patternFill>
    </fill>
    <fill>
      <patternFill patternType="solid">
        <fgColor rgb="FF001D4F"/>
        <bgColor indexed="64"/>
      </patternFill>
    </fill>
    <fill>
      <patternFill patternType="solid">
        <fgColor rgb="FF001D50"/>
        <bgColor indexed="64"/>
      </patternFill>
    </fill>
    <fill>
      <patternFill patternType="solid">
        <fgColor rgb="FF001D51"/>
        <bgColor indexed="64"/>
      </patternFill>
    </fill>
    <fill>
      <patternFill patternType="solid">
        <fgColor rgb="FF001D52"/>
        <bgColor indexed="64"/>
      </patternFill>
    </fill>
    <fill>
      <patternFill patternType="solid">
        <fgColor rgb="FF001D53"/>
        <bgColor indexed="64"/>
      </patternFill>
    </fill>
    <fill>
      <patternFill patternType="solid">
        <fgColor rgb="FF001D54"/>
        <bgColor indexed="64"/>
      </patternFill>
    </fill>
    <fill>
      <patternFill patternType="solid">
        <fgColor rgb="FF001D55"/>
        <bgColor indexed="64"/>
      </patternFill>
    </fill>
    <fill>
      <patternFill patternType="solid">
        <fgColor rgb="FF001D56"/>
        <bgColor indexed="64"/>
      </patternFill>
    </fill>
    <fill>
      <patternFill patternType="solid">
        <fgColor rgb="FF001D57"/>
        <bgColor indexed="64"/>
      </patternFill>
    </fill>
    <fill>
      <patternFill patternType="solid">
        <fgColor rgb="FF001D58"/>
        <bgColor indexed="64"/>
      </patternFill>
    </fill>
    <fill>
      <patternFill patternType="solid">
        <fgColor rgb="FF001D59"/>
        <bgColor indexed="64"/>
      </patternFill>
    </fill>
    <fill>
      <patternFill patternType="solid">
        <fgColor rgb="FF001D5A"/>
        <bgColor indexed="64"/>
      </patternFill>
    </fill>
    <fill>
      <patternFill patternType="solid">
        <fgColor rgb="FF001D5B"/>
        <bgColor indexed="64"/>
      </patternFill>
    </fill>
    <fill>
      <patternFill patternType="solid">
        <fgColor rgb="FF001D5C"/>
        <bgColor indexed="64"/>
      </patternFill>
    </fill>
    <fill>
      <patternFill patternType="solid">
        <fgColor rgb="FF001D5D"/>
        <bgColor indexed="64"/>
      </patternFill>
    </fill>
    <fill>
      <patternFill patternType="solid">
        <fgColor rgb="FF001D5E"/>
        <bgColor indexed="64"/>
      </patternFill>
    </fill>
    <fill>
      <patternFill patternType="solid">
        <fgColor rgb="FF001D5F"/>
        <bgColor indexed="64"/>
      </patternFill>
    </fill>
    <fill>
      <patternFill patternType="solid">
        <fgColor rgb="FF001D60"/>
        <bgColor indexed="64"/>
      </patternFill>
    </fill>
    <fill>
      <patternFill patternType="solid">
        <fgColor rgb="FF001D61"/>
        <bgColor indexed="64"/>
      </patternFill>
    </fill>
    <fill>
      <patternFill patternType="solid">
        <fgColor rgb="FF001D62"/>
        <bgColor indexed="64"/>
      </patternFill>
    </fill>
    <fill>
      <patternFill patternType="solid">
        <fgColor rgb="FF001D63"/>
        <bgColor indexed="64"/>
      </patternFill>
    </fill>
    <fill>
      <patternFill patternType="solid">
        <fgColor rgb="FF001D64"/>
        <bgColor indexed="64"/>
      </patternFill>
    </fill>
    <fill>
      <patternFill patternType="solid">
        <fgColor rgb="FF001D65"/>
        <bgColor indexed="64"/>
      </patternFill>
    </fill>
    <fill>
      <patternFill patternType="solid">
        <fgColor rgb="FF001D66"/>
        <bgColor indexed="64"/>
      </patternFill>
    </fill>
    <fill>
      <patternFill patternType="solid">
        <fgColor rgb="FF001D67"/>
        <bgColor indexed="64"/>
      </patternFill>
    </fill>
    <fill>
      <patternFill patternType="solid">
        <fgColor rgb="FF001D68"/>
        <bgColor indexed="64"/>
      </patternFill>
    </fill>
    <fill>
      <patternFill patternType="solid">
        <fgColor rgb="FF001D69"/>
        <bgColor indexed="64"/>
      </patternFill>
    </fill>
    <fill>
      <patternFill patternType="solid">
        <fgColor rgb="FF001D6A"/>
        <bgColor indexed="64"/>
      </patternFill>
    </fill>
    <fill>
      <patternFill patternType="solid">
        <fgColor rgb="FF001D6B"/>
        <bgColor indexed="64"/>
      </patternFill>
    </fill>
    <fill>
      <patternFill patternType="solid">
        <fgColor rgb="FF001D6C"/>
        <bgColor indexed="64"/>
      </patternFill>
    </fill>
    <fill>
      <patternFill patternType="solid">
        <fgColor rgb="FF001D6D"/>
        <bgColor indexed="64"/>
      </patternFill>
    </fill>
    <fill>
      <patternFill patternType="solid">
        <fgColor rgb="FF001D6E"/>
        <bgColor indexed="64"/>
      </patternFill>
    </fill>
    <fill>
      <patternFill patternType="solid">
        <fgColor rgb="FF001D6F"/>
        <bgColor indexed="64"/>
      </patternFill>
    </fill>
    <fill>
      <patternFill patternType="solid">
        <fgColor rgb="FF001D70"/>
        <bgColor indexed="64"/>
      </patternFill>
    </fill>
    <fill>
      <patternFill patternType="solid">
        <fgColor rgb="FF001D71"/>
        <bgColor indexed="64"/>
      </patternFill>
    </fill>
    <fill>
      <patternFill patternType="solid">
        <fgColor rgb="FF001D72"/>
        <bgColor indexed="64"/>
      </patternFill>
    </fill>
    <fill>
      <patternFill patternType="solid">
        <fgColor rgb="FF001D73"/>
        <bgColor indexed="64"/>
      </patternFill>
    </fill>
    <fill>
      <patternFill patternType="solid">
        <fgColor rgb="FF001D74"/>
        <bgColor indexed="64"/>
      </patternFill>
    </fill>
    <fill>
      <patternFill patternType="solid">
        <fgColor rgb="FF001D75"/>
        <bgColor indexed="64"/>
      </patternFill>
    </fill>
    <fill>
      <patternFill patternType="solid">
        <fgColor rgb="FF001D76"/>
        <bgColor indexed="64"/>
      </patternFill>
    </fill>
    <fill>
      <patternFill patternType="solid">
        <fgColor rgb="FF001D77"/>
        <bgColor indexed="64"/>
      </patternFill>
    </fill>
    <fill>
      <patternFill patternType="solid">
        <fgColor rgb="FF001D78"/>
        <bgColor indexed="64"/>
      </patternFill>
    </fill>
    <fill>
      <patternFill patternType="solid">
        <fgColor rgb="FF001D79"/>
        <bgColor indexed="64"/>
      </patternFill>
    </fill>
    <fill>
      <patternFill patternType="solid">
        <fgColor rgb="FF001D7A"/>
        <bgColor indexed="64"/>
      </patternFill>
    </fill>
    <fill>
      <patternFill patternType="solid">
        <fgColor rgb="FF001D7B"/>
        <bgColor indexed="64"/>
      </patternFill>
    </fill>
    <fill>
      <patternFill patternType="solid">
        <fgColor rgb="FF001D7C"/>
        <bgColor indexed="64"/>
      </patternFill>
    </fill>
    <fill>
      <patternFill patternType="solid">
        <fgColor rgb="FF001D7D"/>
        <bgColor indexed="64"/>
      </patternFill>
    </fill>
    <fill>
      <patternFill patternType="solid">
        <fgColor rgb="FF001D7E"/>
        <bgColor indexed="64"/>
      </patternFill>
    </fill>
    <fill>
      <patternFill patternType="solid">
        <fgColor rgb="FF001D7F"/>
        <bgColor indexed="64"/>
      </patternFill>
    </fill>
    <fill>
      <patternFill patternType="solid">
        <fgColor rgb="FF001D80"/>
        <bgColor indexed="64"/>
      </patternFill>
    </fill>
    <fill>
      <patternFill patternType="solid">
        <fgColor rgb="FF001D81"/>
        <bgColor indexed="64"/>
      </patternFill>
    </fill>
    <fill>
      <patternFill patternType="solid">
        <fgColor rgb="FF001D82"/>
        <bgColor indexed="64"/>
      </patternFill>
    </fill>
    <fill>
      <patternFill patternType="solid">
        <fgColor rgb="FF001D83"/>
        <bgColor indexed="64"/>
      </patternFill>
    </fill>
    <fill>
      <patternFill patternType="solid">
        <fgColor rgb="FF001D84"/>
        <bgColor indexed="64"/>
      </patternFill>
    </fill>
    <fill>
      <patternFill patternType="solid">
        <fgColor rgb="FF001D85"/>
        <bgColor indexed="64"/>
      </patternFill>
    </fill>
    <fill>
      <patternFill patternType="solid">
        <fgColor rgb="FF001D86"/>
        <bgColor indexed="64"/>
      </patternFill>
    </fill>
    <fill>
      <patternFill patternType="solid">
        <fgColor rgb="FF001D87"/>
        <bgColor indexed="64"/>
      </patternFill>
    </fill>
    <fill>
      <patternFill patternType="solid">
        <fgColor rgb="FF001D88"/>
        <bgColor indexed="64"/>
      </patternFill>
    </fill>
    <fill>
      <patternFill patternType="solid">
        <fgColor rgb="FF001D89"/>
        <bgColor indexed="64"/>
      </patternFill>
    </fill>
    <fill>
      <patternFill patternType="solid">
        <fgColor rgb="FF001D8A"/>
        <bgColor indexed="64"/>
      </patternFill>
    </fill>
    <fill>
      <patternFill patternType="solid">
        <fgColor rgb="FF001D8B"/>
        <bgColor indexed="64"/>
      </patternFill>
    </fill>
    <fill>
      <patternFill patternType="solid">
        <fgColor rgb="FF001D8C"/>
        <bgColor indexed="64"/>
      </patternFill>
    </fill>
    <fill>
      <patternFill patternType="solid">
        <fgColor rgb="FF001D8D"/>
        <bgColor indexed="64"/>
      </patternFill>
    </fill>
    <fill>
      <patternFill patternType="solid">
        <fgColor rgb="FF001D8E"/>
        <bgColor indexed="64"/>
      </patternFill>
    </fill>
    <fill>
      <patternFill patternType="solid">
        <fgColor rgb="FF001D8F"/>
        <bgColor indexed="64"/>
      </patternFill>
    </fill>
    <fill>
      <patternFill patternType="solid">
        <fgColor rgb="FF001D90"/>
        <bgColor indexed="64"/>
      </patternFill>
    </fill>
    <fill>
      <patternFill patternType="solid">
        <fgColor rgb="FF001D91"/>
        <bgColor indexed="64"/>
      </patternFill>
    </fill>
    <fill>
      <patternFill patternType="solid">
        <fgColor rgb="FF001D92"/>
        <bgColor indexed="64"/>
      </patternFill>
    </fill>
    <fill>
      <patternFill patternType="solid">
        <fgColor rgb="FF001D93"/>
        <bgColor indexed="64"/>
      </patternFill>
    </fill>
    <fill>
      <patternFill patternType="solid">
        <fgColor rgb="FF001D94"/>
        <bgColor indexed="64"/>
      </patternFill>
    </fill>
    <fill>
      <patternFill patternType="solid">
        <fgColor rgb="FF001D95"/>
        <bgColor indexed="64"/>
      </patternFill>
    </fill>
    <fill>
      <patternFill patternType="solid">
        <fgColor rgb="FF001D96"/>
        <bgColor indexed="64"/>
      </patternFill>
    </fill>
    <fill>
      <patternFill patternType="solid">
        <fgColor rgb="FF001D97"/>
        <bgColor indexed="64"/>
      </patternFill>
    </fill>
    <fill>
      <patternFill patternType="solid">
        <fgColor rgb="FF001D98"/>
        <bgColor indexed="64"/>
      </patternFill>
    </fill>
    <fill>
      <patternFill patternType="solid">
        <fgColor rgb="FF001D99"/>
        <bgColor indexed="64"/>
      </patternFill>
    </fill>
    <fill>
      <patternFill patternType="solid">
        <fgColor rgb="FF001D9A"/>
        <bgColor indexed="64"/>
      </patternFill>
    </fill>
    <fill>
      <patternFill patternType="solid">
        <fgColor rgb="FF001D9B"/>
        <bgColor indexed="64"/>
      </patternFill>
    </fill>
    <fill>
      <patternFill patternType="solid">
        <fgColor rgb="FF001D9C"/>
        <bgColor indexed="64"/>
      </patternFill>
    </fill>
    <fill>
      <patternFill patternType="solid">
        <fgColor rgb="FF001D9D"/>
        <bgColor indexed="64"/>
      </patternFill>
    </fill>
    <fill>
      <patternFill patternType="solid">
        <fgColor rgb="FF001D9E"/>
        <bgColor indexed="64"/>
      </patternFill>
    </fill>
    <fill>
      <patternFill patternType="solid">
        <fgColor rgb="FF001D9F"/>
        <bgColor indexed="64"/>
      </patternFill>
    </fill>
    <fill>
      <patternFill patternType="solid">
        <fgColor rgb="FF001DA0"/>
        <bgColor indexed="64"/>
      </patternFill>
    </fill>
    <fill>
      <patternFill patternType="solid">
        <fgColor rgb="FF001DA1"/>
        <bgColor indexed="64"/>
      </patternFill>
    </fill>
    <fill>
      <patternFill patternType="solid">
        <fgColor rgb="FF001DA2"/>
        <bgColor indexed="64"/>
      </patternFill>
    </fill>
    <fill>
      <patternFill patternType="solid">
        <fgColor rgb="FF001DA3"/>
        <bgColor indexed="64"/>
      </patternFill>
    </fill>
    <fill>
      <patternFill patternType="solid">
        <fgColor rgb="FF001DA4"/>
        <bgColor indexed="64"/>
      </patternFill>
    </fill>
    <fill>
      <patternFill patternType="solid">
        <fgColor rgb="FF001DA5"/>
        <bgColor indexed="64"/>
      </patternFill>
    </fill>
    <fill>
      <patternFill patternType="solid">
        <fgColor rgb="FF001DA6"/>
        <bgColor indexed="64"/>
      </patternFill>
    </fill>
    <fill>
      <patternFill patternType="solid">
        <fgColor rgb="FF001DA7"/>
        <bgColor indexed="64"/>
      </patternFill>
    </fill>
    <fill>
      <patternFill patternType="solid">
        <fgColor rgb="FF001DA8"/>
        <bgColor indexed="64"/>
      </patternFill>
    </fill>
    <fill>
      <patternFill patternType="solid">
        <fgColor rgb="FF001DA9"/>
        <bgColor indexed="64"/>
      </patternFill>
    </fill>
    <fill>
      <patternFill patternType="solid">
        <fgColor rgb="FF001DAA"/>
        <bgColor indexed="64"/>
      </patternFill>
    </fill>
    <fill>
      <patternFill patternType="solid">
        <fgColor rgb="FF001DAB"/>
        <bgColor indexed="64"/>
      </patternFill>
    </fill>
    <fill>
      <patternFill patternType="solid">
        <fgColor rgb="FF001DAC"/>
        <bgColor indexed="64"/>
      </patternFill>
    </fill>
    <fill>
      <patternFill patternType="solid">
        <fgColor rgb="FF001DAD"/>
        <bgColor indexed="64"/>
      </patternFill>
    </fill>
    <fill>
      <patternFill patternType="solid">
        <fgColor rgb="FF001DAE"/>
        <bgColor indexed="64"/>
      </patternFill>
    </fill>
    <fill>
      <patternFill patternType="solid">
        <fgColor rgb="FF001DAF"/>
        <bgColor indexed="64"/>
      </patternFill>
    </fill>
    <fill>
      <patternFill patternType="solid">
        <fgColor rgb="FF001DB0"/>
        <bgColor indexed="64"/>
      </patternFill>
    </fill>
    <fill>
      <patternFill patternType="solid">
        <fgColor rgb="FF001DB1"/>
        <bgColor indexed="64"/>
      </patternFill>
    </fill>
    <fill>
      <patternFill patternType="solid">
        <fgColor rgb="FF001DB2"/>
        <bgColor indexed="64"/>
      </patternFill>
    </fill>
    <fill>
      <patternFill patternType="solid">
        <fgColor rgb="FF001DB3"/>
        <bgColor indexed="64"/>
      </patternFill>
    </fill>
    <fill>
      <patternFill patternType="solid">
        <fgColor rgb="FF001DB4"/>
        <bgColor indexed="64"/>
      </patternFill>
    </fill>
    <fill>
      <patternFill patternType="solid">
        <fgColor rgb="FF001DB5"/>
        <bgColor indexed="64"/>
      </patternFill>
    </fill>
    <fill>
      <patternFill patternType="solid">
        <fgColor rgb="FF001DB6"/>
        <bgColor indexed="64"/>
      </patternFill>
    </fill>
    <fill>
      <patternFill patternType="solid">
        <fgColor rgb="FF001DB7"/>
        <bgColor indexed="64"/>
      </patternFill>
    </fill>
    <fill>
      <patternFill patternType="solid">
        <fgColor rgb="FF001DB8"/>
        <bgColor indexed="64"/>
      </patternFill>
    </fill>
    <fill>
      <patternFill patternType="solid">
        <fgColor rgb="FF001DB9"/>
        <bgColor indexed="64"/>
      </patternFill>
    </fill>
    <fill>
      <patternFill patternType="solid">
        <fgColor rgb="FF001DBA"/>
        <bgColor indexed="64"/>
      </patternFill>
    </fill>
    <fill>
      <patternFill patternType="solid">
        <fgColor rgb="FF001DBB"/>
        <bgColor indexed="64"/>
      </patternFill>
    </fill>
    <fill>
      <patternFill patternType="solid">
        <fgColor rgb="FF001DBC"/>
        <bgColor indexed="64"/>
      </patternFill>
    </fill>
    <fill>
      <patternFill patternType="solid">
        <fgColor rgb="FF001DBD"/>
        <bgColor indexed="64"/>
      </patternFill>
    </fill>
    <fill>
      <patternFill patternType="solid">
        <fgColor rgb="FF001DBE"/>
        <bgColor indexed="64"/>
      </patternFill>
    </fill>
    <fill>
      <patternFill patternType="solid">
        <fgColor rgb="FF001DBF"/>
        <bgColor indexed="64"/>
      </patternFill>
    </fill>
    <fill>
      <patternFill patternType="solid">
        <fgColor rgb="FF001DC0"/>
        <bgColor indexed="64"/>
      </patternFill>
    </fill>
    <fill>
      <patternFill patternType="solid">
        <fgColor rgb="FF001DC1"/>
        <bgColor indexed="64"/>
      </patternFill>
    </fill>
    <fill>
      <patternFill patternType="solid">
        <fgColor rgb="FF001DC2"/>
        <bgColor indexed="64"/>
      </patternFill>
    </fill>
    <fill>
      <patternFill patternType="solid">
        <fgColor rgb="FF001DC3"/>
        <bgColor indexed="64"/>
      </patternFill>
    </fill>
    <fill>
      <patternFill patternType="solid">
        <fgColor rgb="FF001DC4"/>
        <bgColor indexed="64"/>
      </patternFill>
    </fill>
    <fill>
      <patternFill patternType="solid">
        <fgColor rgb="FF001DC5"/>
        <bgColor indexed="64"/>
      </patternFill>
    </fill>
    <fill>
      <patternFill patternType="solid">
        <fgColor rgb="FF001DC6"/>
        <bgColor indexed="64"/>
      </patternFill>
    </fill>
    <fill>
      <patternFill patternType="solid">
        <fgColor rgb="FF001DC7"/>
        <bgColor indexed="64"/>
      </patternFill>
    </fill>
    <fill>
      <patternFill patternType="solid">
        <fgColor rgb="FF001DC8"/>
        <bgColor indexed="64"/>
      </patternFill>
    </fill>
    <fill>
      <patternFill patternType="solid">
        <fgColor rgb="FF001DC9"/>
        <bgColor indexed="64"/>
      </patternFill>
    </fill>
    <fill>
      <patternFill patternType="solid">
        <fgColor rgb="FF001DCA"/>
        <bgColor indexed="64"/>
      </patternFill>
    </fill>
    <fill>
      <patternFill patternType="solid">
        <fgColor rgb="FF001DCB"/>
        <bgColor indexed="64"/>
      </patternFill>
    </fill>
    <fill>
      <patternFill patternType="solid">
        <fgColor rgb="FF001DCC"/>
        <bgColor indexed="64"/>
      </patternFill>
    </fill>
    <fill>
      <patternFill patternType="solid">
        <fgColor rgb="FF001DCD"/>
        <bgColor indexed="64"/>
      </patternFill>
    </fill>
    <fill>
      <patternFill patternType="solid">
        <fgColor rgb="FF001DCE"/>
        <bgColor indexed="64"/>
      </patternFill>
    </fill>
    <fill>
      <patternFill patternType="solid">
        <fgColor rgb="FF001DCF"/>
        <bgColor indexed="64"/>
      </patternFill>
    </fill>
    <fill>
      <patternFill patternType="solid">
        <fgColor rgb="FF001DD0"/>
        <bgColor indexed="64"/>
      </patternFill>
    </fill>
    <fill>
      <patternFill patternType="solid">
        <fgColor rgb="FF001DD1"/>
        <bgColor indexed="64"/>
      </patternFill>
    </fill>
    <fill>
      <patternFill patternType="solid">
        <fgColor rgb="FF001DD2"/>
        <bgColor indexed="64"/>
      </patternFill>
    </fill>
    <fill>
      <patternFill patternType="solid">
        <fgColor rgb="FF001DD3"/>
        <bgColor indexed="64"/>
      </patternFill>
    </fill>
    <fill>
      <patternFill patternType="solid">
        <fgColor rgb="FF001DD4"/>
        <bgColor indexed="64"/>
      </patternFill>
    </fill>
    <fill>
      <patternFill patternType="solid">
        <fgColor rgb="FF001DD5"/>
        <bgColor indexed="64"/>
      </patternFill>
    </fill>
    <fill>
      <patternFill patternType="solid">
        <fgColor rgb="FF001DD6"/>
        <bgColor indexed="64"/>
      </patternFill>
    </fill>
    <fill>
      <patternFill patternType="solid">
        <fgColor rgb="FF001DD7"/>
        <bgColor indexed="64"/>
      </patternFill>
    </fill>
    <fill>
      <patternFill patternType="solid">
        <fgColor rgb="FF001DD8"/>
        <bgColor indexed="64"/>
      </patternFill>
    </fill>
    <fill>
      <patternFill patternType="solid">
        <fgColor rgb="FF001DD9"/>
        <bgColor indexed="64"/>
      </patternFill>
    </fill>
    <fill>
      <patternFill patternType="solid">
        <fgColor rgb="FF001DDA"/>
        <bgColor indexed="64"/>
      </patternFill>
    </fill>
    <fill>
      <patternFill patternType="solid">
        <fgColor rgb="FF001DDB"/>
        <bgColor indexed="64"/>
      </patternFill>
    </fill>
    <fill>
      <patternFill patternType="solid">
        <fgColor rgb="FF001DDC"/>
        <bgColor indexed="64"/>
      </patternFill>
    </fill>
    <fill>
      <patternFill patternType="solid">
        <fgColor rgb="FF001DDD"/>
        <bgColor indexed="64"/>
      </patternFill>
    </fill>
    <fill>
      <patternFill patternType="solid">
        <fgColor rgb="FF001DDE"/>
        <bgColor indexed="64"/>
      </patternFill>
    </fill>
    <fill>
      <patternFill patternType="solid">
        <fgColor rgb="FF001DDF"/>
        <bgColor indexed="64"/>
      </patternFill>
    </fill>
    <fill>
      <patternFill patternType="solid">
        <fgColor rgb="FF001DE0"/>
        <bgColor indexed="64"/>
      </patternFill>
    </fill>
    <fill>
      <patternFill patternType="solid">
        <fgColor rgb="FF001DE1"/>
        <bgColor indexed="64"/>
      </patternFill>
    </fill>
    <fill>
      <patternFill patternType="solid">
        <fgColor rgb="FF001DE2"/>
        <bgColor indexed="64"/>
      </patternFill>
    </fill>
    <fill>
      <patternFill patternType="solid">
        <fgColor rgb="FF001DE3"/>
        <bgColor indexed="64"/>
      </patternFill>
    </fill>
    <fill>
      <patternFill patternType="solid">
        <fgColor rgb="FF001DE4"/>
        <bgColor indexed="64"/>
      </patternFill>
    </fill>
    <fill>
      <patternFill patternType="solid">
        <fgColor rgb="FF001DE5"/>
        <bgColor indexed="64"/>
      </patternFill>
    </fill>
    <fill>
      <patternFill patternType="solid">
        <fgColor rgb="FF001DE6"/>
        <bgColor indexed="64"/>
      </patternFill>
    </fill>
    <fill>
      <patternFill patternType="solid">
        <fgColor rgb="FF001DE7"/>
        <bgColor indexed="64"/>
      </patternFill>
    </fill>
    <fill>
      <patternFill patternType="solid">
        <fgColor rgb="FF001DE8"/>
        <bgColor indexed="64"/>
      </patternFill>
    </fill>
    <fill>
      <patternFill patternType="solid">
        <fgColor rgb="FF001DE9"/>
        <bgColor indexed="64"/>
      </patternFill>
    </fill>
    <fill>
      <patternFill patternType="solid">
        <fgColor rgb="FF001DEA"/>
        <bgColor indexed="64"/>
      </patternFill>
    </fill>
    <fill>
      <patternFill patternType="solid">
        <fgColor rgb="FF001DEB"/>
        <bgColor indexed="64"/>
      </patternFill>
    </fill>
    <fill>
      <patternFill patternType="solid">
        <fgColor rgb="FF001DEC"/>
        <bgColor indexed="64"/>
      </patternFill>
    </fill>
    <fill>
      <patternFill patternType="solid">
        <fgColor rgb="FF001DED"/>
        <bgColor indexed="64"/>
      </patternFill>
    </fill>
    <fill>
      <patternFill patternType="solid">
        <fgColor rgb="FF001DEE"/>
        <bgColor indexed="64"/>
      </patternFill>
    </fill>
    <fill>
      <patternFill patternType="solid">
        <fgColor rgb="FF001DEF"/>
        <bgColor indexed="64"/>
      </patternFill>
    </fill>
    <fill>
      <patternFill patternType="solid">
        <fgColor rgb="FF001DF0"/>
        <bgColor indexed="64"/>
      </patternFill>
    </fill>
    <fill>
      <patternFill patternType="solid">
        <fgColor rgb="FF001DF1"/>
        <bgColor indexed="64"/>
      </patternFill>
    </fill>
    <fill>
      <patternFill patternType="solid">
        <fgColor rgb="FF001DF2"/>
        <bgColor indexed="64"/>
      </patternFill>
    </fill>
    <fill>
      <patternFill patternType="solid">
        <fgColor rgb="FF001DF3"/>
        <bgColor indexed="64"/>
      </patternFill>
    </fill>
    <fill>
      <patternFill patternType="solid">
        <fgColor rgb="FF001DF4"/>
        <bgColor indexed="64"/>
      </patternFill>
    </fill>
    <fill>
      <patternFill patternType="solid">
        <fgColor rgb="FF001DF5"/>
        <bgColor indexed="64"/>
      </patternFill>
    </fill>
    <fill>
      <patternFill patternType="solid">
        <fgColor rgb="FF001DF6"/>
        <bgColor indexed="64"/>
      </patternFill>
    </fill>
    <fill>
      <patternFill patternType="solid">
        <fgColor rgb="FF001DF7"/>
        <bgColor indexed="64"/>
      </patternFill>
    </fill>
    <fill>
      <patternFill patternType="solid">
        <fgColor rgb="FF001DF8"/>
        <bgColor indexed="64"/>
      </patternFill>
    </fill>
    <fill>
      <patternFill patternType="solid">
        <fgColor rgb="FF001DF9"/>
        <bgColor indexed="64"/>
      </patternFill>
    </fill>
    <fill>
      <patternFill patternType="solid">
        <fgColor rgb="FF001DFA"/>
        <bgColor indexed="64"/>
      </patternFill>
    </fill>
    <fill>
      <patternFill patternType="solid">
        <fgColor rgb="FF001DFB"/>
        <bgColor indexed="64"/>
      </patternFill>
    </fill>
    <fill>
      <patternFill patternType="solid">
        <fgColor rgb="FF001DFC"/>
        <bgColor indexed="64"/>
      </patternFill>
    </fill>
    <fill>
      <patternFill patternType="solid">
        <fgColor rgb="FF001DFD"/>
        <bgColor indexed="64"/>
      </patternFill>
    </fill>
    <fill>
      <patternFill patternType="solid">
        <fgColor rgb="FF001DFE"/>
        <bgColor indexed="64"/>
      </patternFill>
    </fill>
    <fill>
      <patternFill patternType="solid">
        <fgColor rgb="FF001DFF"/>
        <bgColor indexed="64"/>
      </patternFill>
    </fill>
    <fill>
      <patternFill patternType="solid">
        <fgColor rgb="FF001E00"/>
        <bgColor indexed="64"/>
      </patternFill>
    </fill>
    <fill>
      <patternFill patternType="solid">
        <fgColor rgb="FF001E01"/>
        <bgColor indexed="64"/>
      </patternFill>
    </fill>
    <fill>
      <patternFill patternType="solid">
        <fgColor rgb="FF001E02"/>
        <bgColor indexed="64"/>
      </patternFill>
    </fill>
    <fill>
      <patternFill patternType="solid">
        <fgColor rgb="FF001E03"/>
        <bgColor indexed="64"/>
      </patternFill>
    </fill>
    <fill>
      <patternFill patternType="solid">
        <fgColor rgb="FF001E04"/>
        <bgColor indexed="64"/>
      </patternFill>
    </fill>
    <fill>
      <patternFill patternType="solid">
        <fgColor rgb="FF001E05"/>
        <bgColor indexed="64"/>
      </patternFill>
    </fill>
    <fill>
      <patternFill patternType="solid">
        <fgColor rgb="FF001E06"/>
        <bgColor indexed="64"/>
      </patternFill>
    </fill>
    <fill>
      <patternFill patternType="solid">
        <fgColor rgb="FF001E07"/>
        <bgColor indexed="64"/>
      </patternFill>
    </fill>
    <fill>
      <patternFill patternType="solid">
        <fgColor rgb="FF001E08"/>
        <bgColor indexed="64"/>
      </patternFill>
    </fill>
    <fill>
      <patternFill patternType="solid">
        <fgColor rgb="FF001E09"/>
        <bgColor indexed="64"/>
      </patternFill>
    </fill>
    <fill>
      <patternFill patternType="solid">
        <fgColor rgb="FF001E0A"/>
        <bgColor indexed="64"/>
      </patternFill>
    </fill>
    <fill>
      <patternFill patternType="solid">
        <fgColor rgb="FF001E0B"/>
        <bgColor indexed="64"/>
      </patternFill>
    </fill>
    <fill>
      <patternFill patternType="solid">
        <fgColor rgb="FF001E0C"/>
        <bgColor indexed="64"/>
      </patternFill>
    </fill>
    <fill>
      <patternFill patternType="solid">
        <fgColor rgb="FF001E0D"/>
        <bgColor indexed="64"/>
      </patternFill>
    </fill>
    <fill>
      <patternFill patternType="solid">
        <fgColor rgb="FF001E0E"/>
        <bgColor indexed="64"/>
      </patternFill>
    </fill>
    <fill>
      <patternFill patternType="solid">
        <fgColor rgb="FF001E0F"/>
        <bgColor indexed="64"/>
      </patternFill>
    </fill>
    <fill>
      <patternFill patternType="solid">
        <fgColor rgb="FF001E10"/>
        <bgColor indexed="64"/>
      </patternFill>
    </fill>
    <fill>
      <patternFill patternType="solid">
        <fgColor rgb="FF001E11"/>
        <bgColor indexed="64"/>
      </patternFill>
    </fill>
    <fill>
      <patternFill patternType="solid">
        <fgColor rgb="FF001E12"/>
        <bgColor indexed="64"/>
      </patternFill>
    </fill>
    <fill>
      <patternFill patternType="solid">
        <fgColor rgb="FF001E13"/>
        <bgColor indexed="64"/>
      </patternFill>
    </fill>
    <fill>
      <patternFill patternType="solid">
        <fgColor rgb="FF001E14"/>
        <bgColor indexed="64"/>
      </patternFill>
    </fill>
    <fill>
      <patternFill patternType="solid">
        <fgColor rgb="FF001E15"/>
        <bgColor indexed="64"/>
      </patternFill>
    </fill>
    <fill>
      <patternFill patternType="solid">
        <fgColor rgb="FF001E16"/>
        <bgColor indexed="64"/>
      </patternFill>
    </fill>
    <fill>
      <patternFill patternType="solid">
        <fgColor rgb="FF001E17"/>
        <bgColor indexed="64"/>
      </patternFill>
    </fill>
    <fill>
      <patternFill patternType="solid">
        <fgColor rgb="FF001E18"/>
        <bgColor indexed="64"/>
      </patternFill>
    </fill>
    <fill>
      <patternFill patternType="solid">
        <fgColor rgb="FF001E19"/>
        <bgColor indexed="64"/>
      </patternFill>
    </fill>
    <fill>
      <patternFill patternType="solid">
        <fgColor rgb="FF001E1A"/>
        <bgColor indexed="64"/>
      </patternFill>
    </fill>
    <fill>
      <patternFill patternType="solid">
        <fgColor rgb="FF001E1B"/>
        <bgColor indexed="64"/>
      </patternFill>
    </fill>
    <fill>
      <patternFill patternType="solid">
        <fgColor rgb="FF001E1C"/>
        <bgColor indexed="64"/>
      </patternFill>
    </fill>
    <fill>
      <patternFill patternType="solid">
        <fgColor rgb="FF001E1D"/>
        <bgColor indexed="64"/>
      </patternFill>
    </fill>
    <fill>
      <patternFill patternType="solid">
        <fgColor rgb="FF001E1E"/>
        <bgColor indexed="64"/>
      </patternFill>
    </fill>
    <fill>
      <patternFill patternType="solid">
        <fgColor rgb="FF001E1F"/>
        <bgColor indexed="64"/>
      </patternFill>
    </fill>
    <fill>
      <patternFill patternType="solid">
        <fgColor rgb="FF001E20"/>
        <bgColor indexed="64"/>
      </patternFill>
    </fill>
    <fill>
      <patternFill patternType="solid">
        <fgColor rgb="FF001E21"/>
        <bgColor indexed="64"/>
      </patternFill>
    </fill>
    <fill>
      <patternFill patternType="solid">
        <fgColor rgb="FF001E22"/>
        <bgColor indexed="64"/>
      </patternFill>
    </fill>
    <fill>
      <patternFill patternType="solid">
        <fgColor rgb="FF001E23"/>
        <bgColor indexed="64"/>
      </patternFill>
    </fill>
    <fill>
      <patternFill patternType="solid">
        <fgColor rgb="FF001E24"/>
        <bgColor indexed="64"/>
      </patternFill>
    </fill>
    <fill>
      <patternFill patternType="solid">
        <fgColor rgb="FF001E25"/>
        <bgColor indexed="64"/>
      </patternFill>
    </fill>
    <fill>
      <patternFill patternType="solid">
        <fgColor rgb="FF001E26"/>
        <bgColor indexed="64"/>
      </patternFill>
    </fill>
    <fill>
      <patternFill patternType="solid">
        <fgColor rgb="FF001E27"/>
        <bgColor indexed="64"/>
      </patternFill>
    </fill>
    <fill>
      <patternFill patternType="solid">
        <fgColor rgb="FF001E28"/>
        <bgColor indexed="64"/>
      </patternFill>
    </fill>
    <fill>
      <patternFill patternType="solid">
        <fgColor rgb="FF001E29"/>
        <bgColor indexed="64"/>
      </patternFill>
    </fill>
    <fill>
      <patternFill patternType="solid">
        <fgColor rgb="FF001E2A"/>
        <bgColor indexed="64"/>
      </patternFill>
    </fill>
    <fill>
      <patternFill patternType="solid">
        <fgColor rgb="FF001E2B"/>
        <bgColor indexed="64"/>
      </patternFill>
    </fill>
    <fill>
      <patternFill patternType="solid">
        <fgColor rgb="FF001E2C"/>
        <bgColor indexed="64"/>
      </patternFill>
    </fill>
    <fill>
      <patternFill patternType="solid">
        <fgColor rgb="FF001E2D"/>
        <bgColor indexed="64"/>
      </patternFill>
    </fill>
    <fill>
      <patternFill patternType="solid">
        <fgColor rgb="FF001E2E"/>
        <bgColor indexed="64"/>
      </patternFill>
    </fill>
    <fill>
      <patternFill patternType="solid">
        <fgColor rgb="FF001E2F"/>
        <bgColor indexed="64"/>
      </patternFill>
    </fill>
    <fill>
      <patternFill patternType="solid">
        <fgColor rgb="FF001E30"/>
        <bgColor indexed="64"/>
      </patternFill>
    </fill>
    <fill>
      <patternFill patternType="solid">
        <fgColor rgb="FF001E31"/>
        <bgColor indexed="64"/>
      </patternFill>
    </fill>
    <fill>
      <patternFill patternType="solid">
        <fgColor rgb="FF001E32"/>
        <bgColor indexed="64"/>
      </patternFill>
    </fill>
    <fill>
      <patternFill patternType="solid">
        <fgColor rgb="FF001E33"/>
        <bgColor indexed="64"/>
      </patternFill>
    </fill>
    <fill>
      <patternFill patternType="solid">
        <fgColor rgb="FF001E34"/>
        <bgColor indexed="64"/>
      </patternFill>
    </fill>
    <fill>
      <patternFill patternType="solid">
        <fgColor rgb="FF001E35"/>
        <bgColor indexed="64"/>
      </patternFill>
    </fill>
    <fill>
      <patternFill patternType="solid">
        <fgColor rgb="FF001E36"/>
        <bgColor indexed="64"/>
      </patternFill>
    </fill>
    <fill>
      <patternFill patternType="solid">
        <fgColor rgb="FF001E37"/>
        <bgColor indexed="64"/>
      </patternFill>
    </fill>
    <fill>
      <patternFill patternType="solid">
        <fgColor rgb="FF001E38"/>
        <bgColor indexed="64"/>
      </patternFill>
    </fill>
    <fill>
      <patternFill patternType="solid">
        <fgColor rgb="FF001E39"/>
        <bgColor indexed="64"/>
      </patternFill>
    </fill>
    <fill>
      <patternFill patternType="solid">
        <fgColor rgb="FF001E3A"/>
        <bgColor indexed="64"/>
      </patternFill>
    </fill>
    <fill>
      <patternFill patternType="solid">
        <fgColor rgb="FF001E3B"/>
        <bgColor indexed="64"/>
      </patternFill>
    </fill>
    <fill>
      <patternFill patternType="solid">
        <fgColor rgb="FF001E3C"/>
        <bgColor indexed="64"/>
      </patternFill>
    </fill>
    <fill>
      <patternFill patternType="solid">
        <fgColor rgb="FF001E3D"/>
        <bgColor indexed="64"/>
      </patternFill>
    </fill>
    <fill>
      <patternFill patternType="solid">
        <fgColor rgb="FF001E3E"/>
        <bgColor indexed="64"/>
      </patternFill>
    </fill>
    <fill>
      <patternFill patternType="solid">
        <fgColor rgb="FF001E3F"/>
        <bgColor indexed="64"/>
      </patternFill>
    </fill>
    <fill>
      <patternFill patternType="solid">
        <fgColor rgb="FF001E40"/>
        <bgColor indexed="64"/>
      </patternFill>
    </fill>
    <fill>
      <patternFill patternType="solid">
        <fgColor rgb="FF001E41"/>
        <bgColor indexed="64"/>
      </patternFill>
    </fill>
    <fill>
      <patternFill patternType="solid">
        <fgColor rgb="FF001E42"/>
        <bgColor indexed="64"/>
      </patternFill>
    </fill>
    <fill>
      <patternFill patternType="solid">
        <fgColor rgb="FF001E43"/>
        <bgColor indexed="64"/>
      </patternFill>
    </fill>
    <fill>
      <patternFill patternType="solid">
        <fgColor rgb="FF001E44"/>
        <bgColor indexed="64"/>
      </patternFill>
    </fill>
    <fill>
      <patternFill patternType="solid">
        <fgColor rgb="FF001E45"/>
        <bgColor indexed="64"/>
      </patternFill>
    </fill>
    <fill>
      <patternFill patternType="solid">
        <fgColor rgb="FF001E46"/>
        <bgColor indexed="64"/>
      </patternFill>
    </fill>
    <fill>
      <patternFill patternType="solid">
        <fgColor rgb="FF001E47"/>
        <bgColor indexed="64"/>
      </patternFill>
    </fill>
    <fill>
      <patternFill patternType="solid">
        <fgColor rgb="FF001E48"/>
        <bgColor indexed="64"/>
      </patternFill>
    </fill>
    <fill>
      <patternFill patternType="solid">
        <fgColor rgb="FF001E49"/>
        <bgColor indexed="64"/>
      </patternFill>
    </fill>
    <fill>
      <patternFill patternType="solid">
        <fgColor rgb="FF001E4A"/>
        <bgColor indexed="64"/>
      </patternFill>
    </fill>
    <fill>
      <patternFill patternType="solid">
        <fgColor rgb="FF001E4B"/>
        <bgColor indexed="64"/>
      </patternFill>
    </fill>
    <fill>
      <patternFill patternType="solid">
        <fgColor rgb="FF001E4C"/>
        <bgColor indexed="64"/>
      </patternFill>
    </fill>
    <fill>
      <patternFill patternType="solid">
        <fgColor rgb="FF001E4D"/>
        <bgColor indexed="64"/>
      </patternFill>
    </fill>
    <fill>
      <patternFill patternType="solid">
        <fgColor rgb="FF001E4E"/>
        <bgColor indexed="64"/>
      </patternFill>
    </fill>
    <fill>
      <patternFill patternType="solid">
        <fgColor rgb="FF001E4F"/>
        <bgColor indexed="64"/>
      </patternFill>
    </fill>
    <fill>
      <patternFill patternType="solid">
        <fgColor rgb="FF001E50"/>
        <bgColor indexed="64"/>
      </patternFill>
    </fill>
    <fill>
      <patternFill patternType="solid">
        <fgColor rgb="FF001E51"/>
        <bgColor indexed="64"/>
      </patternFill>
    </fill>
    <fill>
      <patternFill patternType="solid">
        <fgColor rgb="FF001E52"/>
        <bgColor indexed="64"/>
      </patternFill>
    </fill>
    <fill>
      <patternFill patternType="solid">
        <fgColor rgb="FF001E53"/>
        <bgColor indexed="64"/>
      </patternFill>
    </fill>
    <fill>
      <patternFill patternType="solid">
        <fgColor rgb="FF001E54"/>
        <bgColor indexed="64"/>
      </patternFill>
    </fill>
    <fill>
      <patternFill patternType="solid">
        <fgColor rgb="FF001E55"/>
        <bgColor indexed="64"/>
      </patternFill>
    </fill>
    <fill>
      <patternFill patternType="solid">
        <fgColor rgb="FF001E56"/>
        <bgColor indexed="64"/>
      </patternFill>
    </fill>
    <fill>
      <patternFill patternType="solid">
        <fgColor rgb="FF001E57"/>
        <bgColor indexed="64"/>
      </patternFill>
    </fill>
    <fill>
      <patternFill patternType="solid">
        <fgColor rgb="FF001E58"/>
        <bgColor indexed="64"/>
      </patternFill>
    </fill>
    <fill>
      <patternFill patternType="solid">
        <fgColor rgb="FF001E59"/>
        <bgColor indexed="64"/>
      </patternFill>
    </fill>
    <fill>
      <patternFill patternType="solid">
        <fgColor rgb="FF001E5A"/>
        <bgColor indexed="64"/>
      </patternFill>
    </fill>
    <fill>
      <patternFill patternType="solid">
        <fgColor rgb="FF001E5B"/>
        <bgColor indexed="64"/>
      </patternFill>
    </fill>
    <fill>
      <patternFill patternType="solid">
        <fgColor rgb="FF001E5C"/>
        <bgColor indexed="64"/>
      </patternFill>
    </fill>
    <fill>
      <patternFill patternType="solid">
        <fgColor rgb="FF001E5D"/>
        <bgColor indexed="64"/>
      </patternFill>
    </fill>
    <fill>
      <patternFill patternType="solid">
        <fgColor rgb="FF001E5E"/>
        <bgColor indexed="64"/>
      </patternFill>
    </fill>
    <fill>
      <patternFill patternType="solid">
        <fgColor rgb="FF001E5F"/>
        <bgColor indexed="64"/>
      </patternFill>
    </fill>
    <fill>
      <patternFill patternType="solid">
        <fgColor rgb="FF001E60"/>
        <bgColor indexed="64"/>
      </patternFill>
    </fill>
    <fill>
      <patternFill patternType="solid">
        <fgColor rgb="FF001E61"/>
        <bgColor indexed="64"/>
      </patternFill>
    </fill>
    <fill>
      <patternFill patternType="solid">
        <fgColor rgb="FF001E62"/>
        <bgColor indexed="64"/>
      </patternFill>
    </fill>
    <fill>
      <patternFill patternType="solid">
        <fgColor rgb="FF001E63"/>
        <bgColor indexed="64"/>
      </patternFill>
    </fill>
    <fill>
      <patternFill patternType="solid">
        <fgColor rgb="FF001E64"/>
        <bgColor indexed="64"/>
      </patternFill>
    </fill>
    <fill>
      <patternFill patternType="solid">
        <fgColor rgb="FF001E65"/>
        <bgColor indexed="64"/>
      </patternFill>
    </fill>
    <fill>
      <patternFill patternType="solid">
        <fgColor rgb="FF001E66"/>
        <bgColor indexed="64"/>
      </patternFill>
    </fill>
    <fill>
      <patternFill patternType="solid">
        <fgColor rgb="FF001E67"/>
        <bgColor indexed="64"/>
      </patternFill>
    </fill>
    <fill>
      <patternFill patternType="solid">
        <fgColor rgb="FF001E68"/>
        <bgColor indexed="64"/>
      </patternFill>
    </fill>
    <fill>
      <patternFill patternType="solid">
        <fgColor rgb="FF001E69"/>
        <bgColor indexed="64"/>
      </patternFill>
    </fill>
    <fill>
      <patternFill patternType="solid">
        <fgColor rgb="FF001E6A"/>
        <bgColor indexed="64"/>
      </patternFill>
    </fill>
    <fill>
      <patternFill patternType="solid">
        <fgColor rgb="FF001E6B"/>
        <bgColor indexed="64"/>
      </patternFill>
    </fill>
    <fill>
      <patternFill patternType="solid">
        <fgColor rgb="FF001E6C"/>
        <bgColor indexed="64"/>
      </patternFill>
    </fill>
    <fill>
      <patternFill patternType="solid">
        <fgColor rgb="FF001E6D"/>
        <bgColor indexed="64"/>
      </patternFill>
    </fill>
    <fill>
      <patternFill patternType="solid">
        <fgColor rgb="FF001E6E"/>
        <bgColor indexed="64"/>
      </patternFill>
    </fill>
    <fill>
      <patternFill patternType="solid">
        <fgColor rgb="FF001E6F"/>
        <bgColor indexed="64"/>
      </patternFill>
    </fill>
    <fill>
      <patternFill patternType="solid">
        <fgColor rgb="FF001E70"/>
        <bgColor indexed="64"/>
      </patternFill>
    </fill>
    <fill>
      <patternFill patternType="solid">
        <fgColor rgb="FF001E71"/>
        <bgColor indexed="64"/>
      </patternFill>
    </fill>
    <fill>
      <patternFill patternType="solid">
        <fgColor rgb="FF001E72"/>
        <bgColor indexed="64"/>
      </patternFill>
    </fill>
    <fill>
      <patternFill patternType="solid">
        <fgColor rgb="FF001E73"/>
        <bgColor indexed="64"/>
      </patternFill>
    </fill>
    <fill>
      <patternFill patternType="solid">
        <fgColor rgb="FF001E74"/>
        <bgColor indexed="64"/>
      </patternFill>
    </fill>
    <fill>
      <patternFill patternType="solid">
        <fgColor rgb="FF001E75"/>
        <bgColor indexed="64"/>
      </patternFill>
    </fill>
    <fill>
      <patternFill patternType="solid">
        <fgColor rgb="FF001E76"/>
        <bgColor indexed="64"/>
      </patternFill>
    </fill>
    <fill>
      <patternFill patternType="solid">
        <fgColor rgb="FF001E77"/>
        <bgColor indexed="64"/>
      </patternFill>
    </fill>
    <fill>
      <patternFill patternType="solid">
        <fgColor rgb="FF001E78"/>
        <bgColor indexed="64"/>
      </patternFill>
    </fill>
    <fill>
      <patternFill patternType="solid">
        <fgColor rgb="FF001E79"/>
        <bgColor indexed="64"/>
      </patternFill>
    </fill>
    <fill>
      <patternFill patternType="solid">
        <fgColor rgb="FF001E7A"/>
        <bgColor indexed="64"/>
      </patternFill>
    </fill>
    <fill>
      <patternFill patternType="solid">
        <fgColor rgb="FF001E7B"/>
        <bgColor indexed="64"/>
      </patternFill>
    </fill>
    <fill>
      <patternFill patternType="solid">
        <fgColor rgb="FF001E7C"/>
        <bgColor indexed="64"/>
      </patternFill>
    </fill>
    <fill>
      <patternFill patternType="solid">
        <fgColor rgb="FF001E7D"/>
        <bgColor indexed="64"/>
      </patternFill>
    </fill>
    <fill>
      <patternFill patternType="solid">
        <fgColor rgb="FF001E7E"/>
        <bgColor indexed="64"/>
      </patternFill>
    </fill>
    <fill>
      <patternFill patternType="solid">
        <fgColor rgb="FF001E7F"/>
        <bgColor indexed="64"/>
      </patternFill>
    </fill>
    <fill>
      <patternFill patternType="solid">
        <fgColor rgb="FF001E80"/>
        <bgColor indexed="64"/>
      </patternFill>
    </fill>
    <fill>
      <patternFill patternType="solid">
        <fgColor rgb="FF001E81"/>
        <bgColor indexed="64"/>
      </patternFill>
    </fill>
    <fill>
      <patternFill patternType="solid">
        <fgColor rgb="FF001E82"/>
        <bgColor indexed="64"/>
      </patternFill>
    </fill>
    <fill>
      <patternFill patternType="solid">
        <fgColor rgb="FF001E83"/>
        <bgColor indexed="64"/>
      </patternFill>
    </fill>
    <fill>
      <patternFill patternType="solid">
        <fgColor rgb="FF001E84"/>
        <bgColor indexed="64"/>
      </patternFill>
    </fill>
    <fill>
      <patternFill patternType="solid">
        <fgColor rgb="FF001E85"/>
        <bgColor indexed="64"/>
      </patternFill>
    </fill>
    <fill>
      <patternFill patternType="solid">
        <fgColor rgb="FF001E86"/>
        <bgColor indexed="64"/>
      </patternFill>
    </fill>
    <fill>
      <patternFill patternType="solid">
        <fgColor rgb="FF001E87"/>
        <bgColor indexed="64"/>
      </patternFill>
    </fill>
    <fill>
      <patternFill patternType="solid">
        <fgColor rgb="FF001E88"/>
        <bgColor indexed="64"/>
      </patternFill>
    </fill>
    <fill>
      <patternFill patternType="solid">
        <fgColor rgb="FF001E89"/>
        <bgColor indexed="64"/>
      </patternFill>
    </fill>
    <fill>
      <patternFill patternType="solid">
        <fgColor rgb="FF001E8A"/>
        <bgColor indexed="64"/>
      </patternFill>
    </fill>
    <fill>
      <patternFill patternType="solid">
        <fgColor rgb="FF001E8B"/>
        <bgColor indexed="64"/>
      </patternFill>
    </fill>
    <fill>
      <patternFill patternType="solid">
        <fgColor rgb="FF001E8C"/>
        <bgColor indexed="64"/>
      </patternFill>
    </fill>
    <fill>
      <patternFill patternType="solid">
        <fgColor rgb="FF001E8D"/>
        <bgColor indexed="64"/>
      </patternFill>
    </fill>
    <fill>
      <patternFill patternType="solid">
        <fgColor rgb="FF001E8E"/>
        <bgColor indexed="64"/>
      </patternFill>
    </fill>
    <fill>
      <patternFill patternType="solid">
        <fgColor rgb="FF001E8F"/>
        <bgColor indexed="64"/>
      </patternFill>
    </fill>
    <fill>
      <patternFill patternType="solid">
        <fgColor rgb="FF001E90"/>
        <bgColor indexed="64"/>
      </patternFill>
    </fill>
    <fill>
      <patternFill patternType="solid">
        <fgColor rgb="FF001E91"/>
        <bgColor indexed="64"/>
      </patternFill>
    </fill>
    <fill>
      <patternFill patternType="solid">
        <fgColor rgb="FF001E92"/>
        <bgColor indexed="64"/>
      </patternFill>
    </fill>
    <fill>
      <patternFill patternType="solid">
        <fgColor rgb="FF001E93"/>
        <bgColor indexed="64"/>
      </patternFill>
    </fill>
    <fill>
      <patternFill patternType="solid">
        <fgColor rgb="FF001E94"/>
        <bgColor indexed="64"/>
      </patternFill>
    </fill>
    <fill>
      <patternFill patternType="solid">
        <fgColor rgb="FF001E95"/>
        <bgColor indexed="64"/>
      </patternFill>
    </fill>
    <fill>
      <patternFill patternType="solid">
        <fgColor rgb="FF001E96"/>
        <bgColor indexed="64"/>
      </patternFill>
    </fill>
    <fill>
      <patternFill patternType="solid">
        <fgColor rgb="FF001E97"/>
        <bgColor indexed="64"/>
      </patternFill>
    </fill>
    <fill>
      <patternFill patternType="solid">
        <fgColor rgb="FF001E98"/>
        <bgColor indexed="64"/>
      </patternFill>
    </fill>
    <fill>
      <patternFill patternType="solid">
        <fgColor rgb="FF001E99"/>
        <bgColor indexed="64"/>
      </patternFill>
    </fill>
    <fill>
      <patternFill patternType="solid">
        <fgColor rgb="FF001E9A"/>
        <bgColor indexed="64"/>
      </patternFill>
    </fill>
    <fill>
      <patternFill patternType="solid">
        <fgColor rgb="FF001E9B"/>
        <bgColor indexed="64"/>
      </patternFill>
    </fill>
    <fill>
      <patternFill patternType="solid">
        <fgColor rgb="FF001E9C"/>
        <bgColor indexed="64"/>
      </patternFill>
    </fill>
    <fill>
      <patternFill patternType="solid">
        <fgColor rgb="FF001E9D"/>
        <bgColor indexed="64"/>
      </patternFill>
    </fill>
    <fill>
      <patternFill patternType="solid">
        <fgColor rgb="FF001E9E"/>
        <bgColor indexed="64"/>
      </patternFill>
    </fill>
    <fill>
      <patternFill patternType="solid">
        <fgColor rgb="FF001E9F"/>
        <bgColor indexed="64"/>
      </patternFill>
    </fill>
    <fill>
      <patternFill patternType="solid">
        <fgColor rgb="FF001EA0"/>
        <bgColor indexed="64"/>
      </patternFill>
    </fill>
    <fill>
      <patternFill patternType="solid">
        <fgColor rgb="FF001EA1"/>
        <bgColor indexed="64"/>
      </patternFill>
    </fill>
    <fill>
      <patternFill patternType="solid">
        <fgColor rgb="FF001EA2"/>
        <bgColor indexed="64"/>
      </patternFill>
    </fill>
    <fill>
      <patternFill patternType="solid">
        <fgColor rgb="FF001EA3"/>
        <bgColor indexed="64"/>
      </patternFill>
    </fill>
    <fill>
      <patternFill patternType="solid">
        <fgColor rgb="FF001EA4"/>
        <bgColor indexed="64"/>
      </patternFill>
    </fill>
    <fill>
      <patternFill patternType="solid">
        <fgColor rgb="FF001EA5"/>
        <bgColor indexed="64"/>
      </patternFill>
    </fill>
    <fill>
      <patternFill patternType="solid">
        <fgColor rgb="FF001EA6"/>
        <bgColor indexed="64"/>
      </patternFill>
    </fill>
    <fill>
      <patternFill patternType="solid">
        <fgColor rgb="FF001EA7"/>
        <bgColor indexed="64"/>
      </patternFill>
    </fill>
    <fill>
      <patternFill patternType="solid">
        <fgColor rgb="FF001EA8"/>
        <bgColor indexed="64"/>
      </patternFill>
    </fill>
    <fill>
      <patternFill patternType="solid">
        <fgColor rgb="FF001EA9"/>
        <bgColor indexed="64"/>
      </patternFill>
    </fill>
    <fill>
      <patternFill patternType="solid">
        <fgColor rgb="FF001EAA"/>
        <bgColor indexed="64"/>
      </patternFill>
    </fill>
    <fill>
      <patternFill patternType="solid">
        <fgColor rgb="FF001EAB"/>
        <bgColor indexed="64"/>
      </patternFill>
    </fill>
    <fill>
      <patternFill patternType="solid">
        <fgColor rgb="FF001EAC"/>
        <bgColor indexed="64"/>
      </patternFill>
    </fill>
    <fill>
      <patternFill patternType="solid">
        <fgColor rgb="FF001EAD"/>
        <bgColor indexed="64"/>
      </patternFill>
    </fill>
    <fill>
      <patternFill patternType="solid">
        <fgColor rgb="FF001EAE"/>
        <bgColor indexed="64"/>
      </patternFill>
    </fill>
    <fill>
      <patternFill patternType="solid">
        <fgColor rgb="FF001EAF"/>
        <bgColor indexed="64"/>
      </patternFill>
    </fill>
    <fill>
      <patternFill patternType="solid">
        <fgColor rgb="FF001EB0"/>
        <bgColor indexed="64"/>
      </patternFill>
    </fill>
    <fill>
      <patternFill patternType="solid">
        <fgColor rgb="FF001EB1"/>
        <bgColor indexed="64"/>
      </patternFill>
    </fill>
    <fill>
      <patternFill patternType="solid">
        <fgColor rgb="FF001EB2"/>
        <bgColor indexed="64"/>
      </patternFill>
    </fill>
    <fill>
      <patternFill patternType="solid">
        <fgColor rgb="FF001EB3"/>
        <bgColor indexed="64"/>
      </patternFill>
    </fill>
    <fill>
      <patternFill patternType="solid">
        <fgColor rgb="FF001EB4"/>
        <bgColor indexed="64"/>
      </patternFill>
    </fill>
    <fill>
      <patternFill patternType="solid">
        <fgColor rgb="FF001EB5"/>
        <bgColor indexed="64"/>
      </patternFill>
    </fill>
    <fill>
      <patternFill patternType="solid">
        <fgColor rgb="FF001EB6"/>
        <bgColor indexed="64"/>
      </patternFill>
    </fill>
    <fill>
      <patternFill patternType="solid">
        <fgColor rgb="FF001EB7"/>
        <bgColor indexed="64"/>
      </patternFill>
    </fill>
    <fill>
      <patternFill patternType="solid">
        <fgColor rgb="FF001EB8"/>
        <bgColor indexed="64"/>
      </patternFill>
    </fill>
    <fill>
      <patternFill patternType="solid">
        <fgColor rgb="FF001EB9"/>
        <bgColor indexed="64"/>
      </patternFill>
    </fill>
    <fill>
      <patternFill patternType="solid">
        <fgColor rgb="FF001EBA"/>
        <bgColor indexed="64"/>
      </patternFill>
    </fill>
    <fill>
      <patternFill patternType="solid">
        <fgColor rgb="FF001EBB"/>
        <bgColor indexed="64"/>
      </patternFill>
    </fill>
    <fill>
      <patternFill patternType="solid">
        <fgColor rgb="FF001EBC"/>
        <bgColor indexed="64"/>
      </patternFill>
    </fill>
    <fill>
      <patternFill patternType="solid">
        <fgColor rgb="FF001EBD"/>
        <bgColor indexed="64"/>
      </patternFill>
    </fill>
    <fill>
      <patternFill patternType="solid">
        <fgColor rgb="FF001EBE"/>
        <bgColor indexed="64"/>
      </patternFill>
    </fill>
    <fill>
      <patternFill patternType="solid">
        <fgColor rgb="FF001EBF"/>
        <bgColor indexed="64"/>
      </patternFill>
    </fill>
    <fill>
      <patternFill patternType="solid">
        <fgColor rgb="FF001EC0"/>
        <bgColor indexed="64"/>
      </patternFill>
    </fill>
    <fill>
      <patternFill patternType="solid">
        <fgColor rgb="FF001EC1"/>
        <bgColor indexed="64"/>
      </patternFill>
    </fill>
    <fill>
      <patternFill patternType="solid">
        <fgColor rgb="FF001EC2"/>
        <bgColor indexed="64"/>
      </patternFill>
    </fill>
    <fill>
      <patternFill patternType="solid">
        <fgColor rgb="FF001EC3"/>
        <bgColor indexed="64"/>
      </patternFill>
    </fill>
    <fill>
      <patternFill patternType="solid">
        <fgColor rgb="FF001EC4"/>
        <bgColor indexed="64"/>
      </patternFill>
    </fill>
    <fill>
      <patternFill patternType="solid">
        <fgColor rgb="FF001EC5"/>
        <bgColor indexed="64"/>
      </patternFill>
    </fill>
    <fill>
      <patternFill patternType="solid">
        <fgColor rgb="FF001EC6"/>
        <bgColor indexed="64"/>
      </patternFill>
    </fill>
    <fill>
      <patternFill patternType="solid">
        <fgColor rgb="FF001EC7"/>
        <bgColor indexed="64"/>
      </patternFill>
    </fill>
    <fill>
      <patternFill patternType="solid">
        <fgColor rgb="FF001EC8"/>
        <bgColor indexed="64"/>
      </patternFill>
    </fill>
    <fill>
      <patternFill patternType="solid">
        <fgColor rgb="FF001EC9"/>
        <bgColor indexed="64"/>
      </patternFill>
    </fill>
    <fill>
      <patternFill patternType="solid">
        <fgColor rgb="FF001ECA"/>
        <bgColor indexed="64"/>
      </patternFill>
    </fill>
    <fill>
      <patternFill patternType="solid">
        <fgColor rgb="FF001ECB"/>
        <bgColor indexed="64"/>
      </patternFill>
    </fill>
    <fill>
      <patternFill patternType="solid">
        <fgColor rgb="FF001ECC"/>
        <bgColor indexed="64"/>
      </patternFill>
    </fill>
    <fill>
      <patternFill patternType="solid">
        <fgColor rgb="FF001ECD"/>
        <bgColor indexed="64"/>
      </patternFill>
    </fill>
    <fill>
      <patternFill patternType="solid">
        <fgColor rgb="FF001ECE"/>
        <bgColor indexed="64"/>
      </patternFill>
    </fill>
    <fill>
      <patternFill patternType="solid">
        <fgColor rgb="FF001ECF"/>
        <bgColor indexed="64"/>
      </patternFill>
    </fill>
    <fill>
      <patternFill patternType="solid">
        <fgColor rgb="FF001ED0"/>
        <bgColor indexed="64"/>
      </patternFill>
    </fill>
    <fill>
      <patternFill patternType="solid">
        <fgColor rgb="FF001ED1"/>
        <bgColor indexed="64"/>
      </patternFill>
    </fill>
    <fill>
      <patternFill patternType="solid">
        <fgColor rgb="FF001ED2"/>
        <bgColor indexed="64"/>
      </patternFill>
    </fill>
    <fill>
      <patternFill patternType="solid">
        <fgColor rgb="FF001ED3"/>
        <bgColor indexed="64"/>
      </patternFill>
    </fill>
    <fill>
      <patternFill patternType="solid">
        <fgColor rgb="FF001ED4"/>
        <bgColor indexed="64"/>
      </patternFill>
    </fill>
    <fill>
      <patternFill patternType="solid">
        <fgColor rgb="FF001ED5"/>
        <bgColor indexed="64"/>
      </patternFill>
    </fill>
    <fill>
      <patternFill patternType="solid">
        <fgColor rgb="FF001ED6"/>
        <bgColor indexed="64"/>
      </patternFill>
    </fill>
    <fill>
      <patternFill patternType="solid">
        <fgColor rgb="FF001ED7"/>
        <bgColor indexed="64"/>
      </patternFill>
    </fill>
    <fill>
      <patternFill patternType="solid">
        <fgColor rgb="FF001ED8"/>
        <bgColor indexed="64"/>
      </patternFill>
    </fill>
    <fill>
      <patternFill patternType="solid">
        <fgColor rgb="FF001ED9"/>
        <bgColor indexed="64"/>
      </patternFill>
    </fill>
    <fill>
      <patternFill patternType="solid">
        <fgColor rgb="FF001EDA"/>
        <bgColor indexed="64"/>
      </patternFill>
    </fill>
    <fill>
      <patternFill patternType="solid">
        <fgColor rgb="FF001EDB"/>
        <bgColor indexed="64"/>
      </patternFill>
    </fill>
    <fill>
      <patternFill patternType="solid">
        <fgColor rgb="FF001EDC"/>
        <bgColor indexed="64"/>
      </patternFill>
    </fill>
    <fill>
      <patternFill patternType="solid">
        <fgColor rgb="FF001EDD"/>
        <bgColor indexed="64"/>
      </patternFill>
    </fill>
    <fill>
      <patternFill patternType="solid">
        <fgColor rgb="FF001EDE"/>
        <bgColor indexed="64"/>
      </patternFill>
    </fill>
    <fill>
      <patternFill patternType="solid">
        <fgColor rgb="FF001EDF"/>
        <bgColor indexed="64"/>
      </patternFill>
    </fill>
    <fill>
      <patternFill patternType="solid">
        <fgColor rgb="FF001EE0"/>
        <bgColor indexed="64"/>
      </patternFill>
    </fill>
    <fill>
      <patternFill patternType="solid">
        <fgColor rgb="FF001EE1"/>
        <bgColor indexed="64"/>
      </patternFill>
    </fill>
    <fill>
      <patternFill patternType="solid">
        <fgColor rgb="FF001EE2"/>
        <bgColor indexed="64"/>
      </patternFill>
    </fill>
    <fill>
      <patternFill patternType="solid">
        <fgColor rgb="FF001EE3"/>
        <bgColor indexed="64"/>
      </patternFill>
    </fill>
    <fill>
      <patternFill patternType="solid">
        <fgColor rgb="FF001EE4"/>
        <bgColor indexed="64"/>
      </patternFill>
    </fill>
    <fill>
      <patternFill patternType="solid">
        <fgColor rgb="FF001EE5"/>
        <bgColor indexed="64"/>
      </patternFill>
    </fill>
    <fill>
      <patternFill patternType="solid">
        <fgColor rgb="FF001EE6"/>
        <bgColor indexed="64"/>
      </patternFill>
    </fill>
    <fill>
      <patternFill patternType="solid">
        <fgColor rgb="FF001EE7"/>
        <bgColor indexed="64"/>
      </patternFill>
    </fill>
    <fill>
      <patternFill patternType="solid">
        <fgColor rgb="FF001EE8"/>
        <bgColor indexed="64"/>
      </patternFill>
    </fill>
    <fill>
      <patternFill patternType="solid">
        <fgColor rgb="FF001EE9"/>
        <bgColor indexed="64"/>
      </patternFill>
    </fill>
    <fill>
      <patternFill patternType="solid">
        <fgColor rgb="FF001EEA"/>
        <bgColor indexed="64"/>
      </patternFill>
    </fill>
    <fill>
      <patternFill patternType="solid">
        <fgColor rgb="FF001EEB"/>
        <bgColor indexed="64"/>
      </patternFill>
    </fill>
    <fill>
      <patternFill patternType="solid">
        <fgColor rgb="FF001EEC"/>
        <bgColor indexed="64"/>
      </patternFill>
    </fill>
    <fill>
      <patternFill patternType="solid">
        <fgColor rgb="FF001EED"/>
        <bgColor indexed="64"/>
      </patternFill>
    </fill>
    <fill>
      <patternFill patternType="solid">
        <fgColor rgb="FF001EEE"/>
        <bgColor indexed="64"/>
      </patternFill>
    </fill>
    <fill>
      <patternFill patternType="solid">
        <fgColor rgb="FF001EEF"/>
        <bgColor indexed="64"/>
      </patternFill>
    </fill>
    <fill>
      <patternFill patternType="solid">
        <fgColor rgb="FF001EF0"/>
        <bgColor indexed="64"/>
      </patternFill>
    </fill>
    <fill>
      <patternFill patternType="solid">
        <fgColor rgb="FF001EF1"/>
        <bgColor indexed="64"/>
      </patternFill>
    </fill>
    <fill>
      <patternFill patternType="solid">
        <fgColor rgb="FF001EF2"/>
        <bgColor indexed="64"/>
      </patternFill>
    </fill>
    <fill>
      <patternFill patternType="solid">
        <fgColor rgb="FF001EF3"/>
        <bgColor indexed="64"/>
      </patternFill>
    </fill>
    <fill>
      <patternFill patternType="solid">
        <fgColor rgb="FF001EF4"/>
        <bgColor indexed="64"/>
      </patternFill>
    </fill>
    <fill>
      <patternFill patternType="solid">
        <fgColor rgb="FF001EF5"/>
        <bgColor indexed="64"/>
      </patternFill>
    </fill>
    <fill>
      <patternFill patternType="solid">
        <fgColor rgb="FF001EF6"/>
        <bgColor indexed="64"/>
      </patternFill>
    </fill>
    <fill>
      <patternFill patternType="solid">
        <fgColor rgb="FF001EF7"/>
        <bgColor indexed="64"/>
      </patternFill>
    </fill>
    <fill>
      <patternFill patternType="solid">
        <fgColor rgb="FF001EF8"/>
        <bgColor indexed="64"/>
      </patternFill>
    </fill>
    <fill>
      <patternFill patternType="solid">
        <fgColor rgb="FF001EF9"/>
        <bgColor indexed="64"/>
      </patternFill>
    </fill>
    <fill>
      <patternFill patternType="solid">
        <fgColor rgb="FF001EFA"/>
        <bgColor indexed="64"/>
      </patternFill>
    </fill>
    <fill>
      <patternFill patternType="solid">
        <fgColor rgb="FF001EFB"/>
        <bgColor indexed="64"/>
      </patternFill>
    </fill>
    <fill>
      <patternFill patternType="solid">
        <fgColor rgb="FF001EFC"/>
        <bgColor indexed="64"/>
      </patternFill>
    </fill>
    <fill>
      <patternFill patternType="solid">
        <fgColor rgb="FF001EFD"/>
        <bgColor indexed="64"/>
      </patternFill>
    </fill>
    <fill>
      <patternFill patternType="solid">
        <fgColor rgb="FF001EFE"/>
        <bgColor indexed="64"/>
      </patternFill>
    </fill>
    <fill>
      <patternFill patternType="solid">
        <fgColor rgb="FF001EFF"/>
        <bgColor indexed="64"/>
      </patternFill>
    </fill>
    <fill>
      <patternFill patternType="solid">
        <fgColor rgb="FF001F00"/>
        <bgColor indexed="64"/>
      </patternFill>
    </fill>
    <fill>
      <patternFill patternType="solid">
        <fgColor rgb="FF001F01"/>
        <bgColor indexed="64"/>
      </patternFill>
    </fill>
    <fill>
      <patternFill patternType="solid">
        <fgColor rgb="FF001F02"/>
        <bgColor indexed="64"/>
      </patternFill>
    </fill>
    <fill>
      <patternFill patternType="solid">
        <fgColor rgb="FF001F03"/>
        <bgColor indexed="64"/>
      </patternFill>
    </fill>
    <fill>
      <patternFill patternType="solid">
        <fgColor rgb="FF001F04"/>
        <bgColor indexed="64"/>
      </patternFill>
    </fill>
    <fill>
      <patternFill patternType="solid">
        <fgColor rgb="FF001F05"/>
        <bgColor indexed="64"/>
      </patternFill>
    </fill>
    <fill>
      <patternFill patternType="solid">
        <fgColor rgb="FF001F06"/>
        <bgColor indexed="64"/>
      </patternFill>
    </fill>
    <fill>
      <patternFill patternType="solid">
        <fgColor rgb="FF001F07"/>
        <bgColor indexed="64"/>
      </patternFill>
    </fill>
    <fill>
      <patternFill patternType="solid">
        <fgColor rgb="FF001F08"/>
        <bgColor indexed="64"/>
      </patternFill>
    </fill>
    <fill>
      <patternFill patternType="solid">
        <fgColor rgb="FF001F09"/>
        <bgColor indexed="64"/>
      </patternFill>
    </fill>
    <fill>
      <patternFill patternType="solid">
        <fgColor rgb="FF001F0A"/>
        <bgColor indexed="64"/>
      </patternFill>
    </fill>
    <fill>
      <patternFill patternType="solid">
        <fgColor rgb="FF001F0B"/>
        <bgColor indexed="64"/>
      </patternFill>
    </fill>
    <fill>
      <patternFill patternType="solid">
        <fgColor rgb="FF001F0C"/>
        <bgColor indexed="64"/>
      </patternFill>
    </fill>
    <fill>
      <patternFill patternType="solid">
        <fgColor rgb="FF001F0D"/>
        <bgColor indexed="64"/>
      </patternFill>
    </fill>
    <fill>
      <patternFill patternType="solid">
        <fgColor rgb="FF001F0E"/>
        <bgColor indexed="64"/>
      </patternFill>
    </fill>
    <fill>
      <patternFill patternType="solid">
        <fgColor rgb="FF001F0F"/>
        <bgColor indexed="64"/>
      </patternFill>
    </fill>
    <fill>
      <patternFill patternType="solid">
        <fgColor rgb="FF001F10"/>
        <bgColor indexed="64"/>
      </patternFill>
    </fill>
    <fill>
      <patternFill patternType="solid">
        <fgColor rgb="FF001F11"/>
        <bgColor indexed="64"/>
      </patternFill>
    </fill>
    <fill>
      <patternFill patternType="solid">
        <fgColor rgb="FF001F12"/>
        <bgColor indexed="64"/>
      </patternFill>
    </fill>
    <fill>
      <patternFill patternType="solid">
        <fgColor rgb="FF001F13"/>
        <bgColor indexed="64"/>
      </patternFill>
    </fill>
    <fill>
      <patternFill patternType="solid">
        <fgColor rgb="FF001F14"/>
        <bgColor indexed="64"/>
      </patternFill>
    </fill>
    <fill>
      <patternFill patternType="solid">
        <fgColor rgb="FF001F15"/>
        <bgColor indexed="64"/>
      </patternFill>
    </fill>
    <fill>
      <patternFill patternType="solid">
        <fgColor rgb="FF001F16"/>
        <bgColor indexed="64"/>
      </patternFill>
    </fill>
    <fill>
      <patternFill patternType="solid">
        <fgColor rgb="FF001F17"/>
        <bgColor indexed="64"/>
      </patternFill>
    </fill>
    <fill>
      <patternFill patternType="solid">
        <fgColor rgb="FF001F18"/>
        <bgColor indexed="64"/>
      </patternFill>
    </fill>
    <fill>
      <patternFill patternType="solid">
        <fgColor rgb="FF001F19"/>
        <bgColor indexed="64"/>
      </patternFill>
    </fill>
    <fill>
      <patternFill patternType="solid">
        <fgColor rgb="FF001F1A"/>
        <bgColor indexed="64"/>
      </patternFill>
    </fill>
    <fill>
      <patternFill patternType="solid">
        <fgColor rgb="FF001F1B"/>
        <bgColor indexed="64"/>
      </patternFill>
    </fill>
    <fill>
      <patternFill patternType="solid">
        <fgColor rgb="FF001F1C"/>
        <bgColor indexed="64"/>
      </patternFill>
    </fill>
    <fill>
      <patternFill patternType="solid">
        <fgColor rgb="FF001F1D"/>
        <bgColor indexed="64"/>
      </patternFill>
    </fill>
    <fill>
      <patternFill patternType="solid">
        <fgColor rgb="FF001F1E"/>
        <bgColor indexed="64"/>
      </patternFill>
    </fill>
    <fill>
      <patternFill patternType="solid">
        <fgColor rgb="FF001F1F"/>
        <bgColor indexed="64"/>
      </patternFill>
    </fill>
    <fill>
      <patternFill patternType="solid">
        <fgColor rgb="FF001F20"/>
        <bgColor indexed="64"/>
      </patternFill>
    </fill>
    <fill>
      <patternFill patternType="solid">
        <fgColor rgb="FF001F21"/>
        <bgColor indexed="64"/>
      </patternFill>
    </fill>
    <fill>
      <patternFill patternType="solid">
        <fgColor rgb="FF001F22"/>
        <bgColor indexed="64"/>
      </patternFill>
    </fill>
    <fill>
      <patternFill patternType="solid">
        <fgColor rgb="FF001F23"/>
        <bgColor indexed="64"/>
      </patternFill>
    </fill>
    <fill>
      <patternFill patternType="solid">
        <fgColor rgb="FF001F24"/>
        <bgColor indexed="64"/>
      </patternFill>
    </fill>
    <fill>
      <patternFill patternType="solid">
        <fgColor rgb="FF001F25"/>
        <bgColor indexed="64"/>
      </patternFill>
    </fill>
    <fill>
      <patternFill patternType="solid">
        <fgColor rgb="FF001F26"/>
        <bgColor indexed="64"/>
      </patternFill>
    </fill>
    <fill>
      <patternFill patternType="solid">
        <fgColor rgb="FF001F27"/>
        <bgColor indexed="64"/>
      </patternFill>
    </fill>
    <fill>
      <patternFill patternType="solid">
        <fgColor rgb="FF001F28"/>
        <bgColor indexed="64"/>
      </patternFill>
    </fill>
    <fill>
      <patternFill patternType="solid">
        <fgColor rgb="FF001F29"/>
        <bgColor indexed="64"/>
      </patternFill>
    </fill>
    <fill>
      <patternFill patternType="solid">
        <fgColor rgb="FF001F2A"/>
        <bgColor indexed="64"/>
      </patternFill>
    </fill>
    <fill>
      <patternFill patternType="solid">
        <fgColor rgb="FF001F2B"/>
        <bgColor indexed="64"/>
      </patternFill>
    </fill>
    <fill>
      <patternFill patternType="solid">
        <fgColor rgb="FF001F2C"/>
        <bgColor indexed="64"/>
      </patternFill>
    </fill>
    <fill>
      <patternFill patternType="solid">
        <fgColor rgb="FF001F2D"/>
        <bgColor indexed="64"/>
      </patternFill>
    </fill>
    <fill>
      <patternFill patternType="solid">
        <fgColor rgb="FF001F2E"/>
        <bgColor indexed="64"/>
      </patternFill>
    </fill>
    <fill>
      <patternFill patternType="solid">
        <fgColor rgb="FF001F2F"/>
        <bgColor indexed="64"/>
      </patternFill>
    </fill>
    <fill>
      <patternFill patternType="solid">
        <fgColor rgb="FF001F30"/>
        <bgColor indexed="64"/>
      </patternFill>
    </fill>
    <fill>
      <patternFill patternType="solid">
        <fgColor rgb="FF001F31"/>
        <bgColor indexed="64"/>
      </patternFill>
    </fill>
    <fill>
      <patternFill patternType="solid">
        <fgColor rgb="FF001F32"/>
        <bgColor indexed="64"/>
      </patternFill>
    </fill>
    <fill>
      <patternFill patternType="solid">
        <fgColor rgb="FF001F33"/>
        <bgColor indexed="64"/>
      </patternFill>
    </fill>
    <fill>
      <patternFill patternType="solid">
        <fgColor rgb="FF001F34"/>
        <bgColor indexed="64"/>
      </patternFill>
    </fill>
    <fill>
      <patternFill patternType="solid">
        <fgColor rgb="FF001F35"/>
        <bgColor indexed="64"/>
      </patternFill>
    </fill>
    <fill>
      <patternFill patternType="solid">
        <fgColor rgb="FF001F36"/>
        <bgColor indexed="64"/>
      </patternFill>
    </fill>
    <fill>
      <patternFill patternType="solid">
        <fgColor rgb="FF001F37"/>
        <bgColor indexed="64"/>
      </patternFill>
    </fill>
    <fill>
      <patternFill patternType="solid">
        <fgColor rgb="FF001F38"/>
        <bgColor indexed="64"/>
      </patternFill>
    </fill>
    <fill>
      <patternFill patternType="solid">
        <fgColor rgb="FF001F39"/>
        <bgColor indexed="64"/>
      </patternFill>
    </fill>
    <fill>
      <patternFill patternType="solid">
        <fgColor rgb="FF001F3A"/>
        <bgColor indexed="64"/>
      </patternFill>
    </fill>
    <fill>
      <patternFill patternType="solid">
        <fgColor rgb="FF001F3B"/>
        <bgColor indexed="64"/>
      </patternFill>
    </fill>
    <fill>
      <patternFill patternType="solid">
        <fgColor rgb="FF001F3C"/>
        <bgColor indexed="64"/>
      </patternFill>
    </fill>
    <fill>
      <patternFill patternType="solid">
        <fgColor rgb="FF001F3D"/>
        <bgColor indexed="64"/>
      </patternFill>
    </fill>
    <fill>
      <patternFill patternType="solid">
        <fgColor rgb="FF001F3E"/>
        <bgColor indexed="64"/>
      </patternFill>
    </fill>
    <fill>
      <patternFill patternType="solid">
        <fgColor rgb="FF001F3F"/>
        <bgColor indexed="64"/>
      </patternFill>
    </fill>
    <fill>
      <patternFill patternType="solid">
        <fgColor rgb="FF001F40"/>
        <bgColor indexed="64"/>
      </patternFill>
    </fill>
    <fill>
      <patternFill patternType="solid">
        <fgColor rgb="FF001F41"/>
        <bgColor indexed="64"/>
      </patternFill>
    </fill>
    <fill>
      <patternFill patternType="solid">
        <fgColor rgb="FF001F42"/>
        <bgColor indexed="64"/>
      </patternFill>
    </fill>
    <fill>
      <patternFill patternType="solid">
        <fgColor rgb="FF001F43"/>
        <bgColor indexed="64"/>
      </patternFill>
    </fill>
    <fill>
      <patternFill patternType="solid">
        <fgColor rgb="FF001F44"/>
        <bgColor indexed="64"/>
      </patternFill>
    </fill>
    <fill>
      <patternFill patternType="solid">
        <fgColor rgb="FF001F45"/>
        <bgColor indexed="64"/>
      </patternFill>
    </fill>
    <fill>
      <patternFill patternType="solid">
        <fgColor rgb="FF001F46"/>
        <bgColor indexed="64"/>
      </patternFill>
    </fill>
    <fill>
      <patternFill patternType="solid">
        <fgColor rgb="FF001F47"/>
        <bgColor indexed="64"/>
      </patternFill>
    </fill>
    <fill>
      <patternFill patternType="solid">
        <fgColor rgb="FF001F48"/>
        <bgColor indexed="64"/>
      </patternFill>
    </fill>
    <fill>
      <patternFill patternType="solid">
        <fgColor rgb="FF001F49"/>
        <bgColor indexed="64"/>
      </patternFill>
    </fill>
    <fill>
      <patternFill patternType="solid">
        <fgColor rgb="FF001F4A"/>
        <bgColor indexed="64"/>
      </patternFill>
    </fill>
    <fill>
      <patternFill patternType="solid">
        <fgColor rgb="FF001F4B"/>
        <bgColor indexed="64"/>
      </patternFill>
    </fill>
    <fill>
      <patternFill patternType="solid">
        <fgColor rgb="FF001F4C"/>
        <bgColor indexed="64"/>
      </patternFill>
    </fill>
    <fill>
      <patternFill patternType="solid">
        <fgColor rgb="FF001F4D"/>
        <bgColor indexed="64"/>
      </patternFill>
    </fill>
    <fill>
      <patternFill patternType="solid">
        <fgColor rgb="FF001F4E"/>
        <bgColor indexed="64"/>
      </patternFill>
    </fill>
    <fill>
      <patternFill patternType="solid">
        <fgColor rgb="FF001F4F"/>
        <bgColor indexed="64"/>
      </patternFill>
    </fill>
    <fill>
      <patternFill patternType="solid">
        <fgColor rgb="FF001F50"/>
        <bgColor indexed="64"/>
      </patternFill>
    </fill>
    <fill>
      <patternFill patternType="solid">
        <fgColor rgb="FF001F51"/>
        <bgColor indexed="64"/>
      </patternFill>
    </fill>
    <fill>
      <patternFill patternType="solid">
        <fgColor rgb="FF001F52"/>
        <bgColor indexed="64"/>
      </patternFill>
    </fill>
    <fill>
      <patternFill patternType="solid">
        <fgColor rgb="FF001F53"/>
        <bgColor indexed="64"/>
      </patternFill>
    </fill>
    <fill>
      <patternFill patternType="solid">
        <fgColor rgb="FF001F54"/>
        <bgColor indexed="64"/>
      </patternFill>
    </fill>
    <fill>
      <patternFill patternType="solid">
        <fgColor rgb="FF001F55"/>
        <bgColor indexed="64"/>
      </patternFill>
    </fill>
    <fill>
      <patternFill patternType="solid">
        <fgColor rgb="FF001F56"/>
        <bgColor indexed="64"/>
      </patternFill>
    </fill>
    <fill>
      <patternFill patternType="solid">
        <fgColor rgb="FF001F57"/>
        <bgColor indexed="64"/>
      </patternFill>
    </fill>
    <fill>
      <patternFill patternType="solid">
        <fgColor rgb="FF001F58"/>
        <bgColor indexed="64"/>
      </patternFill>
    </fill>
    <fill>
      <patternFill patternType="solid">
        <fgColor rgb="FF001F59"/>
        <bgColor indexed="64"/>
      </patternFill>
    </fill>
    <fill>
      <patternFill patternType="solid">
        <fgColor rgb="FF001F5A"/>
        <bgColor indexed="64"/>
      </patternFill>
    </fill>
    <fill>
      <patternFill patternType="solid">
        <fgColor rgb="FF001F5B"/>
        <bgColor indexed="64"/>
      </patternFill>
    </fill>
    <fill>
      <patternFill patternType="solid">
        <fgColor rgb="FF001F5C"/>
        <bgColor indexed="64"/>
      </patternFill>
    </fill>
    <fill>
      <patternFill patternType="solid">
        <fgColor rgb="FF001F5D"/>
        <bgColor indexed="64"/>
      </patternFill>
    </fill>
    <fill>
      <patternFill patternType="solid">
        <fgColor rgb="FF001F5E"/>
        <bgColor indexed="64"/>
      </patternFill>
    </fill>
    <fill>
      <patternFill patternType="solid">
        <fgColor rgb="FF001F5F"/>
        <bgColor indexed="64"/>
      </patternFill>
    </fill>
    <fill>
      <patternFill patternType="solid">
        <fgColor rgb="FF001F60"/>
        <bgColor indexed="64"/>
      </patternFill>
    </fill>
    <fill>
      <patternFill patternType="solid">
        <fgColor rgb="FF001F61"/>
        <bgColor indexed="64"/>
      </patternFill>
    </fill>
    <fill>
      <patternFill patternType="solid">
        <fgColor rgb="FF001F62"/>
        <bgColor indexed="64"/>
      </patternFill>
    </fill>
    <fill>
      <patternFill patternType="solid">
        <fgColor rgb="FF001F63"/>
        <bgColor indexed="64"/>
      </patternFill>
    </fill>
    <fill>
      <patternFill patternType="solid">
        <fgColor rgb="FF001F64"/>
        <bgColor indexed="64"/>
      </patternFill>
    </fill>
    <fill>
      <patternFill patternType="solid">
        <fgColor rgb="FF001F65"/>
        <bgColor indexed="64"/>
      </patternFill>
    </fill>
    <fill>
      <patternFill patternType="solid">
        <fgColor rgb="FF001F66"/>
        <bgColor indexed="64"/>
      </patternFill>
    </fill>
    <fill>
      <patternFill patternType="solid">
        <fgColor rgb="FF001F67"/>
        <bgColor indexed="64"/>
      </patternFill>
    </fill>
    <fill>
      <patternFill patternType="solid">
        <fgColor rgb="FF001F68"/>
        <bgColor indexed="64"/>
      </patternFill>
    </fill>
    <fill>
      <patternFill patternType="solid">
        <fgColor rgb="FF001F69"/>
        <bgColor indexed="64"/>
      </patternFill>
    </fill>
    <fill>
      <patternFill patternType="solid">
        <fgColor rgb="FF001F6A"/>
        <bgColor indexed="64"/>
      </patternFill>
    </fill>
    <fill>
      <patternFill patternType="solid">
        <fgColor rgb="FF001F6B"/>
        <bgColor indexed="64"/>
      </patternFill>
    </fill>
    <fill>
      <patternFill patternType="solid">
        <fgColor rgb="FF001F6C"/>
        <bgColor indexed="64"/>
      </patternFill>
    </fill>
    <fill>
      <patternFill patternType="solid">
        <fgColor rgb="FF001F6D"/>
        <bgColor indexed="64"/>
      </patternFill>
    </fill>
    <fill>
      <patternFill patternType="solid">
        <fgColor rgb="FF001F6E"/>
        <bgColor indexed="64"/>
      </patternFill>
    </fill>
    <fill>
      <patternFill patternType="solid">
        <fgColor rgb="FF001F6F"/>
        <bgColor indexed="64"/>
      </patternFill>
    </fill>
    <fill>
      <patternFill patternType="solid">
        <fgColor rgb="FF001F70"/>
        <bgColor indexed="64"/>
      </patternFill>
    </fill>
    <fill>
      <patternFill patternType="solid">
        <fgColor rgb="FF001F71"/>
        <bgColor indexed="64"/>
      </patternFill>
    </fill>
    <fill>
      <patternFill patternType="solid">
        <fgColor rgb="FF001F72"/>
        <bgColor indexed="64"/>
      </patternFill>
    </fill>
    <fill>
      <patternFill patternType="solid">
        <fgColor rgb="FF001F73"/>
        <bgColor indexed="64"/>
      </patternFill>
    </fill>
    <fill>
      <patternFill patternType="solid">
        <fgColor rgb="FF001F74"/>
        <bgColor indexed="64"/>
      </patternFill>
    </fill>
    <fill>
      <patternFill patternType="solid">
        <fgColor rgb="FF001F75"/>
        <bgColor indexed="64"/>
      </patternFill>
    </fill>
    <fill>
      <patternFill patternType="solid">
        <fgColor rgb="FF001F76"/>
        <bgColor indexed="64"/>
      </patternFill>
    </fill>
    <fill>
      <patternFill patternType="solid">
        <fgColor rgb="FF001F77"/>
        <bgColor indexed="64"/>
      </patternFill>
    </fill>
    <fill>
      <patternFill patternType="solid">
        <fgColor rgb="FF001F78"/>
        <bgColor indexed="64"/>
      </patternFill>
    </fill>
    <fill>
      <patternFill patternType="solid">
        <fgColor rgb="FF001F79"/>
        <bgColor indexed="64"/>
      </patternFill>
    </fill>
    <fill>
      <patternFill patternType="solid">
        <fgColor rgb="FF001F7A"/>
        <bgColor indexed="64"/>
      </patternFill>
    </fill>
    <fill>
      <patternFill patternType="solid">
        <fgColor rgb="FF001F7B"/>
        <bgColor indexed="64"/>
      </patternFill>
    </fill>
    <fill>
      <patternFill patternType="solid">
        <fgColor rgb="FF001F7C"/>
        <bgColor indexed="64"/>
      </patternFill>
    </fill>
    <fill>
      <patternFill patternType="solid">
        <fgColor rgb="FF001F7D"/>
        <bgColor indexed="64"/>
      </patternFill>
    </fill>
    <fill>
      <patternFill patternType="solid">
        <fgColor rgb="FF001F7E"/>
        <bgColor indexed="64"/>
      </patternFill>
    </fill>
    <fill>
      <patternFill patternType="solid">
        <fgColor rgb="FF001F7F"/>
        <bgColor indexed="64"/>
      </patternFill>
    </fill>
    <fill>
      <patternFill patternType="solid">
        <fgColor rgb="FF001F80"/>
        <bgColor indexed="64"/>
      </patternFill>
    </fill>
    <fill>
      <patternFill patternType="solid">
        <fgColor rgb="FF001F81"/>
        <bgColor indexed="64"/>
      </patternFill>
    </fill>
    <fill>
      <patternFill patternType="solid">
        <fgColor rgb="FF001F82"/>
        <bgColor indexed="64"/>
      </patternFill>
    </fill>
    <fill>
      <patternFill patternType="solid">
        <fgColor rgb="FF001F83"/>
        <bgColor indexed="64"/>
      </patternFill>
    </fill>
    <fill>
      <patternFill patternType="solid">
        <fgColor rgb="FF001F84"/>
        <bgColor indexed="64"/>
      </patternFill>
    </fill>
    <fill>
      <patternFill patternType="solid">
        <fgColor rgb="FF001F85"/>
        <bgColor indexed="64"/>
      </patternFill>
    </fill>
    <fill>
      <patternFill patternType="solid">
        <fgColor rgb="FF001F86"/>
        <bgColor indexed="64"/>
      </patternFill>
    </fill>
    <fill>
      <patternFill patternType="solid">
        <fgColor rgb="FF001F87"/>
        <bgColor indexed="64"/>
      </patternFill>
    </fill>
    <fill>
      <patternFill patternType="solid">
        <fgColor rgb="FF001F88"/>
        <bgColor indexed="64"/>
      </patternFill>
    </fill>
    <fill>
      <patternFill patternType="solid">
        <fgColor rgb="FF001F89"/>
        <bgColor indexed="64"/>
      </patternFill>
    </fill>
    <fill>
      <patternFill patternType="solid">
        <fgColor rgb="FF001F8A"/>
        <bgColor indexed="64"/>
      </patternFill>
    </fill>
    <fill>
      <patternFill patternType="solid">
        <fgColor rgb="FF001F8B"/>
        <bgColor indexed="64"/>
      </patternFill>
    </fill>
    <fill>
      <patternFill patternType="solid">
        <fgColor rgb="FF001F8C"/>
        <bgColor indexed="64"/>
      </patternFill>
    </fill>
    <fill>
      <patternFill patternType="solid">
        <fgColor rgb="FF001F8D"/>
        <bgColor indexed="64"/>
      </patternFill>
    </fill>
    <fill>
      <patternFill patternType="solid">
        <fgColor rgb="FF001F8E"/>
        <bgColor indexed="64"/>
      </patternFill>
    </fill>
    <fill>
      <patternFill patternType="solid">
        <fgColor rgb="FF001F8F"/>
        <bgColor indexed="64"/>
      </patternFill>
    </fill>
    <fill>
      <patternFill patternType="solid">
        <fgColor rgb="FF001F90"/>
        <bgColor indexed="64"/>
      </patternFill>
    </fill>
    <fill>
      <patternFill patternType="solid">
        <fgColor rgb="FF001F91"/>
        <bgColor indexed="64"/>
      </patternFill>
    </fill>
    <fill>
      <patternFill patternType="solid">
        <fgColor rgb="FF001F92"/>
        <bgColor indexed="64"/>
      </patternFill>
    </fill>
    <fill>
      <patternFill patternType="solid">
        <fgColor rgb="FF001F93"/>
        <bgColor indexed="64"/>
      </patternFill>
    </fill>
    <fill>
      <patternFill patternType="solid">
        <fgColor rgb="FF001F94"/>
        <bgColor indexed="64"/>
      </patternFill>
    </fill>
    <fill>
      <patternFill patternType="solid">
        <fgColor rgb="FF001F95"/>
        <bgColor indexed="64"/>
      </patternFill>
    </fill>
    <fill>
      <patternFill patternType="solid">
        <fgColor rgb="FF001F96"/>
        <bgColor indexed="64"/>
      </patternFill>
    </fill>
    <fill>
      <patternFill patternType="solid">
        <fgColor rgb="FF001F97"/>
        <bgColor indexed="64"/>
      </patternFill>
    </fill>
    <fill>
      <patternFill patternType="solid">
        <fgColor rgb="FF001F98"/>
        <bgColor indexed="64"/>
      </patternFill>
    </fill>
    <fill>
      <patternFill patternType="solid">
        <fgColor rgb="FF001F99"/>
        <bgColor indexed="64"/>
      </patternFill>
    </fill>
    <fill>
      <patternFill patternType="solid">
        <fgColor rgb="FF001F9A"/>
        <bgColor indexed="64"/>
      </patternFill>
    </fill>
    <fill>
      <patternFill patternType="solid">
        <fgColor rgb="FF001F9B"/>
        <bgColor indexed="64"/>
      </patternFill>
    </fill>
    <fill>
      <patternFill patternType="solid">
        <fgColor rgb="FF001F9C"/>
        <bgColor indexed="64"/>
      </patternFill>
    </fill>
    <fill>
      <patternFill patternType="solid">
        <fgColor rgb="FF001F9D"/>
        <bgColor indexed="64"/>
      </patternFill>
    </fill>
    <fill>
      <patternFill patternType="solid">
        <fgColor rgb="FF001F9E"/>
        <bgColor indexed="64"/>
      </patternFill>
    </fill>
    <fill>
      <patternFill patternType="solid">
        <fgColor rgb="FF001F9F"/>
        <bgColor indexed="64"/>
      </patternFill>
    </fill>
    <fill>
      <patternFill patternType="solid">
        <fgColor rgb="FF001FA0"/>
        <bgColor indexed="64"/>
      </patternFill>
    </fill>
    <fill>
      <patternFill patternType="solid">
        <fgColor rgb="FF001FA1"/>
        <bgColor indexed="64"/>
      </patternFill>
    </fill>
    <fill>
      <patternFill patternType="solid">
        <fgColor rgb="FF001FA2"/>
        <bgColor indexed="64"/>
      </patternFill>
    </fill>
    <fill>
      <patternFill patternType="solid">
        <fgColor rgb="FF001FA3"/>
        <bgColor indexed="64"/>
      </patternFill>
    </fill>
    <fill>
      <patternFill patternType="solid">
        <fgColor rgb="FF001FA4"/>
        <bgColor indexed="64"/>
      </patternFill>
    </fill>
    <fill>
      <patternFill patternType="solid">
        <fgColor rgb="FF001FA5"/>
        <bgColor indexed="64"/>
      </patternFill>
    </fill>
    <fill>
      <patternFill patternType="solid">
        <fgColor rgb="FF001FA6"/>
        <bgColor indexed="64"/>
      </patternFill>
    </fill>
    <fill>
      <patternFill patternType="solid">
        <fgColor rgb="FF001FA7"/>
        <bgColor indexed="64"/>
      </patternFill>
    </fill>
    <fill>
      <patternFill patternType="solid">
        <fgColor rgb="FF001FA8"/>
        <bgColor indexed="64"/>
      </patternFill>
    </fill>
    <fill>
      <patternFill patternType="solid">
        <fgColor rgb="FF001FA9"/>
        <bgColor indexed="64"/>
      </patternFill>
    </fill>
    <fill>
      <patternFill patternType="solid">
        <fgColor rgb="FF001FAA"/>
        <bgColor indexed="64"/>
      </patternFill>
    </fill>
    <fill>
      <patternFill patternType="solid">
        <fgColor rgb="FF001FAB"/>
        <bgColor indexed="64"/>
      </patternFill>
    </fill>
    <fill>
      <patternFill patternType="solid">
        <fgColor rgb="FF001FAC"/>
        <bgColor indexed="64"/>
      </patternFill>
    </fill>
    <fill>
      <patternFill patternType="solid">
        <fgColor rgb="FF001FAD"/>
        <bgColor indexed="64"/>
      </patternFill>
    </fill>
    <fill>
      <patternFill patternType="solid">
        <fgColor rgb="FF001FAE"/>
        <bgColor indexed="64"/>
      </patternFill>
    </fill>
    <fill>
      <patternFill patternType="solid">
        <fgColor rgb="FF001FAF"/>
        <bgColor indexed="64"/>
      </patternFill>
    </fill>
    <fill>
      <patternFill patternType="solid">
        <fgColor rgb="FF001FB0"/>
        <bgColor indexed="64"/>
      </patternFill>
    </fill>
    <fill>
      <patternFill patternType="solid">
        <fgColor rgb="FF001FB1"/>
        <bgColor indexed="64"/>
      </patternFill>
    </fill>
    <fill>
      <patternFill patternType="solid">
        <fgColor rgb="FF001FB2"/>
        <bgColor indexed="64"/>
      </patternFill>
    </fill>
    <fill>
      <patternFill patternType="solid">
        <fgColor rgb="FF001FB3"/>
        <bgColor indexed="64"/>
      </patternFill>
    </fill>
    <fill>
      <patternFill patternType="solid">
        <fgColor rgb="FF001FB4"/>
        <bgColor indexed="64"/>
      </patternFill>
    </fill>
    <fill>
      <patternFill patternType="solid">
        <fgColor rgb="FF001FB5"/>
        <bgColor indexed="64"/>
      </patternFill>
    </fill>
    <fill>
      <patternFill patternType="solid">
        <fgColor rgb="FF001FB6"/>
        <bgColor indexed="64"/>
      </patternFill>
    </fill>
    <fill>
      <patternFill patternType="solid">
        <fgColor rgb="FF001FB7"/>
        <bgColor indexed="64"/>
      </patternFill>
    </fill>
    <fill>
      <patternFill patternType="solid">
        <fgColor rgb="FF001FB8"/>
        <bgColor indexed="64"/>
      </patternFill>
    </fill>
    <fill>
      <patternFill patternType="solid">
        <fgColor rgb="FF001FB9"/>
        <bgColor indexed="64"/>
      </patternFill>
    </fill>
    <fill>
      <patternFill patternType="solid">
        <fgColor rgb="FF001FBA"/>
        <bgColor indexed="64"/>
      </patternFill>
    </fill>
    <fill>
      <patternFill patternType="solid">
        <fgColor rgb="FF001FBB"/>
        <bgColor indexed="64"/>
      </patternFill>
    </fill>
    <fill>
      <patternFill patternType="solid">
        <fgColor rgb="FF001FBC"/>
        <bgColor indexed="64"/>
      </patternFill>
    </fill>
    <fill>
      <patternFill patternType="solid">
        <fgColor rgb="FF001FBD"/>
        <bgColor indexed="64"/>
      </patternFill>
    </fill>
    <fill>
      <patternFill patternType="solid">
        <fgColor rgb="FF001FBE"/>
        <bgColor indexed="64"/>
      </patternFill>
    </fill>
    <fill>
      <patternFill patternType="solid">
        <fgColor rgb="FF001FBF"/>
        <bgColor indexed="64"/>
      </patternFill>
    </fill>
    <fill>
      <patternFill patternType="solid">
        <fgColor rgb="FF001FC0"/>
        <bgColor indexed="64"/>
      </patternFill>
    </fill>
    <fill>
      <patternFill patternType="solid">
        <fgColor rgb="FF001FC1"/>
        <bgColor indexed="64"/>
      </patternFill>
    </fill>
    <fill>
      <patternFill patternType="solid">
        <fgColor rgb="FF001FC2"/>
        <bgColor indexed="64"/>
      </patternFill>
    </fill>
    <fill>
      <patternFill patternType="solid">
        <fgColor rgb="FF001FC3"/>
        <bgColor indexed="64"/>
      </patternFill>
    </fill>
    <fill>
      <patternFill patternType="solid">
        <fgColor rgb="FF001FC4"/>
        <bgColor indexed="64"/>
      </patternFill>
    </fill>
    <fill>
      <patternFill patternType="solid">
        <fgColor rgb="FF001FC5"/>
        <bgColor indexed="64"/>
      </patternFill>
    </fill>
    <fill>
      <patternFill patternType="solid">
        <fgColor rgb="FF001FC6"/>
        <bgColor indexed="64"/>
      </patternFill>
    </fill>
    <fill>
      <patternFill patternType="solid">
        <fgColor rgb="FF001FC7"/>
        <bgColor indexed="64"/>
      </patternFill>
    </fill>
    <fill>
      <patternFill patternType="solid">
        <fgColor rgb="FF001FC8"/>
        <bgColor indexed="64"/>
      </patternFill>
    </fill>
    <fill>
      <patternFill patternType="solid">
        <fgColor rgb="FF001FC9"/>
        <bgColor indexed="64"/>
      </patternFill>
    </fill>
    <fill>
      <patternFill patternType="solid">
        <fgColor rgb="FF001FCA"/>
        <bgColor indexed="64"/>
      </patternFill>
    </fill>
    <fill>
      <patternFill patternType="solid">
        <fgColor rgb="FF001FCB"/>
        <bgColor indexed="64"/>
      </patternFill>
    </fill>
    <fill>
      <patternFill patternType="solid">
        <fgColor rgb="FF001FCC"/>
        <bgColor indexed="64"/>
      </patternFill>
    </fill>
    <fill>
      <patternFill patternType="solid">
        <fgColor rgb="FF001FCD"/>
        <bgColor indexed="64"/>
      </patternFill>
    </fill>
    <fill>
      <patternFill patternType="solid">
        <fgColor rgb="FF001FCE"/>
        <bgColor indexed="64"/>
      </patternFill>
    </fill>
    <fill>
      <patternFill patternType="solid">
        <fgColor rgb="FF001FCF"/>
        <bgColor indexed="64"/>
      </patternFill>
    </fill>
    <fill>
      <patternFill patternType="solid">
        <fgColor rgb="FF001FD0"/>
        <bgColor indexed="64"/>
      </patternFill>
    </fill>
    <fill>
      <patternFill patternType="solid">
        <fgColor rgb="FF001FD1"/>
        <bgColor indexed="64"/>
      </patternFill>
    </fill>
    <fill>
      <patternFill patternType="solid">
        <fgColor rgb="FF001FD2"/>
        <bgColor indexed="64"/>
      </patternFill>
    </fill>
    <fill>
      <patternFill patternType="solid">
        <fgColor rgb="FF001FD3"/>
        <bgColor indexed="64"/>
      </patternFill>
    </fill>
    <fill>
      <patternFill patternType="solid">
        <fgColor rgb="FF001FD4"/>
        <bgColor indexed="64"/>
      </patternFill>
    </fill>
    <fill>
      <patternFill patternType="solid">
        <fgColor rgb="FF001FD5"/>
        <bgColor indexed="64"/>
      </patternFill>
    </fill>
    <fill>
      <patternFill patternType="solid">
        <fgColor rgb="FF001FD6"/>
        <bgColor indexed="64"/>
      </patternFill>
    </fill>
    <fill>
      <patternFill patternType="solid">
        <fgColor rgb="FF001FD7"/>
        <bgColor indexed="64"/>
      </patternFill>
    </fill>
    <fill>
      <patternFill patternType="solid">
        <fgColor rgb="FF001FD8"/>
        <bgColor indexed="64"/>
      </patternFill>
    </fill>
    <fill>
      <patternFill patternType="solid">
        <fgColor rgb="FF001FD9"/>
        <bgColor indexed="64"/>
      </patternFill>
    </fill>
    <fill>
      <patternFill patternType="solid">
        <fgColor rgb="FF001FDA"/>
        <bgColor indexed="64"/>
      </patternFill>
    </fill>
    <fill>
      <patternFill patternType="solid">
        <fgColor rgb="FF001FDB"/>
        <bgColor indexed="64"/>
      </patternFill>
    </fill>
    <fill>
      <patternFill patternType="solid">
        <fgColor rgb="FF001FDC"/>
        <bgColor indexed="64"/>
      </patternFill>
    </fill>
    <fill>
      <patternFill patternType="solid">
        <fgColor rgb="FF001FDD"/>
        <bgColor indexed="64"/>
      </patternFill>
    </fill>
    <fill>
      <patternFill patternType="solid">
        <fgColor rgb="FF001FDE"/>
        <bgColor indexed="64"/>
      </patternFill>
    </fill>
    <fill>
      <patternFill patternType="solid">
        <fgColor rgb="FF001FDF"/>
        <bgColor indexed="64"/>
      </patternFill>
    </fill>
    <fill>
      <patternFill patternType="solid">
        <fgColor rgb="FF001FE0"/>
        <bgColor indexed="64"/>
      </patternFill>
    </fill>
    <fill>
      <patternFill patternType="solid">
        <fgColor rgb="FF001FE1"/>
        <bgColor indexed="64"/>
      </patternFill>
    </fill>
    <fill>
      <patternFill patternType="solid">
        <fgColor rgb="FF001FE2"/>
        <bgColor indexed="64"/>
      </patternFill>
    </fill>
    <fill>
      <patternFill patternType="solid">
        <fgColor rgb="FF001FE3"/>
        <bgColor indexed="64"/>
      </patternFill>
    </fill>
    <fill>
      <patternFill patternType="solid">
        <fgColor rgb="FF001FE4"/>
        <bgColor indexed="64"/>
      </patternFill>
    </fill>
    <fill>
      <patternFill patternType="solid">
        <fgColor rgb="FF001FE5"/>
        <bgColor indexed="64"/>
      </patternFill>
    </fill>
    <fill>
      <patternFill patternType="solid">
        <fgColor rgb="FF001FE6"/>
        <bgColor indexed="64"/>
      </patternFill>
    </fill>
    <fill>
      <patternFill patternType="solid">
        <fgColor rgb="FF001FE7"/>
        <bgColor indexed="64"/>
      </patternFill>
    </fill>
    <fill>
      <patternFill patternType="solid">
        <fgColor rgb="FF001FE8"/>
        <bgColor indexed="64"/>
      </patternFill>
    </fill>
    <fill>
      <patternFill patternType="solid">
        <fgColor rgb="FF001FE9"/>
        <bgColor indexed="64"/>
      </patternFill>
    </fill>
    <fill>
      <patternFill patternType="solid">
        <fgColor rgb="FF001FEA"/>
        <bgColor indexed="64"/>
      </patternFill>
    </fill>
    <fill>
      <patternFill patternType="solid">
        <fgColor rgb="FF001FEB"/>
        <bgColor indexed="64"/>
      </patternFill>
    </fill>
    <fill>
      <patternFill patternType="solid">
        <fgColor rgb="FF001FEC"/>
        <bgColor indexed="64"/>
      </patternFill>
    </fill>
    <fill>
      <patternFill patternType="solid">
        <fgColor rgb="FF001FED"/>
        <bgColor indexed="64"/>
      </patternFill>
    </fill>
    <fill>
      <patternFill patternType="solid">
        <fgColor rgb="FF001FEE"/>
        <bgColor indexed="64"/>
      </patternFill>
    </fill>
    <fill>
      <patternFill patternType="solid">
        <fgColor rgb="FF001FEF"/>
        <bgColor indexed="64"/>
      </patternFill>
    </fill>
    <fill>
      <patternFill patternType="solid">
        <fgColor rgb="FF001FF0"/>
        <bgColor indexed="64"/>
      </patternFill>
    </fill>
    <fill>
      <patternFill patternType="solid">
        <fgColor rgb="FF001FF1"/>
        <bgColor indexed="64"/>
      </patternFill>
    </fill>
    <fill>
      <patternFill patternType="solid">
        <fgColor rgb="FF001FF2"/>
        <bgColor indexed="64"/>
      </patternFill>
    </fill>
    <fill>
      <patternFill patternType="solid">
        <fgColor rgb="FF001FF3"/>
        <bgColor indexed="64"/>
      </patternFill>
    </fill>
    <fill>
      <patternFill patternType="solid">
        <fgColor rgb="FF001FF4"/>
        <bgColor indexed="64"/>
      </patternFill>
    </fill>
    <fill>
      <patternFill patternType="solid">
        <fgColor rgb="FF001FF5"/>
        <bgColor indexed="64"/>
      </patternFill>
    </fill>
    <fill>
      <patternFill patternType="solid">
        <fgColor rgb="FF001FF6"/>
        <bgColor indexed="64"/>
      </patternFill>
    </fill>
    <fill>
      <patternFill patternType="solid">
        <fgColor rgb="FF001FF7"/>
        <bgColor indexed="64"/>
      </patternFill>
    </fill>
    <fill>
      <patternFill patternType="solid">
        <fgColor rgb="FF001FF8"/>
        <bgColor indexed="64"/>
      </patternFill>
    </fill>
    <fill>
      <patternFill patternType="solid">
        <fgColor rgb="FF001FF9"/>
        <bgColor indexed="64"/>
      </patternFill>
    </fill>
    <fill>
      <patternFill patternType="solid">
        <fgColor rgb="FF001FFA"/>
        <bgColor indexed="64"/>
      </patternFill>
    </fill>
    <fill>
      <patternFill patternType="solid">
        <fgColor rgb="FF001FFB"/>
        <bgColor indexed="64"/>
      </patternFill>
    </fill>
    <fill>
      <patternFill patternType="solid">
        <fgColor rgb="FF001FFC"/>
        <bgColor indexed="64"/>
      </patternFill>
    </fill>
    <fill>
      <patternFill patternType="solid">
        <fgColor rgb="FF001FFD"/>
        <bgColor indexed="64"/>
      </patternFill>
    </fill>
    <fill>
      <patternFill patternType="solid">
        <fgColor rgb="FF001FFE"/>
        <bgColor indexed="64"/>
      </patternFill>
    </fill>
    <fill>
      <patternFill patternType="solid">
        <fgColor rgb="FF001FFF"/>
        <bgColor indexed="64"/>
      </patternFill>
    </fill>
    <fill>
      <patternFill patternType="solid">
        <fgColor rgb="FF002000"/>
        <bgColor indexed="64"/>
      </patternFill>
    </fill>
    <fill>
      <patternFill patternType="solid">
        <fgColor rgb="FF002001"/>
        <bgColor indexed="64"/>
      </patternFill>
    </fill>
    <fill>
      <patternFill patternType="solid">
        <fgColor rgb="FF002002"/>
        <bgColor indexed="64"/>
      </patternFill>
    </fill>
    <fill>
      <patternFill patternType="solid">
        <fgColor rgb="FF002003"/>
        <bgColor indexed="64"/>
      </patternFill>
    </fill>
    <fill>
      <patternFill patternType="solid">
        <fgColor rgb="FF002004"/>
        <bgColor indexed="64"/>
      </patternFill>
    </fill>
    <fill>
      <patternFill patternType="solid">
        <fgColor rgb="FF002005"/>
        <bgColor indexed="64"/>
      </patternFill>
    </fill>
    <fill>
      <patternFill patternType="solid">
        <fgColor rgb="FF002006"/>
        <bgColor indexed="64"/>
      </patternFill>
    </fill>
    <fill>
      <patternFill patternType="solid">
        <fgColor rgb="FF002007"/>
        <bgColor indexed="64"/>
      </patternFill>
    </fill>
    <fill>
      <patternFill patternType="solid">
        <fgColor rgb="FF002008"/>
        <bgColor indexed="64"/>
      </patternFill>
    </fill>
    <fill>
      <patternFill patternType="solid">
        <fgColor rgb="FF002009"/>
        <bgColor indexed="64"/>
      </patternFill>
    </fill>
    <fill>
      <patternFill patternType="solid">
        <fgColor rgb="FF00200A"/>
        <bgColor indexed="64"/>
      </patternFill>
    </fill>
    <fill>
      <patternFill patternType="solid">
        <fgColor rgb="FF00200B"/>
        <bgColor indexed="64"/>
      </patternFill>
    </fill>
    <fill>
      <patternFill patternType="solid">
        <fgColor rgb="FF00200C"/>
        <bgColor indexed="64"/>
      </patternFill>
    </fill>
    <fill>
      <patternFill patternType="solid">
        <fgColor rgb="FF00200D"/>
        <bgColor indexed="64"/>
      </patternFill>
    </fill>
    <fill>
      <patternFill patternType="solid">
        <fgColor rgb="FF00200E"/>
        <bgColor indexed="64"/>
      </patternFill>
    </fill>
    <fill>
      <patternFill patternType="solid">
        <fgColor rgb="FF00200F"/>
        <bgColor indexed="64"/>
      </patternFill>
    </fill>
    <fill>
      <patternFill patternType="solid">
        <fgColor rgb="FF002010"/>
        <bgColor indexed="64"/>
      </patternFill>
    </fill>
    <fill>
      <patternFill patternType="solid">
        <fgColor rgb="FF002011"/>
        <bgColor indexed="64"/>
      </patternFill>
    </fill>
    <fill>
      <patternFill patternType="solid">
        <fgColor rgb="FF002012"/>
        <bgColor indexed="64"/>
      </patternFill>
    </fill>
    <fill>
      <patternFill patternType="solid">
        <fgColor rgb="FF002013"/>
        <bgColor indexed="64"/>
      </patternFill>
    </fill>
    <fill>
      <patternFill patternType="solid">
        <fgColor rgb="FF002014"/>
        <bgColor indexed="64"/>
      </patternFill>
    </fill>
    <fill>
      <patternFill patternType="solid">
        <fgColor rgb="FF002015"/>
        <bgColor indexed="64"/>
      </patternFill>
    </fill>
    <fill>
      <patternFill patternType="solid">
        <fgColor rgb="FF002016"/>
        <bgColor indexed="64"/>
      </patternFill>
    </fill>
    <fill>
      <patternFill patternType="solid">
        <fgColor rgb="FF002017"/>
        <bgColor indexed="64"/>
      </patternFill>
    </fill>
    <fill>
      <patternFill patternType="solid">
        <fgColor rgb="FF002018"/>
        <bgColor indexed="64"/>
      </patternFill>
    </fill>
    <fill>
      <patternFill patternType="solid">
        <fgColor rgb="FF002019"/>
        <bgColor indexed="64"/>
      </patternFill>
    </fill>
    <fill>
      <patternFill patternType="solid">
        <fgColor rgb="FF00201A"/>
        <bgColor indexed="64"/>
      </patternFill>
    </fill>
    <fill>
      <patternFill patternType="solid">
        <fgColor rgb="FF00201B"/>
        <bgColor indexed="64"/>
      </patternFill>
    </fill>
    <fill>
      <patternFill patternType="solid">
        <fgColor rgb="FF00201C"/>
        <bgColor indexed="64"/>
      </patternFill>
    </fill>
    <fill>
      <patternFill patternType="solid">
        <fgColor rgb="FF00201D"/>
        <bgColor indexed="64"/>
      </patternFill>
    </fill>
    <fill>
      <patternFill patternType="solid">
        <fgColor rgb="FF00201E"/>
        <bgColor indexed="64"/>
      </patternFill>
    </fill>
    <fill>
      <patternFill patternType="solid">
        <fgColor rgb="FF00201F"/>
        <bgColor indexed="64"/>
      </patternFill>
    </fill>
    <fill>
      <patternFill patternType="solid">
        <fgColor rgb="FF002020"/>
        <bgColor indexed="64"/>
      </patternFill>
    </fill>
    <fill>
      <patternFill patternType="solid">
        <fgColor rgb="FF002021"/>
        <bgColor indexed="64"/>
      </patternFill>
    </fill>
    <fill>
      <patternFill patternType="solid">
        <fgColor rgb="FF002022"/>
        <bgColor indexed="64"/>
      </patternFill>
    </fill>
    <fill>
      <patternFill patternType="solid">
        <fgColor rgb="FF002023"/>
        <bgColor indexed="64"/>
      </patternFill>
    </fill>
    <fill>
      <patternFill patternType="solid">
        <fgColor rgb="FF002024"/>
        <bgColor indexed="64"/>
      </patternFill>
    </fill>
    <fill>
      <patternFill patternType="solid">
        <fgColor rgb="FF002025"/>
        <bgColor indexed="64"/>
      </patternFill>
    </fill>
    <fill>
      <patternFill patternType="solid">
        <fgColor rgb="FF002026"/>
        <bgColor indexed="64"/>
      </patternFill>
    </fill>
    <fill>
      <patternFill patternType="solid">
        <fgColor rgb="FF002027"/>
        <bgColor indexed="64"/>
      </patternFill>
    </fill>
    <fill>
      <patternFill patternType="solid">
        <fgColor rgb="FF002028"/>
        <bgColor indexed="64"/>
      </patternFill>
    </fill>
    <fill>
      <patternFill patternType="solid">
        <fgColor rgb="FF002029"/>
        <bgColor indexed="64"/>
      </patternFill>
    </fill>
    <fill>
      <patternFill patternType="solid">
        <fgColor rgb="FF00202A"/>
        <bgColor indexed="64"/>
      </patternFill>
    </fill>
    <fill>
      <patternFill patternType="solid">
        <fgColor rgb="FF00202B"/>
        <bgColor indexed="64"/>
      </patternFill>
    </fill>
    <fill>
      <patternFill patternType="solid">
        <fgColor rgb="FF00202C"/>
        <bgColor indexed="64"/>
      </patternFill>
    </fill>
    <fill>
      <patternFill patternType="solid">
        <fgColor rgb="FF00202D"/>
        <bgColor indexed="64"/>
      </patternFill>
    </fill>
    <fill>
      <patternFill patternType="solid">
        <fgColor rgb="FF00202E"/>
        <bgColor indexed="64"/>
      </patternFill>
    </fill>
    <fill>
      <patternFill patternType="solid">
        <fgColor rgb="FF00202F"/>
        <bgColor indexed="64"/>
      </patternFill>
    </fill>
    <fill>
      <patternFill patternType="solid">
        <fgColor rgb="FF002030"/>
        <bgColor indexed="64"/>
      </patternFill>
    </fill>
    <fill>
      <patternFill patternType="solid">
        <fgColor rgb="FF002031"/>
        <bgColor indexed="64"/>
      </patternFill>
    </fill>
    <fill>
      <patternFill patternType="solid">
        <fgColor rgb="FF002032"/>
        <bgColor indexed="64"/>
      </patternFill>
    </fill>
    <fill>
      <patternFill patternType="solid">
        <fgColor rgb="FF002033"/>
        <bgColor indexed="64"/>
      </patternFill>
    </fill>
    <fill>
      <patternFill patternType="solid">
        <fgColor rgb="FF002034"/>
        <bgColor indexed="64"/>
      </patternFill>
    </fill>
    <fill>
      <patternFill patternType="solid">
        <fgColor rgb="FF002035"/>
        <bgColor indexed="64"/>
      </patternFill>
    </fill>
    <fill>
      <patternFill patternType="solid">
        <fgColor rgb="FF002036"/>
        <bgColor indexed="64"/>
      </patternFill>
    </fill>
    <fill>
      <patternFill patternType="solid">
        <fgColor rgb="FF002037"/>
        <bgColor indexed="64"/>
      </patternFill>
    </fill>
    <fill>
      <patternFill patternType="solid">
        <fgColor rgb="FF002038"/>
        <bgColor indexed="64"/>
      </patternFill>
    </fill>
    <fill>
      <patternFill patternType="solid">
        <fgColor rgb="FF002039"/>
        <bgColor indexed="64"/>
      </patternFill>
    </fill>
    <fill>
      <patternFill patternType="solid">
        <fgColor rgb="FF00203A"/>
        <bgColor indexed="64"/>
      </patternFill>
    </fill>
    <fill>
      <patternFill patternType="solid">
        <fgColor rgb="FF00203B"/>
        <bgColor indexed="64"/>
      </patternFill>
    </fill>
    <fill>
      <patternFill patternType="solid">
        <fgColor rgb="FF00203C"/>
        <bgColor indexed="64"/>
      </patternFill>
    </fill>
    <fill>
      <patternFill patternType="solid">
        <fgColor rgb="FF00203D"/>
        <bgColor indexed="64"/>
      </patternFill>
    </fill>
    <fill>
      <patternFill patternType="solid">
        <fgColor rgb="FF00203E"/>
        <bgColor indexed="64"/>
      </patternFill>
    </fill>
    <fill>
      <patternFill patternType="solid">
        <fgColor rgb="FF00203F"/>
        <bgColor indexed="64"/>
      </patternFill>
    </fill>
    <fill>
      <patternFill patternType="solid">
        <fgColor rgb="FF002040"/>
        <bgColor indexed="64"/>
      </patternFill>
    </fill>
    <fill>
      <patternFill patternType="solid">
        <fgColor rgb="FF002041"/>
        <bgColor indexed="64"/>
      </patternFill>
    </fill>
    <fill>
      <patternFill patternType="solid">
        <fgColor rgb="FF002042"/>
        <bgColor indexed="64"/>
      </patternFill>
    </fill>
    <fill>
      <patternFill patternType="solid">
        <fgColor rgb="FF002043"/>
        <bgColor indexed="64"/>
      </patternFill>
    </fill>
    <fill>
      <patternFill patternType="solid">
        <fgColor rgb="FF002044"/>
        <bgColor indexed="64"/>
      </patternFill>
    </fill>
    <fill>
      <patternFill patternType="solid">
        <fgColor rgb="FF002045"/>
        <bgColor indexed="64"/>
      </patternFill>
    </fill>
    <fill>
      <patternFill patternType="solid">
        <fgColor rgb="FF002046"/>
        <bgColor indexed="64"/>
      </patternFill>
    </fill>
    <fill>
      <patternFill patternType="solid">
        <fgColor rgb="FF002047"/>
        <bgColor indexed="64"/>
      </patternFill>
    </fill>
    <fill>
      <patternFill patternType="solid">
        <fgColor rgb="FF002048"/>
        <bgColor indexed="64"/>
      </patternFill>
    </fill>
    <fill>
      <patternFill patternType="solid">
        <fgColor rgb="FF002049"/>
        <bgColor indexed="64"/>
      </patternFill>
    </fill>
    <fill>
      <patternFill patternType="solid">
        <fgColor rgb="FF00204A"/>
        <bgColor indexed="64"/>
      </patternFill>
    </fill>
    <fill>
      <patternFill patternType="solid">
        <fgColor rgb="FF00204B"/>
        <bgColor indexed="64"/>
      </patternFill>
    </fill>
    <fill>
      <patternFill patternType="solid">
        <fgColor rgb="FF00204C"/>
        <bgColor indexed="64"/>
      </patternFill>
    </fill>
    <fill>
      <patternFill patternType="solid">
        <fgColor rgb="FF00204D"/>
        <bgColor indexed="64"/>
      </patternFill>
    </fill>
    <fill>
      <patternFill patternType="solid">
        <fgColor rgb="FF00204E"/>
        <bgColor indexed="64"/>
      </patternFill>
    </fill>
    <fill>
      <patternFill patternType="solid">
        <fgColor rgb="FF00204F"/>
        <bgColor indexed="64"/>
      </patternFill>
    </fill>
    <fill>
      <patternFill patternType="solid">
        <fgColor rgb="FF002050"/>
        <bgColor indexed="64"/>
      </patternFill>
    </fill>
    <fill>
      <patternFill patternType="solid">
        <fgColor rgb="FF002051"/>
        <bgColor indexed="64"/>
      </patternFill>
    </fill>
    <fill>
      <patternFill patternType="solid">
        <fgColor rgb="FF002052"/>
        <bgColor indexed="64"/>
      </patternFill>
    </fill>
    <fill>
      <patternFill patternType="solid">
        <fgColor rgb="FF002053"/>
        <bgColor indexed="64"/>
      </patternFill>
    </fill>
    <fill>
      <patternFill patternType="solid">
        <fgColor rgb="FF002054"/>
        <bgColor indexed="64"/>
      </patternFill>
    </fill>
    <fill>
      <patternFill patternType="solid">
        <fgColor rgb="FF002055"/>
        <bgColor indexed="64"/>
      </patternFill>
    </fill>
    <fill>
      <patternFill patternType="solid">
        <fgColor rgb="FF002056"/>
        <bgColor indexed="64"/>
      </patternFill>
    </fill>
    <fill>
      <patternFill patternType="solid">
        <fgColor rgb="FF002057"/>
        <bgColor indexed="64"/>
      </patternFill>
    </fill>
    <fill>
      <patternFill patternType="solid">
        <fgColor rgb="FF002058"/>
        <bgColor indexed="64"/>
      </patternFill>
    </fill>
    <fill>
      <patternFill patternType="solid">
        <fgColor rgb="FF002059"/>
        <bgColor indexed="64"/>
      </patternFill>
    </fill>
    <fill>
      <patternFill patternType="solid">
        <fgColor rgb="FF00205A"/>
        <bgColor indexed="64"/>
      </patternFill>
    </fill>
    <fill>
      <patternFill patternType="solid">
        <fgColor rgb="FF00205B"/>
        <bgColor indexed="64"/>
      </patternFill>
    </fill>
    <fill>
      <patternFill patternType="solid">
        <fgColor rgb="FF00205C"/>
        <bgColor indexed="64"/>
      </patternFill>
    </fill>
    <fill>
      <patternFill patternType="solid">
        <fgColor rgb="FF00205D"/>
        <bgColor indexed="64"/>
      </patternFill>
    </fill>
    <fill>
      <patternFill patternType="solid">
        <fgColor rgb="FF00205E"/>
        <bgColor indexed="64"/>
      </patternFill>
    </fill>
    <fill>
      <patternFill patternType="solid">
        <fgColor rgb="FF00205F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2061"/>
        <bgColor indexed="64"/>
      </patternFill>
    </fill>
    <fill>
      <patternFill patternType="solid">
        <fgColor rgb="FF002062"/>
        <bgColor indexed="64"/>
      </patternFill>
    </fill>
    <fill>
      <patternFill patternType="solid">
        <fgColor rgb="FF002063"/>
        <bgColor indexed="64"/>
      </patternFill>
    </fill>
    <fill>
      <patternFill patternType="solid">
        <fgColor rgb="FF002064"/>
        <bgColor indexed="64"/>
      </patternFill>
    </fill>
    <fill>
      <patternFill patternType="solid">
        <fgColor rgb="FF002065"/>
        <bgColor indexed="64"/>
      </patternFill>
    </fill>
    <fill>
      <patternFill patternType="solid">
        <fgColor rgb="FF002066"/>
        <bgColor indexed="64"/>
      </patternFill>
    </fill>
    <fill>
      <patternFill patternType="solid">
        <fgColor rgb="FF002067"/>
        <bgColor indexed="64"/>
      </patternFill>
    </fill>
    <fill>
      <patternFill patternType="solid">
        <fgColor rgb="FF002068"/>
        <bgColor indexed="64"/>
      </patternFill>
    </fill>
    <fill>
      <patternFill patternType="solid">
        <fgColor rgb="FF002069"/>
        <bgColor indexed="64"/>
      </patternFill>
    </fill>
    <fill>
      <patternFill patternType="solid">
        <fgColor rgb="FF00206A"/>
        <bgColor indexed="64"/>
      </patternFill>
    </fill>
    <fill>
      <patternFill patternType="solid">
        <fgColor rgb="FF00206B"/>
        <bgColor indexed="64"/>
      </patternFill>
    </fill>
    <fill>
      <patternFill patternType="solid">
        <fgColor rgb="FF00206C"/>
        <bgColor indexed="64"/>
      </patternFill>
    </fill>
    <fill>
      <patternFill patternType="solid">
        <fgColor rgb="FF00206D"/>
        <bgColor indexed="64"/>
      </patternFill>
    </fill>
    <fill>
      <patternFill patternType="solid">
        <fgColor rgb="FF00206E"/>
        <bgColor indexed="64"/>
      </patternFill>
    </fill>
    <fill>
      <patternFill patternType="solid">
        <fgColor rgb="FF00206F"/>
        <bgColor indexed="64"/>
      </patternFill>
    </fill>
    <fill>
      <patternFill patternType="solid">
        <fgColor rgb="FF002070"/>
        <bgColor indexed="64"/>
      </patternFill>
    </fill>
    <fill>
      <patternFill patternType="solid">
        <fgColor rgb="FF002071"/>
        <bgColor indexed="64"/>
      </patternFill>
    </fill>
    <fill>
      <patternFill patternType="solid">
        <fgColor rgb="FF002072"/>
        <bgColor indexed="64"/>
      </patternFill>
    </fill>
    <fill>
      <patternFill patternType="solid">
        <fgColor rgb="FF002073"/>
        <bgColor indexed="64"/>
      </patternFill>
    </fill>
    <fill>
      <patternFill patternType="solid">
        <fgColor rgb="FF002074"/>
        <bgColor indexed="64"/>
      </patternFill>
    </fill>
    <fill>
      <patternFill patternType="solid">
        <fgColor rgb="FF002075"/>
        <bgColor indexed="64"/>
      </patternFill>
    </fill>
    <fill>
      <patternFill patternType="solid">
        <fgColor rgb="FF002076"/>
        <bgColor indexed="64"/>
      </patternFill>
    </fill>
    <fill>
      <patternFill patternType="solid">
        <fgColor rgb="FF002077"/>
        <bgColor indexed="64"/>
      </patternFill>
    </fill>
    <fill>
      <patternFill patternType="solid">
        <fgColor rgb="FF002078"/>
        <bgColor indexed="64"/>
      </patternFill>
    </fill>
    <fill>
      <patternFill patternType="solid">
        <fgColor rgb="FF002079"/>
        <bgColor indexed="64"/>
      </patternFill>
    </fill>
    <fill>
      <patternFill patternType="solid">
        <fgColor rgb="FF00207A"/>
        <bgColor indexed="64"/>
      </patternFill>
    </fill>
    <fill>
      <patternFill patternType="solid">
        <fgColor rgb="FF00207B"/>
        <bgColor indexed="64"/>
      </patternFill>
    </fill>
    <fill>
      <patternFill patternType="solid">
        <fgColor rgb="FF00207C"/>
        <bgColor indexed="64"/>
      </patternFill>
    </fill>
    <fill>
      <patternFill patternType="solid">
        <fgColor rgb="FF00207D"/>
        <bgColor indexed="64"/>
      </patternFill>
    </fill>
    <fill>
      <patternFill patternType="solid">
        <fgColor rgb="FF00207E"/>
        <bgColor indexed="64"/>
      </patternFill>
    </fill>
    <fill>
      <patternFill patternType="solid">
        <fgColor rgb="FF00207F"/>
        <bgColor indexed="64"/>
      </patternFill>
    </fill>
    <fill>
      <patternFill patternType="solid">
        <fgColor rgb="FF002080"/>
        <bgColor indexed="64"/>
      </patternFill>
    </fill>
    <fill>
      <patternFill patternType="solid">
        <fgColor rgb="FF002081"/>
        <bgColor indexed="64"/>
      </patternFill>
    </fill>
    <fill>
      <patternFill patternType="solid">
        <fgColor rgb="FF002082"/>
        <bgColor indexed="64"/>
      </patternFill>
    </fill>
    <fill>
      <patternFill patternType="solid">
        <fgColor rgb="FF002083"/>
        <bgColor indexed="64"/>
      </patternFill>
    </fill>
    <fill>
      <patternFill patternType="solid">
        <fgColor rgb="FF002084"/>
        <bgColor indexed="64"/>
      </patternFill>
    </fill>
    <fill>
      <patternFill patternType="solid">
        <fgColor rgb="FF002085"/>
        <bgColor indexed="64"/>
      </patternFill>
    </fill>
    <fill>
      <patternFill patternType="solid">
        <fgColor rgb="FF002086"/>
        <bgColor indexed="64"/>
      </patternFill>
    </fill>
    <fill>
      <patternFill patternType="solid">
        <fgColor rgb="FF002087"/>
        <bgColor indexed="64"/>
      </patternFill>
    </fill>
    <fill>
      <patternFill patternType="solid">
        <fgColor rgb="FF002088"/>
        <bgColor indexed="64"/>
      </patternFill>
    </fill>
    <fill>
      <patternFill patternType="solid">
        <fgColor rgb="FF002089"/>
        <bgColor indexed="64"/>
      </patternFill>
    </fill>
    <fill>
      <patternFill patternType="solid">
        <fgColor rgb="FF00208A"/>
        <bgColor indexed="64"/>
      </patternFill>
    </fill>
    <fill>
      <patternFill patternType="solid">
        <fgColor rgb="FF00208B"/>
        <bgColor indexed="64"/>
      </patternFill>
    </fill>
    <fill>
      <patternFill patternType="solid">
        <fgColor rgb="FF00208C"/>
        <bgColor indexed="64"/>
      </patternFill>
    </fill>
    <fill>
      <patternFill patternType="solid">
        <fgColor rgb="FF00208D"/>
        <bgColor indexed="64"/>
      </patternFill>
    </fill>
    <fill>
      <patternFill patternType="solid">
        <fgColor rgb="FF00208E"/>
        <bgColor indexed="64"/>
      </patternFill>
    </fill>
    <fill>
      <patternFill patternType="solid">
        <fgColor rgb="FF00208F"/>
        <bgColor indexed="64"/>
      </patternFill>
    </fill>
    <fill>
      <patternFill patternType="solid">
        <fgColor rgb="FF002090"/>
        <bgColor indexed="64"/>
      </patternFill>
    </fill>
    <fill>
      <patternFill patternType="solid">
        <fgColor rgb="FF002091"/>
        <bgColor indexed="64"/>
      </patternFill>
    </fill>
    <fill>
      <patternFill patternType="solid">
        <fgColor rgb="FF002092"/>
        <bgColor indexed="64"/>
      </patternFill>
    </fill>
    <fill>
      <patternFill patternType="solid">
        <fgColor rgb="FF002093"/>
        <bgColor indexed="64"/>
      </patternFill>
    </fill>
    <fill>
      <patternFill patternType="solid">
        <fgColor rgb="FF002094"/>
        <bgColor indexed="64"/>
      </patternFill>
    </fill>
    <fill>
      <patternFill patternType="solid">
        <fgColor rgb="FF002095"/>
        <bgColor indexed="64"/>
      </patternFill>
    </fill>
    <fill>
      <patternFill patternType="solid">
        <fgColor rgb="FF002096"/>
        <bgColor indexed="64"/>
      </patternFill>
    </fill>
    <fill>
      <patternFill patternType="solid">
        <fgColor rgb="FF002097"/>
        <bgColor indexed="64"/>
      </patternFill>
    </fill>
    <fill>
      <patternFill patternType="solid">
        <fgColor rgb="FF002098"/>
        <bgColor indexed="64"/>
      </patternFill>
    </fill>
    <fill>
      <patternFill patternType="solid">
        <fgColor rgb="FF002099"/>
        <bgColor indexed="64"/>
      </patternFill>
    </fill>
    <fill>
      <patternFill patternType="solid">
        <fgColor rgb="FF00209A"/>
        <bgColor indexed="64"/>
      </patternFill>
    </fill>
    <fill>
      <patternFill patternType="solid">
        <fgColor rgb="FF00209B"/>
        <bgColor indexed="64"/>
      </patternFill>
    </fill>
    <fill>
      <patternFill patternType="solid">
        <fgColor rgb="FF00209C"/>
        <bgColor indexed="64"/>
      </patternFill>
    </fill>
    <fill>
      <patternFill patternType="solid">
        <fgColor rgb="FF00209D"/>
        <bgColor indexed="64"/>
      </patternFill>
    </fill>
    <fill>
      <patternFill patternType="solid">
        <fgColor rgb="FF00209E"/>
        <bgColor indexed="64"/>
      </patternFill>
    </fill>
    <fill>
      <patternFill patternType="solid">
        <fgColor rgb="FF00209F"/>
        <bgColor indexed="64"/>
      </patternFill>
    </fill>
    <fill>
      <patternFill patternType="solid">
        <fgColor rgb="FF0020A0"/>
        <bgColor indexed="64"/>
      </patternFill>
    </fill>
    <fill>
      <patternFill patternType="solid">
        <fgColor rgb="FF0020A1"/>
        <bgColor indexed="64"/>
      </patternFill>
    </fill>
    <fill>
      <patternFill patternType="solid">
        <fgColor rgb="FF0020A2"/>
        <bgColor indexed="64"/>
      </patternFill>
    </fill>
    <fill>
      <patternFill patternType="solid">
        <fgColor rgb="FF0020A3"/>
        <bgColor indexed="64"/>
      </patternFill>
    </fill>
    <fill>
      <patternFill patternType="solid">
        <fgColor rgb="FF0020A4"/>
        <bgColor indexed="64"/>
      </patternFill>
    </fill>
    <fill>
      <patternFill patternType="solid">
        <fgColor rgb="FF0020A5"/>
        <bgColor indexed="64"/>
      </patternFill>
    </fill>
    <fill>
      <patternFill patternType="solid">
        <fgColor rgb="FF0020A6"/>
        <bgColor indexed="64"/>
      </patternFill>
    </fill>
    <fill>
      <patternFill patternType="solid">
        <fgColor rgb="FF0020A7"/>
        <bgColor indexed="64"/>
      </patternFill>
    </fill>
    <fill>
      <patternFill patternType="solid">
        <fgColor rgb="FF0020A8"/>
        <bgColor indexed="64"/>
      </patternFill>
    </fill>
    <fill>
      <patternFill patternType="solid">
        <fgColor rgb="FF0020A9"/>
        <bgColor indexed="64"/>
      </patternFill>
    </fill>
    <fill>
      <patternFill patternType="solid">
        <fgColor rgb="FF0020AA"/>
        <bgColor indexed="64"/>
      </patternFill>
    </fill>
    <fill>
      <patternFill patternType="solid">
        <fgColor rgb="FF0020AB"/>
        <bgColor indexed="64"/>
      </patternFill>
    </fill>
    <fill>
      <patternFill patternType="solid">
        <fgColor rgb="FF0020AC"/>
        <bgColor indexed="64"/>
      </patternFill>
    </fill>
    <fill>
      <patternFill patternType="solid">
        <fgColor rgb="FF0020AD"/>
        <bgColor indexed="64"/>
      </patternFill>
    </fill>
    <fill>
      <patternFill patternType="solid">
        <fgColor rgb="FF0020AE"/>
        <bgColor indexed="64"/>
      </patternFill>
    </fill>
    <fill>
      <patternFill patternType="solid">
        <fgColor rgb="FF0020AF"/>
        <bgColor indexed="64"/>
      </patternFill>
    </fill>
    <fill>
      <patternFill patternType="solid">
        <fgColor rgb="FF0020B0"/>
        <bgColor indexed="64"/>
      </patternFill>
    </fill>
    <fill>
      <patternFill patternType="solid">
        <fgColor rgb="FF0020B1"/>
        <bgColor indexed="64"/>
      </patternFill>
    </fill>
    <fill>
      <patternFill patternType="solid">
        <fgColor rgb="FF0020B2"/>
        <bgColor indexed="64"/>
      </patternFill>
    </fill>
    <fill>
      <patternFill patternType="solid">
        <fgColor rgb="FF0020B3"/>
        <bgColor indexed="64"/>
      </patternFill>
    </fill>
    <fill>
      <patternFill patternType="solid">
        <fgColor rgb="FF0020B4"/>
        <bgColor indexed="64"/>
      </patternFill>
    </fill>
    <fill>
      <patternFill patternType="solid">
        <fgColor rgb="FF0020B5"/>
        <bgColor indexed="64"/>
      </patternFill>
    </fill>
    <fill>
      <patternFill patternType="solid">
        <fgColor rgb="FF0020B6"/>
        <bgColor indexed="64"/>
      </patternFill>
    </fill>
    <fill>
      <patternFill patternType="solid">
        <fgColor rgb="FF0020B7"/>
        <bgColor indexed="64"/>
      </patternFill>
    </fill>
    <fill>
      <patternFill patternType="solid">
        <fgColor rgb="FF0020B8"/>
        <bgColor indexed="64"/>
      </patternFill>
    </fill>
    <fill>
      <patternFill patternType="solid">
        <fgColor rgb="FF0020B9"/>
        <bgColor indexed="64"/>
      </patternFill>
    </fill>
    <fill>
      <patternFill patternType="solid">
        <fgColor rgb="FF0020BA"/>
        <bgColor indexed="64"/>
      </patternFill>
    </fill>
    <fill>
      <patternFill patternType="solid">
        <fgColor rgb="FF0020BB"/>
        <bgColor indexed="64"/>
      </patternFill>
    </fill>
    <fill>
      <patternFill patternType="solid">
        <fgColor rgb="FF0020BC"/>
        <bgColor indexed="64"/>
      </patternFill>
    </fill>
    <fill>
      <patternFill patternType="solid">
        <fgColor rgb="FF0020BD"/>
        <bgColor indexed="64"/>
      </patternFill>
    </fill>
    <fill>
      <patternFill patternType="solid">
        <fgColor rgb="FF0020BE"/>
        <bgColor indexed="64"/>
      </patternFill>
    </fill>
    <fill>
      <patternFill patternType="solid">
        <fgColor rgb="FF0020BF"/>
        <bgColor indexed="64"/>
      </patternFill>
    </fill>
    <fill>
      <patternFill patternType="solid">
        <fgColor rgb="FF0020C0"/>
        <bgColor indexed="64"/>
      </patternFill>
    </fill>
    <fill>
      <patternFill patternType="solid">
        <fgColor rgb="FF0020C1"/>
        <bgColor indexed="64"/>
      </patternFill>
    </fill>
    <fill>
      <patternFill patternType="solid">
        <fgColor rgb="FF0020C2"/>
        <bgColor indexed="64"/>
      </patternFill>
    </fill>
    <fill>
      <patternFill patternType="solid">
        <fgColor rgb="FF0020C3"/>
        <bgColor indexed="64"/>
      </patternFill>
    </fill>
    <fill>
      <patternFill patternType="solid">
        <fgColor rgb="FF0020C4"/>
        <bgColor indexed="64"/>
      </patternFill>
    </fill>
    <fill>
      <patternFill patternType="solid">
        <fgColor rgb="FF0020C5"/>
        <bgColor indexed="64"/>
      </patternFill>
    </fill>
    <fill>
      <patternFill patternType="solid">
        <fgColor rgb="FF0020C6"/>
        <bgColor indexed="64"/>
      </patternFill>
    </fill>
    <fill>
      <patternFill patternType="solid">
        <fgColor rgb="FF0020C7"/>
        <bgColor indexed="64"/>
      </patternFill>
    </fill>
    <fill>
      <patternFill patternType="solid">
        <fgColor rgb="FF0020C8"/>
        <bgColor indexed="64"/>
      </patternFill>
    </fill>
    <fill>
      <patternFill patternType="solid">
        <fgColor rgb="FF0020C9"/>
        <bgColor indexed="64"/>
      </patternFill>
    </fill>
    <fill>
      <patternFill patternType="solid">
        <fgColor rgb="FF0020CA"/>
        <bgColor indexed="64"/>
      </patternFill>
    </fill>
    <fill>
      <patternFill patternType="solid">
        <fgColor rgb="FF0020CB"/>
        <bgColor indexed="64"/>
      </patternFill>
    </fill>
    <fill>
      <patternFill patternType="solid">
        <fgColor rgb="FF0020CC"/>
        <bgColor indexed="64"/>
      </patternFill>
    </fill>
    <fill>
      <patternFill patternType="solid">
        <fgColor rgb="FF0020CD"/>
        <bgColor indexed="64"/>
      </patternFill>
    </fill>
    <fill>
      <patternFill patternType="solid">
        <fgColor rgb="FF0020CE"/>
        <bgColor indexed="64"/>
      </patternFill>
    </fill>
    <fill>
      <patternFill patternType="solid">
        <fgColor rgb="FF0020CF"/>
        <bgColor indexed="64"/>
      </patternFill>
    </fill>
    <fill>
      <patternFill patternType="solid">
        <fgColor rgb="FF0020D0"/>
        <bgColor indexed="64"/>
      </patternFill>
    </fill>
    <fill>
      <patternFill patternType="solid">
        <fgColor rgb="FF0020D1"/>
        <bgColor indexed="64"/>
      </patternFill>
    </fill>
    <fill>
      <patternFill patternType="solid">
        <fgColor rgb="FF0020D2"/>
        <bgColor indexed="64"/>
      </patternFill>
    </fill>
    <fill>
      <patternFill patternType="solid">
        <fgColor rgb="FF0020D3"/>
        <bgColor indexed="64"/>
      </patternFill>
    </fill>
    <fill>
      <patternFill patternType="solid">
        <fgColor rgb="FF0020D4"/>
        <bgColor indexed="64"/>
      </patternFill>
    </fill>
    <fill>
      <patternFill patternType="solid">
        <fgColor rgb="FF0020D5"/>
        <bgColor indexed="64"/>
      </patternFill>
    </fill>
    <fill>
      <patternFill patternType="solid">
        <fgColor rgb="FF0020D6"/>
        <bgColor indexed="64"/>
      </patternFill>
    </fill>
    <fill>
      <patternFill patternType="solid">
        <fgColor rgb="FF0020D7"/>
        <bgColor indexed="64"/>
      </patternFill>
    </fill>
    <fill>
      <patternFill patternType="solid">
        <fgColor rgb="FF0020D8"/>
        <bgColor indexed="64"/>
      </patternFill>
    </fill>
    <fill>
      <patternFill patternType="solid">
        <fgColor rgb="FF0020D9"/>
        <bgColor indexed="64"/>
      </patternFill>
    </fill>
    <fill>
      <patternFill patternType="solid">
        <fgColor rgb="FF0020DA"/>
        <bgColor indexed="64"/>
      </patternFill>
    </fill>
    <fill>
      <patternFill patternType="solid">
        <fgColor rgb="FF0020DB"/>
        <bgColor indexed="64"/>
      </patternFill>
    </fill>
    <fill>
      <patternFill patternType="solid">
        <fgColor rgb="FF0020DC"/>
        <bgColor indexed="64"/>
      </patternFill>
    </fill>
    <fill>
      <patternFill patternType="solid">
        <fgColor rgb="FF0020DD"/>
        <bgColor indexed="64"/>
      </patternFill>
    </fill>
    <fill>
      <patternFill patternType="solid">
        <fgColor rgb="FF0020DE"/>
        <bgColor indexed="64"/>
      </patternFill>
    </fill>
    <fill>
      <patternFill patternType="solid">
        <fgColor rgb="FF0020DF"/>
        <bgColor indexed="64"/>
      </patternFill>
    </fill>
    <fill>
      <patternFill patternType="solid">
        <fgColor rgb="FF0020E0"/>
        <bgColor indexed="64"/>
      </patternFill>
    </fill>
    <fill>
      <patternFill patternType="solid">
        <fgColor rgb="FF0020E1"/>
        <bgColor indexed="64"/>
      </patternFill>
    </fill>
    <fill>
      <patternFill patternType="solid">
        <fgColor rgb="FF0020E2"/>
        <bgColor indexed="64"/>
      </patternFill>
    </fill>
    <fill>
      <patternFill patternType="solid">
        <fgColor rgb="FF0020E3"/>
        <bgColor indexed="64"/>
      </patternFill>
    </fill>
    <fill>
      <patternFill patternType="solid">
        <fgColor rgb="FF0020E4"/>
        <bgColor indexed="64"/>
      </patternFill>
    </fill>
    <fill>
      <patternFill patternType="solid">
        <fgColor rgb="FF0020E5"/>
        <bgColor indexed="64"/>
      </patternFill>
    </fill>
    <fill>
      <patternFill patternType="solid">
        <fgColor rgb="FF0020E6"/>
        <bgColor indexed="64"/>
      </patternFill>
    </fill>
    <fill>
      <patternFill patternType="solid">
        <fgColor rgb="FF0020E7"/>
        <bgColor indexed="64"/>
      </patternFill>
    </fill>
    <fill>
      <patternFill patternType="solid">
        <fgColor rgb="FF0020E8"/>
        <bgColor indexed="64"/>
      </patternFill>
    </fill>
    <fill>
      <patternFill patternType="solid">
        <fgColor rgb="FF0020E9"/>
        <bgColor indexed="64"/>
      </patternFill>
    </fill>
    <fill>
      <patternFill patternType="solid">
        <fgColor rgb="FF0020EA"/>
        <bgColor indexed="64"/>
      </patternFill>
    </fill>
    <fill>
      <patternFill patternType="solid">
        <fgColor rgb="FF0020EB"/>
        <bgColor indexed="64"/>
      </patternFill>
    </fill>
    <fill>
      <patternFill patternType="solid">
        <fgColor rgb="FF0020EC"/>
        <bgColor indexed="64"/>
      </patternFill>
    </fill>
    <fill>
      <patternFill patternType="solid">
        <fgColor rgb="FF0020ED"/>
        <bgColor indexed="64"/>
      </patternFill>
    </fill>
    <fill>
      <patternFill patternType="solid">
        <fgColor rgb="FF0020EE"/>
        <bgColor indexed="64"/>
      </patternFill>
    </fill>
    <fill>
      <patternFill patternType="solid">
        <fgColor rgb="FF0020EF"/>
        <bgColor indexed="64"/>
      </patternFill>
    </fill>
    <fill>
      <patternFill patternType="solid">
        <fgColor rgb="FF0020F0"/>
        <bgColor indexed="64"/>
      </patternFill>
    </fill>
    <fill>
      <patternFill patternType="solid">
        <fgColor rgb="FF0020F1"/>
        <bgColor indexed="64"/>
      </patternFill>
    </fill>
    <fill>
      <patternFill patternType="solid">
        <fgColor rgb="FF0020F2"/>
        <bgColor indexed="64"/>
      </patternFill>
    </fill>
    <fill>
      <patternFill patternType="solid">
        <fgColor rgb="FF0020F3"/>
        <bgColor indexed="64"/>
      </patternFill>
    </fill>
    <fill>
      <patternFill patternType="solid">
        <fgColor rgb="FF0020F4"/>
        <bgColor indexed="64"/>
      </patternFill>
    </fill>
    <fill>
      <patternFill patternType="solid">
        <fgColor rgb="FF0020F5"/>
        <bgColor indexed="64"/>
      </patternFill>
    </fill>
    <fill>
      <patternFill patternType="solid">
        <fgColor rgb="FF0020F6"/>
        <bgColor indexed="64"/>
      </patternFill>
    </fill>
    <fill>
      <patternFill patternType="solid">
        <fgColor rgb="FF0020F7"/>
        <bgColor indexed="64"/>
      </patternFill>
    </fill>
    <fill>
      <patternFill patternType="solid">
        <fgColor rgb="FF0020F8"/>
        <bgColor indexed="64"/>
      </patternFill>
    </fill>
    <fill>
      <patternFill patternType="solid">
        <fgColor rgb="FF0020F9"/>
        <bgColor indexed="64"/>
      </patternFill>
    </fill>
    <fill>
      <patternFill patternType="solid">
        <fgColor rgb="FF0020FA"/>
        <bgColor indexed="64"/>
      </patternFill>
    </fill>
    <fill>
      <patternFill patternType="solid">
        <fgColor rgb="FF0020FB"/>
        <bgColor indexed="64"/>
      </patternFill>
    </fill>
    <fill>
      <patternFill patternType="solid">
        <fgColor rgb="FF0020FC"/>
        <bgColor indexed="64"/>
      </patternFill>
    </fill>
    <fill>
      <patternFill patternType="solid">
        <fgColor rgb="FF0020FD"/>
        <bgColor indexed="64"/>
      </patternFill>
    </fill>
    <fill>
      <patternFill patternType="solid">
        <fgColor rgb="FF0020FE"/>
        <bgColor indexed="64"/>
      </patternFill>
    </fill>
    <fill>
      <patternFill patternType="solid">
        <fgColor rgb="FF0020FF"/>
        <bgColor indexed="64"/>
      </patternFill>
    </fill>
    <fill>
      <patternFill patternType="solid">
        <fgColor rgb="FF002100"/>
        <bgColor indexed="64"/>
      </patternFill>
    </fill>
    <fill>
      <patternFill patternType="solid">
        <fgColor rgb="FF002101"/>
        <bgColor indexed="64"/>
      </patternFill>
    </fill>
    <fill>
      <patternFill patternType="solid">
        <fgColor rgb="FF002102"/>
        <bgColor indexed="64"/>
      </patternFill>
    </fill>
    <fill>
      <patternFill patternType="solid">
        <fgColor rgb="FF002103"/>
        <bgColor indexed="64"/>
      </patternFill>
    </fill>
    <fill>
      <patternFill patternType="solid">
        <fgColor rgb="FF002104"/>
        <bgColor indexed="64"/>
      </patternFill>
    </fill>
    <fill>
      <patternFill patternType="solid">
        <fgColor rgb="FF002105"/>
        <bgColor indexed="64"/>
      </patternFill>
    </fill>
    <fill>
      <patternFill patternType="solid">
        <fgColor rgb="FF002106"/>
        <bgColor indexed="64"/>
      </patternFill>
    </fill>
    <fill>
      <patternFill patternType="solid">
        <fgColor rgb="FF002107"/>
        <bgColor indexed="64"/>
      </patternFill>
    </fill>
    <fill>
      <patternFill patternType="solid">
        <fgColor rgb="FF002108"/>
        <bgColor indexed="64"/>
      </patternFill>
    </fill>
    <fill>
      <patternFill patternType="solid">
        <fgColor rgb="FF002109"/>
        <bgColor indexed="64"/>
      </patternFill>
    </fill>
    <fill>
      <patternFill patternType="solid">
        <fgColor rgb="FF00210A"/>
        <bgColor indexed="64"/>
      </patternFill>
    </fill>
    <fill>
      <patternFill patternType="solid">
        <fgColor rgb="FF00210B"/>
        <bgColor indexed="64"/>
      </patternFill>
    </fill>
    <fill>
      <patternFill patternType="solid">
        <fgColor rgb="FF00210C"/>
        <bgColor indexed="64"/>
      </patternFill>
    </fill>
    <fill>
      <patternFill patternType="solid">
        <fgColor rgb="FF00210D"/>
        <bgColor indexed="64"/>
      </patternFill>
    </fill>
    <fill>
      <patternFill patternType="solid">
        <fgColor rgb="FF00210E"/>
        <bgColor indexed="64"/>
      </patternFill>
    </fill>
    <fill>
      <patternFill patternType="solid">
        <fgColor rgb="FF00210F"/>
        <bgColor indexed="64"/>
      </patternFill>
    </fill>
    <fill>
      <patternFill patternType="solid">
        <fgColor rgb="FF002110"/>
        <bgColor indexed="64"/>
      </patternFill>
    </fill>
    <fill>
      <patternFill patternType="solid">
        <fgColor rgb="FF002111"/>
        <bgColor indexed="64"/>
      </patternFill>
    </fill>
    <fill>
      <patternFill patternType="solid">
        <fgColor rgb="FF002112"/>
        <bgColor indexed="64"/>
      </patternFill>
    </fill>
    <fill>
      <patternFill patternType="solid">
        <fgColor rgb="FF002113"/>
        <bgColor indexed="64"/>
      </patternFill>
    </fill>
    <fill>
      <patternFill patternType="solid">
        <fgColor rgb="FF002114"/>
        <bgColor indexed="64"/>
      </patternFill>
    </fill>
    <fill>
      <patternFill patternType="solid">
        <fgColor rgb="FF002115"/>
        <bgColor indexed="64"/>
      </patternFill>
    </fill>
    <fill>
      <patternFill patternType="solid">
        <fgColor rgb="FF002116"/>
        <bgColor indexed="64"/>
      </patternFill>
    </fill>
    <fill>
      <patternFill patternType="solid">
        <fgColor rgb="FF002117"/>
        <bgColor indexed="64"/>
      </patternFill>
    </fill>
    <fill>
      <patternFill patternType="solid">
        <fgColor rgb="FF002118"/>
        <bgColor indexed="64"/>
      </patternFill>
    </fill>
    <fill>
      <patternFill patternType="solid">
        <fgColor rgb="FF002119"/>
        <bgColor indexed="64"/>
      </patternFill>
    </fill>
    <fill>
      <patternFill patternType="solid">
        <fgColor rgb="FF00211A"/>
        <bgColor indexed="64"/>
      </patternFill>
    </fill>
    <fill>
      <patternFill patternType="solid">
        <fgColor rgb="FF00211B"/>
        <bgColor indexed="64"/>
      </patternFill>
    </fill>
    <fill>
      <patternFill patternType="solid">
        <fgColor rgb="FF00211C"/>
        <bgColor indexed="64"/>
      </patternFill>
    </fill>
    <fill>
      <patternFill patternType="solid">
        <fgColor rgb="FF00211D"/>
        <bgColor indexed="64"/>
      </patternFill>
    </fill>
    <fill>
      <patternFill patternType="solid">
        <fgColor rgb="FF00211E"/>
        <bgColor indexed="64"/>
      </patternFill>
    </fill>
    <fill>
      <patternFill patternType="solid">
        <fgColor rgb="FF00211F"/>
        <bgColor indexed="64"/>
      </patternFill>
    </fill>
    <fill>
      <patternFill patternType="solid">
        <fgColor rgb="FF002120"/>
        <bgColor indexed="64"/>
      </patternFill>
    </fill>
    <fill>
      <patternFill patternType="solid">
        <fgColor rgb="FF002121"/>
        <bgColor indexed="64"/>
      </patternFill>
    </fill>
    <fill>
      <patternFill patternType="solid">
        <fgColor rgb="FF002122"/>
        <bgColor indexed="64"/>
      </patternFill>
    </fill>
    <fill>
      <patternFill patternType="solid">
        <fgColor rgb="FF002123"/>
        <bgColor indexed="64"/>
      </patternFill>
    </fill>
    <fill>
      <patternFill patternType="solid">
        <fgColor rgb="FF002124"/>
        <bgColor indexed="64"/>
      </patternFill>
    </fill>
    <fill>
      <patternFill patternType="solid">
        <fgColor rgb="FF002125"/>
        <bgColor indexed="64"/>
      </patternFill>
    </fill>
    <fill>
      <patternFill patternType="solid">
        <fgColor rgb="FF002126"/>
        <bgColor indexed="64"/>
      </patternFill>
    </fill>
    <fill>
      <patternFill patternType="solid">
        <fgColor rgb="FF002127"/>
        <bgColor indexed="64"/>
      </patternFill>
    </fill>
    <fill>
      <patternFill patternType="solid">
        <fgColor rgb="FF002128"/>
        <bgColor indexed="64"/>
      </patternFill>
    </fill>
    <fill>
      <patternFill patternType="solid">
        <fgColor rgb="FF002129"/>
        <bgColor indexed="64"/>
      </patternFill>
    </fill>
    <fill>
      <patternFill patternType="solid">
        <fgColor rgb="FF00212A"/>
        <bgColor indexed="64"/>
      </patternFill>
    </fill>
    <fill>
      <patternFill patternType="solid">
        <fgColor rgb="FF00212B"/>
        <bgColor indexed="64"/>
      </patternFill>
    </fill>
    <fill>
      <patternFill patternType="solid">
        <fgColor rgb="FF00212C"/>
        <bgColor indexed="64"/>
      </patternFill>
    </fill>
    <fill>
      <patternFill patternType="solid">
        <fgColor rgb="FF00212D"/>
        <bgColor indexed="64"/>
      </patternFill>
    </fill>
    <fill>
      <patternFill patternType="solid">
        <fgColor rgb="FF00212E"/>
        <bgColor indexed="64"/>
      </patternFill>
    </fill>
    <fill>
      <patternFill patternType="solid">
        <fgColor rgb="FF00212F"/>
        <bgColor indexed="64"/>
      </patternFill>
    </fill>
    <fill>
      <patternFill patternType="solid">
        <fgColor rgb="FF002130"/>
        <bgColor indexed="64"/>
      </patternFill>
    </fill>
    <fill>
      <patternFill patternType="solid">
        <fgColor rgb="FF002131"/>
        <bgColor indexed="64"/>
      </patternFill>
    </fill>
    <fill>
      <patternFill patternType="solid">
        <fgColor rgb="FF002132"/>
        <bgColor indexed="64"/>
      </patternFill>
    </fill>
    <fill>
      <patternFill patternType="solid">
        <fgColor rgb="FF002133"/>
        <bgColor indexed="64"/>
      </patternFill>
    </fill>
    <fill>
      <patternFill patternType="solid">
        <fgColor rgb="FF002134"/>
        <bgColor indexed="64"/>
      </patternFill>
    </fill>
    <fill>
      <patternFill patternType="solid">
        <fgColor rgb="FF002135"/>
        <bgColor indexed="64"/>
      </patternFill>
    </fill>
    <fill>
      <patternFill patternType="solid">
        <fgColor rgb="FF002136"/>
        <bgColor indexed="64"/>
      </patternFill>
    </fill>
    <fill>
      <patternFill patternType="solid">
        <fgColor rgb="FF002137"/>
        <bgColor indexed="64"/>
      </patternFill>
    </fill>
    <fill>
      <patternFill patternType="solid">
        <fgColor rgb="FF002138"/>
        <bgColor indexed="64"/>
      </patternFill>
    </fill>
    <fill>
      <patternFill patternType="solid">
        <fgColor rgb="FF002139"/>
        <bgColor indexed="64"/>
      </patternFill>
    </fill>
    <fill>
      <patternFill patternType="solid">
        <fgColor rgb="FF00213A"/>
        <bgColor indexed="64"/>
      </patternFill>
    </fill>
    <fill>
      <patternFill patternType="solid">
        <fgColor rgb="FF00213B"/>
        <bgColor indexed="64"/>
      </patternFill>
    </fill>
    <fill>
      <patternFill patternType="solid">
        <fgColor rgb="FF00213C"/>
        <bgColor indexed="64"/>
      </patternFill>
    </fill>
    <fill>
      <patternFill patternType="solid">
        <fgColor rgb="FF00213D"/>
        <bgColor indexed="64"/>
      </patternFill>
    </fill>
    <fill>
      <patternFill patternType="solid">
        <fgColor rgb="FF00213E"/>
        <bgColor indexed="64"/>
      </patternFill>
    </fill>
    <fill>
      <patternFill patternType="solid">
        <fgColor rgb="FF00213F"/>
        <bgColor indexed="64"/>
      </patternFill>
    </fill>
    <fill>
      <patternFill patternType="solid">
        <fgColor rgb="FF002140"/>
        <bgColor indexed="64"/>
      </patternFill>
    </fill>
    <fill>
      <patternFill patternType="solid">
        <fgColor rgb="FF002141"/>
        <bgColor indexed="64"/>
      </patternFill>
    </fill>
    <fill>
      <patternFill patternType="solid">
        <fgColor rgb="FF002142"/>
        <bgColor indexed="64"/>
      </patternFill>
    </fill>
    <fill>
      <patternFill patternType="solid">
        <fgColor rgb="FF002143"/>
        <bgColor indexed="64"/>
      </patternFill>
    </fill>
    <fill>
      <patternFill patternType="solid">
        <fgColor rgb="FF002144"/>
        <bgColor indexed="64"/>
      </patternFill>
    </fill>
    <fill>
      <patternFill patternType="solid">
        <fgColor rgb="FF002145"/>
        <bgColor indexed="64"/>
      </patternFill>
    </fill>
    <fill>
      <patternFill patternType="solid">
        <fgColor rgb="FF002146"/>
        <bgColor indexed="64"/>
      </patternFill>
    </fill>
    <fill>
      <patternFill patternType="solid">
        <fgColor rgb="FF002147"/>
        <bgColor indexed="64"/>
      </patternFill>
    </fill>
    <fill>
      <patternFill patternType="solid">
        <fgColor rgb="FF002148"/>
        <bgColor indexed="64"/>
      </patternFill>
    </fill>
    <fill>
      <patternFill patternType="solid">
        <fgColor rgb="FF002149"/>
        <bgColor indexed="64"/>
      </patternFill>
    </fill>
    <fill>
      <patternFill patternType="solid">
        <fgColor rgb="FF00214A"/>
        <bgColor indexed="64"/>
      </patternFill>
    </fill>
    <fill>
      <patternFill patternType="solid">
        <fgColor rgb="FF00214B"/>
        <bgColor indexed="64"/>
      </patternFill>
    </fill>
    <fill>
      <patternFill patternType="solid">
        <fgColor rgb="FF00214C"/>
        <bgColor indexed="64"/>
      </patternFill>
    </fill>
    <fill>
      <patternFill patternType="solid">
        <fgColor rgb="FF00214D"/>
        <bgColor indexed="64"/>
      </patternFill>
    </fill>
    <fill>
      <patternFill patternType="solid">
        <fgColor rgb="FF00214E"/>
        <bgColor indexed="64"/>
      </patternFill>
    </fill>
    <fill>
      <patternFill patternType="solid">
        <fgColor rgb="FF00214F"/>
        <bgColor indexed="64"/>
      </patternFill>
    </fill>
    <fill>
      <patternFill patternType="solid">
        <fgColor rgb="FF002150"/>
        <bgColor indexed="64"/>
      </patternFill>
    </fill>
    <fill>
      <patternFill patternType="solid">
        <fgColor rgb="FF002151"/>
        <bgColor indexed="64"/>
      </patternFill>
    </fill>
    <fill>
      <patternFill patternType="solid">
        <fgColor rgb="FF002152"/>
        <bgColor indexed="64"/>
      </patternFill>
    </fill>
    <fill>
      <patternFill patternType="solid">
        <fgColor rgb="FF002153"/>
        <bgColor indexed="64"/>
      </patternFill>
    </fill>
    <fill>
      <patternFill patternType="solid">
        <fgColor rgb="FF002154"/>
        <bgColor indexed="64"/>
      </patternFill>
    </fill>
    <fill>
      <patternFill patternType="solid">
        <fgColor rgb="FF002155"/>
        <bgColor indexed="64"/>
      </patternFill>
    </fill>
    <fill>
      <patternFill patternType="solid">
        <fgColor rgb="FF002156"/>
        <bgColor indexed="64"/>
      </patternFill>
    </fill>
    <fill>
      <patternFill patternType="solid">
        <fgColor rgb="FF002157"/>
        <bgColor indexed="64"/>
      </patternFill>
    </fill>
    <fill>
      <patternFill patternType="solid">
        <fgColor rgb="FF002158"/>
        <bgColor indexed="64"/>
      </patternFill>
    </fill>
    <fill>
      <patternFill patternType="solid">
        <fgColor rgb="FF002159"/>
        <bgColor indexed="64"/>
      </patternFill>
    </fill>
    <fill>
      <patternFill patternType="solid">
        <fgColor rgb="FF00215A"/>
        <bgColor indexed="64"/>
      </patternFill>
    </fill>
    <fill>
      <patternFill patternType="solid">
        <fgColor rgb="FF00215B"/>
        <bgColor indexed="64"/>
      </patternFill>
    </fill>
    <fill>
      <patternFill patternType="solid">
        <fgColor rgb="FF00215C"/>
        <bgColor indexed="64"/>
      </patternFill>
    </fill>
    <fill>
      <patternFill patternType="solid">
        <fgColor rgb="FF00215D"/>
        <bgColor indexed="64"/>
      </patternFill>
    </fill>
    <fill>
      <patternFill patternType="solid">
        <fgColor rgb="FF00215E"/>
        <bgColor indexed="64"/>
      </patternFill>
    </fill>
    <fill>
      <patternFill patternType="solid">
        <fgColor rgb="FF00215F"/>
        <bgColor indexed="64"/>
      </patternFill>
    </fill>
    <fill>
      <patternFill patternType="solid">
        <fgColor rgb="FF002160"/>
        <bgColor indexed="64"/>
      </patternFill>
    </fill>
    <fill>
      <patternFill patternType="solid">
        <fgColor rgb="FF002161"/>
        <bgColor indexed="64"/>
      </patternFill>
    </fill>
    <fill>
      <patternFill patternType="solid">
        <fgColor rgb="FF002162"/>
        <bgColor indexed="64"/>
      </patternFill>
    </fill>
    <fill>
      <patternFill patternType="solid">
        <fgColor rgb="FF002163"/>
        <bgColor indexed="64"/>
      </patternFill>
    </fill>
    <fill>
      <patternFill patternType="solid">
        <fgColor rgb="FF002164"/>
        <bgColor indexed="64"/>
      </patternFill>
    </fill>
    <fill>
      <patternFill patternType="solid">
        <fgColor rgb="FF002165"/>
        <bgColor indexed="64"/>
      </patternFill>
    </fill>
    <fill>
      <patternFill patternType="solid">
        <fgColor rgb="FF002166"/>
        <bgColor indexed="64"/>
      </patternFill>
    </fill>
    <fill>
      <patternFill patternType="solid">
        <fgColor rgb="FF002167"/>
        <bgColor indexed="64"/>
      </patternFill>
    </fill>
    <fill>
      <patternFill patternType="solid">
        <fgColor rgb="FF002168"/>
        <bgColor indexed="64"/>
      </patternFill>
    </fill>
    <fill>
      <patternFill patternType="solid">
        <fgColor rgb="FF002169"/>
        <bgColor indexed="64"/>
      </patternFill>
    </fill>
    <fill>
      <patternFill patternType="solid">
        <fgColor rgb="FF00216A"/>
        <bgColor indexed="64"/>
      </patternFill>
    </fill>
    <fill>
      <patternFill patternType="solid">
        <fgColor rgb="FF00216B"/>
        <bgColor indexed="64"/>
      </patternFill>
    </fill>
    <fill>
      <patternFill patternType="solid">
        <fgColor rgb="FF00216C"/>
        <bgColor indexed="64"/>
      </patternFill>
    </fill>
    <fill>
      <patternFill patternType="solid">
        <fgColor rgb="FF00216D"/>
        <bgColor indexed="64"/>
      </patternFill>
    </fill>
    <fill>
      <patternFill patternType="solid">
        <fgColor rgb="FF00216E"/>
        <bgColor indexed="64"/>
      </patternFill>
    </fill>
    <fill>
      <patternFill patternType="solid">
        <fgColor rgb="FF00216F"/>
        <bgColor indexed="64"/>
      </patternFill>
    </fill>
    <fill>
      <patternFill patternType="solid">
        <fgColor rgb="FF002170"/>
        <bgColor indexed="64"/>
      </patternFill>
    </fill>
    <fill>
      <patternFill patternType="solid">
        <fgColor rgb="FF002171"/>
        <bgColor indexed="64"/>
      </patternFill>
    </fill>
    <fill>
      <patternFill patternType="solid">
        <fgColor rgb="FF002172"/>
        <bgColor indexed="64"/>
      </patternFill>
    </fill>
    <fill>
      <patternFill patternType="solid">
        <fgColor rgb="FF002173"/>
        <bgColor indexed="64"/>
      </patternFill>
    </fill>
    <fill>
      <patternFill patternType="solid">
        <fgColor rgb="FF002174"/>
        <bgColor indexed="64"/>
      </patternFill>
    </fill>
    <fill>
      <patternFill patternType="solid">
        <fgColor rgb="FF002175"/>
        <bgColor indexed="64"/>
      </patternFill>
    </fill>
    <fill>
      <patternFill patternType="solid">
        <fgColor rgb="FF002176"/>
        <bgColor indexed="64"/>
      </patternFill>
    </fill>
    <fill>
      <patternFill patternType="solid">
        <fgColor rgb="FF002177"/>
        <bgColor indexed="64"/>
      </patternFill>
    </fill>
    <fill>
      <patternFill patternType="solid">
        <fgColor rgb="FF002178"/>
        <bgColor indexed="64"/>
      </patternFill>
    </fill>
    <fill>
      <patternFill patternType="solid">
        <fgColor rgb="FF002179"/>
        <bgColor indexed="64"/>
      </patternFill>
    </fill>
    <fill>
      <patternFill patternType="solid">
        <fgColor rgb="FF00217A"/>
        <bgColor indexed="64"/>
      </patternFill>
    </fill>
    <fill>
      <patternFill patternType="solid">
        <fgColor rgb="FF00217B"/>
        <bgColor indexed="64"/>
      </patternFill>
    </fill>
    <fill>
      <patternFill patternType="solid">
        <fgColor rgb="FF00217C"/>
        <bgColor indexed="64"/>
      </patternFill>
    </fill>
    <fill>
      <patternFill patternType="solid">
        <fgColor rgb="FF00217D"/>
        <bgColor indexed="64"/>
      </patternFill>
    </fill>
    <fill>
      <patternFill patternType="solid">
        <fgColor rgb="FF00217E"/>
        <bgColor indexed="64"/>
      </patternFill>
    </fill>
    <fill>
      <patternFill patternType="solid">
        <fgColor rgb="FF00217F"/>
        <bgColor indexed="64"/>
      </patternFill>
    </fill>
    <fill>
      <patternFill patternType="solid">
        <fgColor rgb="FF002180"/>
        <bgColor indexed="64"/>
      </patternFill>
    </fill>
    <fill>
      <patternFill patternType="solid">
        <fgColor rgb="FF002181"/>
        <bgColor indexed="64"/>
      </patternFill>
    </fill>
    <fill>
      <patternFill patternType="solid">
        <fgColor rgb="FF002182"/>
        <bgColor indexed="64"/>
      </patternFill>
    </fill>
    <fill>
      <patternFill patternType="solid">
        <fgColor rgb="FF002183"/>
        <bgColor indexed="64"/>
      </patternFill>
    </fill>
    <fill>
      <patternFill patternType="solid">
        <fgColor rgb="FF002184"/>
        <bgColor indexed="64"/>
      </patternFill>
    </fill>
    <fill>
      <patternFill patternType="solid">
        <fgColor rgb="FF002185"/>
        <bgColor indexed="64"/>
      </patternFill>
    </fill>
    <fill>
      <patternFill patternType="solid">
        <fgColor rgb="FF002186"/>
        <bgColor indexed="64"/>
      </patternFill>
    </fill>
    <fill>
      <patternFill patternType="solid">
        <fgColor rgb="FF002187"/>
        <bgColor indexed="64"/>
      </patternFill>
    </fill>
    <fill>
      <patternFill patternType="solid">
        <fgColor rgb="FF002188"/>
        <bgColor indexed="64"/>
      </patternFill>
    </fill>
    <fill>
      <patternFill patternType="solid">
        <fgColor rgb="FF002189"/>
        <bgColor indexed="64"/>
      </patternFill>
    </fill>
    <fill>
      <patternFill patternType="solid">
        <fgColor rgb="FF00218A"/>
        <bgColor indexed="64"/>
      </patternFill>
    </fill>
    <fill>
      <patternFill patternType="solid">
        <fgColor rgb="FF00218B"/>
        <bgColor indexed="64"/>
      </patternFill>
    </fill>
    <fill>
      <patternFill patternType="solid">
        <fgColor rgb="FF00218C"/>
        <bgColor indexed="64"/>
      </patternFill>
    </fill>
    <fill>
      <patternFill patternType="solid">
        <fgColor rgb="FF00218D"/>
        <bgColor indexed="64"/>
      </patternFill>
    </fill>
    <fill>
      <patternFill patternType="solid">
        <fgColor rgb="FF00218E"/>
        <bgColor indexed="64"/>
      </patternFill>
    </fill>
    <fill>
      <patternFill patternType="solid">
        <fgColor rgb="FF00218F"/>
        <bgColor indexed="64"/>
      </patternFill>
    </fill>
    <fill>
      <patternFill patternType="solid">
        <fgColor rgb="FF002190"/>
        <bgColor indexed="64"/>
      </patternFill>
    </fill>
    <fill>
      <patternFill patternType="solid">
        <fgColor rgb="FF002191"/>
        <bgColor indexed="64"/>
      </patternFill>
    </fill>
    <fill>
      <patternFill patternType="solid">
        <fgColor rgb="FF002192"/>
        <bgColor indexed="64"/>
      </patternFill>
    </fill>
    <fill>
      <patternFill patternType="solid">
        <fgColor rgb="FF002193"/>
        <bgColor indexed="64"/>
      </patternFill>
    </fill>
    <fill>
      <patternFill patternType="solid">
        <fgColor rgb="FF002194"/>
        <bgColor indexed="64"/>
      </patternFill>
    </fill>
    <fill>
      <patternFill patternType="solid">
        <fgColor rgb="FF002195"/>
        <bgColor indexed="64"/>
      </patternFill>
    </fill>
    <fill>
      <patternFill patternType="solid">
        <fgColor rgb="FF002196"/>
        <bgColor indexed="64"/>
      </patternFill>
    </fill>
    <fill>
      <patternFill patternType="solid">
        <fgColor rgb="FF002197"/>
        <bgColor indexed="64"/>
      </patternFill>
    </fill>
    <fill>
      <patternFill patternType="solid">
        <fgColor rgb="FF002198"/>
        <bgColor indexed="64"/>
      </patternFill>
    </fill>
    <fill>
      <patternFill patternType="solid">
        <fgColor rgb="FF002199"/>
        <bgColor indexed="64"/>
      </patternFill>
    </fill>
    <fill>
      <patternFill patternType="solid">
        <fgColor rgb="FF00219A"/>
        <bgColor indexed="64"/>
      </patternFill>
    </fill>
    <fill>
      <patternFill patternType="solid">
        <fgColor rgb="FF00219B"/>
        <bgColor indexed="64"/>
      </patternFill>
    </fill>
    <fill>
      <patternFill patternType="solid">
        <fgColor rgb="FF00219C"/>
        <bgColor indexed="64"/>
      </patternFill>
    </fill>
    <fill>
      <patternFill patternType="solid">
        <fgColor rgb="FF00219D"/>
        <bgColor indexed="64"/>
      </patternFill>
    </fill>
    <fill>
      <patternFill patternType="solid">
        <fgColor rgb="FF00219E"/>
        <bgColor indexed="64"/>
      </patternFill>
    </fill>
    <fill>
      <patternFill patternType="solid">
        <fgColor rgb="FF00219F"/>
        <bgColor indexed="64"/>
      </patternFill>
    </fill>
    <fill>
      <patternFill patternType="solid">
        <fgColor rgb="FF0021A0"/>
        <bgColor indexed="64"/>
      </patternFill>
    </fill>
    <fill>
      <patternFill patternType="solid">
        <fgColor rgb="FF0021A1"/>
        <bgColor indexed="64"/>
      </patternFill>
    </fill>
    <fill>
      <patternFill patternType="solid">
        <fgColor rgb="FF0021A2"/>
        <bgColor indexed="64"/>
      </patternFill>
    </fill>
    <fill>
      <patternFill patternType="solid">
        <fgColor rgb="FF0021A3"/>
        <bgColor indexed="64"/>
      </patternFill>
    </fill>
    <fill>
      <patternFill patternType="solid">
        <fgColor rgb="FF0021A4"/>
        <bgColor indexed="64"/>
      </patternFill>
    </fill>
    <fill>
      <patternFill patternType="solid">
        <fgColor rgb="FF0021A5"/>
        <bgColor indexed="64"/>
      </patternFill>
    </fill>
    <fill>
      <patternFill patternType="solid">
        <fgColor rgb="FF0021A6"/>
        <bgColor indexed="64"/>
      </patternFill>
    </fill>
    <fill>
      <patternFill patternType="solid">
        <fgColor rgb="FF0021A7"/>
        <bgColor indexed="64"/>
      </patternFill>
    </fill>
    <fill>
      <patternFill patternType="solid">
        <fgColor rgb="FF0021A8"/>
        <bgColor indexed="64"/>
      </patternFill>
    </fill>
    <fill>
      <patternFill patternType="solid">
        <fgColor rgb="FF0021A9"/>
        <bgColor indexed="64"/>
      </patternFill>
    </fill>
    <fill>
      <patternFill patternType="solid">
        <fgColor rgb="FF0021AA"/>
        <bgColor indexed="64"/>
      </patternFill>
    </fill>
    <fill>
      <patternFill patternType="solid">
        <fgColor rgb="FF0021AB"/>
        <bgColor indexed="64"/>
      </patternFill>
    </fill>
    <fill>
      <patternFill patternType="solid">
        <fgColor rgb="FF0021AC"/>
        <bgColor indexed="64"/>
      </patternFill>
    </fill>
    <fill>
      <patternFill patternType="solid">
        <fgColor rgb="FF0021AD"/>
        <bgColor indexed="64"/>
      </patternFill>
    </fill>
    <fill>
      <patternFill patternType="solid">
        <fgColor rgb="FF0021AE"/>
        <bgColor indexed="64"/>
      </patternFill>
    </fill>
    <fill>
      <patternFill patternType="solid">
        <fgColor rgb="FF0021AF"/>
        <bgColor indexed="64"/>
      </patternFill>
    </fill>
    <fill>
      <patternFill patternType="solid">
        <fgColor rgb="FF0021B0"/>
        <bgColor indexed="64"/>
      </patternFill>
    </fill>
    <fill>
      <patternFill patternType="solid">
        <fgColor rgb="FF0021B1"/>
        <bgColor indexed="64"/>
      </patternFill>
    </fill>
    <fill>
      <patternFill patternType="solid">
        <fgColor rgb="FF0021B2"/>
        <bgColor indexed="64"/>
      </patternFill>
    </fill>
    <fill>
      <patternFill patternType="solid">
        <fgColor rgb="FF0021B3"/>
        <bgColor indexed="64"/>
      </patternFill>
    </fill>
    <fill>
      <patternFill patternType="solid">
        <fgColor rgb="FF0021B4"/>
        <bgColor indexed="64"/>
      </patternFill>
    </fill>
    <fill>
      <patternFill patternType="solid">
        <fgColor rgb="FF0021B5"/>
        <bgColor indexed="64"/>
      </patternFill>
    </fill>
    <fill>
      <patternFill patternType="solid">
        <fgColor rgb="FF0021B6"/>
        <bgColor indexed="64"/>
      </patternFill>
    </fill>
    <fill>
      <patternFill patternType="solid">
        <fgColor rgb="FF0021B7"/>
        <bgColor indexed="64"/>
      </patternFill>
    </fill>
    <fill>
      <patternFill patternType="solid">
        <fgColor rgb="FF0021B8"/>
        <bgColor indexed="64"/>
      </patternFill>
    </fill>
    <fill>
      <patternFill patternType="solid">
        <fgColor rgb="FF0021B9"/>
        <bgColor indexed="64"/>
      </patternFill>
    </fill>
    <fill>
      <patternFill patternType="solid">
        <fgColor rgb="FF0021BA"/>
        <bgColor indexed="64"/>
      </patternFill>
    </fill>
    <fill>
      <patternFill patternType="solid">
        <fgColor rgb="FF0021BB"/>
        <bgColor indexed="64"/>
      </patternFill>
    </fill>
    <fill>
      <patternFill patternType="solid">
        <fgColor rgb="FF0021BC"/>
        <bgColor indexed="64"/>
      </patternFill>
    </fill>
    <fill>
      <patternFill patternType="solid">
        <fgColor rgb="FF0021BD"/>
        <bgColor indexed="64"/>
      </patternFill>
    </fill>
    <fill>
      <patternFill patternType="solid">
        <fgColor rgb="FF0021BE"/>
        <bgColor indexed="64"/>
      </patternFill>
    </fill>
    <fill>
      <patternFill patternType="solid">
        <fgColor rgb="FF0021BF"/>
        <bgColor indexed="64"/>
      </patternFill>
    </fill>
    <fill>
      <patternFill patternType="solid">
        <fgColor rgb="FF0021C0"/>
        <bgColor indexed="64"/>
      </patternFill>
    </fill>
    <fill>
      <patternFill patternType="solid">
        <fgColor rgb="FF0021C1"/>
        <bgColor indexed="64"/>
      </patternFill>
    </fill>
    <fill>
      <patternFill patternType="solid">
        <fgColor rgb="FF0021C2"/>
        <bgColor indexed="64"/>
      </patternFill>
    </fill>
    <fill>
      <patternFill patternType="solid">
        <fgColor rgb="FF0021C3"/>
        <bgColor indexed="64"/>
      </patternFill>
    </fill>
    <fill>
      <patternFill patternType="solid">
        <fgColor rgb="FF0021C4"/>
        <bgColor indexed="64"/>
      </patternFill>
    </fill>
    <fill>
      <patternFill patternType="solid">
        <fgColor rgb="FF0021C5"/>
        <bgColor indexed="64"/>
      </patternFill>
    </fill>
    <fill>
      <patternFill patternType="solid">
        <fgColor rgb="FF0021C6"/>
        <bgColor indexed="64"/>
      </patternFill>
    </fill>
    <fill>
      <patternFill patternType="solid">
        <fgColor rgb="FF0021C7"/>
        <bgColor indexed="64"/>
      </patternFill>
    </fill>
    <fill>
      <patternFill patternType="solid">
        <fgColor rgb="FF0021C8"/>
        <bgColor indexed="64"/>
      </patternFill>
    </fill>
    <fill>
      <patternFill patternType="solid">
        <fgColor rgb="FF0021C9"/>
        <bgColor indexed="64"/>
      </patternFill>
    </fill>
    <fill>
      <patternFill patternType="solid">
        <fgColor rgb="FF0021CA"/>
        <bgColor indexed="64"/>
      </patternFill>
    </fill>
    <fill>
      <patternFill patternType="solid">
        <fgColor rgb="FF0021CB"/>
        <bgColor indexed="64"/>
      </patternFill>
    </fill>
    <fill>
      <patternFill patternType="solid">
        <fgColor rgb="FF0021CC"/>
        <bgColor indexed="64"/>
      </patternFill>
    </fill>
    <fill>
      <patternFill patternType="solid">
        <fgColor rgb="FF0021CD"/>
        <bgColor indexed="64"/>
      </patternFill>
    </fill>
    <fill>
      <patternFill patternType="solid">
        <fgColor rgb="FF0021CE"/>
        <bgColor indexed="64"/>
      </patternFill>
    </fill>
    <fill>
      <patternFill patternType="solid">
        <fgColor rgb="FF0021CF"/>
        <bgColor indexed="64"/>
      </patternFill>
    </fill>
    <fill>
      <patternFill patternType="solid">
        <fgColor rgb="FF0021D0"/>
        <bgColor indexed="64"/>
      </patternFill>
    </fill>
    <fill>
      <patternFill patternType="solid">
        <fgColor rgb="FF0021D1"/>
        <bgColor indexed="64"/>
      </patternFill>
    </fill>
    <fill>
      <patternFill patternType="solid">
        <fgColor rgb="FF0021D2"/>
        <bgColor indexed="64"/>
      </patternFill>
    </fill>
    <fill>
      <patternFill patternType="solid">
        <fgColor rgb="FF0021D3"/>
        <bgColor indexed="64"/>
      </patternFill>
    </fill>
    <fill>
      <patternFill patternType="solid">
        <fgColor rgb="FF0021D4"/>
        <bgColor indexed="64"/>
      </patternFill>
    </fill>
    <fill>
      <patternFill patternType="solid">
        <fgColor rgb="FF0021D5"/>
        <bgColor indexed="64"/>
      </patternFill>
    </fill>
    <fill>
      <patternFill patternType="solid">
        <fgColor rgb="FF0021D6"/>
        <bgColor indexed="64"/>
      </patternFill>
    </fill>
    <fill>
      <patternFill patternType="solid">
        <fgColor rgb="FF0021D7"/>
        <bgColor indexed="64"/>
      </patternFill>
    </fill>
    <fill>
      <patternFill patternType="solid">
        <fgColor rgb="FF0021D8"/>
        <bgColor indexed="64"/>
      </patternFill>
    </fill>
    <fill>
      <patternFill patternType="solid">
        <fgColor rgb="FF0021D9"/>
        <bgColor indexed="64"/>
      </patternFill>
    </fill>
    <fill>
      <patternFill patternType="solid">
        <fgColor rgb="FF0021DA"/>
        <bgColor indexed="64"/>
      </patternFill>
    </fill>
    <fill>
      <patternFill patternType="solid">
        <fgColor rgb="FF0021DB"/>
        <bgColor indexed="64"/>
      </patternFill>
    </fill>
    <fill>
      <patternFill patternType="solid">
        <fgColor rgb="FF0021DC"/>
        <bgColor indexed="64"/>
      </patternFill>
    </fill>
    <fill>
      <patternFill patternType="solid">
        <fgColor rgb="FF0021DD"/>
        <bgColor indexed="64"/>
      </patternFill>
    </fill>
    <fill>
      <patternFill patternType="solid">
        <fgColor rgb="FF0021DE"/>
        <bgColor indexed="64"/>
      </patternFill>
    </fill>
    <fill>
      <patternFill patternType="solid">
        <fgColor rgb="FF0021DF"/>
        <bgColor indexed="64"/>
      </patternFill>
    </fill>
    <fill>
      <patternFill patternType="solid">
        <fgColor rgb="FF0021E0"/>
        <bgColor indexed="64"/>
      </patternFill>
    </fill>
    <fill>
      <patternFill patternType="solid">
        <fgColor rgb="FF0021E1"/>
        <bgColor indexed="64"/>
      </patternFill>
    </fill>
    <fill>
      <patternFill patternType="solid">
        <fgColor rgb="FF0021E2"/>
        <bgColor indexed="64"/>
      </patternFill>
    </fill>
    <fill>
      <patternFill patternType="solid">
        <fgColor rgb="FF0021E3"/>
        <bgColor indexed="64"/>
      </patternFill>
    </fill>
    <fill>
      <patternFill patternType="solid">
        <fgColor rgb="FF0021E4"/>
        <bgColor indexed="64"/>
      </patternFill>
    </fill>
    <fill>
      <patternFill patternType="solid">
        <fgColor rgb="FF0021E5"/>
        <bgColor indexed="64"/>
      </patternFill>
    </fill>
    <fill>
      <patternFill patternType="solid">
        <fgColor rgb="FF0021E6"/>
        <bgColor indexed="64"/>
      </patternFill>
    </fill>
    <fill>
      <patternFill patternType="solid">
        <fgColor rgb="FF0021E7"/>
        <bgColor indexed="64"/>
      </patternFill>
    </fill>
    <fill>
      <patternFill patternType="solid">
        <fgColor rgb="FF0021E8"/>
        <bgColor indexed="64"/>
      </patternFill>
    </fill>
    <fill>
      <patternFill patternType="solid">
        <fgColor rgb="FF0021E9"/>
        <bgColor indexed="64"/>
      </patternFill>
    </fill>
    <fill>
      <patternFill patternType="solid">
        <fgColor rgb="FF0021EA"/>
        <bgColor indexed="64"/>
      </patternFill>
    </fill>
    <fill>
      <patternFill patternType="solid">
        <fgColor rgb="FF0021EB"/>
        <bgColor indexed="64"/>
      </patternFill>
    </fill>
    <fill>
      <patternFill patternType="solid">
        <fgColor rgb="FF0021EC"/>
        <bgColor indexed="64"/>
      </patternFill>
    </fill>
    <fill>
      <patternFill patternType="solid">
        <fgColor rgb="FF0021ED"/>
        <bgColor indexed="64"/>
      </patternFill>
    </fill>
    <fill>
      <patternFill patternType="solid">
        <fgColor rgb="FF0021EE"/>
        <bgColor indexed="64"/>
      </patternFill>
    </fill>
    <fill>
      <patternFill patternType="solid">
        <fgColor rgb="FF0021EF"/>
        <bgColor indexed="64"/>
      </patternFill>
    </fill>
    <fill>
      <patternFill patternType="solid">
        <fgColor rgb="FF0021F0"/>
        <bgColor indexed="64"/>
      </patternFill>
    </fill>
    <fill>
      <patternFill patternType="solid">
        <fgColor rgb="FF0021F1"/>
        <bgColor indexed="64"/>
      </patternFill>
    </fill>
    <fill>
      <patternFill patternType="solid">
        <fgColor rgb="FF0021F2"/>
        <bgColor indexed="64"/>
      </patternFill>
    </fill>
    <fill>
      <patternFill patternType="solid">
        <fgColor rgb="FF0021F3"/>
        <bgColor indexed="64"/>
      </patternFill>
    </fill>
    <fill>
      <patternFill patternType="solid">
        <fgColor rgb="FF0021F4"/>
        <bgColor indexed="64"/>
      </patternFill>
    </fill>
    <fill>
      <patternFill patternType="solid">
        <fgColor rgb="FF0021F5"/>
        <bgColor indexed="64"/>
      </patternFill>
    </fill>
    <fill>
      <patternFill patternType="solid">
        <fgColor rgb="FF0021F6"/>
        <bgColor indexed="64"/>
      </patternFill>
    </fill>
    <fill>
      <patternFill patternType="solid">
        <fgColor rgb="FF0021F7"/>
        <bgColor indexed="64"/>
      </patternFill>
    </fill>
    <fill>
      <patternFill patternType="solid">
        <fgColor rgb="FF0021F8"/>
        <bgColor indexed="64"/>
      </patternFill>
    </fill>
    <fill>
      <patternFill patternType="solid">
        <fgColor rgb="FF0021F9"/>
        <bgColor indexed="64"/>
      </patternFill>
    </fill>
    <fill>
      <patternFill patternType="solid">
        <fgColor rgb="FF0021FA"/>
        <bgColor indexed="64"/>
      </patternFill>
    </fill>
    <fill>
      <patternFill patternType="solid">
        <fgColor rgb="FF0021FB"/>
        <bgColor indexed="64"/>
      </patternFill>
    </fill>
    <fill>
      <patternFill patternType="solid">
        <fgColor rgb="FF0021FC"/>
        <bgColor indexed="64"/>
      </patternFill>
    </fill>
    <fill>
      <patternFill patternType="solid">
        <fgColor rgb="FF0021FD"/>
        <bgColor indexed="64"/>
      </patternFill>
    </fill>
    <fill>
      <patternFill patternType="solid">
        <fgColor rgb="FF0021FE"/>
        <bgColor indexed="64"/>
      </patternFill>
    </fill>
    <fill>
      <patternFill patternType="solid">
        <fgColor rgb="FF0021FF"/>
        <bgColor indexed="64"/>
      </patternFill>
    </fill>
    <fill>
      <patternFill patternType="solid">
        <fgColor rgb="FF002200"/>
        <bgColor indexed="64"/>
      </patternFill>
    </fill>
    <fill>
      <patternFill patternType="solid">
        <fgColor rgb="FF002201"/>
        <bgColor indexed="64"/>
      </patternFill>
    </fill>
    <fill>
      <patternFill patternType="solid">
        <fgColor rgb="FF002202"/>
        <bgColor indexed="64"/>
      </patternFill>
    </fill>
    <fill>
      <patternFill patternType="solid">
        <fgColor rgb="FF002203"/>
        <bgColor indexed="64"/>
      </patternFill>
    </fill>
    <fill>
      <patternFill patternType="solid">
        <fgColor rgb="FF002204"/>
        <bgColor indexed="64"/>
      </patternFill>
    </fill>
    <fill>
      <patternFill patternType="solid">
        <fgColor rgb="FF002205"/>
        <bgColor indexed="64"/>
      </patternFill>
    </fill>
    <fill>
      <patternFill patternType="solid">
        <fgColor rgb="FF002206"/>
        <bgColor indexed="64"/>
      </patternFill>
    </fill>
    <fill>
      <patternFill patternType="solid">
        <fgColor rgb="FF002207"/>
        <bgColor indexed="64"/>
      </patternFill>
    </fill>
    <fill>
      <patternFill patternType="solid">
        <fgColor rgb="FF002208"/>
        <bgColor indexed="64"/>
      </patternFill>
    </fill>
    <fill>
      <patternFill patternType="solid">
        <fgColor rgb="FF002209"/>
        <bgColor indexed="64"/>
      </patternFill>
    </fill>
    <fill>
      <patternFill patternType="solid">
        <fgColor rgb="FF00220A"/>
        <bgColor indexed="64"/>
      </patternFill>
    </fill>
    <fill>
      <patternFill patternType="solid">
        <fgColor rgb="FF00220B"/>
        <bgColor indexed="64"/>
      </patternFill>
    </fill>
    <fill>
      <patternFill patternType="solid">
        <fgColor rgb="FF00220C"/>
        <bgColor indexed="64"/>
      </patternFill>
    </fill>
    <fill>
      <patternFill patternType="solid">
        <fgColor rgb="FF00220D"/>
        <bgColor indexed="64"/>
      </patternFill>
    </fill>
    <fill>
      <patternFill patternType="solid">
        <fgColor rgb="FF00220E"/>
        <bgColor indexed="64"/>
      </patternFill>
    </fill>
    <fill>
      <patternFill patternType="solid">
        <fgColor rgb="FF00220F"/>
        <bgColor indexed="64"/>
      </patternFill>
    </fill>
    <fill>
      <patternFill patternType="solid">
        <fgColor rgb="FF002210"/>
        <bgColor indexed="64"/>
      </patternFill>
    </fill>
    <fill>
      <patternFill patternType="solid">
        <fgColor rgb="FF002211"/>
        <bgColor indexed="64"/>
      </patternFill>
    </fill>
    <fill>
      <patternFill patternType="solid">
        <fgColor rgb="FF002212"/>
        <bgColor indexed="64"/>
      </patternFill>
    </fill>
    <fill>
      <patternFill patternType="solid">
        <fgColor rgb="FF002213"/>
        <bgColor indexed="64"/>
      </patternFill>
    </fill>
    <fill>
      <patternFill patternType="solid">
        <fgColor rgb="FF002214"/>
        <bgColor indexed="64"/>
      </patternFill>
    </fill>
    <fill>
      <patternFill patternType="solid">
        <fgColor rgb="FF002215"/>
        <bgColor indexed="64"/>
      </patternFill>
    </fill>
    <fill>
      <patternFill patternType="solid">
        <fgColor rgb="FF002216"/>
        <bgColor indexed="64"/>
      </patternFill>
    </fill>
    <fill>
      <patternFill patternType="solid">
        <fgColor rgb="FF002217"/>
        <bgColor indexed="64"/>
      </patternFill>
    </fill>
    <fill>
      <patternFill patternType="solid">
        <fgColor rgb="FF002218"/>
        <bgColor indexed="64"/>
      </patternFill>
    </fill>
    <fill>
      <patternFill patternType="solid">
        <fgColor rgb="FF002219"/>
        <bgColor indexed="64"/>
      </patternFill>
    </fill>
    <fill>
      <patternFill patternType="solid">
        <fgColor rgb="FF00221A"/>
        <bgColor indexed="64"/>
      </patternFill>
    </fill>
    <fill>
      <patternFill patternType="solid">
        <fgColor rgb="FF00221B"/>
        <bgColor indexed="64"/>
      </patternFill>
    </fill>
    <fill>
      <patternFill patternType="solid">
        <fgColor rgb="FF00221C"/>
        <bgColor indexed="64"/>
      </patternFill>
    </fill>
    <fill>
      <patternFill patternType="solid">
        <fgColor rgb="FF00221D"/>
        <bgColor indexed="64"/>
      </patternFill>
    </fill>
    <fill>
      <patternFill patternType="solid">
        <fgColor rgb="FF00221E"/>
        <bgColor indexed="64"/>
      </patternFill>
    </fill>
    <fill>
      <patternFill patternType="solid">
        <fgColor rgb="FF00221F"/>
        <bgColor indexed="64"/>
      </patternFill>
    </fill>
    <fill>
      <patternFill patternType="solid">
        <fgColor rgb="FF002220"/>
        <bgColor indexed="64"/>
      </patternFill>
    </fill>
    <fill>
      <patternFill patternType="solid">
        <fgColor rgb="FF002221"/>
        <bgColor indexed="64"/>
      </patternFill>
    </fill>
    <fill>
      <patternFill patternType="solid">
        <fgColor rgb="FF002222"/>
        <bgColor indexed="64"/>
      </patternFill>
    </fill>
    <fill>
      <patternFill patternType="solid">
        <fgColor rgb="FF002223"/>
        <bgColor indexed="64"/>
      </patternFill>
    </fill>
    <fill>
      <patternFill patternType="solid">
        <fgColor rgb="FF002224"/>
        <bgColor indexed="64"/>
      </patternFill>
    </fill>
    <fill>
      <patternFill patternType="solid">
        <fgColor rgb="FF002225"/>
        <bgColor indexed="64"/>
      </patternFill>
    </fill>
    <fill>
      <patternFill patternType="solid">
        <fgColor rgb="FF002226"/>
        <bgColor indexed="64"/>
      </patternFill>
    </fill>
    <fill>
      <patternFill patternType="solid">
        <fgColor rgb="FF002227"/>
        <bgColor indexed="64"/>
      </patternFill>
    </fill>
    <fill>
      <patternFill patternType="solid">
        <fgColor rgb="FF002228"/>
        <bgColor indexed="64"/>
      </patternFill>
    </fill>
    <fill>
      <patternFill patternType="solid">
        <fgColor rgb="FF002229"/>
        <bgColor indexed="64"/>
      </patternFill>
    </fill>
    <fill>
      <patternFill patternType="solid">
        <fgColor rgb="FF00222A"/>
        <bgColor indexed="64"/>
      </patternFill>
    </fill>
    <fill>
      <patternFill patternType="solid">
        <fgColor rgb="FF00222B"/>
        <bgColor indexed="64"/>
      </patternFill>
    </fill>
    <fill>
      <patternFill patternType="solid">
        <fgColor rgb="FF00222C"/>
        <bgColor indexed="64"/>
      </patternFill>
    </fill>
    <fill>
      <patternFill patternType="solid">
        <fgColor rgb="FF00222D"/>
        <bgColor indexed="64"/>
      </patternFill>
    </fill>
    <fill>
      <patternFill patternType="solid">
        <fgColor rgb="FF00222E"/>
        <bgColor indexed="64"/>
      </patternFill>
    </fill>
    <fill>
      <patternFill patternType="solid">
        <fgColor rgb="FF00222F"/>
        <bgColor indexed="64"/>
      </patternFill>
    </fill>
    <fill>
      <patternFill patternType="solid">
        <fgColor rgb="FF002230"/>
        <bgColor indexed="64"/>
      </patternFill>
    </fill>
    <fill>
      <patternFill patternType="solid">
        <fgColor rgb="FF002231"/>
        <bgColor indexed="64"/>
      </patternFill>
    </fill>
    <fill>
      <patternFill patternType="solid">
        <fgColor rgb="FF002232"/>
        <bgColor indexed="64"/>
      </patternFill>
    </fill>
    <fill>
      <patternFill patternType="solid">
        <fgColor rgb="FF002233"/>
        <bgColor indexed="64"/>
      </patternFill>
    </fill>
    <fill>
      <patternFill patternType="solid">
        <fgColor rgb="FF002234"/>
        <bgColor indexed="64"/>
      </patternFill>
    </fill>
    <fill>
      <patternFill patternType="solid">
        <fgColor rgb="FF002235"/>
        <bgColor indexed="64"/>
      </patternFill>
    </fill>
    <fill>
      <patternFill patternType="solid">
        <fgColor rgb="FF002236"/>
        <bgColor indexed="64"/>
      </patternFill>
    </fill>
    <fill>
      <patternFill patternType="solid">
        <fgColor rgb="FF002237"/>
        <bgColor indexed="64"/>
      </patternFill>
    </fill>
    <fill>
      <patternFill patternType="solid">
        <fgColor rgb="FF002238"/>
        <bgColor indexed="64"/>
      </patternFill>
    </fill>
    <fill>
      <patternFill patternType="solid">
        <fgColor rgb="FF002239"/>
        <bgColor indexed="64"/>
      </patternFill>
    </fill>
    <fill>
      <patternFill patternType="solid">
        <fgColor rgb="FF00223A"/>
        <bgColor indexed="64"/>
      </patternFill>
    </fill>
    <fill>
      <patternFill patternType="solid">
        <fgColor rgb="FF00223B"/>
        <bgColor indexed="64"/>
      </patternFill>
    </fill>
    <fill>
      <patternFill patternType="solid">
        <fgColor rgb="FF00223C"/>
        <bgColor indexed="64"/>
      </patternFill>
    </fill>
    <fill>
      <patternFill patternType="solid">
        <fgColor rgb="FF00223D"/>
        <bgColor indexed="64"/>
      </patternFill>
    </fill>
    <fill>
      <patternFill patternType="solid">
        <fgColor rgb="FF00223E"/>
        <bgColor indexed="64"/>
      </patternFill>
    </fill>
    <fill>
      <patternFill patternType="solid">
        <fgColor rgb="FF00223F"/>
        <bgColor indexed="64"/>
      </patternFill>
    </fill>
    <fill>
      <patternFill patternType="solid">
        <fgColor rgb="FF002240"/>
        <bgColor indexed="64"/>
      </patternFill>
    </fill>
    <fill>
      <patternFill patternType="solid">
        <fgColor rgb="FF002241"/>
        <bgColor indexed="64"/>
      </patternFill>
    </fill>
    <fill>
      <patternFill patternType="solid">
        <fgColor rgb="FF002242"/>
        <bgColor indexed="64"/>
      </patternFill>
    </fill>
    <fill>
      <patternFill patternType="solid">
        <fgColor rgb="FF002243"/>
        <bgColor indexed="64"/>
      </patternFill>
    </fill>
    <fill>
      <patternFill patternType="solid">
        <fgColor rgb="FF002244"/>
        <bgColor indexed="64"/>
      </patternFill>
    </fill>
    <fill>
      <patternFill patternType="solid">
        <fgColor rgb="FF002245"/>
        <bgColor indexed="64"/>
      </patternFill>
    </fill>
    <fill>
      <patternFill patternType="solid">
        <fgColor rgb="FF002246"/>
        <bgColor indexed="64"/>
      </patternFill>
    </fill>
    <fill>
      <patternFill patternType="solid">
        <fgColor rgb="FF002247"/>
        <bgColor indexed="64"/>
      </patternFill>
    </fill>
    <fill>
      <patternFill patternType="solid">
        <fgColor rgb="FF002248"/>
        <bgColor indexed="64"/>
      </patternFill>
    </fill>
    <fill>
      <patternFill patternType="solid">
        <fgColor rgb="FF002249"/>
        <bgColor indexed="64"/>
      </patternFill>
    </fill>
    <fill>
      <patternFill patternType="solid">
        <fgColor rgb="FF00224A"/>
        <bgColor indexed="64"/>
      </patternFill>
    </fill>
    <fill>
      <patternFill patternType="solid">
        <fgColor rgb="FF00224B"/>
        <bgColor indexed="64"/>
      </patternFill>
    </fill>
    <fill>
      <patternFill patternType="solid">
        <fgColor rgb="FF00224C"/>
        <bgColor indexed="64"/>
      </patternFill>
    </fill>
    <fill>
      <patternFill patternType="solid">
        <fgColor rgb="FF00224D"/>
        <bgColor indexed="64"/>
      </patternFill>
    </fill>
    <fill>
      <patternFill patternType="solid">
        <fgColor rgb="FF00224E"/>
        <bgColor indexed="64"/>
      </patternFill>
    </fill>
    <fill>
      <patternFill patternType="solid">
        <fgColor rgb="FF00224F"/>
        <bgColor indexed="64"/>
      </patternFill>
    </fill>
    <fill>
      <patternFill patternType="solid">
        <fgColor rgb="FF002250"/>
        <bgColor indexed="64"/>
      </patternFill>
    </fill>
    <fill>
      <patternFill patternType="solid">
        <fgColor rgb="FF002251"/>
        <bgColor indexed="64"/>
      </patternFill>
    </fill>
    <fill>
      <patternFill patternType="solid">
        <fgColor rgb="FF002252"/>
        <bgColor indexed="64"/>
      </patternFill>
    </fill>
    <fill>
      <patternFill patternType="solid">
        <fgColor rgb="FF002253"/>
        <bgColor indexed="64"/>
      </patternFill>
    </fill>
    <fill>
      <patternFill patternType="solid">
        <fgColor rgb="FF002254"/>
        <bgColor indexed="64"/>
      </patternFill>
    </fill>
    <fill>
      <patternFill patternType="solid">
        <fgColor rgb="FF002255"/>
        <bgColor indexed="64"/>
      </patternFill>
    </fill>
    <fill>
      <patternFill patternType="solid">
        <fgColor rgb="FF002256"/>
        <bgColor indexed="64"/>
      </patternFill>
    </fill>
    <fill>
      <patternFill patternType="solid">
        <fgColor rgb="FF002257"/>
        <bgColor indexed="64"/>
      </patternFill>
    </fill>
    <fill>
      <patternFill patternType="solid">
        <fgColor rgb="FF002258"/>
        <bgColor indexed="64"/>
      </patternFill>
    </fill>
    <fill>
      <patternFill patternType="solid">
        <fgColor rgb="FF002259"/>
        <bgColor indexed="64"/>
      </patternFill>
    </fill>
    <fill>
      <patternFill patternType="solid">
        <fgColor rgb="FF00225A"/>
        <bgColor indexed="64"/>
      </patternFill>
    </fill>
    <fill>
      <patternFill patternType="solid">
        <fgColor rgb="FF00225B"/>
        <bgColor indexed="64"/>
      </patternFill>
    </fill>
    <fill>
      <patternFill patternType="solid">
        <fgColor rgb="FF00225C"/>
        <bgColor indexed="64"/>
      </patternFill>
    </fill>
    <fill>
      <patternFill patternType="solid">
        <fgColor rgb="FF00225D"/>
        <bgColor indexed="64"/>
      </patternFill>
    </fill>
    <fill>
      <patternFill patternType="solid">
        <fgColor rgb="FF00225E"/>
        <bgColor indexed="64"/>
      </patternFill>
    </fill>
    <fill>
      <patternFill patternType="solid">
        <fgColor rgb="FF00225F"/>
        <bgColor indexed="64"/>
      </patternFill>
    </fill>
    <fill>
      <patternFill patternType="solid">
        <fgColor rgb="FF002260"/>
        <bgColor indexed="64"/>
      </patternFill>
    </fill>
    <fill>
      <patternFill patternType="solid">
        <fgColor rgb="FF002261"/>
        <bgColor indexed="64"/>
      </patternFill>
    </fill>
    <fill>
      <patternFill patternType="solid">
        <fgColor rgb="FF002262"/>
        <bgColor indexed="64"/>
      </patternFill>
    </fill>
    <fill>
      <patternFill patternType="solid">
        <fgColor rgb="FF002263"/>
        <bgColor indexed="64"/>
      </patternFill>
    </fill>
    <fill>
      <patternFill patternType="solid">
        <fgColor rgb="FF002264"/>
        <bgColor indexed="64"/>
      </patternFill>
    </fill>
    <fill>
      <patternFill patternType="solid">
        <fgColor rgb="FF002265"/>
        <bgColor indexed="64"/>
      </patternFill>
    </fill>
    <fill>
      <patternFill patternType="solid">
        <fgColor rgb="FF002266"/>
        <bgColor indexed="64"/>
      </patternFill>
    </fill>
    <fill>
      <patternFill patternType="solid">
        <fgColor rgb="FF002267"/>
        <bgColor indexed="64"/>
      </patternFill>
    </fill>
    <fill>
      <patternFill patternType="solid">
        <fgColor rgb="FF002268"/>
        <bgColor indexed="64"/>
      </patternFill>
    </fill>
    <fill>
      <patternFill patternType="solid">
        <fgColor rgb="FF002269"/>
        <bgColor indexed="64"/>
      </patternFill>
    </fill>
    <fill>
      <patternFill patternType="solid">
        <fgColor rgb="FF00226A"/>
        <bgColor indexed="64"/>
      </patternFill>
    </fill>
    <fill>
      <patternFill patternType="solid">
        <fgColor rgb="FF00226B"/>
        <bgColor indexed="64"/>
      </patternFill>
    </fill>
    <fill>
      <patternFill patternType="solid">
        <fgColor rgb="FF00226C"/>
        <bgColor indexed="64"/>
      </patternFill>
    </fill>
    <fill>
      <patternFill patternType="solid">
        <fgColor rgb="FF00226D"/>
        <bgColor indexed="64"/>
      </patternFill>
    </fill>
    <fill>
      <patternFill patternType="solid">
        <fgColor rgb="FF00226E"/>
        <bgColor indexed="64"/>
      </patternFill>
    </fill>
    <fill>
      <patternFill patternType="solid">
        <fgColor rgb="FF00226F"/>
        <bgColor indexed="64"/>
      </patternFill>
    </fill>
    <fill>
      <patternFill patternType="solid">
        <fgColor rgb="FF002270"/>
        <bgColor indexed="64"/>
      </patternFill>
    </fill>
    <fill>
      <patternFill patternType="solid">
        <fgColor rgb="FF002271"/>
        <bgColor indexed="64"/>
      </patternFill>
    </fill>
    <fill>
      <patternFill patternType="solid">
        <fgColor rgb="FF002272"/>
        <bgColor indexed="64"/>
      </patternFill>
    </fill>
    <fill>
      <patternFill patternType="solid">
        <fgColor rgb="FF002273"/>
        <bgColor indexed="64"/>
      </patternFill>
    </fill>
    <fill>
      <patternFill patternType="solid">
        <fgColor rgb="FF002274"/>
        <bgColor indexed="64"/>
      </patternFill>
    </fill>
    <fill>
      <patternFill patternType="solid">
        <fgColor rgb="FF002275"/>
        <bgColor indexed="64"/>
      </patternFill>
    </fill>
    <fill>
      <patternFill patternType="solid">
        <fgColor rgb="FF002276"/>
        <bgColor indexed="64"/>
      </patternFill>
    </fill>
    <fill>
      <patternFill patternType="solid">
        <fgColor rgb="FF002277"/>
        <bgColor indexed="64"/>
      </patternFill>
    </fill>
    <fill>
      <patternFill patternType="solid">
        <fgColor rgb="FF002278"/>
        <bgColor indexed="64"/>
      </patternFill>
    </fill>
    <fill>
      <patternFill patternType="solid">
        <fgColor rgb="FF002279"/>
        <bgColor indexed="64"/>
      </patternFill>
    </fill>
    <fill>
      <patternFill patternType="solid">
        <fgColor rgb="FF00227A"/>
        <bgColor indexed="64"/>
      </patternFill>
    </fill>
    <fill>
      <patternFill patternType="solid">
        <fgColor rgb="FF00227B"/>
        <bgColor indexed="64"/>
      </patternFill>
    </fill>
    <fill>
      <patternFill patternType="solid">
        <fgColor rgb="FF00227C"/>
        <bgColor indexed="64"/>
      </patternFill>
    </fill>
    <fill>
      <patternFill patternType="solid">
        <fgColor rgb="FF00227D"/>
        <bgColor indexed="64"/>
      </patternFill>
    </fill>
    <fill>
      <patternFill patternType="solid">
        <fgColor rgb="FF00227E"/>
        <bgColor indexed="64"/>
      </patternFill>
    </fill>
    <fill>
      <patternFill patternType="solid">
        <fgColor rgb="FF00227F"/>
        <bgColor indexed="64"/>
      </patternFill>
    </fill>
    <fill>
      <patternFill patternType="solid">
        <fgColor rgb="FF002280"/>
        <bgColor indexed="64"/>
      </patternFill>
    </fill>
    <fill>
      <patternFill patternType="solid">
        <fgColor rgb="FF002281"/>
        <bgColor indexed="64"/>
      </patternFill>
    </fill>
    <fill>
      <patternFill patternType="solid">
        <fgColor rgb="FF002282"/>
        <bgColor indexed="64"/>
      </patternFill>
    </fill>
    <fill>
      <patternFill patternType="solid">
        <fgColor rgb="FF002283"/>
        <bgColor indexed="64"/>
      </patternFill>
    </fill>
    <fill>
      <patternFill patternType="solid">
        <fgColor rgb="FF002284"/>
        <bgColor indexed="64"/>
      </patternFill>
    </fill>
    <fill>
      <patternFill patternType="solid">
        <fgColor rgb="FF002285"/>
        <bgColor indexed="64"/>
      </patternFill>
    </fill>
    <fill>
      <patternFill patternType="solid">
        <fgColor rgb="FF002286"/>
        <bgColor indexed="64"/>
      </patternFill>
    </fill>
    <fill>
      <patternFill patternType="solid">
        <fgColor rgb="FF002287"/>
        <bgColor indexed="64"/>
      </patternFill>
    </fill>
    <fill>
      <patternFill patternType="solid">
        <fgColor rgb="FF002288"/>
        <bgColor indexed="64"/>
      </patternFill>
    </fill>
    <fill>
      <patternFill patternType="solid">
        <fgColor rgb="FF002289"/>
        <bgColor indexed="64"/>
      </patternFill>
    </fill>
    <fill>
      <patternFill patternType="solid">
        <fgColor rgb="FF00228A"/>
        <bgColor indexed="64"/>
      </patternFill>
    </fill>
    <fill>
      <patternFill patternType="solid">
        <fgColor rgb="FF00228B"/>
        <bgColor indexed="64"/>
      </patternFill>
    </fill>
    <fill>
      <patternFill patternType="solid">
        <fgColor rgb="FF00228C"/>
        <bgColor indexed="64"/>
      </patternFill>
    </fill>
    <fill>
      <patternFill patternType="solid">
        <fgColor rgb="FF00228D"/>
        <bgColor indexed="64"/>
      </patternFill>
    </fill>
    <fill>
      <patternFill patternType="solid">
        <fgColor rgb="FF00228E"/>
        <bgColor indexed="64"/>
      </patternFill>
    </fill>
    <fill>
      <patternFill patternType="solid">
        <fgColor rgb="FF00228F"/>
        <bgColor indexed="64"/>
      </patternFill>
    </fill>
    <fill>
      <patternFill patternType="solid">
        <fgColor rgb="FF002290"/>
        <bgColor indexed="64"/>
      </patternFill>
    </fill>
    <fill>
      <patternFill patternType="solid">
        <fgColor rgb="FF002291"/>
        <bgColor indexed="64"/>
      </patternFill>
    </fill>
    <fill>
      <patternFill patternType="solid">
        <fgColor rgb="FF002292"/>
        <bgColor indexed="64"/>
      </patternFill>
    </fill>
    <fill>
      <patternFill patternType="solid">
        <fgColor rgb="FF002293"/>
        <bgColor indexed="64"/>
      </patternFill>
    </fill>
    <fill>
      <patternFill patternType="solid">
        <fgColor rgb="FF002294"/>
        <bgColor indexed="64"/>
      </patternFill>
    </fill>
    <fill>
      <patternFill patternType="solid">
        <fgColor rgb="FF002295"/>
        <bgColor indexed="64"/>
      </patternFill>
    </fill>
    <fill>
      <patternFill patternType="solid">
        <fgColor rgb="FF002296"/>
        <bgColor indexed="64"/>
      </patternFill>
    </fill>
    <fill>
      <patternFill patternType="solid">
        <fgColor rgb="FF002297"/>
        <bgColor indexed="64"/>
      </patternFill>
    </fill>
    <fill>
      <patternFill patternType="solid">
        <fgColor rgb="FF002298"/>
        <bgColor indexed="64"/>
      </patternFill>
    </fill>
    <fill>
      <patternFill patternType="solid">
        <fgColor rgb="FF002299"/>
        <bgColor indexed="64"/>
      </patternFill>
    </fill>
    <fill>
      <patternFill patternType="solid">
        <fgColor rgb="FF00229A"/>
        <bgColor indexed="64"/>
      </patternFill>
    </fill>
    <fill>
      <patternFill patternType="solid">
        <fgColor rgb="FF00229B"/>
        <bgColor indexed="64"/>
      </patternFill>
    </fill>
    <fill>
      <patternFill patternType="solid">
        <fgColor rgb="FF00229C"/>
        <bgColor indexed="64"/>
      </patternFill>
    </fill>
    <fill>
      <patternFill patternType="solid">
        <fgColor rgb="FF00229D"/>
        <bgColor indexed="64"/>
      </patternFill>
    </fill>
    <fill>
      <patternFill patternType="solid">
        <fgColor rgb="FF00229E"/>
        <bgColor indexed="64"/>
      </patternFill>
    </fill>
    <fill>
      <patternFill patternType="solid">
        <fgColor rgb="FF00229F"/>
        <bgColor indexed="64"/>
      </patternFill>
    </fill>
    <fill>
      <patternFill patternType="solid">
        <fgColor rgb="FF0022A0"/>
        <bgColor indexed="64"/>
      </patternFill>
    </fill>
    <fill>
      <patternFill patternType="solid">
        <fgColor rgb="FF0022A1"/>
        <bgColor indexed="64"/>
      </patternFill>
    </fill>
    <fill>
      <patternFill patternType="solid">
        <fgColor rgb="FF0022A2"/>
        <bgColor indexed="64"/>
      </patternFill>
    </fill>
    <fill>
      <patternFill patternType="solid">
        <fgColor rgb="FF0022A3"/>
        <bgColor indexed="64"/>
      </patternFill>
    </fill>
    <fill>
      <patternFill patternType="solid">
        <fgColor rgb="FF0022A4"/>
        <bgColor indexed="64"/>
      </patternFill>
    </fill>
    <fill>
      <patternFill patternType="solid">
        <fgColor rgb="FF0022A5"/>
        <bgColor indexed="64"/>
      </patternFill>
    </fill>
    <fill>
      <patternFill patternType="solid">
        <fgColor rgb="FF0022A6"/>
        <bgColor indexed="64"/>
      </patternFill>
    </fill>
    <fill>
      <patternFill patternType="solid">
        <fgColor rgb="FF0022A7"/>
        <bgColor indexed="64"/>
      </patternFill>
    </fill>
    <fill>
      <patternFill patternType="solid">
        <fgColor rgb="FF0022A8"/>
        <bgColor indexed="64"/>
      </patternFill>
    </fill>
    <fill>
      <patternFill patternType="solid">
        <fgColor rgb="FF0022A9"/>
        <bgColor indexed="64"/>
      </patternFill>
    </fill>
    <fill>
      <patternFill patternType="solid">
        <fgColor rgb="FF0022AA"/>
        <bgColor indexed="64"/>
      </patternFill>
    </fill>
    <fill>
      <patternFill patternType="solid">
        <fgColor rgb="FF0022AB"/>
        <bgColor indexed="64"/>
      </patternFill>
    </fill>
    <fill>
      <patternFill patternType="solid">
        <fgColor rgb="FF0022AC"/>
        <bgColor indexed="64"/>
      </patternFill>
    </fill>
    <fill>
      <patternFill patternType="solid">
        <fgColor rgb="FF0022AD"/>
        <bgColor indexed="64"/>
      </patternFill>
    </fill>
    <fill>
      <patternFill patternType="solid">
        <fgColor rgb="FF0022AE"/>
        <bgColor indexed="64"/>
      </patternFill>
    </fill>
    <fill>
      <patternFill patternType="solid">
        <fgColor rgb="FF0022AF"/>
        <bgColor indexed="64"/>
      </patternFill>
    </fill>
    <fill>
      <patternFill patternType="solid">
        <fgColor rgb="FF0022B0"/>
        <bgColor indexed="64"/>
      </patternFill>
    </fill>
    <fill>
      <patternFill patternType="solid">
        <fgColor rgb="FF0022B1"/>
        <bgColor indexed="64"/>
      </patternFill>
    </fill>
    <fill>
      <patternFill patternType="solid">
        <fgColor rgb="FF0022B2"/>
        <bgColor indexed="64"/>
      </patternFill>
    </fill>
    <fill>
      <patternFill patternType="solid">
        <fgColor rgb="FF0022B3"/>
        <bgColor indexed="64"/>
      </patternFill>
    </fill>
    <fill>
      <patternFill patternType="solid">
        <fgColor rgb="FF0022B4"/>
        <bgColor indexed="64"/>
      </patternFill>
    </fill>
    <fill>
      <patternFill patternType="solid">
        <fgColor rgb="FF0022B5"/>
        <bgColor indexed="64"/>
      </patternFill>
    </fill>
    <fill>
      <patternFill patternType="solid">
        <fgColor rgb="FF0022B6"/>
        <bgColor indexed="64"/>
      </patternFill>
    </fill>
    <fill>
      <patternFill patternType="solid">
        <fgColor rgb="FF0022B7"/>
        <bgColor indexed="64"/>
      </patternFill>
    </fill>
    <fill>
      <patternFill patternType="solid">
        <fgColor rgb="FF0022B8"/>
        <bgColor indexed="64"/>
      </patternFill>
    </fill>
    <fill>
      <patternFill patternType="solid">
        <fgColor rgb="FF0022B9"/>
        <bgColor indexed="64"/>
      </patternFill>
    </fill>
    <fill>
      <patternFill patternType="solid">
        <fgColor rgb="FF0022BA"/>
        <bgColor indexed="64"/>
      </patternFill>
    </fill>
    <fill>
      <patternFill patternType="solid">
        <fgColor rgb="FF0022BB"/>
        <bgColor indexed="64"/>
      </patternFill>
    </fill>
    <fill>
      <patternFill patternType="solid">
        <fgColor rgb="FF0022BC"/>
        <bgColor indexed="64"/>
      </patternFill>
    </fill>
    <fill>
      <patternFill patternType="solid">
        <fgColor rgb="FF0022BD"/>
        <bgColor indexed="64"/>
      </patternFill>
    </fill>
    <fill>
      <patternFill patternType="solid">
        <fgColor rgb="FF0022BE"/>
        <bgColor indexed="64"/>
      </patternFill>
    </fill>
    <fill>
      <patternFill patternType="solid">
        <fgColor rgb="FF0022BF"/>
        <bgColor indexed="64"/>
      </patternFill>
    </fill>
    <fill>
      <patternFill patternType="solid">
        <fgColor rgb="FF0022C0"/>
        <bgColor indexed="64"/>
      </patternFill>
    </fill>
    <fill>
      <patternFill patternType="solid">
        <fgColor rgb="FF0022C1"/>
        <bgColor indexed="64"/>
      </patternFill>
    </fill>
    <fill>
      <patternFill patternType="solid">
        <fgColor rgb="FF0022C2"/>
        <bgColor indexed="64"/>
      </patternFill>
    </fill>
    <fill>
      <patternFill patternType="solid">
        <fgColor rgb="FF0022C3"/>
        <bgColor indexed="64"/>
      </patternFill>
    </fill>
    <fill>
      <patternFill patternType="solid">
        <fgColor rgb="FF0022C4"/>
        <bgColor indexed="64"/>
      </patternFill>
    </fill>
    <fill>
      <patternFill patternType="solid">
        <fgColor rgb="FF0022C5"/>
        <bgColor indexed="64"/>
      </patternFill>
    </fill>
    <fill>
      <patternFill patternType="solid">
        <fgColor rgb="FF0022C6"/>
        <bgColor indexed="64"/>
      </patternFill>
    </fill>
    <fill>
      <patternFill patternType="solid">
        <fgColor rgb="FF0022C7"/>
        <bgColor indexed="64"/>
      </patternFill>
    </fill>
    <fill>
      <patternFill patternType="solid">
        <fgColor rgb="FF0022C8"/>
        <bgColor indexed="64"/>
      </patternFill>
    </fill>
    <fill>
      <patternFill patternType="solid">
        <fgColor rgb="FF0022C9"/>
        <bgColor indexed="64"/>
      </patternFill>
    </fill>
    <fill>
      <patternFill patternType="solid">
        <fgColor rgb="FF0022CA"/>
        <bgColor indexed="64"/>
      </patternFill>
    </fill>
    <fill>
      <patternFill patternType="solid">
        <fgColor rgb="FF0022CB"/>
        <bgColor indexed="64"/>
      </patternFill>
    </fill>
    <fill>
      <patternFill patternType="solid">
        <fgColor rgb="FF0022CC"/>
        <bgColor indexed="64"/>
      </patternFill>
    </fill>
    <fill>
      <patternFill patternType="solid">
        <fgColor rgb="FF0022CD"/>
        <bgColor indexed="64"/>
      </patternFill>
    </fill>
    <fill>
      <patternFill patternType="solid">
        <fgColor rgb="FF0022CE"/>
        <bgColor indexed="64"/>
      </patternFill>
    </fill>
    <fill>
      <patternFill patternType="solid">
        <fgColor rgb="FF0022CF"/>
        <bgColor indexed="64"/>
      </patternFill>
    </fill>
    <fill>
      <patternFill patternType="solid">
        <fgColor rgb="FF0022D0"/>
        <bgColor indexed="64"/>
      </patternFill>
    </fill>
    <fill>
      <patternFill patternType="solid">
        <fgColor rgb="FF0022D1"/>
        <bgColor indexed="64"/>
      </patternFill>
    </fill>
    <fill>
      <patternFill patternType="solid">
        <fgColor rgb="FF0022D2"/>
        <bgColor indexed="64"/>
      </patternFill>
    </fill>
    <fill>
      <patternFill patternType="solid">
        <fgColor rgb="FF0022D3"/>
        <bgColor indexed="64"/>
      </patternFill>
    </fill>
    <fill>
      <patternFill patternType="solid">
        <fgColor rgb="FF0022D4"/>
        <bgColor indexed="64"/>
      </patternFill>
    </fill>
    <fill>
      <patternFill patternType="solid">
        <fgColor rgb="FF0022D5"/>
        <bgColor indexed="64"/>
      </patternFill>
    </fill>
    <fill>
      <patternFill patternType="solid">
        <fgColor rgb="FF0022D6"/>
        <bgColor indexed="64"/>
      </patternFill>
    </fill>
    <fill>
      <patternFill patternType="solid">
        <fgColor rgb="FF0022D7"/>
        <bgColor indexed="64"/>
      </patternFill>
    </fill>
    <fill>
      <patternFill patternType="solid">
        <fgColor rgb="FF0022D8"/>
        <bgColor indexed="64"/>
      </patternFill>
    </fill>
    <fill>
      <patternFill patternType="solid">
        <fgColor rgb="FF0022D9"/>
        <bgColor indexed="64"/>
      </patternFill>
    </fill>
    <fill>
      <patternFill patternType="solid">
        <fgColor rgb="FF0022DA"/>
        <bgColor indexed="64"/>
      </patternFill>
    </fill>
    <fill>
      <patternFill patternType="solid">
        <fgColor rgb="FF0022DB"/>
        <bgColor indexed="64"/>
      </patternFill>
    </fill>
    <fill>
      <patternFill patternType="solid">
        <fgColor rgb="FF0022DC"/>
        <bgColor indexed="64"/>
      </patternFill>
    </fill>
    <fill>
      <patternFill patternType="solid">
        <fgColor rgb="FF0022DD"/>
        <bgColor indexed="64"/>
      </patternFill>
    </fill>
    <fill>
      <patternFill patternType="solid">
        <fgColor rgb="FF0022DE"/>
        <bgColor indexed="64"/>
      </patternFill>
    </fill>
    <fill>
      <patternFill patternType="solid">
        <fgColor rgb="FF0022DF"/>
        <bgColor indexed="64"/>
      </patternFill>
    </fill>
    <fill>
      <patternFill patternType="solid">
        <fgColor rgb="FF0022E0"/>
        <bgColor indexed="64"/>
      </patternFill>
    </fill>
    <fill>
      <patternFill patternType="solid">
        <fgColor rgb="FF0022E1"/>
        <bgColor indexed="64"/>
      </patternFill>
    </fill>
    <fill>
      <patternFill patternType="solid">
        <fgColor rgb="FF0022E2"/>
        <bgColor indexed="64"/>
      </patternFill>
    </fill>
    <fill>
      <patternFill patternType="solid">
        <fgColor rgb="FF0022E3"/>
        <bgColor indexed="64"/>
      </patternFill>
    </fill>
    <fill>
      <patternFill patternType="solid">
        <fgColor rgb="FF0022E4"/>
        <bgColor indexed="64"/>
      </patternFill>
    </fill>
    <fill>
      <patternFill patternType="solid">
        <fgColor rgb="FF0022E5"/>
        <bgColor indexed="64"/>
      </patternFill>
    </fill>
    <fill>
      <patternFill patternType="solid">
        <fgColor rgb="FF0022E6"/>
        <bgColor indexed="64"/>
      </patternFill>
    </fill>
    <fill>
      <patternFill patternType="solid">
        <fgColor rgb="FF0022E7"/>
        <bgColor indexed="64"/>
      </patternFill>
    </fill>
    <fill>
      <patternFill patternType="solid">
        <fgColor rgb="FF0022E8"/>
        <bgColor indexed="64"/>
      </patternFill>
    </fill>
    <fill>
      <patternFill patternType="solid">
        <fgColor rgb="FF0022E9"/>
        <bgColor indexed="64"/>
      </patternFill>
    </fill>
    <fill>
      <patternFill patternType="solid">
        <fgColor rgb="FF0022EA"/>
        <bgColor indexed="64"/>
      </patternFill>
    </fill>
    <fill>
      <patternFill patternType="solid">
        <fgColor rgb="FF0022EB"/>
        <bgColor indexed="64"/>
      </patternFill>
    </fill>
    <fill>
      <patternFill patternType="solid">
        <fgColor rgb="FF0022EC"/>
        <bgColor indexed="64"/>
      </patternFill>
    </fill>
    <fill>
      <patternFill patternType="solid">
        <fgColor rgb="FF0022ED"/>
        <bgColor indexed="64"/>
      </patternFill>
    </fill>
    <fill>
      <patternFill patternType="solid">
        <fgColor rgb="FF0022EE"/>
        <bgColor indexed="64"/>
      </patternFill>
    </fill>
    <fill>
      <patternFill patternType="solid">
        <fgColor rgb="FF0022EF"/>
        <bgColor indexed="64"/>
      </patternFill>
    </fill>
    <fill>
      <patternFill patternType="solid">
        <fgColor rgb="FF0022F0"/>
        <bgColor indexed="64"/>
      </patternFill>
    </fill>
    <fill>
      <patternFill patternType="solid">
        <fgColor rgb="FF0022F1"/>
        <bgColor indexed="64"/>
      </patternFill>
    </fill>
    <fill>
      <patternFill patternType="solid">
        <fgColor rgb="FF0022F2"/>
        <bgColor indexed="64"/>
      </patternFill>
    </fill>
    <fill>
      <patternFill patternType="solid">
        <fgColor rgb="FF0022F3"/>
        <bgColor indexed="64"/>
      </patternFill>
    </fill>
    <fill>
      <patternFill patternType="solid">
        <fgColor rgb="FF0022F4"/>
        <bgColor indexed="64"/>
      </patternFill>
    </fill>
    <fill>
      <patternFill patternType="solid">
        <fgColor rgb="FF0022F5"/>
        <bgColor indexed="64"/>
      </patternFill>
    </fill>
    <fill>
      <patternFill patternType="solid">
        <fgColor rgb="FF0022F6"/>
        <bgColor indexed="64"/>
      </patternFill>
    </fill>
    <fill>
      <patternFill patternType="solid">
        <fgColor rgb="FF0022F7"/>
        <bgColor indexed="64"/>
      </patternFill>
    </fill>
    <fill>
      <patternFill patternType="solid">
        <fgColor rgb="FF0022F8"/>
        <bgColor indexed="64"/>
      </patternFill>
    </fill>
    <fill>
      <patternFill patternType="solid">
        <fgColor rgb="FF0022F9"/>
        <bgColor indexed="64"/>
      </patternFill>
    </fill>
    <fill>
      <patternFill patternType="solid">
        <fgColor rgb="FF0022FA"/>
        <bgColor indexed="64"/>
      </patternFill>
    </fill>
    <fill>
      <patternFill patternType="solid">
        <fgColor rgb="FF0022FB"/>
        <bgColor indexed="64"/>
      </patternFill>
    </fill>
    <fill>
      <patternFill patternType="solid">
        <fgColor rgb="FF0022FC"/>
        <bgColor indexed="64"/>
      </patternFill>
    </fill>
    <fill>
      <patternFill patternType="solid">
        <fgColor rgb="FF0022FD"/>
        <bgColor indexed="64"/>
      </patternFill>
    </fill>
    <fill>
      <patternFill patternType="solid">
        <fgColor rgb="FF0022FE"/>
        <bgColor indexed="64"/>
      </patternFill>
    </fill>
    <fill>
      <patternFill patternType="solid">
        <fgColor rgb="FF0022FF"/>
        <bgColor indexed="64"/>
      </patternFill>
    </fill>
    <fill>
      <patternFill patternType="solid">
        <fgColor rgb="FF002300"/>
        <bgColor indexed="64"/>
      </patternFill>
    </fill>
    <fill>
      <patternFill patternType="solid">
        <fgColor rgb="FF002301"/>
        <bgColor indexed="64"/>
      </patternFill>
    </fill>
    <fill>
      <patternFill patternType="solid">
        <fgColor rgb="FF002302"/>
        <bgColor indexed="64"/>
      </patternFill>
    </fill>
    <fill>
      <patternFill patternType="solid">
        <fgColor rgb="FF002303"/>
        <bgColor indexed="64"/>
      </patternFill>
    </fill>
    <fill>
      <patternFill patternType="solid">
        <fgColor rgb="FF002304"/>
        <bgColor indexed="64"/>
      </patternFill>
    </fill>
    <fill>
      <patternFill patternType="solid">
        <fgColor rgb="FF002305"/>
        <bgColor indexed="64"/>
      </patternFill>
    </fill>
    <fill>
      <patternFill patternType="solid">
        <fgColor rgb="FF002306"/>
        <bgColor indexed="64"/>
      </patternFill>
    </fill>
    <fill>
      <patternFill patternType="solid">
        <fgColor rgb="FF002307"/>
        <bgColor indexed="64"/>
      </patternFill>
    </fill>
    <fill>
      <patternFill patternType="solid">
        <fgColor rgb="FF002308"/>
        <bgColor indexed="64"/>
      </patternFill>
    </fill>
    <fill>
      <patternFill patternType="solid">
        <fgColor rgb="FF002309"/>
        <bgColor indexed="64"/>
      </patternFill>
    </fill>
    <fill>
      <patternFill patternType="solid">
        <fgColor rgb="FF00230A"/>
        <bgColor indexed="64"/>
      </patternFill>
    </fill>
    <fill>
      <patternFill patternType="solid">
        <fgColor rgb="FF00230B"/>
        <bgColor indexed="64"/>
      </patternFill>
    </fill>
    <fill>
      <patternFill patternType="solid">
        <fgColor rgb="FF00230C"/>
        <bgColor indexed="64"/>
      </patternFill>
    </fill>
    <fill>
      <patternFill patternType="solid">
        <fgColor rgb="FF00230D"/>
        <bgColor indexed="64"/>
      </patternFill>
    </fill>
    <fill>
      <patternFill patternType="solid">
        <fgColor rgb="FF00230E"/>
        <bgColor indexed="64"/>
      </patternFill>
    </fill>
    <fill>
      <patternFill patternType="solid">
        <fgColor rgb="FF00230F"/>
        <bgColor indexed="64"/>
      </patternFill>
    </fill>
    <fill>
      <patternFill patternType="solid">
        <fgColor rgb="FF002310"/>
        <bgColor indexed="64"/>
      </patternFill>
    </fill>
    <fill>
      <patternFill patternType="solid">
        <fgColor rgb="FF002311"/>
        <bgColor indexed="64"/>
      </patternFill>
    </fill>
    <fill>
      <patternFill patternType="solid">
        <fgColor rgb="FF002312"/>
        <bgColor indexed="64"/>
      </patternFill>
    </fill>
    <fill>
      <patternFill patternType="solid">
        <fgColor rgb="FF002313"/>
        <bgColor indexed="64"/>
      </patternFill>
    </fill>
    <fill>
      <patternFill patternType="solid">
        <fgColor rgb="FF002314"/>
        <bgColor indexed="64"/>
      </patternFill>
    </fill>
    <fill>
      <patternFill patternType="solid">
        <fgColor rgb="FF002315"/>
        <bgColor indexed="64"/>
      </patternFill>
    </fill>
    <fill>
      <patternFill patternType="solid">
        <fgColor rgb="FF002316"/>
        <bgColor indexed="64"/>
      </patternFill>
    </fill>
    <fill>
      <patternFill patternType="solid">
        <fgColor rgb="FF002317"/>
        <bgColor indexed="64"/>
      </patternFill>
    </fill>
    <fill>
      <patternFill patternType="solid">
        <fgColor rgb="FF002318"/>
        <bgColor indexed="64"/>
      </patternFill>
    </fill>
    <fill>
      <patternFill patternType="solid">
        <fgColor rgb="FF002319"/>
        <bgColor indexed="64"/>
      </patternFill>
    </fill>
    <fill>
      <patternFill patternType="solid">
        <fgColor rgb="FF00231A"/>
        <bgColor indexed="64"/>
      </patternFill>
    </fill>
    <fill>
      <patternFill patternType="solid">
        <fgColor rgb="FF00231B"/>
        <bgColor indexed="64"/>
      </patternFill>
    </fill>
    <fill>
      <patternFill patternType="solid">
        <fgColor rgb="FF00231C"/>
        <bgColor indexed="64"/>
      </patternFill>
    </fill>
    <fill>
      <patternFill patternType="solid">
        <fgColor rgb="FF00231D"/>
        <bgColor indexed="64"/>
      </patternFill>
    </fill>
    <fill>
      <patternFill patternType="solid">
        <fgColor rgb="FF00231E"/>
        <bgColor indexed="64"/>
      </patternFill>
    </fill>
    <fill>
      <patternFill patternType="solid">
        <fgColor rgb="FF00231F"/>
        <bgColor indexed="64"/>
      </patternFill>
    </fill>
    <fill>
      <patternFill patternType="solid">
        <fgColor rgb="FF002320"/>
        <bgColor indexed="64"/>
      </patternFill>
    </fill>
    <fill>
      <patternFill patternType="solid">
        <fgColor rgb="FF002321"/>
        <bgColor indexed="64"/>
      </patternFill>
    </fill>
    <fill>
      <patternFill patternType="solid">
        <fgColor rgb="FF002322"/>
        <bgColor indexed="64"/>
      </patternFill>
    </fill>
    <fill>
      <patternFill patternType="solid">
        <fgColor rgb="FF002323"/>
        <bgColor indexed="64"/>
      </patternFill>
    </fill>
    <fill>
      <patternFill patternType="solid">
        <fgColor rgb="FF002324"/>
        <bgColor indexed="64"/>
      </patternFill>
    </fill>
    <fill>
      <patternFill patternType="solid">
        <fgColor rgb="FF002325"/>
        <bgColor indexed="64"/>
      </patternFill>
    </fill>
    <fill>
      <patternFill patternType="solid">
        <fgColor rgb="FF002326"/>
        <bgColor indexed="64"/>
      </patternFill>
    </fill>
    <fill>
      <patternFill patternType="solid">
        <fgColor rgb="FF002327"/>
        <bgColor indexed="64"/>
      </patternFill>
    </fill>
    <fill>
      <patternFill patternType="solid">
        <fgColor rgb="FF002328"/>
        <bgColor indexed="64"/>
      </patternFill>
    </fill>
    <fill>
      <patternFill patternType="solid">
        <fgColor rgb="FF002329"/>
        <bgColor indexed="64"/>
      </patternFill>
    </fill>
    <fill>
      <patternFill patternType="solid">
        <fgColor rgb="FF00232A"/>
        <bgColor indexed="64"/>
      </patternFill>
    </fill>
    <fill>
      <patternFill patternType="solid">
        <fgColor rgb="FF00232B"/>
        <bgColor indexed="64"/>
      </patternFill>
    </fill>
    <fill>
      <patternFill patternType="solid">
        <fgColor rgb="FF00232C"/>
        <bgColor indexed="64"/>
      </patternFill>
    </fill>
    <fill>
      <patternFill patternType="solid">
        <fgColor rgb="FF00232D"/>
        <bgColor indexed="64"/>
      </patternFill>
    </fill>
    <fill>
      <patternFill patternType="solid">
        <fgColor rgb="FF00232E"/>
        <bgColor indexed="64"/>
      </patternFill>
    </fill>
    <fill>
      <patternFill patternType="solid">
        <fgColor rgb="FF00232F"/>
        <bgColor indexed="64"/>
      </patternFill>
    </fill>
    <fill>
      <patternFill patternType="solid">
        <fgColor rgb="FF002330"/>
        <bgColor indexed="64"/>
      </patternFill>
    </fill>
    <fill>
      <patternFill patternType="solid">
        <fgColor rgb="FF002331"/>
        <bgColor indexed="64"/>
      </patternFill>
    </fill>
    <fill>
      <patternFill patternType="solid">
        <fgColor rgb="FF002332"/>
        <bgColor indexed="64"/>
      </patternFill>
    </fill>
    <fill>
      <patternFill patternType="solid">
        <fgColor rgb="FF002333"/>
        <bgColor indexed="64"/>
      </patternFill>
    </fill>
    <fill>
      <patternFill patternType="solid">
        <fgColor rgb="FF002334"/>
        <bgColor indexed="64"/>
      </patternFill>
    </fill>
    <fill>
      <patternFill patternType="solid">
        <fgColor rgb="FF002335"/>
        <bgColor indexed="64"/>
      </patternFill>
    </fill>
    <fill>
      <patternFill patternType="solid">
        <fgColor rgb="FF002336"/>
        <bgColor indexed="64"/>
      </patternFill>
    </fill>
    <fill>
      <patternFill patternType="solid">
        <fgColor rgb="FF002337"/>
        <bgColor indexed="64"/>
      </patternFill>
    </fill>
    <fill>
      <patternFill patternType="solid">
        <fgColor rgb="FF002338"/>
        <bgColor indexed="64"/>
      </patternFill>
    </fill>
    <fill>
      <patternFill patternType="solid">
        <fgColor rgb="FF002339"/>
        <bgColor indexed="64"/>
      </patternFill>
    </fill>
    <fill>
      <patternFill patternType="solid">
        <fgColor rgb="FF00233A"/>
        <bgColor indexed="64"/>
      </patternFill>
    </fill>
    <fill>
      <patternFill patternType="solid">
        <fgColor rgb="FF00233B"/>
        <bgColor indexed="64"/>
      </patternFill>
    </fill>
    <fill>
      <patternFill patternType="solid">
        <fgColor rgb="FF00233C"/>
        <bgColor indexed="64"/>
      </patternFill>
    </fill>
    <fill>
      <patternFill patternType="solid">
        <fgColor rgb="FF00233D"/>
        <bgColor indexed="64"/>
      </patternFill>
    </fill>
    <fill>
      <patternFill patternType="solid">
        <fgColor rgb="FF00233E"/>
        <bgColor indexed="64"/>
      </patternFill>
    </fill>
    <fill>
      <patternFill patternType="solid">
        <fgColor rgb="FF00233F"/>
        <bgColor indexed="64"/>
      </patternFill>
    </fill>
    <fill>
      <patternFill patternType="solid">
        <fgColor rgb="FF002340"/>
        <bgColor indexed="64"/>
      </patternFill>
    </fill>
    <fill>
      <patternFill patternType="solid">
        <fgColor rgb="FF002341"/>
        <bgColor indexed="64"/>
      </patternFill>
    </fill>
    <fill>
      <patternFill patternType="solid">
        <fgColor rgb="FF002342"/>
        <bgColor indexed="64"/>
      </patternFill>
    </fill>
    <fill>
      <patternFill patternType="solid">
        <fgColor rgb="FF002343"/>
        <bgColor indexed="64"/>
      </patternFill>
    </fill>
    <fill>
      <patternFill patternType="solid">
        <fgColor rgb="FF002344"/>
        <bgColor indexed="64"/>
      </patternFill>
    </fill>
    <fill>
      <patternFill patternType="solid">
        <fgColor rgb="FF002345"/>
        <bgColor indexed="64"/>
      </patternFill>
    </fill>
    <fill>
      <patternFill patternType="solid">
        <fgColor rgb="FF002346"/>
        <bgColor indexed="64"/>
      </patternFill>
    </fill>
    <fill>
      <patternFill patternType="solid">
        <fgColor rgb="FF002347"/>
        <bgColor indexed="64"/>
      </patternFill>
    </fill>
    <fill>
      <patternFill patternType="solid">
        <fgColor rgb="FF002348"/>
        <bgColor indexed="64"/>
      </patternFill>
    </fill>
    <fill>
      <patternFill patternType="solid">
        <fgColor rgb="FF002349"/>
        <bgColor indexed="64"/>
      </patternFill>
    </fill>
    <fill>
      <patternFill patternType="solid">
        <fgColor rgb="FF00234A"/>
        <bgColor indexed="64"/>
      </patternFill>
    </fill>
    <fill>
      <patternFill patternType="solid">
        <fgColor rgb="FF00234B"/>
        <bgColor indexed="64"/>
      </patternFill>
    </fill>
    <fill>
      <patternFill patternType="solid">
        <fgColor rgb="FF00234C"/>
        <bgColor indexed="64"/>
      </patternFill>
    </fill>
    <fill>
      <patternFill patternType="solid">
        <fgColor rgb="FF00234D"/>
        <bgColor indexed="64"/>
      </patternFill>
    </fill>
    <fill>
      <patternFill patternType="solid">
        <fgColor rgb="FF00234E"/>
        <bgColor indexed="64"/>
      </patternFill>
    </fill>
    <fill>
      <patternFill patternType="solid">
        <fgColor rgb="FF00234F"/>
        <bgColor indexed="64"/>
      </patternFill>
    </fill>
    <fill>
      <patternFill patternType="solid">
        <fgColor rgb="FF002350"/>
        <bgColor indexed="64"/>
      </patternFill>
    </fill>
    <fill>
      <patternFill patternType="solid">
        <fgColor rgb="FF002351"/>
        <bgColor indexed="64"/>
      </patternFill>
    </fill>
    <fill>
      <patternFill patternType="solid">
        <fgColor rgb="FF002352"/>
        <bgColor indexed="64"/>
      </patternFill>
    </fill>
    <fill>
      <patternFill patternType="solid">
        <fgColor rgb="FF002353"/>
        <bgColor indexed="64"/>
      </patternFill>
    </fill>
    <fill>
      <patternFill patternType="solid">
        <fgColor rgb="FF002354"/>
        <bgColor indexed="64"/>
      </patternFill>
    </fill>
    <fill>
      <patternFill patternType="solid">
        <fgColor rgb="FF002355"/>
        <bgColor indexed="64"/>
      </patternFill>
    </fill>
    <fill>
      <patternFill patternType="solid">
        <fgColor rgb="FF002356"/>
        <bgColor indexed="64"/>
      </patternFill>
    </fill>
    <fill>
      <patternFill patternType="solid">
        <fgColor rgb="FF002357"/>
        <bgColor indexed="64"/>
      </patternFill>
    </fill>
    <fill>
      <patternFill patternType="solid">
        <fgColor rgb="FF002358"/>
        <bgColor indexed="64"/>
      </patternFill>
    </fill>
    <fill>
      <patternFill patternType="solid">
        <fgColor rgb="FF002359"/>
        <bgColor indexed="64"/>
      </patternFill>
    </fill>
    <fill>
      <patternFill patternType="solid">
        <fgColor rgb="FF00235A"/>
        <bgColor indexed="64"/>
      </patternFill>
    </fill>
    <fill>
      <patternFill patternType="solid">
        <fgColor rgb="FF00235B"/>
        <bgColor indexed="64"/>
      </patternFill>
    </fill>
    <fill>
      <patternFill patternType="solid">
        <fgColor rgb="FF00235C"/>
        <bgColor indexed="64"/>
      </patternFill>
    </fill>
    <fill>
      <patternFill patternType="solid">
        <fgColor rgb="FF00235D"/>
        <bgColor indexed="64"/>
      </patternFill>
    </fill>
    <fill>
      <patternFill patternType="solid">
        <fgColor rgb="FF00235E"/>
        <bgColor indexed="64"/>
      </patternFill>
    </fill>
    <fill>
      <patternFill patternType="solid">
        <fgColor rgb="FF00235F"/>
        <bgColor indexed="64"/>
      </patternFill>
    </fill>
    <fill>
      <patternFill patternType="solid">
        <fgColor rgb="FF002360"/>
        <bgColor indexed="64"/>
      </patternFill>
    </fill>
    <fill>
      <patternFill patternType="solid">
        <fgColor rgb="FF002361"/>
        <bgColor indexed="64"/>
      </patternFill>
    </fill>
    <fill>
      <patternFill patternType="solid">
        <fgColor rgb="FF002362"/>
        <bgColor indexed="64"/>
      </patternFill>
    </fill>
    <fill>
      <patternFill patternType="solid">
        <fgColor rgb="FF002363"/>
        <bgColor indexed="64"/>
      </patternFill>
    </fill>
    <fill>
      <patternFill patternType="solid">
        <fgColor rgb="FF002364"/>
        <bgColor indexed="64"/>
      </patternFill>
    </fill>
    <fill>
      <patternFill patternType="solid">
        <fgColor rgb="FF002365"/>
        <bgColor indexed="64"/>
      </patternFill>
    </fill>
    <fill>
      <patternFill patternType="solid">
        <fgColor rgb="FF002366"/>
        <bgColor indexed="64"/>
      </patternFill>
    </fill>
    <fill>
      <patternFill patternType="solid">
        <fgColor rgb="FF002367"/>
        <bgColor indexed="64"/>
      </patternFill>
    </fill>
    <fill>
      <patternFill patternType="solid">
        <fgColor rgb="FF002368"/>
        <bgColor indexed="64"/>
      </patternFill>
    </fill>
    <fill>
      <patternFill patternType="solid">
        <fgColor rgb="FF002369"/>
        <bgColor indexed="64"/>
      </patternFill>
    </fill>
    <fill>
      <patternFill patternType="solid">
        <fgColor rgb="FF00236A"/>
        <bgColor indexed="64"/>
      </patternFill>
    </fill>
    <fill>
      <patternFill patternType="solid">
        <fgColor rgb="FF00236B"/>
        <bgColor indexed="64"/>
      </patternFill>
    </fill>
    <fill>
      <patternFill patternType="solid">
        <fgColor rgb="FF00236C"/>
        <bgColor indexed="64"/>
      </patternFill>
    </fill>
    <fill>
      <patternFill patternType="solid">
        <fgColor rgb="FF00236D"/>
        <bgColor indexed="64"/>
      </patternFill>
    </fill>
    <fill>
      <patternFill patternType="solid">
        <fgColor rgb="FF00236E"/>
        <bgColor indexed="64"/>
      </patternFill>
    </fill>
    <fill>
      <patternFill patternType="solid">
        <fgColor rgb="FF00236F"/>
        <bgColor indexed="64"/>
      </patternFill>
    </fill>
    <fill>
      <patternFill patternType="solid">
        <fgColor rgb="FF002370"/>
        <bgColor indexed="64"/>
      </patternFill>
    </fill>
    <fill>
      <patternFill patternType="solid">
        <fgColor rgb="FF002371"/>
        <bgColor indexed="64"/>
      </patternFill>
    </fill>
    <fill>
      <patternFill patternType="solid">
        <fgColor rgb="FF002372"/>
        <bgColor indexed="64"/>
      </patternFill>
    </fill>
    <fill>
      <patternFill patternType="solid">
        <fgColor rgb="FF002373"/>
        <bgColor indexed="64"/>
      </patternFill>
    </fill>
    <fill>
      <patternFill patternType="solid">
        <fgColor rgb="FF002374"/>
        <bgColor indexed="64"/>
      </patternFill>
    </fill>
    <fill>
      <patternFill patternType="solid">
        <fgColor rgb="FF002375"/>
        <bgColor indexed="64"/>
      </patternFill>
    </fill>
    <fill>
      <patternFill patternType="solid">
        <fgColor rgb="FF002376"/>
        <bgColor indexed="64"/>
      </patternFill>
    </fill>
    <fill>
      <patternFill patternType="solid">
        <fgColor rgb="FF002377"/>
        <bgColor indexed="64"/>
      </patternFill>
    </fill>
    <fill>
      <patternFill patternType="solid">
        <fgColor rgb="FF002378"/>
        <bgColor indexed="64"/>
      </patternFill>
    </fill>
    <fill>
      <patternFill patternType="solid">
        <fgColor rgb="FF002379"/>
        <bgColor indexed="64"/>
      </patternFill>
    </fill>
    <fill>
      <patternFill patternType="solid">
        <fgColor rgb="FF00237A"/>
        <bgColor indexed="64"/>
      </patternFill>
    </fill>
    <fill>
      <patternFill patternType="solid">
        <fgColor rgb="FF00237B"/>
        <bgColor indexed="64"/>
      </patternFill>
    </fill>
    <fill>
      <patternFill patternType="solid">
        <fgColor rgb="FF00237C"/>
        <bgColor indexed="64"/>
      </patternFill>
    </fill>
    <fill>
      <patternFill patternType="solid">
        <fgColor rgb="FF00237D"/>
        <bgColor indexed="64"/>
      </patternFill>
    </fill>
    <fill>
      <patternFill patternType="solid">
        <fgColor rgb="FF00237E"/>
        <bgColor indexed="64"/>
      </patternFill>
    </fill>
    <fill>
      <patternFill patternType="solid">
        <fgColor rgb="FF00237F"/>
        <bgColor indexed="64"/>
      </patternFill>
    </fill>
    <fill>
      <patternFill patternType="solid">
        <fgColor rgb="FF002380"/>
        <bgColor indexed="64"/>
      </patternFill>
    </fill>
    <fill>
      <patternFill patternType="solid">
        <fgColor rgb="FF002381"/>
        <bgColor indexed="64"/>
      </patternFill>
    </fill>
    <fill>
      <patternFill patternType="solid">
        <fgColor rgb="FF002382"/>
        <bgColor indexed="64"/>
      </patternFill>
    </fill>
    <fill>
      <patternFill patternType="solid">
        <fgColor rgb="FF002383"/>
        <bgColor indexed="64"/>
      </patternFill>
    </fill>
    <fill>
      <patternFill patternType="solid">
        <fgColor rgb="FF002384"/>
        <bgColor indexed="64"/>
      </patternFill>
    </fill>
    <fill>
      <patternFill patternType="solid">
        <fgColor rgb="FF002385"/>
        <bgColor indexed="64"/>
      </patternFill>
    </fill>
    <fill>
      <patternFill patternType="solid">
        <fgColor rgb="FF002386"/>
        <bgColor indexed="64"/>
      </patternFill>
    </fill>
    <fill>
      <patternFill patternType="solid">
        <fgColor rgb="FF002387"/>
        <bgColor indexed="64"/>
      </patternFill>
    </fill>
    <fill>
      <patternFill patternType="solid">
        <fgColor rgb="FF002388"/>
        <bgColor indexed="64"/>
      </patternFill>
    </fill>
    <fill>
      <patternFill patternType="solid">
        <fgColor rgb="FF002389"/>
        <bgColor indexed="64"/>
      </patternFill>
    </fill>
    <fill>
      <patternFill patternType="solid">
        <fgColor rgb="FF00238A"/>
        <bgColor indexed="64"/>
      </patternFill>
    </fill>
    <fill>
      <patternFill patternType="solid">
        <fgColor rgb="FF00238B"/>
        <bgColor indexed="64"/>
      </patternFill>
    </fill>
    <fill>
      <patternFill patternType="solid">
        <fgColor rgb="FF00238C"/>
        <bgColor indexed="64"/>
      </patternFill>
    </fill>
    <fill>
      <patternFill patternType="solid">
        <fgColor rgb="FF00238D"/>
        <bgColor indexed="64"/>
      </patternFill>
    </fill>
    <fill>
      <patternFill patternType="solid">
        <fgColor rgb="FF00238E"/>
        <bgColor indexed="64"/>
      </patternFill>
    </fill>
    <fill>
      <patternFill patternType="solid">
        <fgColor rgb="FF00238F"/>
        <bgColor indexed="64"/>
      </patternFill>
    </fill>
    <fill>
      <patternFill patternType="solid">
        <fgColor rgb="FF002390"/>
        <bgColor indexed="64"/>
      </patternFill>
    </fill>
    <fill>
      <patternFill patternType="solid">
        <fgColor rgb="FF002391"/>
        <bgColor indexed="64"/>
      </patternFill>
    </fill>
    <fill>
      <patternFill patternType="solid">
        <fgColor rgb="FF002392"/>
        <bgColor indexed="64"/>
      </patternFill>
    </fill>
    <fill>
      <patternFill patternType="solid">
        <fgColor rgb="FF002393"/>
        <bgColor indexed="64"/>
      </patternFill>
    </fill>
    <fill>
      <patternFill patternType="solid">
        <fgColor rgb="FF002394"/>
        <bgColor indexed="64"/>
      </patternFill>
    </fill>
    <fill>
      <patternFill patternType="solid">
        <fgColor rgb="FF002395"/>
        <bgColor indexed="64"/>
      </patternFill>
    </fill>
    <fill>
      <patternFill patternType="solid">
        <fgColor rgb="FF002396"/>
        <bgColor indexed="64"/>
      </patternFill>
    </fill>
    <fill>
      <patternFill patternType="solid">
        <fgColor rgb="FF002397"/>
        <bgColor indexed="64"/>
      </patternFill>
    </fill>
    <fill>
      <patternFill patternType="solid">
        <fgColor rgb="FF002398"/>
        <bgColor indexed="64"/>
      </patternFill>
    </fill>
    <fill>
      <patternFill patternType="solid">
        <fgColor rgb="FF002399"/>
        <bgColor indexed="64"/>
      </patternFill>
    </fill>
    <fill>
      <patternFill patternType="solid">
        <fgColor rgb="FF00239A"/>
        <bgColor indexed="64"/>
      </patternFill>
    </fill>
    <fill>
      <patternFill patternType="solid">
        <fgColor rgb="FF00239B"/>
        <bgColor indexed="64"/>
      </patternFill>
    </fill>
    <fill>
      <patternFill patternType="solid">
        <fgColor rgb="FF00239C"/>
        <bgColor indexed="64"/>
      </patternFill>
    </fill>
    <fill>
      <patternFill patternType="solid">
        <fgColor rgb="FF00239D"/>
        <bgColor indexed="64"/>
      </patternFill>
    </fill>
    <fill>
      <patternFill patternType="solid">
        <fgColor rgb="FF00239E"/>
        <bgColor indexed="64"/>
      </patternFill>
    </fill>
    <fill>
      <patternFill patternType="solid">
        <fgColor rgb="FF00239F"/>
        <bgColor indexed="64"/>
      </patternFill>
    </fill>
    <fill>
      <patternFill patternType="solid">
        <fgColor rgb="FF0023A0"/>
        <bgColor indexed="64"/>
      </patternFill>
    </fill>
    <fill>
      <patternFill patternType="solid">
        <fgColor rgb="FF0023A1"/>
        <bgColor indexed="64"/>
      </patternFill>
    </fill>
    <fill>
      <patternFill patternType="solid">
        <fgColor rgb="FF0023A2"/>
        <bgColor indexed="64"/>
      </patternFill>
    </fill>
    <fill>
      <patternFill patternType="solid">
        <fgColor rgb="FF0023A3"/>
        <bgColor indexed="64"/>
      </patternFill>
    </fill>
    <fill>
      <patternFill patternType="solid">
        <fgColor rgb="FF0023A4"/>
        <bgColor indexed="64"/>
      </patternFill>
    </fill>
    <fill>
      <patternFill patternType="solid">
        <fgColor rgb="FF0023A5"/>
        <bgColor indexed="64"/>
      </patternFill>
    </fill>
    <fill>
      <patternFill patternType="solid">
        <fgColor rgb="FF0023A6"/>
        <bgColor indexed="64"/>
      </patternFill>
    </fill>
    <fill>
      <patternFill patternType="solid">
        <fgColor rgb="FF0023A7"/>
        <bgColor indexed="64"/>
      </patternFill>
    </fill>
    <fill>
      <patternFill patternType="solid">
        <fgColor rgb="FF0023A8"/>
        <bgColor indexed="64"/>
      </patternFill>
    </fill>
    <fill>
      <patternFill patternType="solid">
        <fgColor rgb="FF0023A9"/>
        <bgColor indexed="64"/>
      </patternFill>
    </fill>
    <fill>
      <patternFill patternType="solid">
        <fgColor rgb="FF0023AA"/>
        <bgColor indexed="64"/>
      </patternFill>
    </fill>
    <fill>
      <patternFill patternType="solid">
        <fgColor rgb="FF0023AB"/>
        <bgColor indexed="64"/>
      </patternFill>
    </fill>
    <fill>
      <patternFill patternType="solid">
        <fgColor rgb="FF0023AC"/>
        <bgColor indexed="64"/>
      </patternFill>
    </fill>
    <fill>
      <patternFill patternType="solid">
        <fgColor rgb="FF0023AD"/>
        <bgColor indexed="64"/>
      </patternFill>
    </fill>
    <fill>
      <patternFill patternType="solid">
        <fgColor rgb="FF0023AE"/>
        <bgColor indexed="64"/>
      </patternFill>
    </fill>
    <fill>
      <patternFill patternType="solid">
        <fgColor rgb="FF0023AF"/>
        <bgColor indexed="64"/>
      </patternFill>
    </fill>
    <fill>
      <patternFill patternType="solid">
        <fgColor rgb="FF0023B0"/>
        <bgColor indexed="64"/>
      </patternFill>
    </fill>
    <fill>
      <patternFill patternType="solid">
        <fgColor rgb="FF0023B1"/>
        <bgColor indexed="64"/>
      </patternFill>
    </fill>
    <fill>
      <patternFill patternType="solid">
        <fgColor rgb="FF0023B2"/>
        <bgColor indexed="64"/>
      </patternFill>
    </fill>
    <fill>
      <patternFill patternType="solid">
        <fgColor rgb="FF0023B3"/>
        <bgColor indexed="64"/>
      </patternFill>
    </fill>
    <fill>
      <patternFill patternType="solid">
        <fgColor rgb="FF0023B4"/>
        <bgColor indexed="64"/>
      </patternFill>
    </fill>
    <fill>
      <patternFill patternType="solid">
        <fgColor rgb="FF0023B5"/>
        <bgColor indexed="64"/>
      </patternFill>
    </fill>
    <fill>
      <patternFill patternType="solid">
        <fgColor rgb="FF0023B6"/>
        <bgColor indexed="64"/>
      </patternFill>
    </fill>
    <fill>
      <patternFill patternType="solid">
        <fgColor rgb="FF0023B7"/>
        <bgColor indexed="64"/>
      </patternFill>
    </fill>
    <fill>
      <patternFill patternType="solid">
        <fgColor rgb="FF0023B8"/>
        <bgColor indexed="64"/>
      </patternFill>
    </fill>
    <fill>
      <patternFill patternType="solid">
        <fgColor rgb="FF0023B9"/>
        <bgColor indexed="64"/>
      </patternFill>
    </fill>
    <fill>
      <patternFill patternType="solid">
        <fgColor rgb="FF0023BA"/>
        <bgColor indexed="64"/>
      </patternFill>
    </fill>
    <fill>
      <patternFill patternType="solid">
        <fgColor rgb="FF0023BB"/>
        <bgColor indexed="64"/>
      </patternFill>
    </fill>
    <fill>
      <patternFill patternType="solid">
        <fgColor rgb="FF0023BC"/>
        <bgColor indexed="64"/>
      </patternFill>
    </fill>
    <fill>
      <patternFill patternType="solid">
        <fgColor rgb="FF0023BD"/>
        <bgColor indexed="64"/>
      </patternFill>
    </fill>
    <fill>
      <patternFill patternType="solid">
        <fgColor rgb="FF0023BE"/>
        <bgColor indexed="64"/>
      </patternFill>
    </fill>
    <fill>
      <patternFill patternType="solid">
        <fgColor rgb="FF0023BF"/>
        <bgColor indexed="64"/>
      </patternFill>
    </fill>
    <fill>
      <patternFill patternType="solid">
        <fgColor rgb="FF0023C0"/>
        <bgColor indexed="64"/>
      </patternFill>
    </fill>
    <fill>
      <patternFill patternType="solid">
        <fgColor rgb="FF0023C1"/>
        <bgColor indexed="64"/>
      </patternFill>
    </fill>
    <fill>
      <patternFill patternType="solid">
        <fgColor rgb="FF0023C2"/>
        <bgColor indexed="64"/>
      </patternFill>
    </fill>
    <fill>
      <patternFill patternType="solid">
        <fgColor rgb="FF0023C3"/>
        <bgColor indexed="64"/>
      </patternFill>
    </fill>
    <fill>
      <patternFill patternType="solid">
        <fgColor rgb="FF0023C4"/>
        <bgColor indexed="64"/>
      </patternFill>
    </fill>
    <fill>
      <patternFill patternType="solid">
        <fgColor rgb="FF0023C5"/>
        <bgColor indexed="64"/>
      </patternFill>
    </fill>
    <fill>
      <patternFill patternType="solid">
        <fgColor rgb="FF0023C6"/>
        <bgColor indexed="64"/>
      </patternFill>
    </fill>
    <fill>
      <patternFill patternType="solid">
        <fgColor rgb="FF0023C7"/>
        <bgColor indexed="64"/>
      </patternFill>
    </fill>
    <fill>
      <patternFill patternType="solid">
        <fgColor rgb="FF0023C8"/>
        <bgColor indexed="64"/>
      </patternFill>
    </fill>
    <fill>
      <patternFill patternType="solid">
        <fgColor rgb="FF0023C9"/>
        <bgColor indexed="64"/>
      </patternFill>
    </fill>
    <fill>
      <patternFill patternType="solid">
        <fgColor rgb="FF0023CA"/>
        <bgColor indexed="64"/>
      </patternFill>
    </fill>
    <fill>
      <patternFill patternType="solid">
        <fgColor rgb="FF0023CB"/>
        <bgColor indexed="64"/>
      </patternFill>
    </fill>
    <fill>
      <patternFill patternType="solid">
        <fgColor rgb="FF0023CC"/>
        <bgColor indexed="64"/>
      </patternFill>
    </fill>
    <fill>
      <patternFill patternType="solid">
        <fgColor rgb="FF0023CD"/>
        <bgColor indexed="64"/>
      </patternFill>
    </fill>
    <fill>
      <patternFill patternType="solid">
        <fgColor rgb="FF0023CE"/>
        <bgColor indexed="64"/>
      </patternFill>
    </fill>
    <fill>
      <patternFill patternType="solid">
        <fgColor rgb="FF0023CF"/>
        <bgColor indexed="64"/>
      </patternFill>
    </fill>
    <fill>
      <patternFill patternType="solid">
        <fgColor rgb="FF0023D0"/>
        <bgColor indexed="64"/>
      </patternFill>
    </fill>
    <fill>
      <patternFill patternType="solid">
        <fgColor rgb="FF0023D1"/>
        <bgColor indexed="64"/>
      </patternFill>
    </fill>
    <fill>
      <patternFill patternType="solid">
        <fgColor rgb="FF0023D2"/>
        <bgColor indexed="64"/>
      </patternFill>
    </fill>
    <fill>
      <patternFill patternType="solid">
        <fgColor rgb="FF0023D3"/>
        <bgColor indexed="64"/>
      </patternFill>
    </fill>
    <fill>
      <patternFill patternType="solid">
        <fgColor rgb="FF0023D4"/>
        <bgColor indexed="64"/>
      </patternFill>
    </fill>
    <fill>
      <patternFill patternType="solid">
        <fgColor rgb="FF0023D5"/>
        <bgColor indexed="64"/>
      </patternFill>
    </fill>
    <fill>
      <patternFill patternType="solid">
        <fgColor rgb="FF0023D6"/>
        <bgColor indexed="64"/>
      </patternFill>
    </fill>
    <fill>
      <patternFill patternType="solid">
        <fgColor rgb="FF0023D7"/>
        <bgColor indexed="64"/>
      </patternFill>
    </fill>
    <fill>
      <patternFill patternType="solid">
        <fgColor rgb="FF0023D8"/>
        <bgColor indexed="64"/>
      </patternFill>
    </fill>
    <fill>
      <patternFill patternType="solid">
        <fgColor rgb="FF0023D9"/>
        <bgColor indexed="64"/>
      </patternFill>
    </fill>
    <fill>
      <patternFill patternType="solid">
        <fgColor rgb="FF0023DA"/>
        <bgColor indexed="64"/>
      </patternFill>
    </fill>
    <fill>
      <patternFill patternType="solid">
        <fgColor rgb="FF0023DB"/>
        <bgColor indexed="64"/>
      </patternFill>
    </fill>
    <fill>
      <patternFill patternType="solid">
        <fgColor rgb="FF0023DC"/>
        <bgColor indexed="64"/>
      </patternFill>
    </fill>
    <fill>
      <patternFill patternType="solid">
        <fgColor rgb="FF0023DD"/>
        <bgColor indexed="64"/>
      </patternFill>
    </fill>
    <fill>
      <patternFill patternType="solid">
        <fgColor rgb="FF0023DE"/>
        <bgColor indexed="64"/>
      </patternFill>
    </fill>
    <fill>
      <patternFill patternType="solid">
        <fgColor rgb="FF0023DF"/>
        <bgColor indexed="64"/>
      </patternFill>
    </fill>
    <fill>
      <patternFill patternType="solid">
        <fgColor rgb="FF0023E0"/>
        <bgColor indexed="64"/>
      </patternFill>
    </fill>
    <fill>
      <patternFill patternType="solid">
        <fgColor rgb="FF0023E1"/>
        <bgColor indexed="64"/>
      </patternFill>
    </fill>
    <fill>
      <patternFill patternType="solid">
        <fgColor rgb="FF0023E2"/>
        <bgColor indexed="64"/>
      </patternFill>
    </fill>
    <fill>
      <patternFill patternType="solid">
        <fgColor rgb="FF0023E3"/>
        <bgColor indexed="64"/>
      </patternFill>
    </fill>
    <fill>
      <patternFill patternType="solid">
        <fgColor rgb="FF0023E4"/>
        <bgColor indexed="64"/>
      </patternFill>
    </fill>
    <fill>
      <patternFill patternType="solid">
        <fgColor rgb="FF0023E5"/>
        <bgColor indexed="64"/>
      </patternFill>
    </fill>
    <fill>
      <patternFill patternType="solid">
        <fgColor rgb="FF0023E6"/>
        <bgColor indexed="64"/>
      </patternFill>
    </fill>
    <fill>
      <patternFill patternType="solid">
        <fgColor rgb="FF0023E7"/>
        <bgColor indexed="64"/>
      </patternFill>
    </fill>
    <fill>
      <patternFill patternType="solid">
        <fgColor rgb="FF0023E8"/>
        <bgColor indexed="64"/>
      </patternFill>
    </fill>
    <fill>
      <patternFill patternType="solid">
        <fgColor rgb="FF0023E9"/>
        <bgColor indexed="64"/>
      </patternFill>
    </fill>
    <fill>
      <patternFill patternType="solid">
        <fgColor rgb="FF0023EA"/>
        <bgColor indexed="64"/>
      </patternFill>
    </fill>
    <fill>
      <patternFill patternType="solid">
        <fgColor rgb="FF0023EB"/>
        <bgColor indexed="64"/>
      </patternFill>
    </fill>
    <fill>
      <patternFill patternType="solid">
        <fgColor rgb="FF0023EC"/>
        <bgColor indexed="64"/>
      </patternFill>
    </fill>
    <fill>
      <patternFill patternType="solid">
        <fgColor rgb="FF0023ED"/>
        <bgColor indexed="64"/>
      </patternFill>
    </fill>
    <fill>
      <patternFill patternType="solid">
        <fgColor rgb="FF0023EE"/>
        <bgColor indexed="64"/>
      </patternFill>
    </fill>
    <fill>
      <patternFill patternType="solid">
        <fgColor rgb="FF0023EF"/>
        <bgColor indexed="64"/>
      </patternFill>
    </fill>
    <fill>
      <patternFill patternType="solid">
        <fgColor rgb="FF0023F0"/>
        <bgColor indexed="64"/>
      </patternFill>
    </fill>
    <fill>
      <patternFill patternType="solid">
        <fgColor rgb="FF0023F1"/>
        <bgColor indexed="64"/>
      </patternFill>
    </fill>
    <fill>
      <patternFill patternType="solid">
        <fgColor rgb="FF0023F2"/>
        <bgColor indexed="64"/>
      </patternFill>
    </fill>
    <fill>
      <patternFill patternType="solid">
        <fgColor rgb="FF0023F3"/>
        <bgColor indexed="64"/>
      </patternFill>
    </fill>
    <fill>
      <patternFill patternType="solid">
        <fgColor rgb="FF0023F4"/>
        <bgColor indexed="64"/>
      </patternFill>
    </fill>
    <fill>
      <patternFill patternType="solid">
        <fgColor rgb="FF0023F5"/>
        <bgColor indexed="64"/>
      </patternFill>
    </fill>
    <fill>
      <patternFill patternType="solid">
        <fgColor rgb="FF0023F6"/>
        <bgColor indexed="64"/>
      </patternFill>
    </fill>
    <fill>
      <patternFill patternType="solid">
        <fgColor rgb="FF0023F7"/>
        <bgColor indexed="64"/>
      </patternFill>
    </fill>
    <fill>
      <patternFill patternType="solid">
        <fgColor rgb="FF0023F8"/>
        <bgColor indexed="64"/>
      </patternFill>
    </fill>
    <fill>
      <patternFill patternType="solid">
        <fgColor rgb="FF0023F9"/>
        <bgColor indexed="64"/>
      </patternFill>
    </fill>
    <fill>
      <patternFill patternType="solid">
        <fgColor rgb="FF0023FA"/>
        <bgColor indexed="64"/>
      </patternFill>
    </fill>
    <fill>
      <patternFill patternType="solid">
        <fgColor rgb="FF0023FB"/>
        <bgColor indexed="64"/>
      </patternFill>
    </fill>
    <fill>
      <patternFill patternType="solid">
        <fgColor rgb="FF0023FC"/>
        <bgColor indexed="64"/>
      </patternFill>
    </fill>
    <fill>
      <patternFill patternType="solid">
        <fgColor rgb="FF0023FD"/>
        <bgColor indexed="64"/>
      </patternFill>
    </fill>
    <fill>
      <patternFill patternType="solid">
        <fgColor rgb="FF0023FE"/>
        <bgColor indexed="64"/>
      </patternFill>
    </fill>
    <fill>
      <patternFill patternType="solid">
        <fgColor rgb="FF0023FF"/>
        <bgColor indexed="64"/>
      </patternFill>
    </fill>
    <fill>
      <patternFill patternType="solid">
        <fgColor rgb="FF002400"/>
        <bgColor indexed="64"/>
      </patternFill>
    </fill>
    <fill>
      <patternFill patternType="solid">
        <fgColor rgb="FF002401"/>
        <bgColor indexed="64"/>
      </patternFill>
    </fill>
    <fill>
      <patternFill patternType="solid">
        <fgColor rgb="FF002402"/>
        <bgColor indexed="64"/>
      </patternFill>
    </fill>
    <fill>
      <patternFill patternType="solid">
        <fgColor rgb="FF002403"/>
        <bgColor indexed="64"/>
      </patternFill>
    </fill>
    <fill>
      <patternFill patternType="solid">
        <fgColor rgb="FF002404"/>
        <bgColor indexed="64"/>
      </patternFill>
    </fill>
    <fill>
      <patternFill patternType="solid">
        <fgColor rgb="FF002405"/>
        <bgColor indexed="64"/>
      </patternFill>
    </fill>
    <fill>
      <patternFill patternType="solid">
        <fgColor rgb="FF002406"/>
        <bgColor indexed="64"/>
      </patternFill>
    </fill>
    <fill>
      <patternFill patternType="solid">
        <fgColor rgb="FF002407"/>
        <bgColor indexed="64"/>
      </patternFill>
    </fill>
    <fill>
      <patternFill patternType="solid">
        <fgColor rgb="FF002408"/>
        <bgColor indexed="64"/>
      </patternFill>
    </fill>
    <fill>
      <patternFill patternType="solid">
        <fgColor rgb="FF002409"/>
        <bgColor indexed="64"/>
      </patternFill>
    </fill>
    <fill>
      <patternFill patternType="solid">
        <fgColor rgb="FF00240A"/>
        <bgColor indexed="64"/>
      </patternFill>
    </fill>
    <fill>
      <patternFill patternType="solid">
        <fgColor rgb="FF00240B"/>
        <bgColor indexed="64"/>
      </patternFill>
    </fill>
    <fill>
      <patternFill patternType="solid">
        <fgColor rgb="FF00240C"/>
        <bgColor indexed="64"/>
      </patternFill>
    </fill>
    <fill>
      <patternFill patternType="solid">
        <fgColor rgb="FF00240D"/>
        <bgColor indexed="64"/>
      </patternFill>
    </fill>
    <fill>
      <patternFill patternType="solid">
        <fgColor rgb="FF00240E"/>
        <bgColor indexed="64"/>
      </patternFill>
    </fill>
    <fill>
      <patternFill patternType="solid">
        <fgColor rgb="FF00240F"/>
        <bgColor indexed="64"/>
      </patternFill>
    </fill>
    <fill>
      <patternFill patternType="solid">
        <fgColor rgb="FF002410"/>
        <bgColor indexed="64"/>
      </patternFill>
    </fill>
    <fill>
      <patternFill patternType="solid">
        <fgColor rgb="FF002411"/>
        <bgColor indexed="64"/>
      </patternFill>
    </fill>
    <fill>
      <patternFill patternType="solid">
        <fgColor rgb="FF002412"/>
        <bgColor indexed="64"/>
      </patternFill>
    </fill>
    <fill>
      <patternFill patternType="solid">
        <fgColor rgb="FF002413"/>
        <bgColor indexed="64"/>
      </patternFill>
    </fill>
    <fill>
      <patternFill patternType="solid">
        <fgColor rgb="FF002414"/>
        <bgColor indexed="64"/>
      </patternFill>
    </fill>
    <fill>
      <patternFill patternType="solid">
        <fgColor rgb="FF002415"/>
        <bgColor indexed="64"/>
      </patternFill>
    </fill>
    <fill>
      <patternFill patternType="solid">
        <fgColor rgb="FF002416"/>
        <bgColor indexed="64"/>
      </patternFill>
    </fill>
    <fill>
      <patternFill patternType="solid">
        <fgColor rgb="FF002417"/>
        <bgColor indexed="64"/>
      </patternFill>
    </fill>
    <fill>
      <patternFill patternType="solid">
        <fgColor rgb="FF002418"/>
        <bgColor indexed="64"/>
      </patternFill>
    </fill>
    <fill>
      <patternFill patternType="solid">
        <fgColor rgb="FF002419"/>
        <bgColor indexed="64"/>
      </patternFill>
    </fill>
    <fill>
      <patternFill patternType="solid">
        <fgColor rgb="FF00241A"/>
        <bgColor indexed="64"/>
      </patternFill>
    </fill>
    <fill>
      <patternFill patternType="solid">
        <fgColor rgb="FF00241B"/>
        <bgColor indexed="64"/>
      </patternFill>
    </fill>
    <fill>
      <patternFill patternType="solid">
        <fgColor rgb="FF00241C"/>
        <bgColor indexed="64"/>
      </patternFill>
    </fill>
    <fill>
      <patternFill patternType="solid">
        <fgColor rgb="FF00241D"/>
        <bgColor indexed="64"/>
      </patternFill>
    </fill>
    <fill>
      <patternFill patternType="solid">
        <fgColor rgb="FF00241E"/>
        <bgColor indexed="64"/>
      </patternFill>
    </fill>
    <fill>
      <patternFill patternType="solid">
        <fgColor rgb="FF00241F"/>
        <bgColor indexed="64"/>
      </patternFill>
    </fill>
    <fill>
      <patternFill patternType="solid">
        <fgColor rgb="FF002420"/>
        <bgColor indexed="64"/>
      </patternFill>
    </fill>
    <fill>
      <patternFill patternType="solid">
        <fgColor rgb="FF002421"/>
        <bgColor indexed="64"/>
      </patternFill>
    </fill>
    <fill>
      <patternFill patternType="solid">
        <fgColor rgb="FF002422"/>
        <bgColor indexed="64"/>
      </patternFill>
    </fill>
    <fill>
      <patternFill patternType="solid">
        <fgColor rgb="FF002423"/>
        <bgColor indexed="64"/>
      </patternFill>
    </fill>
    <fill>
      <patternFill patternType="solid">
        <fgColor rgb="FF002424"/>
        <bgColor indexed="64"/>
      </patternFill>
    </fill>
    <fill>
      <patternFill patternType="solid">
        <fgColor rgb="FF002425"/>
        <bgColor indexed="64"/>
      </patternFill>
    </fill>
    <fill>
      <patternFill patternType="solid">
        <fgColor rgb="FF002426"/>
        <bgColor indexed="64"/>
      </patternFill>
    </fill>
    <fill>
      <patternFill patternType="solid">
        <fgColor rgb="FF002427"/>
        <bgColor indexed="64"/>
      </patternFill>
    </fill>
    <fill>
      <patternFill patternType="solid">
        <fgColor rgb="FF002428"/>
        <bgColor indexed="64"/>
      </patternFill>
    </fill>
    <fill>
      <patternFill patternType="solid">
        <fgColor rgb="FF002429"/>
        <bgColor indexed="64"/>
      </patternFill>
    </fill>
    <fill>
      <patternFill patternType="solid">
        <fgColor rgb="FF00242A"/>
        <bgColor indexed="64"/>
      </patternFill>
    </fill>
    <fill>
      <patternFill patternType="solid">
        <fgColor rgb="FF00242B"/>
        <bgColor indexed="64"/>
      </patternFill>
    </fill>
    <fill>
      <patternFill patternType="solid">
        <fgColor rgb="FF00242C"/>
        <bgColor indexed="64"/>
      </patternFill>
    </fill>
    <fill>
      <patternFill patternType="solid">
        <fgColor rgb="FF00242D"/>
        <bgColor indexed="64"/>
      </patternFill>
    </fill>
    <fill>
      <patternFill patternType="solid">
        <fgColor rgb="FF00242E"/>
        <bgColor indexed="64"/>
      </patternFill>
    </fill>
    <fill>
      <patternFill patternType="solid">
        <fgColor rgb="FF00242F"/>
        <bgColor indexed="64"/>
      </patternFill>
    </fill>
    <fill>
      <patternFill patternType="solid">
        <fgColor rgb="FF002430"/>
        <bgColor indexed="64"/>
      </patternFill>
    </fill>
    <fill>
      <patternFill patternType="solid">
        <fgColor rgb="FF002431"/>
        <bgColor indexed="64"/>
      </patternFill>
    </fill>
    <fill>
      <patternFill patternType="solid">
        <fgColor rgb="FF002432"/>
        <bgColor indexed="64"/>
      </patternFill>
    </fill>
    <fill>
      <patternFill patternType="solid">
        <fgColor rgb="FF002433"/>
        <bgColor indexed="64"/>
      </patternFill>
    </fill>
    <fill>
      <patternFill patternType="solid">
        <fgColor rgb="FF002434"/>
        <bgColor indexed="64"/>
      </patternFill>
    </fill>
    <fill>
      <patternFill patternType="solid">
        <fgColor rgb="FF002435"/>
        <bgColor indexed="64"/>
      </patternFill>
    </fill>
    <fill>
      <patternFill patternType="solid">
        <fgColor rgb="FF002436"/>
        <bgColor indexed="64"/>
      </patternFill>
    </fill>
    <fill>
      <patternFill patternType="solid">
        <fgColor rgb="FF002437"/>
        <bgColor indexed="64"/>
      </patternFill>
    </fill>
    <fill>
      <patternFill patternType="solid">
        <fgColor rgb="FF002438"/>
        <bgColor indexed="64"/>
      </patternFill>
    </fill>
    <fill>
      <patternFill patternType="solid">
        <fgColor rgb="FF002439"/>
        <bgColor indexed="64"/>
      </patternFill>
    </fill>
    <fill>
      <patternFill patternType="solid">
        <fgColor rgb="FF00243A"/>
        <bgColor indexed="64"/>
      </patternFill>
    </fill>
    <fill>
      <patternFill patternType="solid">
        <fgColor rgb="FF00243B"/>
        <bgColor indexed="64"/>
      </patternFill>
    </fill>
    <fill>
      <patternFill patternType="solid">
        <fgColor rgb="FF00243C"/>
        <bgColor indexed="64"/>
      </patternFill>
    </fill>
    <fill>
      <patternFill patternType="solid">
        <fgColor rgb="FF00243D"/>
        <bgColor indexed="64"/>
      </patternFill>
    </fill>
    <fill>
      <patternFill patternType="solid">
        <fgColor rgb="FF00243E"/>
        <bgColor indexed="64"/>
      </patternFill>
    </fill>
    <fill>
      <patternFill patternType="solid">
        <fgColor rgb="FF00243F"/>
        <bgColor indexed="64"/>
      </patternFill>
    </fill>
    <fill>
      <patternFill patternType="solid">
        <fgColor rgb="FF002440"/>
        <bgColor indexed="64"/>
      </patternFill>
    </fill>
    <fill>
      <patternFill patternType="solid">
        <fgColor rgb="FF002441"/>
        <bgColor indexed="64"/>
      </patternFill>
    </fill>
    <fill>
      <patternFill patternType="solid">
        <fgColor rgb="FF002442"/>
        <bgColor indexed="64"/>
      </patternFill>
    </fill>
    <fill>
      <patternFill patternType="solid">
        <fgColor rgb="FF002443"/>
        <bgColor indexed="64"/>
      </patternFill>
    </fill>
    <fill>
      <patternFill patternType="solid">
        <fgColor rgb="FF002444"/>
        <bgColor indexed="64"/>
      </patternFill>
    </fill>
    <fill>
      <patternFill patternType="solid">
        <fgColor rgb="FF002445"/>
        <bgColor indexed="64"/>
      </patternFill>
    </fill>
    <fill>
      <patternFill patternType="solid">
        <fgColor rgb="FF002446"/>
        <bgColor indexed="64"/>
      </patternFill>
    </fill>
    <fill>
      <patternFill patternType="solid">
        <fgColor rgb="FF002447"/>
        <bgColor indexed="64"/>
      </patternFill>
    </fill>
    <fill>
      <patternFill patternType="solid">
        <fgColor rgb="FF002448"/>
        <bgColor indexed="64"/>
      </patternFill>
    </fill>
    <fill>
      <patternFill patternType="solid">
        <fgColor rgb="FF002449"/>
        <bgColor indexed="64"/>
      </patternFill>
    </fill>
    <fill>
      <patternFill patternType="solid">
        <fgColor rgb="FF00244A"/>
        <bgColor indexed="64"/>
      </patternFill>
    </fill>
    <fill>
      <patternFill patternType="solid">
        <fgColor rgb="FF00244B"/>
        <bgColor indexed="64"/>
      </patternFill>
    </fill>
    <fill>
      <patternFill patternType="solid">
        <fgColor rgb="FF00244C"/>
        <bgColor indexed="64"/>
      </patternFill>
    </fill>
    <fill>
      <patternFill patternType="solid">
        <fgColor rgb="FF00244D"/>
        <bgColor indexed="64"/>
      </patternFill>
    </fill>
    <fill>
      <patternFill patternType="solid">
        <fgColor rgb="FF00244E"/>
        <bgColor indexed="64"/>
      </patternFill>
    </fill>
    <fill>
      <patternFill patternType="solid">
        <fgColor rgb="FF00244F"/>
        <bgColor indexed="64"/>
      </patternFill>
    </fill>
    <fill>
      <patternFill patternType="solid">
        <fgColor rgb="FF002450"/>
        <bgColor indexed="64"/>
      </patternFill>
    </fill>
    <fill>
      <patternFill patternType="solid">
        <fgColor rgb="FF002451"/>
        <bgColor indexed="64"/>
      </patternFill>
    </fill>
    <fill>
      <patternFill patternType="solid">
        <fgColor rgb="FF002452"/>
        <bgColor indexed="64"/>
      </patternFill>
    </fill>
    <fill>
      <patternFill patternType="solid">
        <fgColor rgb="FF002453"/>
        <bgColor indexed="64"/>
      </patternFill>
    </fill>
    <fill>
      <patternFill patternType="solid">
        <fgColor rgb="FF002454"/>
        <bgColor indexed="64"/>
      </patternFill>
    </fill>
    <fill>
      <patternFill patternType="solid">
        <fgColor rgb="FF002455"/>
        <bgColor indexed="64"/>
      </patternFill>
    </fill>
    <fill>
      <patternFill patternType="solid">
        <fgColor rgb="FF002456"/>
        <bgColor indexed="64"/>
      </patternFill>
    </fill>
    <fill>
      <patternFill patternType="solid">
        <fgColor rgb="FF002457"/>
        <bgColor indexed="64"/>
      </patternFill>
    </fill>
    <fill>
      <patternFill patternType="solid">
        <fgColor rgb="FF002458"/>
        <bgColor indexed="64"/>
      </patternFill>
    </fill>
    <fill>
      <patternFill patternType="solid">
        <fgColor rgb="FF002459"/>
        <bgColor indexed="64"/>
      </patternFill>
    </fill>
    <fill>
      <patternFill patternType="solid">
        <fgColor rgb="FF00245A"/>
        <bgColor indexed="64"/>
      </patternFill>
    </fill>
    <fill>
      <patternFill patternType="solid">
        <fgColor rgb="FF00245B"/>
        <bgColor indexed="64"/>
      </patternFill>
    </fill>
    <fill>
      <patternFill patternType="solid">
        <fgColor rgb="FF00245C"/>
        <bgColor indexed="64"/>
      </patternFill>
    </fill>
    <fill>
      <patternFill patternType="solid">
        <fgColor rgb="FF00245D"/>
        <bgColor indexed="64"/>
      </patternFill>
    </fill>
    <fill>
      <patternFill patternType="solid">
        <fgColor rgb="FF00245E"/>
        <bgColor indexed="64"/>
      </patternFill>
    </fill>
    <fill>
      <patternFill patternType="solid">
        <fgColor rgb="FF00245F"/>
        <bgColor indexed="64"/>
      </patternFill>
    </fill>
    <fill>
      <patternFill patternType="solid">
        <fgColor rgb="FF002460"/>
        <bgColor indexed="64"/>
      </patternFill>
    </fill>
    <fill>
      <patternFill patternType="solid">
        <fgColor rgb="FF002461"/>
        <bgColor indexed="64"/>
      </patternFill>
    </fill>
    <fill>
      <patternFill patternType="solid">
        <fgColor rgb="FF002462"/>
        <bgColor indexed="64"/>
      </patternFill>
    </fill>
    <fill>
      <patternFill patternType="solid">
        <fgColor rgb="FF002463"/>
        <bgColor indexed="64"/>
      </patternFill>
    </fill>
    <fill>
      <patternFill patternType="solid">
        <fgColor rgb="FF002464"/>
        <bgColor indexed="64"/>
      </patternFill>
    </fill>
    <fill>
      <patternFill patternType="solid">
        <fgColor rgb="FF002465"/>
        <bgColor indexed="64"/>
      </patternFill>
    </fill>
    <fill>
      <patternFill patternType="solid">
        <fgColor rgb="FF002466"/>
        <bgColor indexed="64"/>
      </patternFill>
    </fill>
    <fill>
      <patternFill patternType="solid">
        <fgColor rgb="FF002467"/>
        <bgColor indexed="64"/>
      </patternFill>
    </fill>
    <fill>
      <patternFill patternType="solid">
        <fgColor rgb="FF002468"/>
        <bgColor indexed="64"/>
      </patternFill>
    </fill>
    <fill>
      <patternFill patternType="solid">
        <fgColor rgb="FF002469"/>
        <bgColor indexed="64"/>
      </patternFill>
    </fill>
    <fill>
      <patternFill patternType="solid">
        <fgColor rgb="FF00246A"/>
        <bgColor indexed="64"/>
      </patternFill>
    </fill>
    <fill>
      <patternFill patternType="solid">
        <fgColor rgb="FF00246B"/>
        <bgColor indexed="64"/>
      </patternFill>
    </fill>
    <fill>
      <patternFill patternType="solid">
        <fgColor rgb="FF00246C"/>
        <bgColor indexed="64"/>
      </patternFill>
    </fill>
    <fill>
      <patternFill patternType="solid">
        <fgColor rgb="FF00246D"/>
        <bgColor indexed="64"/>
      </patternFill>
    </fill>
    <fill>
      <patternFill patternType="solid">
        <fgColor rgb="FF00246E"/>
        <bgColor indexed="64"/>
      </patternFill>
    </fill>
    <fill>
      <patternFill patternType="solid">
        <fgColor rgb="FF00246F"/>
        <bgColor indexed="64"/>
      </patternFill>
    </fill>
    <fill>
      <patternFill patternType="solid">
        <fgColor rgb="FF002470"/>
        <bgColor indexed="64"/>
      </patternFill>
    </fill>
    <fill>
      <patternFill patternType="solid">
        <fgColor rgb="FF002471"/>
        <bgColor indexed="64"/>
      </patternFill>
    </fill>
    <fill>
      <patternFill patternType="solid">
        <fgColor rgb="FF002472"/>
        <bgColor indexed="64"/>
      </patternFill>
    </fill>
    <fill>
      <patternFill patternType="solid">
        <fgColor rgb="FF002473"/>
        <bgColor indexed="64"/>
      </patternFill>
    </fill>
    <fill>
      <patternFill patternType="solid">
        <fgColor rgb="FF002474"/>
        <bgColor indexed="64"/>
      </patternFill>
    </fill>
    <fill>
      <patternFill patternType="solid">
        <fgColor rgb="FF002475"/>
        <bgColor indexed="64"/>
      </patternFill>
    </fill>
    <fill>
      <patternFill patternType="solid">
        <fgColor rgb="FF002476"/>
        <bgColor indexed="64"/>
      </patternFill>
    </fill>
    <fill>
      <patternFill patternType="solid">
        <fgColor rgb="FF002477"/>
        <bgColor indexed="64"/>
      </patternFill>
    </fill>
    <fill>
      <patternFill patternType="solid">
        <fgColor rgb="FF002478"/>
        <bgColor indexed="64"/>
      </patternFill>
    </fill>
    <fill>
      <patternFill patternType="solid">
        <fgColor rgb="FF002479"/>
        <bgColor indexed="64"/>
      </patternFill>
    </fill>
    <fill>
      <patternFill patternType="solid">
        <fgColor rgb="FF00247A"/>
        <bgColor indexed="64"/>
      </patternFill>
    </fill>
    <fill>
      <patternFill patternType="solid">
        <fgColor rgb="FF00247B"/>
        <bgColor indexed="64"/>
      </patternFill>
    </fill>
    <fill>
      <patternFill patternType="solid">
        <fgColor rgb="FF00247C"/>
        <bgColor indexed="64"/>
      </patternFill>
    </fill>
    <fill>
      <patternFill patternType="solid">
        <fgColor rgb="FF00247D"/>
        <bgColor indexed="64"/>
      </patternFill>
    </fill>
    <fill>
      <patternFill patternType="solid">
        <fgColor rgb="FF00247E"/>
        <bgColor indexed="64"/>
      </patternFill>
    </fill>
    <fill>
      <patternFill patternType="solid">
        <fgColor rgb="FF00247F"/>
        <bgColor indexed="64"/>
      </patternFill>
    </fill>
    <fill>
      <patternFill patternType="solid">
        <fgColor rgb="FF002480"/>
        <bgColor indexed="64"/>
      </patternFill>
    </fill>
    <fill>
      <patternFill patternType="solid">
        <fgColor rgb="FF002481"/>
        <bgColor indexed="64"/>
      </patternFill>
    </fill>
    <fill>
      <patternFill patternType="solid">
        <fgColor rgb="FF002482"/>
        <bgColor indexed="64"/>
      </patternFill>
    </fill>
    <fill>
      <patternFill patternType="solid">
        <fgColor rgb="FF002483"/>
        <bgColor indexed="64"/>
      </patternFill>
    </fill>
    <fill>
      <patternFill patternType="solid">
        <fgColor rgb="FF002484"/>
        <bgColor indexed="64"/>
      </patternFill>
    </fill>
    <fill>
      <patternFill patternType="solid">
        <fgColor rgb="FF002485"/>
        <bgColor indexed="64"/>
      </patternFill>
    </fill>
    <fill>
      <patternFill patternType="solid">
        <fgColor rgb="FF002486"/>
        <bgColor indexed="64"/>
      </patternFill>
    </fill>
    <fill>
      <patternFill patternType="solid">
        <fgColor rgb="FF002487"/>
        <bgColor indexed="64"/>
      </patternFill>
    </fill>
    <fill>
      <patternFill patternType="solid">
        <fgColor rgb="FF002488"/>
        <bgColor indexed="64"/>
      </patternFill>
    </fill>
    <fill>
      <patternFill patternType="solid">
        <fgColor rgb="FF002489"/>
        <bgColor indexed="64"/>
      </patternFill>
    </fill>
    <fill>
      <patternFill patternType="solid">
        <fgColor rgb="FF00248A"/>
        <bgColor indexed="64"/>
      </patternFill>
    </fill>
    <fill>
      <patternFill patternType="solid">
        <fgColor rgb="FF00248B"/>
        <bgColor indexed="64"/>
      </patternFill>
    </fill>
    <fill>
      <patternFill patternType="solid">
        <fgColor rgb="FF00248C"/>
        <bgColor indexed="64"/>
      </patternFill>
    </fill>
    <fill>
      <patternFill patternType="solid">
        <fgColor rgb="FF00248D"/>
        <bgColor indexed="64"/>
      </patternFill>
    </fill>
    <fill>
      <patternFill patternType="solid">
        <fgColor rgb="FF00248E"/>
        <bgColor indexed="64"/>
      </patternFill>
    </fill>
    <fill>
      <patternFill patternType="solid">
        <fgColor rgb="FF00248F"/>
        <bgColor indexed="64"/>
      </patternFill>
    </fill>
    <fill>
      <patternFill patternType="solid">
        <fgColor rgb="FF002490"/>
        <bgColor indexed="64"/>
      </patternFill>
    </fill>
    <fill>
      <patternFill patternType="solid">
        <fgColor rgb="FF002491"/>
        <bgColor indexed="64"/>
      </patternFill>
    </fill>
    <fill>
      <patternFill patternType="solid">
        <fgColor rgb="FF002492"/>
        <bgColor indexed="64"/>
      </patternFill>
    </fill>
    <fill>
      <patternFill patternType="solid">
        <fgColor rgb="FF002493"/>
        <bgColor indexed="64"/>
      </patternFill>
    </fill>
    <fill>
      <patternFill patternType="solid">
        <fgColor rgb="FF002494"/>
        <bgColor indexed="64"/>
      </patternFill>
    </fill>
    <fill>
      <patternFill patternType="solid">
        <fgColor rgb="FF002495"/>
        <bgColor indexed="64"/>
      </patternFill>
    </fill>
    <fill>
      <patternFill patternType="solid">
        <fgColor rgb="FF002496"/>
        <bgColor indexed="64"/>
      </patternFill>
    </fill>
    <fill>
      <patternFill patternType="solid">
        <fgColor rgb="FF002497"/>
        <bgColor indexed="64"/>
      </patternFill>
    </fill>
    <fill>
      <patternFill patternType="solid">
        <fgColor rgb="FF002498"/>
        <bgColor indexed="64"/>
      </patternFill>
    </fill>
    <fill>
      <patternFill patternType="solid">
        <fgColor rgb="FF002499"/>
        <bgColor indexed="64"/>
      </patternFill>
    </fill>
    <fill>
      <patternFill patternType="solid">
        <fgColor rgb="FF00249A"/>
        <bgColor indexed="64"/>
      </patternFill>
    </fill>
    <fill>
      <patternFill patternType="solid">
        <fgColor rgb="FF00249B"/>
        <bgColor indexed="64"/>
      </patternFill>
    </fill>
    <fill>
      <patternFill patternType="solid">
        <fgColor rgb="FF00249C"/>
        <bgColor indexed="64"/>
      </patternFill>
    </fill>
    <fill>
      <patternFill patternType="solid">
        <fgColor rgb="FF00249D"/>
        <bgColor indexed="64"/>
      </patternFill>
    </fill>
    <fill>
      <patternFill patternType="solid">
        <fgColor rgb="FF00249E"/>
        <bgColor indexed="64"/>
      </patternFill>
    </fill>
    <fill>
      <patternFill patternType="solid">
        <fgColor rgb="FF00249F"/>
        <bgColor indexed="64"/>
      </patternFill>
    </fill>
    <fill>
      <patternFill patternType="solid">
        <fgColor rgb="FF0024A0"/>
        <bgColor indexed="64"/>
      </patternFill>
    </fill>
    <fill>
      <patternFill patternType="solid">
        <fgColor rgb="FF0024A1"/>
        <bgColor indexed="64"/>
      </patternFill>
    </fill>
    <fill>
      <patternFill patternType="solid">
        <fgColor rgb="FF0024A2"/>
        <bgColor indexed="64"/>
      </patternFill>
    </fill>
    <fill>
      <patternFill patternType="solid">
        <fgColor rgb="FF0024A3"/>
        <bgColor indexed="64"/>
      </patternFill>
    </fill>
    <fill>
      <patternFill patternType="solid">
        <fgColor rgb="FF0024A4"/>
        <bgColor indexed="64"/>
      </patternFill>
    </fill>
    <fill>
      <patternFill patternType="solid">
        <fgColor rgb="FF0024A5"/>
        <bgColor indexed="64"/>
      </patternFill>
    </fill>
    <fill>
      <patternFill patternType="solid">
        <fgColor rgb="FF0024A6"/>
        <bgColor indexed="64"/>
      </patternFill>
    </fill>
    <fill>
      <patternFill patternType="solid">
        <fgColor rgb="FF0024A7"/>
        <bgColor indexed="64"/>
      </patternFill>
    </fill>
    <fill>
      <patternFill patternType="solid">
        <fgColor rgb="FF0024A8"/>
        <bgColor indexed="64"/>
      </patternFill>
    </fill>
    <fill>
      <patternFill patternType="solid">
        <fgColor rgb="FF0024A9"/>
        <bgColor indexed="64"/>
      </patternFill>
    </fill>
    <fill>
      <patternFill patternType="solid">
        <fgColor rgb="FF0024AA"/>
        <bgColor indexed="64"/>
      </patternFill>
    </fill>
    <fill>
      <patternFill patternType="solid">
        <fgColor rgb="FF0024AB"/>
        <bgColor indexed="64"/>
      </patternFill>
    </fill>
    <fill>
      <patternFill patternType="solid">
        <fgColor rgb="FF0024AC"/>
        <bgColor indexed="64"/>
      </patternFill>
    </fill>
    <fill>
      <patternFill patternType="solid">
        <fgColor rgb="FF0024AD"/>
        <bgColor indexed="64"/>
      </patternFill>
    </fill>
    <fill>
      <patternFill patternType="solid">
        <fgColor rgb="FF0024AE"/>
        <bgColor indexed="64"/>
      </patternFill>
    </fill>
    <fill>
      <patternFill patternType="solid">
        <fgColor rgb="FF0024AF"/>
        <bgColor indexed="64"/>
      </patternFill>
    </fill>
    <fill>
      <patternFill patternType="solid">
        <fgColor rgb="FF0024B0"/>
        <bgColor indexed="64"/>
      </patternFill>
    </fill>
    <fill>
      <patternFill patternType="solid">
        <fgColor rgb="FF0024B1"/>
        <bgColor indexed="64"/>
      </patternFill>
    </fill>
    <fill>
      <patternFill patternType="solid">
        <fgColor rgb="FF0024B2"/>
        <bgColor indexed="64"/>
      </patternFill>
    </fill>
    <fill>
      <patternFill patternType="solid">
        <fgColor rgb="FF0024B3"/>
        <bgColor indexed="64"/>
      </patternFill>
    </fill>
    <fill>
      <patternFill patternType="solid">
        <fgColor rgb="FF0024B4"/>
        <bgColor indexed="64"/>
      </patternFill>
    </fill>
    <fill>
      <patternFill patternType="solid">
        <fgColor rgb="FF0024B5"/>
        <bgColor indexed="64"/>
      </patternFill>
    </fill>
    <fill>
      <patternFill patternType="solid">
        <fgColor rgb="FF0024B6"/>
        <bgColor indexed="64"/>
      </patternFill>
    </fill>
    <fill>
      <patternFill patternType="solid">
        <fgColor rgb="FF0024B7"/>
        <bgColor indexed="64"/>
      </patternFill>
    </fill>
    <fill>
      <patternFill patternType="solid">
        <fgColor rgb="FF0024B8"/>
        <bgColor indexed="64"/>
      </patternFill>
    </fill>
    <fill>
      <patternFill patternType="solid">
        <fgColor rgb="FF0024B9"/>
        <bgColor indexed="64"/>
      </patternFill>
    </fill>
    <fill>
      <patternFill patternType="solid">
        <fgColor rgb="FF0024BA"/>
        <bgColor indexed="64"/>
      </patternFill>
    </fill>
    <fill>
      <patternFill patternType="solid">
        <fgColor rgb="FF0024BB"/>
        <bgColor indexed="64"/>
      </patternFill>
    </fill>
    <fill>
      <patternFill patternType="solid">
        <fgColor rgb="FF0024BC"/>
        <bgColor indexed="64"/>
      </patternFill>
    </fill>
    <fill>
      <patternFill patternType="solid">
        <fgColor rgb="FF0024BD"/>
        <bgColor indexed="64"/>
      </patternFill>
    </fill>
    <fill>
      <patternFill patternType="solid">
        <fgColor rgb="FF0024BE"/>
        <bgColor indexed="64"/>
      </patternFill>
    </fill>
    <fill>
      <patternFill patternType="solid">
        <fgColor rgb="FF0024BF"/>
        <bgColor indexed="64"/>
      </patternFill>
    </fill>
    <fill>
      <patternFill patternType="solid">
        <fgColor rgb="FF0024C0"/>
        <bgColor indexed="64"/>
      </patternFill>
    </fill>
    <fill>
      <patternFill patternType="solid">
        <fgColor rgb="FF0024C1"/>
        <bgColor indexed="64"/>
      </patternFill>
    </fill>
    <fill>
      <patternFill patternType="solid">
        <fgColor rgb="FF0024C2"/>
        <bgColor indexed="64"/>
      </patternFill>
    </fill>
    <fill>
      <patternFill patternType="solid">
        <fgColor rgb="FF0024C3"/>
        <bgColor indexed="64"/>
      </patternFill>
    </fill>
    <fill>
      <patternFill patternType="solid">
        <fgColor rgb="FF0024C4"/>
        <bgColor indexed="64"/>
      </patternFill>
    </fill>
    <fill>
      <patternFill patternType="solid">
        <fgColor rgb="FF0024C5"/>
        <bgColor indexed="64"/>
      </patternFill>
    </fill>
    <fill>
      <patternFill patternType="solid">
        <fgColor rgb="FF0024C6"/>
        <bgColor indexed="64"/>
      </patternFill>
    </fill>
    <fill>
      <patternFill patternType="solid">
        <fgColor rgb="FF0024C7"/>
        <bgColor indexed="64"/>
      </patternFill>
    </fill>
    <fill>
      <patternFill patternType="solid">
        <fgColor rgb="FF0024C8"/>
        <bgColor indexed="64"/>
      </patternFill>
    </fill>
    <fill>
      <patternFill patternType="solid">
        <fgColor rgb="FF0024C9"/>
        <bgColor indexed="64"/>
      </patternFill>
    </fill>
    <fill>
      <patternFill patternType="solid">
        <fgColor rgb="FF0024CA"/>
        <bgColor indexed="64"/>
      </patternFill>
    </fill>
    <fill>
      <patternFill patternType="solid">
        <fgColor rgb="FF0024CB"/>
        <bgColor indexed="64"/>
      </patternFill>
    </fill>
    <fill>
      <patternFill patternType="solid">
        <fgColor rgb="FF0024CC"/>
        <bgColor indexed="64"/>
      </patternFill>
    </fill>
    <fill>
      <patternFill patternType="solid">
        <fgColor rgb="FF0024CD"/>
        <bgColor indexed="64"/>
      </patternFill>
    </fill>
    <fill>
      <patternFill patternType="solid">
        <fgColor rgb="FF0024CE"/>
        <bgColor indexed="64"/>
      </patternFill>
    </fill>
    <fill>
      <patternFill patternType="solid">
        <fgColor rgb="FF0024CF"/>
        <bgColor indexed="64"/>
      </patternFill>
    </fill>
    <fill>
      <patternFill patternType="solid">
        <fgColor rgb="FF0024D0"/>
        <bgColor indexed="64"/>
      </patternFill>
    </fill>
    <fill>
      <patternFill patternType="solid">
        <fgColor rgb="FF0024D1"/>
        <bgColor indexed="64"/>
      </patternFill>
    </fill>
    <fill>
      <patternFill patternType="solid">
        <fgColor rgb="FF0024D2"/>
        <bgColor indexed="64"/>
      </patternFill>
    </fill>
    <fill>
      <patternFill patternType="solid">
        <fgColor rgb="FF0024D3"/>
        <bgColor indexed="64"/>
      </patternFill>
    </fill>
    <fill>
      <patternFill patternType="solid">
        <fgColor rgb="FF0024D4"/>
        <bgColor indexed="64"/>
      </patternFill>
    </fill>
    <fill>
      <patternFill patternType="solid">
        <fgColor rgb="FF0024D5"/>
        <bgColor indexed="64"/>
      </patternFill>
    </fill>
    <fill>
      <patternFill patternType="solid">
        <fgColor rgb="FF0024D6"/>
        <bgColor indexed="64"/>
      </patternFill>
    </fill>
    <fill>
      <patternFill patternType="solid">
        <fgColor rgb="FF0024D7"/>
        <bgColor indexed="64"/>
      </patternFill>
    </fill>
    <fill>
      <patternFill patternType="solid">
        <fgColor rgb="FF0024D8"/>
        <bgColor indexed="64"/>
      </patternFill>
    </fill>
    <fill>
      <patternFill patternType="solid">
        <fgColor rgb="FF0024D9"/>
        <bgColor indexed="64"/>
      </patternFill>
    </fill>
    <fill>
      <patternFill patternType="solid">
        <fgColor rgb="FF0024DA"/>
        <bgColor indexed="64"/>
      </patternFill>
    </fill>
    <fill>
      <patternFill patternType="solid">
        <fgColor rgb="FF0024DB"/>
        <bgColor indexed="64"/>
      </patternFill>
    </fill>
    <fill>
      <patternFill patternType="solid">
        <fgColor rgb="FF0024DC"/>
        <bgColor indexed="64"/>
      </patternFill>
    </fill>
    <fill>
      <patternFill patternType="solid">
        <fgColor rgb="FF0024DD"/>
        <bgColor indexed="64"/>
      </patternFill>
    </fill>
    <fill>
      <patternFill patternType="solid">
        <fgColor rgb="FF0024DE"/>
        <bgColor indexed="64"/>
      </patternFill>
    </fill>
    <fill>
      <patternFill patternType="solid">
        <fgColor rgb="FF0024DF"/>
        <bgColor indexed="64"/>
      </patternFill>
    </fill>
    <fill>
      <patternFill patternType="solid">
        <fgColor rgb="FF0024E0"/>
        <bgColor indexed="64"/>
      </patternFill>
    </fill>
    <fill>
      <patternFill patternType="solid">
        <fgColor rgb="FF0024E1"/>
        <bgColor indexed="64"/>
      </patternFill>
    </fill>
    <fill>
      <patternFill patternType="solid">
        <fgColor rgb="FF0024E2"/>
        <bgColor indexed="64"/>
      </patternFill>
    </fill>
    <fill>
      <patternFill patternType="solid">
        <fgColor rgb="FF0024E3"/>
        <bgColor indexed="64"/>
      </patternFill>
    </fill>
    <fill>
      <patternFill patternType="solid">
        <fgColor rgb="FF0024E4"/>
        <bgColor indexed="64"/>
      </patternFill>
    </fill>
    <fill>
      <patternFill patternType="solid">
        <fgColor rgb="FF0024E5"/>
        <bgColor indexed="64"/>
      </patternFill>
    </fill>
    <fill>
      <patternFill patternType="solid">
        <fgColor rgb="FF0024E6"/>
        <bgColor indexed="64"/>
      </patternFill>
    </fill>
    <fill>
      <patternFill patternType="solid">
        <fgColor rgb="FF0024E7"/>
        <bgColor indexed="64"/>
      </patternFill>
    </fill>
    <fill>
      <patternFill patternType="solid">
        <fgColor rgb="FF0024E8"/>
        <bgColor indexed="64"/>
      </patternFill>
    </fill>
    <fill>
      <patternFill patternType="solid">
        <fgColor rgb="FF0024E9"/>
        <bgColor indexed="64"/>
      </patternFill>
    </fill>
    <fill>
      <patternFill patternType="solid">
        <fgColor rgb="FF0024EA"/>
        <bgColor indexed="64"/>
      </patternFill>
    </fill>
    <fill>
      <patternFill patternType="solid">
        <fgColor rgb="FF0024EB"/>
        <bgColor indexed="64"/>
      </patternFill>
    </fill>
    <fill>
      <patternFill patternType="solid">
        <fgColor rgb="FF0024EC"/>
        <bgColor indexed="64"/>
      </patternFill>
    </fill>
    <fill>
      <patternFill patternType="solid">
        <fgColor rgb="FF0024ED"/>
        <bgColor indexed="64"/>
      </patternFill>
    </fill>
    <fill>
      <patternFill patternType="solid">
        <fgColor rgb="FF0024EE"/>
        <bgColor indexed="64"/>
      </patternFill>
    </fill>
    <fill>
      <patternFill patternType="solid">
        <fgColor rgb="FF0024EF"/>
        <bgColor indexed="64"/>
      </patternFill>
    </fill>
    <fill>
      <patternFill patternType="solid">
        <fgColor rgb="FF0024F0"/>
        <bgColor indexed="64"/>
      </patternFill>
    </fill>
    <fill>
      <patternFill patternType="solid">
        <fgColor rgb="FF0024F1"/>
        <bgColor indexed="64"/>
      </patternFill>
    </fill>
    <fill>
      <patternFill patternType="solid">
        <fgColor rgb="FF0024F2"/>
        <bgColor indexed="64"/>
      </patternFill>
    </fill>
    <fill>
      <patternFill patternType="solid">
        <fgColor rgb="FF0024F3"/>
        <bgColor indexed="64"/>
      </patternFill>
    </fill>
    <fill>
      <patternFill patternType="solid">
        <fgColor rgb="FF0024F4"/>
        <bgColor indexed="64"/>
      </patternFill>
    </fill>
    <fill>
      <patternFill patternType="solid">
        <fgColor rgb="FF0024F5"/>
        <bgColor indexed="64"/>
      </patternFill>
    </fill>
    <fill>
      <patternFill patternType="solid">
        <fgColor rgb="FF0024F6"/>
        <bgColor indexed="64"/>
      </patternFill>
    </fill>
    <fill>
      <patternFill patternType="solid">
        <fgColor rgb="FF0024F7"/>
        <bgColor indexed="64"/>
      </patternFill>
    </fill>
    <fill>
      <patternFill patternType="solid">
        <fgColor rgb="FF0024F8"/>
        <bgColor indexed="64"/>
      </patternFill>
    </fill>
    <fill>
      <patternFill patternType="solid">
        <fgColor rgb="FF0024F9"/>
        <bgColor indexed="64"/>
      </patternFill>
    </fill>
    <fill>
      <patternFill patternType="solid">
        <fgColor rgb="FF0024FA"/>
        <bgColor indexed="64"/>
      </patternFill>
    </fill>
    <fill>
      <patternFill patternType="solid">
        <fgColor rgb="FF0024FB"/>
        <bgColor indexed="64"/>
      </patternFill>
    </fill>
    <fill>
      <patternFill patternType="solid">
        <fgColor rgb="FF0024FC"/>
        <bgColor indexed="64"/>
      </patternFill>
    </fill>
    <fill>
      <patternFill patternType="solid">
        <fgColor rgb="FF0024FD"/>
        <bgColor indexed="64"/>
      </patternFill>
    </fill>
    <fill>
      <patternFill patternType="solid">
        <fgColor rgb="FF0024FE"/>
        <bgColor indexed="64"/>
      </patternFill>
    </fill>
    <fill>
      <patternFill patternType="solid">
        <fgColor rgb="FF0024FF"/>
        <bgColor indexed="64"/>
      </patternFill>
    </fill>
    <fill>
      <patternFill patternType="solid">
        <fgColor rgb="FF002500"/>
        <bgColor indexed="64"/>
      </patternFill>
    </fill>
    <fill>
      <patternFill patternType="solid">
        <fgColor rgb="FF002501"/>
        <bgColor indexed="64"/>
      </patternFill>
    </fill>
    <fill>
      <patternFill patternType="solid">
        <fgColor rgb="FF002502"/>
        <bgColor indexed="64"/>
      </patternFill>
    </fill>
    <fill>
      <patternFill patternType="solid">
        <fgColor rgb="FF002503"/>
        <bgColor indexed="64"/>
      </patternFill>
    </fill>
    <fill>
      <patternFill patternType="solid">
        <fgColor rgb="FF002504"/>
        <bgColor indexed="64"/>
      </patternFill>
    </fill>
    <fill>
      <patternFill patternType="solid">
        <fgColor rgb="FF002505"/>
        <bgColor indexed="64"/>
      </patternFill>
    </fill>
    <fill>
      <patternFill patternType="solid">
        <fgColor rgb="FF002506"/>
        <bgColor indexed="64"/>
      </patternFill>
    </fill>
    <fill>
      <patternFill patternType="solid">
        <fgColor rgb="FF002507"/>
        <bgColor indexed="64"/>
      </patternFill>
    </fill>
    <fill>
      <patternFill patternType="solid">
        <fgColor rgb="FF002508"/>
        <bgColor indexed="64"/>
      </patternFill>
    </fill>
    <fill>
      <patternFill patternType="solid">
        <fgColor rgb="FF002509"/>
        <bgColor indexed="64"/>
      </patternFill>
    </fill>
    <fill>
      <patternFill patternType="solid">
        <fgColor rgb="FF00250A"/>
        <bgColor indexed="64"/>
      </patternFill>
    </fill>
    <fill>
      <patternFill patternType="solid">
        <fgColor rgb="FF00250B"/>
        <bgColor indexed="64"/>
      </patternFill>
    </fill>
    <fill>
      <patternFill patternType="solid">
        <fgColor rgb="FF00250C"/>
        <bgColor indexed="64"/>
      </patternFill>
    </fill>
    <fill>
      <patternFill patternType="solid">
        <fgColor rgb="FF00250D"/>
        <bgColor indexed="64"/>
      </patternFill>
    </fill>
    <fill>
      <patternFill patternType="solid">
        <fgColor rgb="FF00250E"/>
        <bgColor indexed="64"/>
      </patternFill>
    </fill>
    <fill>
      <patternFill patternType="solid">
        <fgColor rgb="FF00250F"/>
        <bgColor indexed="64"/>
      </patternFill>
    </fill>
    <fill>
      <patternFill patternType="solid">
        <fgColor rgb="FF002510"/>
        <bgColor indexed="64"/>
      </patternFill>
    </fill>
    <fill>
      <patternFill patternType="solid">
        <fgColor rgb="FF002511"/>
        <bgColor indexed="64"/>
      </patternFill>
    </fill>
    <fill>
      <patternFill patternType="solid">
        <fgColor rgb="FF002512"/>
        <bgColor indexed="64"/>
      </patternFill>
    </fill>
    <fill>
      <patternFill patternType="solid">
        <fgColor rgb="FF002513"/>
        <bgColor indexed="64"/>
      </patternFill>
    </fill>
    <fill>
      <patternFill patternType="solid">
        <fgColor rgb="FF002514"/>
        <bgColor indexed="64"/>
      </patternFill>
    </fill>
    <fill>
      <patternFill patternType="solid">
        <fgColor rgb="FF002515"/>
        <bgColor indexed="64"/>
      </patternFill>
    </fill>
    <fill>
      <patternFill patternType="solid">
        <fgColor rgb="FF002516"/>
        <bgColor indexed="64"/>
      </patternFill>
    </fill>
    <fill>
      <patternFill patternType="solid">
        <fgColor rgb="FF002517"/>
        <bgColor indexed="64"/>
      </patternFill>
    </fill>
    <fill>
      <patternFill patternType="solid">
        <fgColor rgb="FF002518"/>
        <bgColor indexed="64"/>
      </patternFill>
    </fill>
    <fill>
      <patternFill patternType="solid">
        <fgColor rgb="FF002519"/>
        <bgColor indexed="64"/>
      </patternFill>
    </fill>
    <fill>
      <patternFill patternType="solid">
        <fgColor rgb="FF00251A"/>
        <bgColor indexed="64"/>
      </patternFill>
    </fill>
    <fill>
      <patternFill patternType="solid">
        <fgColor rgb="FF00251B"/>
        <bgColor indexed="64"/>
      </patternFill>
    </fill>
    <fill>
      <patternFill patternType="solid">
        <fgColor rgb="FF00251C"/>
        <bgColor indexed="64"/>
      </patternFill>
    </fill>
    <fill>
      <patternFill patternType="solid">
        <fgColor rgb="FF00251D"/>
        <bgColor indexed="64"/>
      </patternFill>
    </fill>
    <fill>
      <patternFill patternType="solid">
        <fgColor rgb="FF00251E"/>
        <bgColor indexed="64"/>
      </patternFill>
    </fill>
    <fill>
      <patternFill patternType="solid">
        <fgColor rgb="FF00251F"/>
        <bgColor indexed="64"/>
      </patternFill>
    </fill>
    <fill>
      <patternFill patternType="solid">
        <fgColor rgb="FF002520"/>
        <bgColor indexed="64"/>
      </patternFill>
    </fill>
    <fill>
      <patternFill patternType="solid">
        <fgColor rgb="FF002521"/>
        <bgColor indexed="64"/>
      </patternFill>
    </fill>
    <fill>
      <patternFill patternType="solid">
        <fgColor rgb="FF002522"/>
        <bgColor indexed="64"/>
      </patternFill>
    </fill>
    <fill>
      <patternFill patternType="solid">
        <fgColor rgb="FF002523"/>
        <bgColor indexed="64"/>
      </patternFill>
    </fill>
    <fill>
      <patternFill patternType="solid">
        <fgColor rgb="FF002524"/>
        <bgColor indexed="64"/>
      </patternFill>
    </fill>
    <fill>
      <patternFill patternType="solid">
        <fgColor rgb="FF002525"/>
        <bgColor indexed="64"/>
      </patternFill>
    </fill>
    <fill>
      <patternFill patternType="solid">
        <fgColor rgb="FF002526"/>
        <bgColor indexed="64"/>
      </patternFill>
    </fill>
    <fill>
      <patternFill patternType="solid">
        <fgColor rgb="FF002527"/>
        <bgColor indexed="64"/>
      </patternFill>
    </fill>
    <fill>
      <patternFill patternType="solid">
        <fgColor rgb="FF002528"/>
        <bgColor indexed="64"/>
      </patternFill>
    </fill>
    <fill>
      <patternFill patternType="solid">
        <fgColor rgb="FF002529"/>
        <bgColor indexed="64"/>
      </patternFill>
    </fill>
    <fill>
      <patternFill patternType="solid">
        <fgColor rgb="FF00252A"/>
        <bgColor indexed="64"/>
      </patternFill>
    </fill>
    <fill>
      <patternFill patternType="solid">
        <fgColor rgb="FF00252B"/>
        <bgColor indexed="64"/>
      </patternFill>
    </fill>
    <fill>
      <patternFill patternType="solid">
        <fgColor rgb="FF00252C"/>
        <bgColor indexed="64"/>
      </patternFill>
    </fill>
    <fill>
      <patternFill patternType="solid">
        <fgColor rgb="FF00252D"/>
        <bgColor indexed="64"/>
      </patternFill>
    </fill>
    <fill>
      <patternFill patternType="solid">
        <fgColor rgb="FF00252E"/>
        <bgColor indexed="64"/>
      </patternFill>
    </fill>
    <fill>
      <patternFill patternType="solid">
        <fgColor rgb="FF00252F"/>
        <bgColor indexed="64"/>
      </patternFill>
    </fill>
    <fill>
      <patternFill patternType="solid">
        <fgColor rgb="FF002530"/>
        <bgColor indexed="64"/>
      </patternFill>
    </fill>
    <fill>
      <patternFill patternType="solid">
        <fgColor rgb="FF002531"/>
        <bgColor indexed="64"/>
      </patternFill>
    </fill>
    <fill>
      <patternFill patternType="solid">
        <fgColor rgb="FF002532"/>
        <bgColor indexed="64"/>
      </patternFill>
    </fill>
    <fill>
      <patternFill patternType="solid">
        <fgColor rgb="FF002533"/>
        <bgColor indexed="64"/>
      </patternFill>
    </fill>
    <fill>
      <patternFill patternType="solid">
        <fgColor rgb="FF002534"/>
        <bgColor indexed="64"/>
      </patternFill>
    </fill>
    <fill>
      <patternFill patternType="solid">
        <fgColor rgb="FF002535"/>
        <bgColor indexed="64"/>
      </patternFill>
    </fill>
    <fill>
      <patternFill patternType="solid">
        <fgColor rgb="FF002536"/>
        <bgColor indexed="64"/>
      </patternFill>
    </fill>
    <fill>
      <patternFill patternType="solid">
        <fgColor rgb="FF002537"/>
        <bgColor indexed="64"/>
      </patternFill>
    </fill>
    <fill>
      <patternFill patternType="solid">
        <fgColor rgb="FF002538"/>
        <bgColor indexed="64"/>
      </patternFill>
    </fill>
    <fill>
      <patternFill patternType="solid">
        <fgColor rgb="FF002539"/>
        <bgColor indexed="64"/>
      </patternFill>
    </fill>
    <fill>
      <patternFill patternType="solid">
        <fgColor rgb="FF00253A"/>
        <bgColor indexed="64"/>
      </patternFill>
    </fill>
    <fill>
      <patternFill patternType="solid">
        <fgColor rgb="FF00253B"/>
        <bgColor indexed="64"/>
      </patternFill>
    </fill>
    <fill>
      <patternFill patternType="solid">
        <fgColor rgb="FF00253C"/>
        <bgColor indexed="64"/>
      </patternFill>
    </fill>
    <fill>
      <patternFill patternType="solid">
        <fgColor rgb="FF00253D"/>
        <bgColor indexed="64"/>
      </patternFill>
    </fill>
    <fill>
      <patternFill patternType="solid">
        <fgColor rgb="FF00253E"/>
        <bgColor indexed="64"/>
      </patternFill>
    </fill>
    <fill>
      <patternFill patternType="solid">
        <fgColor rgb="FF00253F"/>
        <bgColor indexed="64"/>
      </patternFill>
    </fill>
    <fill>
      <patternFill patternType="solid">
        <fgColor rgb="FF002540"/>
        <bgColor indexed="64"/>
      </patternFill>
    </fill>
    <fill>
      <patternFill patternType="solid">
        <fgColor rgb="FF002541"/>
        <bgColor indexed="64"/>
      </patternFill>
    </fill>
    <fill>
      <patternFill patternType="solid">
        <fgColor rgb="FF002542"/>
        <bgColor indexed="64"/>
      </patternFill>
    </fill>
    <fill>
      <patternFill patternType="solid">
        <fgColor rgb="FF002543"/>
        <bgColor indexed="64"/>
      </patternFill>
    </fill>
    <fill>
      <patternFill patternType="solid">
        <fgColor rgb="FF002544"/>
        <bgColor indexed="64"/>
      </patternFill>
    </fill>
    <fill>
      <patternFill patternType="solid">
        <fgColor rgb="FF002545"/>
        <bgColor indexed="64"/>
      </patternFill>
    </fill>
    <fill>
      <patternFill patternType="solid">
        <fgColor rgb="FF002546"/>
        <bgColor indexed="64"/>
      </patternFill>
    </fill>
    <fill>
      <patternFill patternType="solid">
        <fgColor rgb="FF002547"/>
        <bgColor indexed="64"/>
      </patternFill>
    </fill>
    <fill>
      <patternFill patternType="solid">
        <fgColor rgb="FF002548"/>
        <bgColor indexed="64"/>
      </patternFill>
    </fill>
    <fill>
      <patternFill patternType="solid">
        <fgColor rgb="FF002549"/>
        <bgColor indexed="64"/>
      </patternFill>
    </fill>
    <fill>
      <patternFill patternType="solid">
        <fgColor rgb="FF00254A"/>
        <bgColor indexed="64"/>
      </patternFill>
    </fill>
    <fill>
      <patternFill patternType="solid">
        <fgColor rgb="FF00254B"/>
        <bgColor indexed="64"/>
      </patternFill>
    </fill>
    <fill>
      <patternFill patternType="solid">
        <fgColor rgb="FF00254C"/>
        <bgColor indexed="64"/>
      </patternFill>
    </fill>
    <fill>
      <patternFill patternType="solid">
        <fgColor rgb="FF00254D"/>
        <bgColor indexed="64"/>
      </patternFill>
    </fill>
    <fill>
      <patternFill patternType="solid">
        <fgColor rgb="FF00254E"/>
        <bgColor indexed="64"/>
      </patternFill>
    </fill>
    <fill>
      <patternFill patternType="solid">
        <fgColor rgb="FF00254F"/>
        <bgColor indexed="64"/>
      </patternFill>
    </fill>
    <fill>
      <patternFill patternType="solid">
        <fgColor rgb="FF002550"/>
        <bgColor indexed="64"/>
      </patternFill>
    </fill>
    <fill>
      <patternFill patternType="solid">
        <fgColor rgb="FF002551"/>
        <bgColor indexed="64"/>
      </patternFill>
    </fill>
    <fill>
      <patternFill patternType="solid">
        <fgColor rgb="FF002552"/>
        <bgColor indexed="64"/>
      </patternFill>
    </fill>
    <fill>
      <patternFill patternType="solid">
        <fgColor rgb="FF002553"/>
        <bgColor indexed="64"/>
      </patternFill>
    </fill>
    <fill>
      <patternFill patternType="solid">
        <fgColor rgb="FF002554"/>
        <bgColor indexed="64"/>
      </patternFill>
    </fill>
    <fill>
      <patternFill patternType="solid">
        <fgColor rgb="FF002555"/>
        <bgColor indexed="64"/>
      </patternFill>
    </fill>
    <fill>
      <patternFill patternType="solid">
        <fgColor rgb="FF002556"/>
        <bgColor indexed="64"/>
      </patternFill>
    </fill>
    <fill>
      <patternFill patternType="solid">
        <fgColor rgb="FF002557"/>
        <bgColor indexed="64"/>
      </patternFill>
    </fill>
    <fill>
      <patternFill patternType="solid">
        <fgColor rgb="FF002558"/>
        <bgColor indexed="64"/>
      </patternFill>
    </fill>
    <fill>
      <patternFill patternType="solid">
        <fgColor rgb="FF002559"/>
        <bgColor indexed="64"/>
      </patternFill>
    </fill>
    <fill>
      <patternFill patternType="solid">
        <fgColor rgb="FF00255A"/>
        <bgColor indexed="64"/>
      </patternFill>
    </fill>
    <fill>
      <patternFill patternType="solid">
        <fgColor rgb="FF00255B"/>
        <bgColor indexed="64"/>
      </patternFill>
    </fill>
    <fill>
      <patternFill patternType="solid">
        <fgColor rgb="FF00255C"/>
        <bgColor indexed="64"/>
      </patternFill>
    </fill>
    <fill>
      <patternFill patternType="solid">
        <fgColor rgb="FF00255D"/>
        <bgColor indexed="64"/>
      </patternFill>
    </fill>
    <fill>
      <patternFill patternType="solid">
        <fgColor rgb="FF00255E"/>
        <bgColor indexed="64"/>
      </patternFill>
    </fill>
    <fill>
      <patternFill patternType="solid">
        <fgColor rgb="FF00255F"/>
        <bgColor indexed="64"/>
      </patternFill>
    </fill>
    <fill>
      <patternFill patternType="solid">
        <fgColor rgb="FF002560"/>
        <bgColor indexed="64"/>
      </patternFill>
    </fill>
    <fill>
      <patternFill patternType="solid">
        <fgColor rgb="FF002561"/>
        <bgColor indexed="64"/>
      </patternFill>
    </fill>
    <fill>
      <patternFill patternType="solid">
        <fgColor rgb="FF002562"/>
        <bgColor indexed="64"/>
      </patternFill>
    </fill>
    <fill>
      <patternFill patternType="solid">
        <fgColor rgb="FF002563"/>
        <bgColor indexed="64"/>
      </patternFill>
    </fill>
    <fill>
      <patternFill patternType="solid">
        <fgColor rgb="FF002564"/>
        <bgColor indexed="64"/>
      </patternFill>
    </fill>
    <fill>
      <patternFill patternType="solid">
        <fgColor rgb="FF002565"/>
        <bgColor indexed="64"/>
      </patternFill>
    </fill>
    <fill>
      <patternFill patternType="solid">
        <fgColor rgb="FF002566"/>
        <bgColor indexed="64"/>
      </patternFill>
    </fill>
    <fill>
      <patternFill patternType="solid">
        <fgColor rgb="FF002567"/>
        <bgColor indexed="64"/>
      </patternFill>
    </fill>
    <fill>
      <patternFill patternType="solid">
        <fgColor rgb="FF002568"/>
        <bgColor indexed="64"/>
      </patternFill>
    </fill>
    <fill>
      <patternFill patternType="solid">
        <fgColor rgb="FF002569"/>
        <bgColor indexed="64"/>
      </patternFill>
    </fill>
    <fill>
      <patternFill patternType="solid">
        <fgColor rgb="FF00256A"/>
        <bgColor indexed="64"/>
      </patternFill>
    </fill>
    <fill>
      <patternFill patternType="solid">
        <fgColor rgb="FF00256B"/>
        <bgColor indexed="64"/>
      </patternFill>
    </fill>
    <fill>
      <patternFill patternType="solid">
        <fgColor rgb="FF00256C"/>
        <bgColor indexed="64"/>
      </patternFill>
    </fill>
    <fill>
      <patternFill patternType="solid">
        <fgColor rgb="FF00256D"/>
        <bgColor indexed="64"/>
      </patternFill>
    </fill>
    <fill>
      <patternFill patternType="solid">
        <fgColor rgb="FF00256E"/>
        <bgColor indexed="64"/>
      </patternFill>
    </fill>
    <fill>
      <patternFill patternType="solid">
        <fgColor rgb="FF00256F"/>
        <bgColor indexed="64"/>
      </patternFill>
    </fill>
    <fill>
      <patternFill patternType="solid">
        <fgColor rgb="FF002570"/>
        <bgColor indexed="64"/>
      </patternFill>
    </fill>
    <fill>
      <patternFill patternType="solid">
        <fgColor rgb="FF002571"/>
        <bgColor indexed="64"/>
      </patternFill>
    </fill>
    <fill>
      <patternFill patternType="solid">
        <fgColor rgb="FF002572"/>
        <bgColor indexed="64"/>
      </patternFill>
    </fill>
    <fill>
      <patternFill patternType="solid">
        <fgColor rgb="FF002573"/>
        <bgColor indexed="64"/>
      </patternFill>
    </fill>
    <fill>
      <patternFill patternType="solid">
        <fgColor rgb="FF002574"/>
        <bgColor indexed="64"/>
      </patternFill>
    </fill>
    <fill>
      <patternFill patternType="solid">
        <fgColor rgb="FF002575"/>
        <bgColor indexed="64"/>
      </patternFill>
    </fill>
    <fill>
      <patternFill patternType="solid">
        <fgColor rgb="FF002576"/>
        <bgColor indexed="64"/>
      </patternFill>
    </fill>
    <fill>
      <patternFill patternType="solid">
        <fgColor rgb="FF002577"/>
        <bgColor indexed="64"/>
      </patternFill>
    </fill>
    <fill>
      <patternFill patternType="solid">
        <fgColor rgb="FF002578"/>
        <bgColor indexed="64"/>
      </patternFill>
    </fill>
    <fill>
      <patternFill patternType="solid">
        <fgColor rgb="FF002579"/>
        <bgColor indexed="64"/>
      </patternFill>
    </fill>
    <fill>
      <patternFill patternType="solid">
        <fgColor rgb="FF00257A"/>
        <bgColor indexed="64"/>
      </patternFill>
    </fill>
    <fill>
      <patternFill patternType="solid">
        <fgColor rgb="FF00257B"/>
        <bgColor indexed="64"/>
      </patternFill>
    </fill>
    <fill>
      <patternFill patternType="solid">
        <fgColor rgb="FF00257C"/>
        <bgColor indexed="64"/>
      </patternFill>
    </fill>
    <fill>
      <patternFill patternType="solid">
        <fgColor rgb="FF00257D"/>
        <bgColor indexed="64"/>
      </patternFill>
    </fill>
    <fill>
      <patternFill patternType="solid">
        <fgColor rgb="FF00257E"/>
        <bgColor indexed="64"/>
      </patternFill>
    </fill>
    <fill>
      <patternFill patternType="solid">
        <fgColor rgb="FF00257F"/>
        <bgColor indexed="64"/>
      </patternFill>
    </fill>
    <fill>
      <patternFill patternType="solid">
        <fgColor rgb="FF002580"/>
        <bgColor indexed="64"/>
      </patternFill>
    </fill>
    <fill>
      <patternFill patternType="solid">
        <fgColor rgb="FF002581"/>
        <bgColor indexed="64"/>
      </patternFill>
    </fill>
    <fill>
      <patternFill patternType="solid">
        <fgColor rgb="FF002582"/>
        <bgColor indexed="64"/>
      </patternFill>
    </fill>
    <fill>
      <patternFill patternType="solid">
        <fgColor rgb="FF002583"/>
        <bgColor indexed="64"/>
      </patternFill>
    </fill>
    <fill>
      <patternFill patternType="solid">
        <fgColor rgb="FF002584"/>
        <bgColor indexed="64"/>
      </patternFill>
    </fill>
    <fill>
      <patternFill patternType="solid">
        <fgColor rgb="FF002585"/>
        <bgColor indexed="64"/>
      </patternFill>
    </fill>
    <fill>
      <patternFill patternType="solid">
        <fgColor rgb="FF002586"/>
        <bgColor indexed="64"/>
      </patternFill>
    </fill>
    <fill>
      <patternFill patternType="solid">
        <fgColor rgb="FF002587"/>
        <bgColor indexed="64"/>
      </patternFill>
    </fill>
    <fill>
      <patternFill patternType="solid">
        <fgColor rgb="FF002588"/>
        <bgColor indexed="64"/>
      </patternFill>
    </fill>
    <fill>
      <patternFill patternType="solid">
        <fgColor rgb="FF002589"/>
        <bgColor indexed="64"/>
      </patternFill>
    </fill>
    <fill>
      <patternFill patternType="solid">
        <fgColor rgb="FF00258A"/>
        <bgColor indexed="64"/>
      </patternFill>
    </fill>
    <fill>
      <patternFill patternType="solid">
        <fgColor rgb="FF00258B"/>
        <bgColor indexed="64"/>
      </patternFill>
    </fill>
    <fill>
      <patternFill patternType="solid">
        <fgColor rgb="FF00258C"/>
        <bgColor indexed="64"/>
      </patternFill>
    </fill>
    <fill>
      <patternFill patternType="solid">
        <fgColor rgb="FF00258D"/>
        <bgColor indexed="64"/>
      </patternFill>
    </fill>
    <fill>
      <patternFill patternType="solid">
        <fgColor rgb="FF00258E"/>
        <bgColor indexed="64"/>
      </patternFill>
    </fill>
    <fill>
      <patternFill patternType="solid">
        <fgColor rgb="FF00258F"/>
        <bgColor indexed="64"/>
      </patternFill>
    </fill>
    <fill>
      <patternFill patternType="solid">
        <fgColor rgb="FF002590"/>
        <bgColor indexed="64"/>
      </patternFill>
    </fill>
    <fill>
      <patternFill patternType="solid">
        <fgColor rgb="FF002591"/>
        <bgColor indexed="64"/>
      </patternFill>
    </fill>
    <fill>
      <patternFill patternType="solid">
        <fgColor rgb="FF002592"/>
        <bgColor indexed="64"/>
      </patternFill>
    </fill>
    <fill>
      <patternFill patternType="solid">
        <fgColor rgb="FF002593"/>
        <bgColor indexed="64"/>
      </patternFill>
    </fill>
    <fill>
      <patternFill patternType="solid">
        <fgColor rgb="FF002594"/>
        <bgColor indexed="64"/>
      </patternFill>
    </fill>
    <fill>
      <patternFill patternType="solid">
        <fgColor rgb="FF002595"/>
        <bgColor indexed="64"/>
      </patternFill>
    </fill>
    <fill>
      <patternFill patternType="solid">
        <fgColor rgb="FF002596"/>
        <bgColor indexed="64"/>
      </patternFill>
    </fill>
    <fill>
      <patternFill patternType="solid">
        <fgColor rgb="FF002597"/>
        <bgColor indexed="64"/>
      </patternFill>
    </fill>
    <fill>
      <patternFill patternType="solid">
        <fgColor rgb="FF002598"/>
        <bgColor indexed="64"/>
      </patternFill>
    </fill>
    <fill>
      <patternFill patternType="solid">
        <fgColor rgb="FF002599"/>
        <bgColor indexed="64"/>
      </patternFill>
    </fill>
    <fill>
      <patternFill patternType="solid">
        <fgColor rgb="FF00259A"/>
        <bgColor indexed="64"/>
      </patternFill>
    </fill>
    <fill>
      <patternFill patternType="solid">
        <fgColor rgb="FF00259B"/>
        <bgColor indexed="64"/>
      </patternFill>
    </fill>
    <fill>
      <patternFill patternType="solid">
        <fgColor rgb="FF00259C"/>
        <bgColor indexed="64"/>
      </patternFill>
    </fill>
    <fill>
      <patternFill patternType="solid">
        <fgColor rgb="FF00259D"/>
        <bgColor indexed="64"/>
      </patternFill>
    </fill>
    <fill>
      <patternFill patternType="solid">
        <fgColor rgb="FF00259E"/>
        <bgColor indexed="64"/>
      </patternFill>
    </fill>
    <fill>
      <patternFill patternType="solid">
        <fgColor rgb="FF00259F"/>
        <bgColor indexed="64"/>
      </patternFill>
    </fill>
    <fill>
      <patternFill patternType="solid">
        <fgColor rgb="FF0025A0"/>
        <bgColor indexed="64"/>
      </patternFill>
    </fill>
    <fill>
      <patternFill patternType="solid">
        <fgColor rgb="FF0025A1"/>
        <bgColor indexed="64"/>
      </patternFill>
    </fill>
    <fill>
      <patternFill patternType="solid">
        <fgColor rgb="FF0025A2"/>
        <bgColor indexed="64"/>
      </patternFill>
    </fill>
    <fill>
      <patternFill patternType="solid">
        <fgColor rgb="FF0025A3"/>
        <bgColor indexed="64"/>
      </patternFill>
    </fill>
    <fill>
      <patternFill patternType="solid">
        <fgColor rgb="FF0025A4"/>
        <bgColor indexed="64"/>
      </patternFill>
    </fill>
    <fill>
      <patternFill patternType="solid">
        <fgColor rgb="FF0025A5"/>
        <bgColor indexed="64"/>
      </patternFill>
    </fill>
    <fill>
      <patternFill patternType="solid">
        <fgColor rgb="FF0025A6"/>
        <bgColor indexed="64"/>
      </patternFill>
    </fill>
    <fill>
      <patternFill patternType="solid">
        <fgColor rgb="FF0025A7"/>
        <bgColor indexed="64"/>
      </patternFill>
    </fill>
    <fill>
      <patternFill patternType="solid">
        <fgColor rgb="FF0025A8"/>
        <bgColor indexed="64"/>
      </patternFill>
    </fill>
    <fill>
      <patternFill patternType="solid">
        <fgColor rgb="FF0025A9"/>
        <bgColor indexed="64"/>
      </patternFill>
    </fill>
    <fill>
      <patternFill patternType="solid">
        <fgColor rgb="FF0025AA"/>
        <bgColor indexed="64"/>
      </patternFill>
    </fill>
    <fill>
      <patternFill patternType="solid">
        <fgColor rgb="FF0025AB"/>
        <bgColor indexed="64"/>
      </patternFill>
    </fill>
    <fill>
      <patternFill patternType="solid">
        <fgColor rgb="FF0025AC"/>
        <bgColor indexed="64"/>
      </patternFill>
    </fill>
    <fill>
      <patternFill patternType="solid">
        <fgColor rgb="FF0025AD"/>
        <bgColor indexed="64"/>
      </patternFill>
    </fill>
    <fill>
      <patternFill patternType="solid">
        <fgColor rgb="FF0025AE"/>
        <bgColor indexed="64"/>
      </patternFill>
    </fill>
    <fill>
      <patternFill patternType="solid">
        <fgColor rgb="FF0025AF"/>
        <bgColor indexed="64"/>
      </patternFill>
    </fill>
    <fill>
      <patternFill patternType="solid">
        <fgColor rgb="FF0025B0"/>
        <bgColor indexed="64"/>
      </patternFill>
    </fill>
    <fill>
      <patternFill patternType="solid">
        <fgColor rgb="FF0025B1"/>
        <bgColor indexed="64"/>
      </patternFill>
    </fill>
    <fill>
      <patternFill patternType="solid">
        <fgColor rgb="FF0025B2"/>
        <bgColor indexed="64"/>
      </patternFill>
    </fill>
    <fill>
      <patternFill patternType="solid">
        <fgColor rgb="FF0025B3"/>
        <bgColor indexed="64"/>
      </patternFill>
    </fill>
    <fill>
      <patternFill patternType="solid">
        <fgColor rgb="FF0025B4"/>
        <bgColor indexed="64"/>
      </patternFill>
    </fill>
    <fill>
      <patternFill patternType="solid">
        <fgColor rgb="FF0025B5"/>
        <bgColor indexed="64"/>
      </patternFill>
    </fill>
    <fill>
      <patternFill patternType="solid">
        <fgColor rgb="FF0025B6"/>
        <bgColor indexed="64"/>
      </patternFill>
    </fill>
    <fill>
      <patternFill patternType="solid">
        <fgColor rgb="FF0025B7"/>
        <bgColor indexed="64"/>
      </patternFill>
    </fill>
    <fill>
      <patternFill patternType="solid">
        <fgColor rgb="FF0025B8"/>
        <bgColor indexed="64"/>
      </patternFill>
    </fill>
    <fill>
      <patternFill patternType="solid">
        <fgColor rgb="FF0025B9"/>
        <bgColor indexed="64"/>
      </patternFill>
    </fill>
    <fill>
      <patternFill patternType="solid">
        <fgColor rgb="FF0025BA"/>
        <bgColor indexed="64"/>
      </patternFill>
    </fill>
    <fill>
      <patternFill patternType="solid">
        <fgColor rgb="FF0025BB"/>
        <bgColor indexed="64"/>
      </patternFill>
    </fill>
    <fill>
      <patternFill patternType="solid">
        <fgColor rgb="FF0025BC"/>
        <bgColor indexed="64"/>
      </patternFill>
    </fill>
    <fill>
      <patternFill patternType="solid">
        <fgColor rgb="FF0025BD"/>
        <bgColor indexed="64"/>
      </patternFill>
    </fill>
    <fill>
      <patternFill patternType="solid">
        <fgColor rgb="FF0025BE"/>
        <bgColor indexed="64"/>
      </patternFill>
    </fill>
    <fill>
      <patternFill patternType="solid">
        <fgColor rgb="FF0025BF"/>
        <bgColor indexed="64"/>
      </patternFill>
    </fill>
    <fill>
      <patternFill patternType="solid">
        <fgColor rgb="FF0025C0"/>
        <bgColor indexed="64"/>
      </patternFill>
    </fill>
    <fill>
      <patternFill patternType="solid">
        <fgColor rgb="FF0025C1"/>
        <bgColor indexed="64"/>
      </patternFill>
    </fill>
    <fill>
      <patternFill patternType="solid">
        <fgColor rgb="FF0025C2"/>
        <bgColor indexed="64"/>
      </patternFill>
    </fill>
    <fill>
      <patternFill patternType="solid">
        <fgColor rgb="FF0025C3"/>
        <bgColor indexed="64"/>
      </patternFill>
    </fill>
    <fill>
      <patternFill patternType="solid">
        <fgColor rgb="FF0025C4"/>
        <bgColor indexed="64"/>
      </patternFill>
    </fill>
    <fill>
      <patternFill patternType="solid">
        <fgColor rgb="FF0025C5"/>
        <bgColor indexed="64"/>
      </patternFill>
    </fill>
    <fill>
      <patternFill patternType="solid">
        <fgColor rgb="FF0025C6"/>
        <bgColor indexed="64"/>
      </patternFill>
    </fill>
    <fill>
      <patternFill patternType="solid">
        <fgColor rgb="FF0025C7"/>
        <bgColor indexed="64"/>
      </patternFill>
    </fill>
    <fill>
      <patternFill patternType="solid">
        <fgColor rgb="FF0025C8"/>
        <bgColor indexed="64"/>
      </patternFill>
    </fill>
    <fill>
      <patternFill patternType="solid">
        <fgColor rgb="FF0025C9"/>
        <bgColor indexed="64"/>
      </patternFill>
    </fill>
    <fill>
      <patternFill patternType="solid">
        <fgColor rgb="FF0025CA"/>
        <bgColor indexed="64"/>
      </patternFill>
    </fill>
    <fill>
      <patternFill patternType="solid">
        <fgColor rgb="FF0025CB"/>
        <bgColor indexed="64"/>
      </patternFill>
    </fill>
    <fill>
      <patternFill patternType="solid">
        <fgColor rgb="FF0025CC"/>
        <bgColor indexed="64"/>
      </patternFill>
    </fill>
    <fill>
      <patternFill patternType="solid">
        <fgColor rgb="FF0025CD"/>
        <bgColor indexed="64"/>
      </patternFill>
    </fill>
    <fill>
      <patternFill patternType="solid">
        <fgColor rgb="FF0025CE"/>
        <bgColor indexed="64"/>
      </patternFill>
    </fill>
    <fill>
      <patternFill patternType="solid">
        <fgColor rgb="FF0025CF"/>
        <bgColor indexed="64"/>
      </patternFill>
    </fill>
    <fill>
      <patternFill patternType="solid">
        <fgColor rgb="FF0025D0"/>
        <bgColor indexed="64"/>
      </patternFill>
    </fill>
    <fill>
      <patternFill patternType="solid">
        <fgColor rgb="FF0025D1"/>
        <bgColor indexed="64"/>
      </patternFill>
    </fill>
    <fill>
      <patternFill patternType="solid">
        <fgColor rgb="FF0025D2"/>
        <bgColor indexed="64"/>
      </patternFill>
    </fill>
    <fill>
      <patternFill patternType="solid">
        <fgColor rgb="FF0025D3"/>
        <bgColor indexed="64"/>
      </patternFill>
    </fill>
    <fill>
      <patternFill patternType="solid">
        <fgColor rgb="FF0025D4"/>
        <bgColor indexed="64"/>
      </patternFill>
    </fill>
    <fill>
      <patternFill patternType="solid">
        <fgColor rgb="FF0025D5"/>
        <bgColor indexed="64"/>
      </patternFill>
    </fill>
    <fill>
      <patternFill patternType="solid">
        <fgColor rgb="FF0025D6"/>
        <bgColor indexed="64"/>
      </patternFill>
    </fill>
    <fill>
      <patternFill patternType="solid">
        <fgColor rgb="FF0025D7"/>
        <bgColor indexed="64"/>
      </patternFill>
    </fill>
    <fill>
      <patternFill patternType="solid">
        <fgColor rgb="FF0025D8"/>
        <bgColor indexed="64"/>
      </patternFill>
    </fill>
    <fill>
      <patternFill patternType="solid">
        <fgColor rgb="FF0025D9"/>
        <bgColor indexed="64"/>
      </patternFill>
    </fill>
    <fill>
      <patternFill patternType="solid">
        <fgColor rgb="FF0025DA"/>
        <bgColor indexed="64"/>
      </patternFill>
    </fill>
    <fill>
      <patternFill patternType="solid">
        <fgColor rgb="FF0025DB"/>
        <bgColor indexed="64"/>
      </patternFill>
    </fill>
    <fill>
      <patternFill patternType="solid">
        <fgColor rgb="FF0025DC"/>
        <bgColor indexed="64"/>
      </patternFill>
    </fill>
    <fill>
      <patternFill patternType="solid">
        <fgColor rgb="FF0025DD"/>
        <bgColor indexed="64"/>
      </patternFill>
    </fill>
    <fill>
      <patternFill patternType="solid">
        <fgColor rgb="FF0025DE"/>
        <bgColor indexed="64"/>
      </patternFill>
    </fill>
    <fill>
      <patternFill patternType="solid">
        <fgColor rgb="FF0025DF"/>
        <bgColor indexed="64"/>
      </patternFill>
    </fill>
    <fill>
      <patternFill patternType="solid">
        <fgColor rgb="FF0025E0"/>
        <bgColor indexed="64"/>
      </patternFill>
    </fill>
    <fill>
      <patternFill patternType="solid">
        <fgColor rgb="FF0025E1"/>
        <bgColor indexed="64"/>
      </patternFill>
    </fill>
    <fill>
      <patternFill patternType="solid">
        <fgColor rgb="FF0025E2"/>
        <bgColor indexed="64"/>
      </patternFill>
    </fill>
    <fill>
      <patternFill patternType="solid">
        <fgColor rgb="FF0025E3"/>
        <bgColor indexed="64"/>
      </patternFill>
    </fill>
    <fill>
      <patternFill patternType="solid">
        <fgColor rgb="FF0025E4"/>
        <bgColor indexed="64"/>
      </patternFill>
    </fill>
    <fill>
      <patternFill patternType="solid">
        <fgColor rgb="FF0025E5"/>
        <bgColor indexed="64"/>
      </patternFill>
    </fill>
    <fill>
      <patternFill patternType="solid">
        <fgColor rgb="FF0025E6"/>
        <bgColor indexed="64"/>
      </patternFill>
    </fill>
    <fill>
      <patternFill patternType="solid">
        <fgColor rgb="FF0025E7"/>
        <bgColor indexed="64"/>
      </patternFill>
    </fill>
    <fill>
      <patternFill patternType="solid">
        <fgColor rgb="FF0025E8"/>
        <bgColor indexed="64"/>
      </patternFill>
    </fill>
    <fill>
      <patternFill patternType="solid">
        <fgColor rgb="FF0025E9"/>
        <bgColor indexed="64"/>
      </patternFill>
    </fill>
    <fill>
      <patternFill patternType="solid">
        <fgColor rgb="FF0025EA"/>
        <bgColor indexed="64"/>
      </patternFill>
    </fill>
    <fill>
      <patternFill patternType="solid">
        <fgColor rgb="FF0025EB"/>
        <bgColor indexed="64"/>
      </patternFill>
    </fill>
    <fill>
      <patternFill patternType="solid">
        <fgColor rgb="FF0025EC"/>
        <bgColor indexed="64"/>
      </patternFill>
    </fill>
    <fill>
      <patternFill patternType="solid">
        <fgColor rgb="FF0025ED"/>
        <bgColor indexed="64"/>
      </patternFill>
    </fill>
    <fill>
      <patternFill patternType="solid">
        <fgColor rgb="FF0025EE"/>
        <bgColor indexed="64"/>
      </patternFill>
    </fill>
    <fill>
      <patternFill patternType="solid">
        <fgColor rgb="FF0025EF"/>
        <bgColor indexed="64"/>
      </patternFill>
    </fill>
    <fill>
      <patternFill patternType="solid">
        <fgColor rgb="FF0025F0"/>
        <bgColor indexed="64"/>
      </patternFill>
    </fill>
    <fill>
      <patternFill patternType="solid">
        <fgColor rgb="FF0025F1"/>
        <bgColor indexed="64"/>
      </patternFill>
    </fill>
    <fill>
      <patternFill patternType="solid">
        <fgColor rgb="FF0025F2"/>
        <bgColor indexed="64"/>
      </patternFill>
    </fill>
    <fill>
      <patternFill patternType="solid">
        <fgColor rgb="FF0025F3"/>
        <bgColor indexed="64"/>
      </patternFill>
    </fill>
    <fill>
      <patternFill patternType="solid">
        <fgColor rgb="FF0025F4"/>
        <bgColor indexed="64"/>
      </patternFill>
    </fill>
    <fill>
      <patternFill patternType="solid">
        <fgColor rgb="FF0025F5"/>
        <bgColor indexed="64"/>
      </patternFill>
    </fill>
    <fill>
      <patternFill patternType="solid">
        <fgColor rgb="FF0025F6"/>
        <bgColor indexed="64"/>
      </patternFill>
    </fill>
    <fill>
      <patternFill patternType="solid">
        <fgColor rgb="FF0025F7"/>
        <bgColor indexed="64"/>
      </patternFill>
    </fill>
    <fill>
      <patternFill patternType="solid">
        <fgColor rgb="FF0025F8"/>
        <bgColor indexed="64"/>
      </patternFill>
    </fill>
    <fill>
      <patternFill patternType="solid">
        <fgColor rgb="FF0025F9"/>
        <bgColor indexed="64"/>
      </patternFill>
    </fill>
    <fill>
      <patternFill patternType="solid">
        <fgColor rgb="FF0025FA"/>
        <bgColor indexed="64"/>
      </patternFill>
    </fill>
    <fill>
      <patternFill patternType="solid">
        <fgColor rgb="FF0025FB"/>
        <bgColor indexed="64"/>
      </patternFill>
    </fill>
    <fill>
      <patternFill patternType="solid">
        <fgColor rgb="FF0025FC"/>
        <bgColor indexed="64"/>
      </patternFill>
    </fill>
    <fill>
      <patternFill patternType="solid">
        <fgColor rgb="FF0025FD"/>
        <bgColor indexed="64"/>
      </patternFill>
    </fill>
    <fill>
      <patternFill patternType="solid">
        <fgColor rgb="FF0025FE"/>
        <bgColor indexed="64"/>
      </patternFill>
    </fill>
    <fill>
      <patternFill patternType="solid">
        <fgColor rgb="FF0025FF"/>
        <bgColor indexed="64"/>
      </patternFill>
    </fill>
    <fill>
      <patternFill patternType="solid">
        <fgColor rgb="FF002600"/>
        <bgColor indexed="64"/>
      </patternFill>
    </fill>
    <fill>
      <patternFill patternType="solid">
        <fgColor rgb="FF002601"/>
        <bgColor indexed="64"/>
      </patternFill>
    </fill>
    <fill>
      <patternFill patternType="solid">
        <fgColor rgb="FF002602"/>
        <bgColor indexed="64"/>
      </patternFill>
    </fill>
    <fill>
      <patternFill patternType="solid">
        <fgColor rgb="FF002603"/>
        <bgColor indexed="64"/>
      </patternFill>
    </fill>
    <fill>
      <patternFill patternType="solid">
        <fgColor rgb="FF002604"/>
        <bgColor indexed="64"/>
      </patternFill>
    </fill>
    <fill>
      <patternFill patternType="solid">
        <fgColor rgb="FF002605"/>
        <bgColor indexed="64"/>
      </patternFill>
    </fill>
    <fill>
      <patternFill patternType="solid">
        <fgColor rgb="FF002606"/>
        <bgColor indexed="64"/>
      </patternFill>
    </fill>
    <fill>
      <patternFill patternType="solid">
        <fgColor rgb="FF002607"/>
        <bgColor indexed="64"/>
      </patternFill>
    </fill>
    <fill>
      <patternFill patternType="solid">
        <fgColor rgb="FF002608"/>
        <bgColor indexed="64"/>
      </patternFill>
    </fill>
    <fill>
      <patternFill patternType="solid">
        <fgColor rgb="FF002609"/>
        <bgColor indexed="64"/>
      </patternFill>
    </fill>
    <fill>
      <patternFill patternType="solid">
        <fgColor rgb="FF00260A"/>
        <bgColor indexed="64"/>
      </patternFill>
    </fill>
    <fill>
      <patternFill patternType="solid">
        <fgColor rgb="FF00260B"/>
        <bgColor indexed="64"/>
      </patternFill>
    </fill>
    <fill>
      <patternFill patternType="solid">
        <fgColor rgb="FF00260C"/>
        <bgColor indexed="64"/>
      </patternFill>
    </fill>
    <fill>
      <patternFill patternType="solid">
        <fgColor rgb="FF00260D"/>
        <bgColor indexed="64"/>
      </patternFill>
    </fill>
    <fill>
      <patternFill patternType="solid">
        <fgColor rgb="FF00260E"/>
        <bgColor indexed="64"/>
      </patternFill>
    </fill>
    <fill>
      <patternFill patternType="solid">
        <fgColor rgb="FF00260F"/>
        <bgColor indexed="64"/>
      </patternFill>
    </fill>
    <fill>
      <patternFill patternType="solid">
        <fgColor rgb="FF002610"/>
        <bgColor indexed="64"/>
      </patternFill>
    </fill>
    <fill>
      <patternFill patternType="solid">
        <fgColor rgb="FF002611"/>
        <bgColor indexed="64"/>
      </patternFill>
    </fill>
    <fill>
      <patternFill patternType="solid">
        <fgColor rgb="FF002612"/>
        <bgColor indexed="64"/>
      </patternFill>
    </fill>
    <fill>
      <patternFill patternType="solid">
        <fgColor rgb="FF002613"/>
        <bgColor indexed="64"/>
      </patternFill>
    </fill>
    <fill>
      <patternFill patternType="solid">
        <fgColor rgb="FF002614"/>
        <bgColor indexed="64"/>
      </patternFill>
    </fill>
    <fill>
      <patternFill patternType="solid">
        <fgColor rgb="FF002615"/>
        <bgColor indexed="64"/>
      </patternFill>
    </fill>
    <fill>
      <patternFill patternType="solid">
        <fgColor rgb="FF002616"/>
        <bgColor indexed="64"/>
      </patternFill>
    </fill>
    <fill>
      <patternFill patternType="solid">
        <fgColor rgb="FF002617"/>
        <bgColor indexed="64"/>
      </patternFill>
    </fill>
    <fill>
      <patternFill patternType="solid">
        <fgColor rgb="FF002618"/>
        <bgColor indexed="64"/>
      </patternFill>
    </fill>
    <fill>
      <patternFill patternType="solid">
        <fgColor rgb="FF002619"/>
        <bgColor indexed="64"/>
      </patternFill>
    </fill>
    <fill>
      <patternFill patternType="solid">
        <fgColor rgb="FF00261A"/>
        <bgColor indexed="64"/>
      </patternFill>
    </fill>
    <fill>
      <patternFill patternType="solid">
        <fgColor rgb="FF00261B"/>
        <bgColor indexed="64"/>
      </patternFill>
    </fill>
    <fill>
      <patternFill patternType="solid">
        <fgColor rgb="FF00261C"/>
        <bgColor indexed="64"/>
      </patternFill>
    </fill>
    <fill>
      <patternFill patternType="solid">
        <fgColor rgb="FF00261D"/>
        <bgColor indexed="64"/>
      </patternFill>
    </fill>
    <fill>
      <patternFill patternType="solid">
        <fgColor rgb="FF00261E"/>
        <bgColor indexed="64"/>
      </patternFill>
    </fill>
    <fill>
      <patternFill patternType="solid">
        <fgColor rgb="FF00261F"/>
        <bgColor indexed="64"/>
      </patternFill>
    </fill>
    <fill>
      <patternFill patternType="solid">
        <fgColor rgb="FF002620"/>
        <bgColor indexed="64"/>
      </patternFill>
    </fill>
    <fill>
      <patternFill patternType="solid">
        <fgColor rgb="FF002621"/>
        <bgColor indexed="64"/>
      </patternFill>
    </fill>
    <fill>
      <patternFill patternType="solid">
        <fgColor rgb="FF002622"/>
        <bgColor indexed="64"/>
      </patternFill>
    </fill>
    <fill>
      <patternFill patternType="solid">
        <fgColor rgb="FF002623"/>
        <bgColor indexed="64"/>
      </patternFill>
    </fill>
    <fill>
      <patternFill patternType="solid">
        <fgColor rgb="FF002624"/>
        <bgColor indexed="64"/>
      </patternFill>
    </fill>
    <fill>
      <patternFill patternType="solid">
        <fgColor rgb="FF002625"/>
        <bgColor indexed="64"/>
      </patternFill>
    </fill>
    <fill>
      <patternFill patternType="solid">
        <fgColor rgb="FF002626"/>
        <bgColor indexed="64"/>
      </patternFill>
    </fill>
    <fill>
      <patternFill patternType="solid">
        <fgColor rgb="FF002627"/>
        <bgColor indexed="64"/>
      </patternFill>
    </fill>
    <fill>
      <patternFill patternType="solid">
        <fgColor rgb="FF002628"/>
        <bgColor indexed="64"/>
      </patternFill>
    </fill>
    <fill>
      <patternFill patternType="solid">
        <fgColor rgb="FF002629"/>
        <bgColor indexed="64"/>
      </patternFill>
    </fill>
    <fill>
      <patternFill patternType="solid">
        <fgColor rgb="FF00262A"/>
        <bgColor indexed="64"/>
      </patternFill>
    </fill>
    <fill>
      <patternFill patternType="solid">
        <fgColor rgb="FF00262B"/>
        <bgColor indexed="64"/>
      </patternFill>
    </fill>
    <fill>
      <patternFill patternType="solid">
        <fgColor rgb="FF00262C"/>
        <bgColor indexed="64"/>
      </patternFill>
    </fill>
    <fill>
      <patternFill patternType="solid">
        <fgColor rgb="FF00262D"/>
        <bgColor indexed="64"/>
      </patternFill>
    </fill>
    <fill>
      <patternFill patternType="solid">
        <fgColor rgb="FF00262E"/>
        <bgColor indexed="64"/>
      </patternFill>
    </fill>
    <fill>
      <patternFill patternType="solid">
        <fgColor rgb="FF00262F"/>
        <bgColor indexed="64"/>
      </patternFill>
    </fill>
    <fill>
      <patternFill patternType="solid">
        <fgColor rgb="FF002630"/>
        <bgColor indexed="64"/>
      </patternFill>
    </fill>
    <fill>
      <patternFill patternType="solid">
        <fgColor rgb="FF002631"/>
        <bgColor indexed="64"/>
      </patternFill>
    </fill>
    <fill>
      <patternFill patternType="solid">
        <fgColor rgb="FF002632"/>
        <bgColor indexed="64"/>
      </patternFill>
    </fill>
    <fill>
      <patternFill patternType="solid">
        <fgColor rgb="FF002633"/>
        <bgColor indexed="64"/>
      </patternFill>
    </fill>
    <fill>
      <patternFill patternType="solid">
        <fgColor rgb="FF002634"/>
        <bgColor indexed="64"/>
      </patternFill>
    </fill>
    <fill>
      <patternFill patternType="solid">
        <fgColor rgb="FF002635"/>
        <bgColor indexed="64"/>
      </patternFill>
    </fill>
    <fill>
      <patternFill patternType="solid">
        <fgColor rgb="FF002636"/>
        <bgColor indexed="64"/>
      </patternFill>
    </fill>
    <fill>
      <patternFill patternType="solid">
        <fgColor rgb="FF002637"/>
        <bgColor indexed="64"/>
      </patternFill>
    </fill>
    <fill>
      <patternFill patternType="solid">
        <fgColor rgb="FF002638"/>
        <bgColor indexed="64"/>
      </patternFill>
    </fill>
    <fill>
      <patternFill patternType="solid">
        <fgColor rgb="FF002639"/>
        <bgColor indexed="64"/>
      </patternFill>
    </fill>
    <fill>
      <patternFill patternType="solid">
        <fgColor rgb="FF00263A"/>
        <bgColor indexed="64"/>
      </patternFill>
    </fill>
    <fill>
      <patternFill patternType="solid">
        <fgColor rgb="FF00263B"/>
        <bgColor indexed="64"/>
      </patternFill>
    </fill>
    <fill>
      <patternFill patternType="solid">
        <fgColor rgb="FF00263C"/>
        <bgColor indexed="64"/>
      </patternFill>
    </fill>
    <fill>
      <patternFill patternType="solid">
        <fgColor rgb="FF00263D"/>
        <bgColor indexed="64"/>
      </patternFill>
    </fill>
    <fill>
      <patternFill patternType="solid">
        <fgColor rgb="FF00263E"/>
        <bgColor indexed="64"/>
      </patternFill>
    </fill>
    <fill>
      <patternFill patternType="solid">
        <fgColor rgb="FF00263F"/>
        <bgColor indexed="64"/>
      </patternFill>
    </fill>
    <fill>
      <patternFill patternType="solid">
        <fgColor rgb="FF002640"/>
        <bgColor indexed="64"/>
      </patternFill>
    </fill>
    <fill>
      <patternFill patternType="solid">
        <fgColor rgb="FF002641"/>
        <bgColor indexed="64"/>
      </patternFill>
    </fill>
    <fill>
      <patternFill patternType="solid">
        <fgColor rgb="FF002642"/>
        <bgColor indexed="64"/>
      </patternFill>
    </fill>
    <fill>
      <patternFill patternType="solid">
        <fgColor rgb="FF002643"/>
        <bgColor indexed="64"/>
      </patternFill>
    </fill>
    <fill>
      <patternFill patternType="solid">
        <fgColor rgb="FF002644"/>
        <bgColor indexed="64"/>
      </patternFill>
    </fill>
    <fill>
      <patternFill patternType="solid">
        <fgColor rgb="FF002645"/>
        <bgColor indexed="64"/>
      </patternFill>
    </fill>
    <fill>
      <patternFill patternType="solid">
        <fgColor rgb="FF002646"/>
        <bgColor indexed="64"/>
      </patternFill>
    </fill>
    <fill>
      <patternFill patternType="solid">
        <fgColor rgb="FF002647"/>
        <bgColor indexed="64"/>
      </patternFill>
    </fill>
    <fill>
      <patternFill patternType="solid">
        <fgColor rgb="FF002648"/>
        <bgColor indexed="64"/>
      </patternFill>
    </fill>
    <fill>
      <patternFill patternType="solid">
        <fgColor rgb="FF002649"/>
        <bgColor indexed="64"/>
      </patternFill>
    </fill>
    <fill>
      <patternFill patternType="solid">
        <fgColor rgb="FF00264A"/>
        <bgColor indexed="64"/>
      </patternFill>
    </fill>
    <fill>
      <patternFill patternType="solid">
        <fgColor rgb="FF00264B"/>
        <bgColor indexed="64"/>
      </patternFill>
    </fill>
    <fill>
      <patternFill patternType="solid">
        <fgColor rgb="FF00264C"/>
        <bgColor indexed="64"/>
      </patternFill>
    </fill>
    <fill>
      <patternFill patternType="solid">
        <fgColor rgb="FF00264D"/>
        <bgColor indexed="64"/>
      </patternFill>
    </fill>
    <fill>
      <patternFill patternType="solid">
        <fgColor rgb="FF00264E"/>
        <bgColor indexed="64"/>
      </patternFill>
    </fill>
    <fill>
      <patternFill patternType="solid">
        <fgColor rgb="FF00264F"/>
        <bgColor indexed="64"/>
      </patternFill>
    </fill>
    <fill>
      <patternFill patternType="solid">
        <fgColor rgb="FF002650"/>
        <bgColor indexed="64"/>
      </patternFill>
    </fill>
    <fill>
      <patternFill patternType="solid">
        <fgColor rgb="FF002651"/>
        <bgColor indexed="64"/>
      </patternFill>
    </fill>
    <fill>
      <patternFill patternType="solid">
        <fgColor rgb="FF002652"/>
        <bgColor indexed="64"/>
      </patternFill>
    </fill>
    <fill>
      <patternFill patternType="solid">
        <fgColor rgb="FF002653"/>
        <bgColor indexed="64"/>
      </patternFill>
    </fill>
    <fill>
      <patternFill patternType="solid">
        <fgColor rgb="FF002654"/>
        <bgColor indexed="64"/>
      </patternFill>
    </fill>
    <fill>
      <patternFill patternType="solid">
        <fgColor rgb="FF002655"/>
        <bgColor indexed="64"/>
      </patternFill>
    </fill>
    <fill>
      <patternFill patternType="solid">
        <fgColor rgb="FF002656"/>
        <bgColor indexed="64"/>
      </patternFill>
    </fill>
    <fill>
      <patternFill patternType="solid">
        <fgColor rgb="FF002657"/>
        <bgColor indexed="64"/>
      </patternFill>
    </fill>
    <fill>
      <patternFill patternType="solid">
        <fgColor rgb="FF002658"/>
        <bgColor indexed="64"/>
      </patternFill>
    </fill>
    <fill>
      <patternFill patternType="solid">
        <fgColor rgb="FF002659"/>
        <bgColor indexed="64"/>
      </patternFill>
    </fill>
    <fill>
      <patternFill patternType="solid">
        <fgColor rgb="FF00265A"/>
        <bgColor indexed="64"/>
      </patternFill>
    </fill>
    <fill>
      <patternFill patternType="solid">
        <fgColor rgb="FF00265B"/>
        <bgColor indexed="64"/>
      </patternFill>
    </fill>
    <fill>
      <patternFill patternType="solid">
        <fgColor rgb="FF00265C"/>
        <bgColor indexed="64"/>
      </patternFill>
    </fill>
    <fill>
      <patternFill patternType="solid">
        <fgColor rgb="FF00265D"/>
        <bgColor indexed="64"/>
      </patternFill>
    </fill>
    <fill>
      <patternFill patternType="solid">
        <fgColor rgb="FF00265E"/>
        <bgColor indexed="64"/>
      </patternFill>
    </fill>
    <fill>
      <patternFill patternType="solid">
        <fgColor rgb="FF00265F"/>
        <bgColor indexed="64"/>
      </patternFill>
    </fill>
    <fill>
      <patternFill patternType="solid">
        <fgColor rgb="FF002660"/>
        <bgColor indexed="64"/>
      </patternFill>
    </fill>
    <fill>
      <patternFill patternType="solid">
        <fgColor rgb="FF002661"/>
        <bgColor indexed="64"/>
      </patternFill>
    </fill>
    <fill>
      <patternFill patternType="solid">
        <fgColor rgb="FF002662"/>
        <bgColor indexed="64"/>
      </patternFill>
    </fill>
    <fill>
      <patternFill patternType="solid">
        <fgColor rgb="FF002663"/>
        <bgColor indexed="64"/>
      </patternFill>
    </fill>
    <fill>
      <patternFill patternType="solid">
        <fgColor rgb="FF002664"/>
        <bgColor indexed="64"/>
      </patternFill>
    </fill>
    <fill>
      <patternFill patternType="solid">
        <fgColor rgb="FF002665"/>
        <bgColor indexed="64"/>
      </patternFill>
    </fill>
    <fill>
      <patternFill patternType="solid">
        <fgColor rgb="FF002666"/>
        <bgColor indexed="64"/>
      </patternFill>
    </fill>
    <fill>
      <patternFill patternType="solid">
        <fgColor rgb="FF002667"/>
        <bgColor indexed="64"/>
      </patternFill>
    </fill>
    <fill>
      <patternFill patternType="solid">
        <fgColor rgb="FF002668"/>
        <bgColor indexed="64"/>
      </patternFill>
    </fill>
    <fill>
      <patternFill patternType="solid">
        <fgColor rgb="FF002669"/>
        <bgColor indexed="64"/>
      </patternFill>
    </fill>
    <fill>
      <patternFill patternType="solid">
        <fgColor rgb="FF00266A"/>
        <bgColor indexed="64"/>
      </patternFill>
    </fill>
    <fill>
      <patternFill patternType="solid">
        <fgColor rgb="FF00266B"/>
        <bgColor indexed="64"/>
      </patternFill>
    </fill>
    <fill>
      <patternFill patternType="solid">
        <fgColor rgb="FF00266C"/>
        <bgColor indexed="64"/>
      </patternFill>
    </fill>
    <fill>
      <patternFill patternType="solid">
        <fgColor rgb="FF00266D"/>
        <bgColor indexed="64"/>
      </patternFill>
    </fill>
    <fill>
      <patternFill patternType="solid">
        <fgColor rgb="FF00266E"/>
        <bgColor indexed="64"/>
      </patternFill>
    </fill>
    <fill>
      <patternFill patternType="solid">
        <fgColor rgb="FF00266F"/>
        <bgColor indexed="64"/>
      </patternFill>
    </fill>
    <fill>
      <patternFill patternType="solid">
        <fgColor rgb="FF002670"/>
        <bgColor indexed="64"/>
      </patternFill>
    </fill>
    <fill>
      <patternFill patternType="solid">
        <fgColor rgb="FF002671"/>
        <bgColor indexed="64"/>
      </patternFill>
    </fill>
    <fill>
      <patternFill patternType="solid">
        <fgColor rgb="FF002672"/>
        <bgColor indexed="64"/>
      </patternFill>
    </fill>
    <fill>
      <patternFill patternType="solid">
        <fgColor rgb="FF002673"/>
        <bgColor indexed="64"/>
      </patternFill>
    </fill>
    <fill>
      <patternFill patternType="solid">
        <fgColor rgb="FF002674"/>
        <bgColor indexed="64"/>
      </patternFill>
    </fill>
    <fill>
      <patternFill patternType="solid">
        <fgColor rgb="FF002675"/>
        <bgColor indexed="64"/>
      </patternFill>
    </fill>
    <fill>
      <patternFill patternType="solid">
        <fgColor rgb="FF002676"/>
        <bgColor indexed="64"/>
      </patternFill>
    </fill>
    <fill>
      <patternFill patternType="solid">
        <fgColor rgb="FF002677"/>
        <bgColor indexed="64"/>
      </patternFill>
    </fill>
    <fill>
      <patternFill patternType="solid">
        <fgColor rgb="FF002678"/>
        <bgColor indexed="64"/>
      </patternFill>
    </fill>
    <fill>
      <patternFill patternType="solid">
        <fgColor rgb="FF002679"/>
        <bgColor indexed="64"/>
      </patternFill>
    </fill>
    <fill>
      <patternFill patternType="solid">
        <fgColor rgb="FF00267A"/>
        <bgColor indexed="64"/>
      </patternFill>
    </fill>
    <fill>
      <patternFill patternType="solid">
        <fgColor rgb="FF00267B"/>
        <bgColor indexed="64"/>
      </patternFill>
    </fill>
    <fill>
      <patternFill patternType="solid">
        <fgColor rgb="FF00267C"/>
        <bgColor indexed="64"/>
      </patternFill>
    </fill>
    <fill>
      <patternFill patternType="solid">
        <fgColor rgb="FF00267D"/>
        <bgColor indexed="64"/>
      </patternFill>
    </fill>
    <fill>
      <patternFill patternType="solid">
        <fgColor rgb="FF00267E"/>
        <bgColor indexed="64"/>
      </patternFill>
    </fill>
    <fill>
      <patternFill patternType="solid">
        <fgColor rgb="FF00267F"/>
        <bgColor indexed="64"/>
      </patternFill>
    </fill>
    <fill>
      <patternFill patternType="solid">
        <fgColor rgb="FF002680"/>
        <bgColor indexed="64"/>
      </patternFill>
    </fill>
    <fill>
      <patternFill patternType="solid">
        <fgColor rgb="FF002681"/>
        <bgColor indexed="64"/>
      </patternFill>
    </fill>
    <fill>
      <patternFill patternType="solid">
        <fgColor rgb="FF002682"/>
        <bgColor indexed="64"/>
      </patternFill>
    </fill>
    <fill>
      <patternFill patternType="solid">
        <fgColor rgb="FF002683"/>
        <bgColor indexed="64"/>
      </patternFill>
    </fill>
    <fill>
      <patternFill patternType="solid">
        <fgColor rgb="FF002684"/>
        <bgColor indexed="64"/>
      </patternFill>
    </fill>
    <fill>
      <patternFill patternType="solid">
        <fgColor rgb="FF002685"/>
        <bgColor indexed="64"/>
      </patternFill>
    </fill>
    <fill>
      <patternFill patternType="solid">
        <fgColor rgb="FF002686"/>
        <bgColor indexed="64"/>
      </patternFill>
    </fill>
    <fill>
      <patternFill patternType="solid">
        <fgColor rgb="FF002687"/>
        <bgColor indexed="64"/>
      </patternFill>
    </fill>
    <fill>
      <patternFill patternType="solid">
        <fgColor rgb="FF002688"/>
        <bgColor indexed="64"/>
      </patternFill>
    </fill>
    <fill>
      <patternFill patternType="solid">
        <fgColor rgb="FF002689"/>
        <bgColor indexed="64"/>
      </patternFill>
    </fill>
    <fill>
      <patternFill patternType="solid">
        <fgColor rgb="FF00268A"/>
        <bgColor indexed="64"/>
      </patternFill>
    </fill>
    <fill>
      <patternFill patternType="solid">
        <fgColor rgb="FF00268B"/>
        <bgColor indexed="64"/>
      </patternFill>
    </fill>
    <fill>
      <patternFill patternType="solid">
        <fgColor rgb="FF00268C"/>
        <bgColor indexed="64"/>
      </patternFill>
    </fill>
    <fill>
      <patternFill patternType="solid">
        <fgColor rgb="FF00268D"/>
        <bgColor indexed="64"/>
      </patternFill>
    </fill>
    <fill>
      <patternFill patternType="solid">
        <fgColor rgb="FF00268E"/>
        <bgColor indexed="64"/>
      </patternFill>
    </fill>
    <fill>
      <patternFill patternType="solid">
        <fgColor rgb="FF00268F"/>
        <bgColor indexed="64"/>
      </patternFill>
    </fill>
    <fill>
      <patternFill patternType="solid">
        <fgColor rgb="FF002690"/>
        <bgColor indexed="64"/>
      </patternFill>
    </fill>
    <fill>
      <patternFill patternType="solid">
        <fgColor rgb="FF002691"/>
        <bgColor indexed="64"/>
      </patternFill>
    </fill>
    <fill>
      <patternFill patternType="solid">
        <fgColor rgb="FF002692"/>
        <bgColor indexed="64"/>
      </patternFill>
    </fill>
    <fill>
      <patternFill patternType="solid">
        <fgColor rgb="FF002693"/>
        <bgColor indexed="64"/>
      </patternFill>
    </fill>
    <fill>
      <patternFill patternType="solid">
        <fgColor rgb="FF002694"/>
        <bgColor indexed="64"/>
      </patternFill>
    </fill>
    <fill>
      <patternFill patternType="solid">
        <fgColor rgb="FF002695"/>
        <bgColor indexed="64"/>
      </patternFill>
    </fill>
    <fill>
      <patternFill patternType="solid">
        <fgColor rgb="FF002696"/>
        <bgColor indexed="64"/>
      </patternFill>
    </fill>
    <fill>
      <patternFill patternType="solid">
        <fgColor rgb="FF002697"/>
        <bgColor indexed="64"/>
      </patternFill>
    </fill>
    <fill>
      <patternFill patternType="solid">
        <fgColor rgb="FF002698"/>
        <bgColor indexed="64"/>
      </patternFill>
    </fill>
    <fill>
      <patternFill patternType="solid">
        <fgColor rgb="FF002699"/>
        <bgColor indexed="64"/>
      </patternFill>
    </fill>
    <fill>
      <patternFill patternType="solid">
        <fgColor rgb="FF00269A"/>
        <bgColor indexed="64"/>
      </patternFill>
    </fill>
    <fill>
      <patternFill patternType="solid">
        <fgColor rgb="FF00269B"/>
        <bgColor indexed="64"/>
      </patternFill>
    </fill>
    <fill>
      <patternFill patternType="solid">
        <fgColor rgb="FF00269C"/>
        <bgColor indexed="64"/>
      </patternFill>
    </fill>
    <fill>
      <patternFill patternType="solid">
        <fgColor rgb="FF00269D"/>
        <bgColor indexed="64"/>
      </patternFill>
    </fill>
    <fill>
      <patternFill patternType="solid">
        <fgColor rgb="FF00269E"/>
        <bgColor indexed="64"/>
      </patternFill>
    </fill>
    <fill>
      <patternFill patternType="solid">
        <fgColor rgb="FF00269F"/>
        <bgColor indexed="64"/>
      </patternFill>
    </fill>
    <fill>
      <patternFill patternType="solid">
        <fgColor rgb="FF0026A0"/>
        <bgColor indexed="64"/>
      </patternFill>
    </fill>
    <fill>
      <patternFill patternType="solid">
        <fgColor rgb="FF0026A1"/>
        <bgColor indexed="64"/>
      </patternFill>
    </fill>
    <fill>
      <patternFill patternType="solid">
        <fgColor rgb="FF0026A2"/>
        <bgColor indexed="64"/>
      </patternFill>
    </fill>
    <fill>
      <patternFill patternType="solid">
        <fgColor rgb="FF0026A3"/>
        <bgColor indexed="64"/>
      </patternFill>
    </fill>
    <fill>
      <patternFill patternType="solid">
        <fgColor rgb="FF0026A4"/>
        <bgColor indexed="64"/>
      </patternFill>
    </fill>
    <fill>
      <patternFill patternType="solid">
        <fgColor rgb="FF0026A5"/>
        <bgColor indexed="64"/>
      </patternFill>
    </fill>
    <fill>
      <patternFill patternType="solid">
        <fgColor rgb="FF0026A6"/>
        <bgColor indexed="64"/>
      </patternFill>
    </fill>
    <fill>
      <patternFill patternType="solid">
        <fgColor rgb="FF0026A7"/>
        <bgColor indexed="64"/>
      </patternFill>
    </fill>
    <fill>
      <patternFill patternType="solid">
        <fgColor rgb="FF0026A8"/>
        <bgColor indexed="64"/>
      </patternFill>
    </fill>
    <fill>
      <patternFill patternType="solid">
        <fgColor rgb="FF0026A9"/>
        <bgColor indexed="64"/>
      </patternFill>
    </fill>
    <fill>
      <patternFill patternType="solid">
        <fgColor rgb="FF0026AA"/>
        <bgColor indexed="64"/>
      </patternFill>
    </fill>
    <fill>
      <patternFill patternType="solid">
        <fgColor rgb="FF0026AB"/>
        <bgColor indexed="64"/>
      </patternFill>
    </fill>
    <fill>
      <patternFill patternType="solid">
        <fgColor rgb="FF0026AC"/>
        <bgColor indexed="64"/>
      </patternFill>
    </fill>
    <fill>
      <patternFill patternType="solid">
        <fgColor rgb="FF0026AD"/>
        <bgColor indexed="64"/>
      </patternFill>
    </fill>
    <fill>
      <patternFill patternType="solid">
        <fgColor rgb="FF0026AE"/>
        <bgColor indexed="64"/>
      </patternFill>
    </fill>
    <fill>
      <patternFill patternType="solid">
        <fgColor rgb="FF0026AF"/>
        <bgColor indexed="64"/>
      </patternFill>
    </fill>
    <fill>
      <patternFill patternType="solid">
        <fgColor rgb="FF0026B0"/>
        <bgColor indexed="64"/>
      </patternFill>
    </fill>
    <fill>
      <patternFill patternType="solid">
        <fgColor rgb="FF0026B1"/>
        <bgColor indexed="64"/>
      </patternFill>
    </fill>
    <fill>
      <patternFill patternType="solid">
        <fgColor rgb="FF0026B2"/>
        <bgColor indexed="64"/>
      </patternFill>
    </fill>
    <fill>
      <patternFill patternType="solid">
        <fgColor rgb="FF0026B3"/>
        <bgColor indexed="64"/>
      </patternFill>
    </fill>
    <fill>
      <patternFill patternType="solid">
        <fgColor rgb="FF0026B4"/>
        <bgColor indexed="64"/>
      </patternFill>
    </fill>
    <fill>
      <patternFill patternType="solid">
        <fgColor rgb="FF0026B5"/>
        <bgColor indexed="64"/>
      </patternFill>
    </fill>
    <fill>
      <patternFill patternType="solid">
        <fgColor rgb="FF0026B6"/>
        <bgColor indexed="64"/>
      </patternFill>
    </fill>
    <fill>
      <patternFill patternType="solid">
        <fgColor rgb="FF0026B7"/>
        <bgColor indexed="64"/>
      </patternFill>
    </fill>
    <fill>
      <patternFill patternType="solid">
        <fgColor rgb="FF0026B8"/>
        <bgColor indexed="64"/>
      </patternFill>
    </fill>
    <fill>
      <patternFill patternType="solid">
        <fgColor rgb="FF0026B9"/>
        <bgColor indexed="64"/>
      </patternFill>
    </fill>
    <fill>
      <patternFill patternType="solid">
        <fgColor rgb="FF0026BA"/>
        <bgColor indexed="64"/>
      </patternFill>
    </fill>
    <fill>
      <patternFill patternType="solid">
        <fgColor rgb="FF0026BB"/>
        <bgColor indexed="64"/>
      </patternFill>
    </fill>
    <fill>
      <patternFill patternType="solid">
        <fgColor rgb="FF0026BC"/>
        <bgColor indexed="64"/>
      </patternFill>
    </fill>
    <fill>
      <patternFill patternType="solid">
        <fgColor rgb="FF0026BD"/>
        <bgColor indexed="64"/>
      </patternFill>
    </fill>
    <fill>
      <patternFill patternType="solid">
        <fgColor rgb="FF0026BE"/>
        <bgColor indexed="64"/>
      </patternFill>
    </fill>
    <fill>
      <patternFill patternType="solid">
        <fgColor rgb="FF0026BF"/>
        <bgColor indexed="64"/>
      </patternFill>
    </fill>
    <fill>
      <patternFill patternType="solid">
        <fgColor rgb="FF0026C0"/>
        <bgColor indexed="64"/>
      </patternFill>
    </fill>
    <fill>
      <patternFill patternType="solid">
        <fgColor rgb="FF0026C1"/>
        <bgColor indexed="64"/>
      </patternFill>
    </fill>
    <fill>
      <patternFill patternType="solid">
        <fgColor rgb="FF0026C2"/>
        <bgColor indexed="64"/>
      </patternFill>
    </fill>
    <fill>
      <patternFill patternType="solid">
        <fgColor rgb="FF0026C3"/>
        <bgColor indexed="64"/>
      </patternFill>
    </fill>
    <fill>
      <patternFill patternType="solid">
        <fgColor rgb="FF0026C4"/>
        <bgColor indexed="64"/>
      </patternFill>
    </fill>
    <fill>
      <patternFill patternType="solid">
        <fgColor rgb="FF0026C5"/>
        <bgColor indexed="64"/>
      </patternFill>
    </fill>
    <fill>
      <patternFill patternType="solid">
        <fgColor rgb="FF0026C6"/>
        <bgColor indexed="64"/>
      </patternFill>
    </fill>
    <fill>
      <patternFill patternType="solid">
        <fgColor rgb="FF0026C7"/>
        <bgColor indexed="64"/>
      </patternFill>
    </fill>
    <fill>
      <patternFill patternType="solid">
        <fgColor rgb="FF0026C8"/>
        <bgColor indexed="64"/>
      </patternFill>
    </fill>
    <fill>
      <patternFill patternType="solid">
        <fgColor rgb="FF0026C9"/>
        <bgColor indexed="64"/>
      </patternFill>
    </fill>
    <fill>
      <patternFill patternType="solid">
        <fgColor rgb="FF0026CA"/>
        <bgColor indexed="64"/>
      </patternFill>
    </fill>
    <fill>
      <patternFill patternType="solid">
        <fgColor rgb="FF0026CB"/>
        <bgColor indexed="64"/>
      </patternFill>
    </fill>
    <fill>
      <patternFill patternType="solid">
        <fgColor rgb="FF0026CC"/>
        <bgColor indexed="64"/>
      </patternFill>
    </fill>
    <fill>
      <patternFill patternType="solid">
        <fgColor rgb="FF0026CD"/>
        <bgColor indexed="64"/>
      </patternFill>
    </fill>
    <fill>
      <patternFill patternType="solid">
        <fgColor rgb="FF0026CE"/>
        <bgColor indexed="64"/>
      </patternFill>
    </fill>
    <fill>
      <patternFill patternType="solid">
        <fgColor rgb="FF0026CF"/>
        <bgColor indexed="64"/>
      </patternFill>
    </fill>
    <fill>
      <patternFill patternType="solid">
        <fgColor rgb="FF0026D0"/>
        <bgColor indexed="64"/>
      </patternFill>
    </fill>
    <fill>
      <patternFill patternType="solid">
        <fgColor rgb="FF0026D1"/>
        <bgColor indexed="64"/>
      </patternFill>
    </fill>
    <fill>
      <patternFill patternType="solid">
        <fgColor rgb="FF0026D2"/>
        <bgColor indexed="64"/>
      </patternFill>
    </fill>
    <fill>
      <patternFill patternType="solid">
        <fgColor rgb="FF0026D3"/>
        <bgColor indexed="64"/>
      </patternFill>
    </fill>
    <fill>
      <patternFill patternType="solid">
        <fgColor rgb="FF0026D4"/>
        <bgColor indexed="64"/>
      </patternFill>
    </fill>
    <fill>
      <patternFill patternType="solid">
        <fgColor rgb="FF0026D5"/>
        <bgColor indexed="64"/>
      </patternFill>
    </fill>
    <fill>
      <patternFill patternType="solid">
        <fgColor rgb="FF0026D6"/>
        <bgColor indexed="64"/>
      </patternFill>
    </fill>
    <fill>
      <patternFill patternType="solid">
        <fgColor rgb="FF0026D7"/>
        <bgColor indexed="64"/>
      </patternFill>
    </fill>
    <fill>
      <patternFill patternType="solid">
        <fgColor rgb="FF0026D8"/>
        <bgColor indexed="64"/>
      </patternFill>
    </fill>
    <fill>
      <patternFill patternType="solid">
        <fgColor rgb="FF0026D9"/>
        <bgColor indexed="64"/>
      </patternFill>
    </fill>
    <fill>
      <patternFill patternType="solid">
        <fgColor rgb="FF0026DA"/>
        <bgColor indexed="64"/>
      </patternFill>
    </fill>
    <fill>
      <patternFill patternType="solid">
        <fgColor rgb="FF0026DB"/>
        <bgColor indexed="64"/>
      </patternFill>
    </fill>
    <fill>
      <patternFill patternType="solid">
        <fgColor rgb="FF0026DC"/>
        <bgColor indexed="64"/>
      </patternFill>
    </fill>
    <fill>
      <patternFill patternType="solid">
        <fgColor rgb="FF0026DD"/>
        <bgColor indexed="64"/>
      </patternFill>
    </fill>
    <fill>
      <patternFill patternType="solid">
        <fgColor rgb="FF0026DE"/>
        <bgColor indexed="64"/>
      </patternFill>
    </fill>
    <fill>
      <patternFill patternType="solid">
        <fgColor rgb="FF0026DF"/>
        <bgColor indexed="64"/>
      </patternFill>
    </fill>
    <fill>
      <patternFill patternType="solid">
        <fgColor rgb="FF0026E0"/>
        <bgColor indexed="64"/>
      </patternFill>
    </fill>
    <fill>
      <patternFill patternType="solid">
        <fgColor rgb="FF0026E1"/>
        <bgColor indexed="64"/>
      </patternFill>
    </fill>
    <fill>
      <patternFill patternType="solid">
        <fgColor rgb="FF0026E2"/>
        <bgColor indexed="64"/>
      </patternFill>
    </fill>
    <fill>
      <patternFill patternType="solid">
        <fgColor rgb="FF0026E3"/>
        <bgColor indexed="64"/>
      </patternFill>
    </fill>
    <fill>
      <patternFill patternType="solid">
        <fgColor rgb="FF0026E4"/>
        <bgColor indexed="64"/>
      </patternFill>
    </fill>
    <fill>
      <patternFill patternType="solid">
        <fgColor rgb="FF0026E5"/>
        <bgColor indexed="64"/>
      </patternFill>
    </fill>
    <fill>
      <patternFill patternType="solid">
        <fgColor rgb="FF0026E6"/>
        <bgColor indexed="64"/>
      </patternFill>
    </fill>
    <fill>
      <patternFill patternType="solid">
        <fgColor rgb="FF0026E7"/>
        <bgColor indexed="64"/>
      </patternFill>
    </fill>
    <fill>
      <patternFill patternType="solid">
        <fgColor rgb="FF0026E8"/>
        <bgColor indexed="64"/>
      </patternFill>
    </fill>
    <fill>
      <patternFill patternType="solid">
        <fgColor rgb="FF0026E9"/>
        <bgColor indexed="64"/>
      </patternFill>
    </fill>
    <fill>
      <patternFill patternType="solid">
        <fgColor rgb="FF0026EA"/>
        <bgColor indexed="64"/>
      </patternFill>
    </fill>
    <fill>
      <patternFill patternType="solid">
        <fgColor rgb="FF0026EB"/>
        <bgColor indexed="64"/>
      </patternFill>
    </fill>
    <fill>
      <patternFill patternType="solid">
        <fgColor rgb="FF0026EC"/>
        <bgColor indexed="64"/>
      </patternFill>
    </fill>
    <fill>
      <patternFill patternType="solid">
        <fgColor rgb="FF0026ED"/>
        <bgColor indexed="64"/>
      </patternFill>
    </fill>
    <fill>
      <patternFill patternType="solid">
        <fgColor rgb="FF0026EE"/>
        <bgColor indexed="64"/>
      </patternFill>
    </fill>
    <fill>
      <patternFill patternType="solid">
        <fgColor rgb="FF0026EF"/>
        <bgColor indexed="64"/>
      </patternFill>
    </fill>
    <fill>
      <patternFill patternType="solid">
        <fgColor rgb="FF0026F0"/>
        <bgColor indexed="64"/>
      </patternFill>
    </fill>
    <fill>
      <patternFill patternType="solid">
        <fgColor rgb="FF0026F1"/>
        <bgColor indexed="64"/>
      </patternFill>
    </fill>
    <fill>
      <patternFill patternType="solid">
        <fgColor rgb="FF0026F2"/>
        <bgColor indexed="64"/>
      </patternFill>
    </fill>
    <fill>
      <patternFill patternType="solid">
        <fgColor rgb="FF0026F3"/>
        <bgColor indexed="64"/>
      </patternFill>
    </fill>
    <fill>
      <patternFill patternType="solid">
        <fgColor rgb="FF0026F4"/>
        <bgColor indexed="64"/>
      </patternFill>
    </fill>
    <fill>
      <patternFill patternType="solid">
        <fgColor rgb="FF0026F5"/>
        <bgColor indexed="64"/>
      </patternFill>
    </fill>
    <fill>
      <patternFill patternType="solid">
        <fgColor rgb="FF0026F6"/>
        <bgColor indexed="64"/>
      </patternFill>
    </fill>
    <fill>
      <patternFill patternType="solid">
        <fgColor rgb="FF0026F7"/>
        <bgColor indexed="64"/>
      </patternFill>
    </fill>
    <fill>
      <patternFill patternType="solid">
        <fgColor rgb="FF0026F8"/>
        <bgColor indexed="64"/>
      </patternFill>
    </fill>
    <fill>
      <patternFill patternType="solid">
        <fgColor rgb="FF0026F9"/>
        <bgColor indexed="64"/>
      </patternFill>
    </fill>
    <fill>
      <patternFill patternType="solid">
        <fgColor rgb="FF0026FA"/>
        <bgColor indexed="64"/>
      </patternFill>
    </fill>
    <fill>
      <patternFill patternType="solid">
        <fgColor rgb="FF0026FB"/>
        <bgColor indexed="64"/>
      </patternFill>
    </fill>
    <fill>
      <patternFill patternType="solid">
        <fgColor rgb="FF0026FC"/>
        <bgColor indexed="64"/>
      </patternFill>
    </fill>
    <fill>
      <patternFill patternType="solid">
        <fgColor rgb="FF0026FD"/>
        <bgColor indexed="64"/>
      </patternFill>
    </fill>
    <fill>
      <patternFill patternType="solid">
        <fgColor rgb="FF0026FE"/>
        <bgColor indexed="64"/>
      </patternFill>
    </fill>
    <fill>
      <patternFill patternType="solid">
        <fgColor rgb="FF0026FF"/>
        <bgColor indexed="64"/>
      </patternFill>
    </fill>
    <fill>
      <patternFill patternType="solid">
        <fgColor rgb="FF002700"/>
        <bgColor indexed="64"/>
      </patternFill>
    </fill>
    <fill>
      <patternFill patternType="solid">
        <fgColor rgb="FF002701"/>
        <bgColor indexed="64"/>
      </patternFill>
    </fill>
    <fill>
      <patternFill patternType="solid">
        <fgColor rgb="FF002702"/>
        <bgColor indexed="64"/>
      </patternFill>
    </fill>
    <fill>
      <patternFill patternType="solid">
        <fgColor rgb="FF002703"/>
        <bgColor indexed="64"/>
      </patternFill>
    </fill>
    <fill>
      <patternFill patternType="solid">
        <fgColor rgb="FF002704"/>
        <bgColor indexed="64"/>
      </patternFill>
    </fill>
    <fill>
      <patternFill patternType="solid">
        <fgColor rgb="FF002705"/>
        <bgColor indexed="64"/>
      </patternFill>
    </fill>
    <fill>
      <patternFill patternType="solid">
        <fgColor rgb="FF002706"/>
        <bgColor indexed="64"/>
      </patternFill>
    </fill>
    <fill>
      <patternFill patternType="solid">
        <fgColor rgb="FF002707"/>
        <bgColor indexed="64"/>
      </patternFill>
    </fill>
    <fill>
      <patternFill patternType="solid">
        <fgColor rgb="FF002708"/>
        <bgColor indexed="64"/>
      </patternFill>
    </fill>
    <fill>
      <patternFill patternType="solid">
        <fgColor rgb="FF002709"/>
        <bgColor indexed="64"/>
      </patternFill>
    </fill>
    <fill>
      <patternFill patternType="solid">
        <fgColor rgb="FF00270A"/>
        <bgColor indexed="64"/>
      </patternFill>
    </fill>
    <fill>
      <patternFill patternType="solid">
        <fgColor rgb="FF00270B"/>
        <bgColor indexed="64"/>
      </patternFill>
    </fill>
    <fill>
      <patternFill patternType="solid">
        <fgColor rgb="FF00270C"/>
        <bgColor indexed="64"/>
      </patternFill>
    </fill>
    <fill>
      <patternFill patternType="solid">
        <fgColor rgb="FF00270D"/>
        <bgColor indexed="64"/>
      </patternFill>
    </fill>
    <fill>
      <patternFill patternType="solid">
        <fgColor rgb="FF00270E"/>
        <bgColor indexed="64"/>
      </patternFill>
    </fill>
    <fill>
      <patternFill patternType="solid">
        <fgColor rgb="FF00270F"/>
        <bgColor indexed="64"/>
      </patternFill>
    </fill>
    <fill>
      <patternFill patternType="solid">
        <fgColor rgb="FF002710"/>
        <bgColor indexed="64"/>
      </patternFill>
    </fill>
    <fill>
      <patternFill patternType="solid">
        <fgColor rgb="FF002711"/>
        <bgColor indexed="64"/>
      </patternFill>
    </fill>
    <fill>
      <patternFill patternType="solid">
        <fgColor rgb="FF002712"/>
        <bgColor indexed="64"/>
      </patternFill>
    </fill>
    <fill>
      <patternFill patternType="solid">
        <fgColor rgb="FF002713"/>
        <bgColor indexed="64"/>
      </patternFill>
    </fill>
    <fill>
      <patternFill patternType="solid">
        <fgColor rgb="FF002714"/>
        <bgColor indexed="64"/>
      </patternFill>
    </fill>
    <fill>
      <patternFill patternType="solid">
        <fgColor rgb="FF002715"/>
        <bgColor indexed="64"/>
      </patternFill>
    </fill>
    <fill>
      <patternFill patternType="solid">
        <fgColor rgb="FF002716"/>
        <bgColor indexed="64"/>
      </patternFill>
    </fill>
    <fill>
      <patternFill patternType="solid">
        <fgColor rgb="FF002717"/>
        <bgColor indexed="64"/>
      </patternFill>
    </fill>
    <fill>
      <patternFill patternType="solid">
        <fgColor rgb="FF002718"/>
        <bgColor indexed="64"/>
      </patternFill>
    </fill>
    <fill>
      <patternFill patternType="solid">
        <fgColor rgb="FF002719"/>
        <bgColor indexed="64"/>
      </patternFill>
    </fill>
    <fill>
      <patternFill patternType="solid">
        <fgColor rgb="FF00271A"/>
        <bgColor indexed="64"/>
      </patternFill>
    </fill>
    <fill>
      <patternFill patternType="solid">
        <fgColor rgb="FF00271B"/>
        <bgColor indexed="64"/>
      </patternFill>
    </fill>
    <fill>
      <patternFill patternType="solid">
        <fgColor rgb="FF00271C"/>
        <bgColor indexed="64"/>
      </patternFill>
    </fill>
    <fill>
      <patternFill patternType="solid">
        <fgColor rgb="FF00271D"/>
        <bgColor indexed="64"/>
      </patternFill>
    </fill>
    <fill>
      <patternFill patternType="solid">
        <fgColor rgb="FF00271E"/>
        <bgColor indexed="64"/>
      </patternFill>
    </fill>
    <fill>
      <patternFill patternType="solid">
        <fgColor rgb="FF00271F"/>
        <bgColor indexed="64"/>
      </patternFill>
    </fill>
    <fill>
      <patternFill patternType="solid">
        <fgColor rgb="FF002720"/>
        <bgColor indexed="64"/>
      </patternFill>
    </fill>
    <fill>
      <patternFill patternType="solid">
        <fgColor rgb="FF002721"/>
        <bgColor indexed="64"/>
      </patternFill>
    </fill>
    <fill>
      <patternFill patternType="solid">
        <fgColor rgb="FF002722"/>
        <bgColor indexed="64"/>
      </patternFill>
    </fill>
    <fill>
      <patternFill patternType="solid">
        <fgColor rgb="FF002723"/>
        <bgColor indexed="64"/>
      </patternFill>
    </fill>
    <fill>
      <patternFill patternType="solid">
        <fgColor rgb="FF002724"/>
        <bgColor indexed="64"/>
      </patternFill>
    </fill>
    <fill>
      <patternFill patternType="solid">
        <fgColor rgb="FF002725"/>
        <bgColor indexed="64"/>
      </patternFill>
    </fill>
    <fill>
      <patternFill patternType="solid">
        <fgColor rgb="FF002726"/>
        <bgColor indexed="64"/>
      </patternFill>
    </fill>
    <fill>
      <patternFill patternType="solid">
        <fgColor rgb="FF002727"/>
        <bgColor indexed="64"/>
      </patternFill>
    </fill>
    <fill>
      <patternFill patternType="solid">
        <fgColor rgb="FF002728"/>
        <bgColor indexed="64"/>
      </patternFill>
    </fill>
    <fill>
      <patternFill patternType="solid">
        <fgColor rgb="FF002729"/>
        <bgColor indexed="64"/>
      </patternFill>
    </fill>
    <fill>
      <patternFill patternType="solid">
        <fgColor rgb="FF00272A"/>
        <bgColor indexed="64"/>
      </patternFill>
    </fill>
    <fill>
      <patternFill patternType="solid">
        <fgColor rgb="FF00272B"/>
        <bgColor indexed="64"/>
      </patternFill>
    </fill>
    <fill>
      <patternFill patternType="solid">
        <fgColor rgb="FF00272C"/>
        <bgColor indexed="64"/>
      </patternFill>
    </fill>
    <fill>
      <patternFill patternType="solid">
        <fgColor rgb="FF00272D"/>
        <bgColor indexed="64"/>
      </patternFill>
    </fill>
    <fill>
      <patternFill patternType="solid">
        <fgColor rgb="FF00272E"/>
        <bgColor indexed="64"/>
      </patternFill>
    </fill>
    <fill>
      <patternFill patternType="solid">
        <fgColor rgb="FF00272F"/>
        <bgColor indexed="64"/>
      </patternFill>
    </fill>
    <fill>
      <patternFill patternType="solid">
        <fgColor rgb="FF002730"/>
        <bgColor indexed="64"/>
      </patternFill>
    </fill>
    <fill>
      <patternFill patternType="solid">
        <fgColor rgb="FF002731"/>
        <bgColor indexed="64"/>
      </patternFill>
    </fill>
    <fill>
      <patternFill patternType="solid">
        <fgColor rgb="FF002732"/>
        <bgColor indexed="64"/>
      </patternFill>
    </fill>
    <fill>
      <patternFill patternType="solid">
        <fgColor rgb="FF002733"/>
        <bgColor indexed="64"/>
      </patternFill>
    </fill>
    <fill>
      <patternFill patternType="solid">
        <fgColor rgb="FF002734"/>
        <bgColor indexed="64"/>
      </patternFill>
    </fill>
    <fill>
      <patternFill patternType="solid">
        <fgColor rgb="FF002735"/>
        <bgColor indexed="64"/>
      </patternFill>
    </fill>
    <fill>
      <patternFill patternType="solid">
        <fgColor rgb="FF002736"/>
        <bgColor indexed="64"/>
      </patternFill>
    </fill>
    <fill>
      <patternFill patternType="solid">
        <fgColor rgb="FF002737"/>
        <bgColor indexed="64"/>
      </patternFill>
    </fill>
    <fill>
      <patternFill patternType="solid">
        <fgColor rgb="FF002738"/>
        <bgColor indexed="64"/>
      </patternFill>
    </fill>
    <fill>
      <patternFill patternType="solid">
        <fgColor rgb="FF002739"/>
        <bgColor indexed="64"/>
      </patternFill>
    </fill>
    <fill>
      <patternFill patternType="solid">
        <fgColor rgb="FF00273A"/>
        <bgColor indexed="64"/>
      </patternFill>
    </fill>
    <fill>
      <patternFill patternType="solid">
        <fgColor rgb="FF00273B"/>
        <bgColor indexed="64"/>
      </patternFill>
    </fill>
    <fill>
      <patternFill patternType="solid">
        <fgColor rgb="FF00273C"/>
        <bgColor indexed="64"/>
      </patternFill>
    </fill>
    <fill>
      <patternFill patternType="solid">
        <fgColor rgb="FF00273D"/>
        <bgColor indexed="64"/>
      </patternFill>
    </fill>
    <fill>
      <patternFill patternType="solid">
        <fgColor rgb="FF00273E"/>
        <bgColor indexed="64"/>
      </patternFill>
    </fill>
    <fill>
      <patternFill patternType="solid">
        <fgColor rgb="FF00273F"/>
        <bgColor indexed="64"/>
      </patternFill>
    </fill>
    <fill>
      <patternFill patternType="solid">
        <fgColor rgb="FF002740"/>
        <bgColor indexed="64"/>
      </patternFill>
    </fill>
    <fill>
      <patternFill patternType="solid">
        <fgColor rgb="FF002741"/>
        <bgColor indexed="64"/>
      </patternFill>
    </fill>
    <fill>
      <patternFill patternType="solid">
        <fgColor rgb="FF002742"/>
        <bgColor indexed="64"/>
      </patternFill>
    </fill>
    <fill>
      <patternFill patternType="solid">
        <fgColor rgb="FF002743"/>
        <bgColor indexed="64"/>
      </patternFill>
    </fill>
    <fill>
      <patternFill patternType="solid">
        <fgColor rgb="FF002744"/>
        <bgColor indexed="64"/>
      </patternFill>
    </fill>
    <fill>
      <patternFill patternType="solid">
        <fgColor rgb="FF002745"/>
        <bgColor indexed="64"/>
      </patternFill>
    </fill>
    <fill>
      <patternFill patternType="solid">
        <fgColor rgb="FF002746"/>
        <bgColor indexed="64"/>
      </patternFill>
    </fill>
    <fill>
      <patternFill patternType="solid">
        <fgColor rgb="FF002747"/>
        <bgColor indexed="64"/>
      </patternFill>
    </fill>
    <fill>
      <patternFill patternType="solid">
        <fgColor rgb="FF002748"/>
        <bgColor indexed="64"/>
      </patternFill>
    </fill>
    <fill>
      <patternFill patternType="solid">
        <fgColor rgb="FF002749"/>
        <bgColor indexed="64"/>
      </patternFill>
    </fill>
    <fill>
      <patternFill patternType="solid">
        <fgColor rgb="FF00274A"/>
        <bgColor indexed="64"/>
      </patternFill>
    </fill>
    <fill>
      <patternFill patternType="solid">
        <fgColor rgb="FF00274B"/>
        <bgColor indexed="64"/>
      </patternFill>
    </fill>
    <fill>
      <patternFill patternType="solid">
        <fgColor rgb="FF00274C"/>
        <bgColor indexed="64"/>
      </patternFill>
    </fill>
    <fill>
      <patternFill patternType="solid">
        <fgColor rgb="FF00274D"/>
        <bgColor indexed="64"/>
      </patternFill>
    </fill>
    <fill>
      <patternFill patternType="solid">
        <fgColor rgb="FF00274E"/>
        <bgColor indexed="64"/>
      </patternFill>
    </fill>
    <fill>
      <patternFill patternType="solid">
        <fgColor rgb="FF00274F"/>
        <bgColor indexed="64"/>
      </patternFill>
    </fill>
    <fill>
      <patternFill patternType="solid">
        <fgColor rgb="FF002750"/>
        <bgColor indexed="64"/>
      </patternFill>
    </fill>
    <fill>
      <patternFill patternType="solid">
        <fgColor rgb="FF002751"/>
        <bgColor indexed="64"/>
      </patternFill>
    </fill>
    <fill>
      <patternFill patternType="solid">
        <fgColor rgb="FF002752"/>
        <bgColor indexed="64"/>
      </patternFill>
    </fill>
    <fill>
      <patternFill patternType="solid">
        <fgColor rgb="FF002753"/>
        <bgColor indexed="64"/>
      </patternFill>
    </fill>
    <fill>
      <patternFill patternType="solid">
        <fgColor rgb="FF002754"/>
        <bgColor indexed="64"/>
      </patternFill>
    </fill>
    <fill>
      <patternFill patternType="solid">
        <fgColor rgb="FF002755"/>
        <bgColor indexed="64"/>
      </patternFill>
    </fill>
    <fill>
      <patternFill patternType="solid">
        <fgColor rgb="FF002756"/>
        <bgColor indexed="64"/>
      </patternFill>
    </fill>
    <fill>
      <patternFill patternType="solid">
        <fgColor rgb="FF002757"/>
        <bgColor indexed="64"/>
      </patternFill>
    </fill>
    <fill>
      <patternFill patternType="solid">
        <fgColor rgb="FF002758"/>
        <bgColor indexed="64"/>
      </patternFill>
    </fill>
    <fill>
      <patternFill patternType="solid">
        <fgColor rgb="FF002759"/>
        <bgColor indexed="64"/>
      </patternFill>
    </fill>
    <fill>
      <patternFill patternType="solid">
        <fgColor rgb="FF00275A"/>
        <bgColor indexed="64"/>
      </patternFill>
    </fill>
    <fill>
      <patternFill patternType="solid">
        <fgColor rgb="FF00275B"/>
        <bgColor indexed="64"/>
      </patternFill>
    </fill>
    <fill>
      <patternFill patternType="solid">
        <fgColor rgb="FF00275C"/>
        <bgColor indexed="64"/>
      </patternFill>
    </fill>
    <fill>
      <patternFill patternType="solid">
        <fgColor rgb="FF00275D"/>
        <bgColor indexed="64"/>
      </patternFill>
    </fill>
    <fill>
      <patternFill patternType="solid">
        <fgColor rgb="FF00275E"/>
        <bgColor indexed="64"/>
      </patternFill>
    </fill>
    <fill>
      <patternFill patternType="solid">
        <fgColor rgb="FF00275F"/>
        <bgColor indexed="64"/>
      </patternFill>
    </fill>
    <fill>
      <patternFill patternType="solid">
        <fgColor rgb="FF002760"/>
        <bgColor indexed="64"/>
      </patternFill>
    </fill>
    <fill>
      <patternFill patternType="solid">
        <fgColor rgb="FF002761"/>
        <bgColor indexed="64"/>
      </patternFill>
    </fill>
    <fill>
      <patternFill patternType="solid">
        <fgColor rgb="FF002762"/>
        <bgColor indexed="64"/>
      </patternFill>
    </fill>
    <fill>
      <patternFill patternType="solid">
        <fgColor rgb="FF002763"/>
        <bgColor indexed="64"/>
      </patternFill>
    </fill>
    <fill>
      <patternFill patternType="solid">
        <fgColor rgb="FF002764"/>
        <bgColor indexed="64"/>
      </patternFill>
    </fill>
    <fill>
      <patternFill patternType="solid">
        <fgColor rgb="FF002765"/>
        <bgColor indexed="64"/>
      </patternFill>
    </fill>
    <fill>
      <patternFill patternType="solid">
        <fgColor rgb="FF002766"/>
        <bgColor indexed="64"/>
      </patternFill>
    </fill>
    <fill>
      <patternFill patternType="solid">
        <fgColor rgb="FF002767"/>
        <bgColor indexed="64"/>
      </patternFill>
    </fill>
    <fill>
      <patternFill patternType="solid">
        <fgColor rgb="FF002768"/>
        <bgColor indexed="64"/>
      </patternFill>
    </fill>
    <fill>
      <patternFill patternType="solid">
        <fgColor rgb="FF002769"/>
        <bgColor indexed="64"/>
      </patternFill>
    </fill>
    <fill>
      <patternFill patternType="solid">
        <fgColor rgb="FF00276A"/>
        <bgColor indexed="64"/>
      </patternFill>
    </fill>
    <fill>
      <patternFill patternType="solid">
        <fgColor rgb="FF00276B"/>
        <bgColor indexed="64"/>
      </patternFill>
    </fill>
    <fill>
      <patternFill patternType="solid">
        <fgColor rgb="FF00276C"/>
        <bgColor indexed="64"/>
      </patternFill>
    </fill>
    <fill>
      <patternFill patternType="solid">
        <fgColor rgb="FF00276D"/>
        <bgColor indexed="64"/>
      </patternFill>
    </fill>
    <fill>
      <patternFill patternType="solid">
        <fgColor rgb="FF00276E"/>
        <bgColor indexed="64"/>
      </patternFill>
    </fill>
    <fill>
      <patternFill patternType="solid">
        <fgColor rgb="FF00276F"/>
        <bgColor indexed="64"/>
      </patternFill>
    </fill>
    <fill>
      <patternFill patternType="solid">
        <fgColor rgb="FF002770"/>
        <bgColor indexed="64"/>
      </patternFill>
    </fill>
    <fill>
      <patternFill patternType="solid">
        <fgColor rgb="FF002771"/>
        <bgColor indexed="64"/>
      </patternFill>
    </fill>
    <fill>
      <patternFill patternType="solid">
        <fgColor rgb="FF002772"/>
        <bgColor indexed="64"/>
      </patternFill>
    </fill>
    <fill>
      <patternFill patternType="solid">
        <fgColor rgb="FF002773"/>
        <bgColor indexed="64"/>
      </patternFill>
    </fill>
    <fill>
      <patternFill patternType="solid">
        <fgColor rgb="FF002774"/>
        <bgColor indexed="64"/>
      </patternFill>
    </fill>
    <fill>
      <patternFill patternType="solid">
        <fgColor rgb="FF002775"/>
        <bgColor indexed="64"/>
      </patternFill>
    </fill>
    <fill>
      <patternFill patternType="solid">
        <fgColor rgb="FF002776"/>
        <bgColor indexed="64"/>
      </patternFill>
    </fill>
    <fill>
      <patternFill patternType="solid">
        <fgColor rgb="FF002777"/>
        <bgColor indexed="64"/>
      </patternFill>
    </fill>
    <fill>
      <patternFill patternType="solid">
        <fgColor rgb="FF002778"/>
        <bgColor indexed="64"/>
      </patternFill>
    </fill>
    <fill>
      <patternFill patternType="solid">
        <fgColor rgb="FF002779"/>
        <bgColor indexed="64"/>
      </patternFill>
    </fill>
    <fill>
      <patternFill patternType="solid">
        <fgColor rgb="FF00277A"/>
        <bgColor indexed="64"/>
      </patternFill>
    </fill>
    <fill>
      <patternFill patternType="solid">
        <fgColor rgb="FF00277B"/>
        <bgColor indexed="64"/>
      </patternFill>
    </fill>
    <fill>
      <patternFill patternType="solid">
        <fgColor rgb="FF00277C"/>
        <bgColor indexed="64"/>
      </patternFill>
    </fill>
    <fill>
      <patternFill patternType="solid">
        <fgColor rgb="FF00277D"/>
        <bgColor indexed="64"/>
      </patternFill>
    </fill>
    <fill>
      <patternFill patternType="solid">
        <fgColor rgb="FF00277E"/>
        <bgColor indexed="64"/>
      </patternFill>
    </fill>
    <fill>
      <patternFill patternType="solid">
        <fgColor rgb="FF00277F"/>
        <bgColor indexed="64"/>
      </patternFill>
    </fill>
    <fill>
      <patternFill patternType="solid">
        <fgColor rgb="FF002780"/>
        <bgColor indexed="64"/>
      </patternFill>
    </fill>
    <fill>
      <patternFill patternType="solid">
        <fgColor rgb="FF002781"/>
        <bgColor indexed="64"/>
      </patternFill>
    </fill>
    <fill>
      <patternFill patternType="solid">
        <fgColor rgb="FF002782"/>
        <bgColor indexed="64"/>
      </patternFill>
    </fill>
    <fill>
      <patternFill patternType="solid">
        <fgColor rgb="FF002783"/>
        <bgColor indexed="64"/>
      </patternFill>
    </fill>
    <fill>
      <patternFill patternType="solid">
        <fgColor rgb="FF002784"/>
        <bgColor indexed="64"/>
      </patternFill>
    </fill>
    <fill>
      <patternFill patternType="solid">
        <fgColor rgb="FF002785"/>
        <bgColor indexed="64"/>
      </patternFill>
    </fill>
    <fill>
      <patternFill patternType="solid">
        <fgColor rgb="FF002786"/>
        <bgColor indexed="64"/>
      </patternFill>
    </fill>
    <fill>
      <patternFill patternType="solid">
        <fgColor rgb="FF002787"/>
        <bgColor indexed="64"/>
      </patternFill>
    </fill>
    <fill>
      <patternFill patternType="solid">
        <fgColor rgb="FF002788"/>
        <bgColor indexed="64"/>
      </patternFill>
    </fill>
    <fill>
      <patternFill patternType="solid">
        <fgColor rgb="FF002789"/>
        <bgColor indexed="64"/>
      </patternFill>
    </fill>
    <fill>
      <patternFill patternType="solid">
        <fgColor rgb="FF00278A"/>
        <bgColor indexed="64"/>
      </patternFill>
    </fill>
    <fill>
      <patternFill patternType="solid">
        <fgColor rgb="FF00278B"/>
        <bgColor indexed="64"/>
      </patternFill>
    </fill>
    <fill>
      <patternFill patternType="solid">
        <fgColor rgb="FF00278C"/>
        <bgColor indexed="64"/>
      </patternFill>
    </fill>
    <fill>
      <patternFill patternType="solid">
        <fgColor rgb="FF00278D"/>
        <bgColor indexed="64"/>
      </patternFill>
    </fill>
    <fill>
      <patternFill patternType="solid">
        <fgColor rgb="FF00278E"/>
        <bgColor indexed="64"/>
      </patternFill>
    </fill>
    <fill>
      <patternFill patternType="solid">
        <fgColor rgb="FF00278F"/>
        <bgColor indexed="64"/>
      </patternFill>
    </fill>
    <fill>
      <patternFill patternType="solid">
        <fgColor rgb="FF002790"/>
        <bgColor indexed="64"/>
      </patternFill>
    </fill>
    <fill>
      <patternFill patternType="solid">
        <fgColor rgb="FF002791"/>
        <bgColor indexed="64"/>
      </patternFill>
    </fill>
    <fill>
      <patternFill patternType="solid">
        <fgColor rgb="FF002792"/>
        <bgColor indexed="64"/>
      </patternFill>
    </fill>
    <fill>
      <patternFill patternType="solid">
        <fgColor rgb="FF002793"/>
        <bgColor indexed="64"/>
      </patternFill>
    </fill>
    <fill>
      <patternFill patternType="solid">
        <fgColor rgb="FF002794"/>
        <bgColor indexed="64"/>
      </patternFill>
    </fill>
    <fill>
      <patternFill patternType="solid">
        <fgColor rgb="FF002795"/>
        <bgColor indexed="64"/>
      </patternFill>
    </fill>
    <fill>
      <patternFill patternType="solid">
        <fgColor rgb="FF002796"/>
        <bgColor indexed="64"/>
      </patternFill>
    </fill>
    <fill>
      <patternFill patternType="solid">
        <fgColor rgb="FF002797"/>
        <bgColor indexed="64"/>
      </patternFill>
    </fill>
    <fill>
      <patternFill patternType="solid">
        <fgColor rgb="FF002798"/>
        <bgColor indexed="64"/>
      </patternFill>
    </fill>
    <fill>
      <patternFill patternType="solid">
        <fgColor rgb="FF002799"/>
        <bgColor indexed="64"/>
      </patternFill>
    </fill>
    <fill>
      <patternFill patternType="solid">
        <fgColor rgb="FF00279A"/>
        <bgColor indexed="64"/>
      </patternFill>
    </fill>
    <fill>
      <patternFill patternType="solid">
        <fgColor rgb="FF00279B"/>
        <bgColor indexed="64"/>
      </patternFill>
    </fill>
    <fill>
      <patternFill patternType="solid">
        <fgColor rgb="FF00279C"/>
        <bgColor indexed="64"/>
      </patternFill>
    </fill>
    <fill>
      <patternFill patternType="solid">
        <fgColor rgb="FF00279D"/>
        <bgColor indexed="64"/>
      </patternFill>
    </fill>
    <fill>
      <patternFill patternType="solid">
        <fgColor rgb="FF00279E"/>
        <bgColor indexed="64"/>
      </patternFill>
    </fill>
    <fill>
      <patternFill patternType="solid">
        <fgColor rgb="FF00279F"/>
        <bgColor indexed="64"/>
      </patternFill>
    </fill>
    <fill>
      <patternFill patternType="solid">
        <fgColor rgb="FF0027A0"/>
        <bgColor indexed="64"/>
      </patternFill>
    </fill>
    <fill>
      <patternFill patternType="solid">
        <fgColor rgb="FF0027A1"/>
        <bgColor indexed="64"/>
      </patternFill>
    </fill>
    <fill>
      <patternFill patternType="solid">
        <fgColor rgb="FF0027A2"/>
        <bgColor indexed="64"/>
      </patternFill>
    </fill>
    <fill>
      <patternFill patternType="solid">
        <fgColor rgb="FF0027A3"/>
        <bgColor indexed="64"/>
      </patternFill>
    </fill>
    <fill>
      <patternFill patternType="solid">
        <fgColor rgb="FF0027A4"/>
        <bgColor indexed="64"/>
      </patternFill>
    </fill>
    <fill>
      <patternFill patternType="solid">
        <fgColor rgb="FF0027A5"/>
        <bgColor indexed="64"/>
      </patternFill>
    </fill>
    <fill>
      <patternFill patternType="solid">
        <fgColor rgb="FF0027A6"/>
        <bgColor indexed="64"/>
      </patternFill>
    </fill>
    <fill>
      <patternFill patternType="solid">
        <fgColor rgb="FF0027A7"/>
        <bgColor indexed="64"/>
      </patternFill>
    </fill>
    <fill>
      <patternFill patternType="solid">
        <fgColor rgb="FF0027A8"/>
        <bgColor indexed="64"/>
      </patternFill>
    </fill>
    <fill>
      <patternFill patternType="solid">
        <fgColor rgb="FF0027A9"/>
        <bgColor indexed="64"/>
      </patternFill>
    </fill>
    <fill>
      <patternFill patternType="solid">
        <fgColor rgb="FF0027AA"/>
        <bgColor indexed="64"/>
      </patternFill>
    </fill>
    <fill>
      <patternFill patternType="solid">
        <fgColor rgb="FF0027AB"/>
        <bgColor indexed="64"/>
      </patternFill>
    </fill>
    <fill>
      <patternFill patternType="solid">
        <fgColor rgb="FF0027AC"/>
        <bgColor indexed="64"/>
      </patternFill>
    </fill>
    <fill>
      <patternFill patternType="solid">
        <fgColor rgb="FF0027AD"/>
        <bgColor indexed="64"/>
      </patternFill>
    </fill>
    <fill>
      <patternFill patternType="solid">
        <fgColor rgb="FF0027AE"/>
        <bgColor indexed="64"/>
      </patternFill>
    </fill>
    <fill>
      <patternFill patternType="solid">
        <fgColor rgb="FF0027AF"/>
        <bgColor indexed="64"/>
      </patternFill>
    </fill>
    <fill>
      <patternFill patternType="solid">
        <fgColor rgb="FF0027B0"/>
        <bgColor indexed="64"/>
      </patternFill>
    </fill>
    <fill>
      <patternFill patternType="solid">
        <fgColor rgb="FF0027B1"/>
        <bgColor indexed="64"/>
      </patternFill>
    </fill>
    <fill>
      <patternFill patternType="solid">
        <fgColor rgb="FF0027B2"/>
        <bgColor indexed="64"/>
      </patternFill>
    </fill>
    <fill>
      <patternFill patternType="solid">
        <fgColor rgb="FF0027B3"/>
        <bgColor indexed="64"/>
      </patternFill>
    </fill>
    <fill>
      <patternFill patternType="solid">
        <fgColor rgb="FF0027B4"/>
        <bgColor indexed="64"/>
      </patternFill>
    </fill>
    <fill>
      <patternFill patternType="solid">
        <fgColor rgb="FF0027B5"/>
        <bgColor indexed="64"/>
      </patternFill>
    </fill>
    <fill>
      <patternFill patternType="solid">
        <fgColor rgb="FF0027B6"/>
        <bgColor indexed="64"/>
      </patternFill>
    </fill>
    <fill>
      <patternFill patternType="solid">
        <fgColor rgb="FF0027B7"/>
        <bgColor indexed="64"/>
      </patternFill>
    </fill>
    <fill>
      <patternFill patternType="solid">
        <fgColor rgb="FF0027B8"/>
        <bgColor indexed="64"/>
      </patternFill>
    </fill>
    <fill>
      <patternFill patternType="solid">
        <fgColor rgb="FF0027B9"/>
        <bgColor indexed="64"/>
      </patternFill>
    </fill>
    <fill>
      <patternFill patternType="solid">
        <fgColor rgb="FF0027BA"/>
        <bgColor indexed="64"/>
      </patternFill>
    </fill>
    <fill>
      <patternFill patternType="solid">
        <fgColor rgb="FF0027BB"/>
        <bgColor indexed="64"/>
      </patternFill>
    </fill>
    <fill>
      <patternFill patternType="solid">
        <fgColor rgb="FF0027BC"/>
        <bgColor indexed="64"/>
      </patternFill>
    </fill>
    <fill>
      <patternFill patternType="solid">
        <fgColor rgb="FF0027BD"/>
        <bgColor indexed="64"/>
      </patternFill>
    </fill>
    <fill>
      <patternFill patternType="solid">
        <fgColor rgb="FF0027BE"/>
        <bgColor indexed="64"/>
      </patternFill>
    </fill>
    <fill>
      <patternFill patternType="solid">
        <fgColor rgb="FF0027BF"/>
        <bgColor indexed="64"/>
      </patternFill>
    </fill>
    <fill>
      <patternFill patternType="solid">
        <fgColor rgb="FF0027C0"/>
        <bgColor indexed="64"/>
      </patternFill>
    </fill>
    <fill>
      <patternFill patternType="solid">
        <fgColor rgb="FF0027C1"/>
        <bgColor indexed="64"/>
      </patternFill>
    </fill>
    <fill>
      <patternFill patternType="solid">
        <fgColor rgb="FF0027C2"/>
        <bgColor indexed="64"/>
      </patternFill>
    </fill>
    <fill>
      <patternFill patternType="solid">
        <fgColor rgb="FF0027C3"/>
        <bgColor indexed="64"/>
      </patternFill>
    </fill>
    <fill>
      <patternFill patternType="solid">
        <fgColor rgb="FF0027C4"/>
        <bgColor indexed="64"/>
      </patternFill>
    </fill>
    <fill>
      <patternFill patternType="solid">
        <fgColor rgb="FF0027C5"/>
        <bgColor indexed="64"/>
      </patternFill>
    </fill>
    <fill>
      <patternFill patternType="solid">
        <fgColor rgb="FF0027C6"/>
        <bgColor indexed="64"/>
      </patternFill>
    </fill>
    <fill>
      <patternFill patternType="solid">
        <fgColor rgb="FF0027C7"/>
        <bgColor indexed="64"/>
      </patternFill>
    </fill>
    <fill>
      <patternFill patternType="solid">
        <fgColor rgb="FF0027C8"/>
        <bgColor indexed="64"/>
      </patternFill>
    </fill>
    <fill>
      <patternFill patternType="solid">
        <fgColor rgb="FF0027C9"/>
        <bgColor indexed="64"/>
      </patternFill>
    </fill>
    <fill>
      <patternFill patternType="solid">
        <fgColor rgb="FF0027CA"/>
        <bgColor indexed="64"/>
      </patternFill>
    </fill>
    <fill>
      <patternFill patternType="solid">
        <fgColor rgb="FF0027CB"/>
        <bgColor indexed="64"/>
      </patternFill>
    </fill>
    <fill>
      <patternFill patternType="solid">
        <fgColor rgb="FF0027CC"/>
        <bgColor indexed="64"/>
      </patternFill>
    </fill>
    <fill>
      <patternFill patternType="solid">
        <fgColor rgb="FF0027CD"/>
        <bgColor indexed="64"/>
      </patternFill>
    </fill>
    <fill>
      <patternFill patternType="solid">
        <fgColor rgb="FF0027CE"/>
        <bgColor indexed="64"/>
      </patternFill>
    </fill>
    <fill>
      <patternFill patternType="solid">
        <fgColor rgb="FF0027CF"/>
        <bgColor indexed="64"/>
      </patternFill>
    </fill>
    <fill>
      <patternFill patternType="solid">
        <fgColor rgb="FF0027D0"/>
        <bgColor indexed="64"/>
      </patternFill>
    </fill>
    <fill>
      <patternFill patternType="solid">
        <fgColor rgb="FF0027D1"/>
        <bgColor indexed="64"/>
      </patternFill>
    </fill>
    <fill>
      <patternFill patternType="solid">
        <fgColor rgb="FF0027D2"/>
        <bgColor indexed="64"/>
      </patternFill>
    </fill>
    <fill>
      <patternFill patternType="solid">
        <fgColor rgb="FF0027D3"/>
        <bgColor indexed="64"/>
      </patternFill>
    </fill>
    <fill>
      <patternFill patternType="solid">
        <fgColor rgb="FF0027D4"/>
        <bgColor indexed="64"/>
      </patternFill>
    </fill>
    <fill>
      <patternFill patternType="solid">
        <fgColor rgb="FF0027D5"/>
        <bgColor indexed="64"/>
      </patternFill>
    </fill>
    <fill>
      <patternFill patternType="solid">
        <fgColor rgb="FF0027D6"/>
        <bgColor indexed="64"/>
      </patternFill>
    </fill>
    <fill>
      <patternFill patternType="solid">
        <fgColor rgb="FF0027D7"/>
        <bgColor indexed="64"/>
      </patternFill>
    </fill>
    <fill>
      <patternFill patternType="solid">
        <fgColor rgb="FF0027D8"/>
        <bgColor indexed="64"/>
      </patternFill>
    </fill>
    <fill>
      <patternFill patternType="solid">
        <fgColor rgb="FF0027D9"/>
        <bgColor indexed="64"/>
      </patternFill>
    </fill>
    <fill>
      <patternFill patternType="solid">
        <fgColor rgb="FF0027DA"/>
        <bgColor indexed="64"/>
      </patternFill>
    </fill>
    <fill>
      <patternFill patternType="solid">
        <fgColor rgb="FF0027DB"/>
        <bgColor indexed="64"/>
      </patternFill>
    </fill>
    <fill>
      <patternFill patternType="solid">
        <fgColor rgb="FF0027DC"/>
        <bgColor indexed="64"/>
      </patternFill>
    </fill>
    <fill>
      <patternFill patternType="solid">
        <fgColor rgb="FF0027DD"/>
        <bgColor indexed="64"/>
      </patternFill>
    </fill>
    <fill>
      <patternFill patternType="solid">
        <fgColor rgb="FF0027DE"/>
        <bgColor indexed="64"/>
      </patternFill>
    </fill>
    <fill>
      <patternFill patternType="solid">
        <fgColor rgb="FF0027DF"/>
        <bgColor indexed="64"/>
      </patternFill>
    </fill>
    <fill>
      <patternFill patternType="solid">
        <fgColor rgb="FF0027E0"/>
        <bgColor indexed="64"/>
      </patternFill>
    </fill>
    <fill>
      <patternFill patternType="solid">
        <fgColor rgb="FF0027E1"/>
        <bgColor indexed="64"/>
      </patternFill>
    </fill>
    <fill>
      <patternFill patternType="solid">
        <fgColor rgb="FF0027E2"/>
        <bgColor indexed="64"/>
      </patternFill>
    </fill>
    <fill>
      <patternFill patternType="solid">
        <fgColor rgb="FF0027E3"/>
        <bgColor indexed="64"/>
      </patternFill>
    </fill>
    <fill>
      <patternFill patternType="solid">
        <fgColor rgb="FF0027E4"/>
        <bgColor indexed="64"/>
      </patternFill>
    </fill>
    <fill>
      <patternFill patternType="solid">
        <fgColor rgb="FF0027E5"/>
        <bgColor indexed="64"/>
      </patternFill>
    </fill>
    <fill>
      <patternFill patternType="solid">
        <fgColor rgb="FF0027E6"/>
        <bgColor indexed="64"/>
      </patternFill>
    </fill>
    <fill>
      <patternFill patternType="solid">
        <fgColor rgb="FF0027E7"/>
        <bgColor indexed="64"/>
      </patternFill>
    </fill>
    <fill>
      <patternFill patternType="solid">
        <fgColor rgb="FF0027E8"/>
        <bgColor indexed="64"/>
      </patternFill>
    </fill>
    <fill>
      <patternFill patternType="solid">
        <fgColor rgb="FF0027E9"/>
        <bgColor indexed="64"/>
      </patternFill>
    </fill>
    <fill>
      <patternFill patternType="solid">
        <fgColor rgb="FF0027EA"/>
        <bgColor indexed="64"/>
      </patternFill>
    </fill>
    <fill>
      <patternFill patternType="solid">
        <fgColor rgb="FF0027EB"/>
        <bgColor indexed="64"/>
      </patternFill>
    </fill>
    <fill>
      <patternFill patternType="solid">
        <fgColor rgb="FF0027EC"/>
        <bgColor indexed="64"/>
      </patternFill>
    </fill>
    <fill>
      <patternFill patternType="solid">
        <fgColor rgb="FF0027ED"/>
        <bgColor indexed="64"/>
      </patternFill>
    </fill>
    <fill>
      <patternFill patternType="solid">
        <fgColor rgb="FF0027EE"/>
        <bgColor indexed="64"/>
      </patternFill>
    </fill>
    <fill>
      <patternFill patternType="solid">
        <fgColor rgb="FF0027EF"/>
        <bgColor indexed="64"/>
      </patternFill>
    </fill>
    <fill>
      <patternFill patternType="solid">
        <fgColor rgb="FF0027F0"/>
        <bgColor indexed="64"/>
      </patternFill>
    </fill>
    <fill>
      <patternFill patternType="solid">
        <fgColor rgb="FF0027F1"/>
        <bgColor indexed="64"/>
      </patternFill>
    </fill>
    <fill>
      <patternFill patternType="solid">
        <fgColor rgb="FF0027F2"/>
        <bgColor indexed="64"/>
      </patternFill>
    </fill>
    <fill>
      <patternFill patternType="solid">
        <fgColor rgb="FF0027F3"/>
        <bgColor indexed="64"/>
      </patternFill>
    </fill>
    <fill>
      <patternFill patternType="solid">
        <fgColor rgb="FF0027F4"/>
        <bgColor indexed="64"/>
      </patternFill>
    </fill>
    <fill>
      <patternFill patternType="solid">
        <fgColor rgb="FF0027F5"/>
        <bgColor indexed="64"/>
      </patternFill>
    </fill>
    <fill>
      <patternFill patternType="solid">
        <fgColor rgb="FF0027F6"/>
        <bgColor indexed="64"/>
      </patternFill>
    </fill>
    <fill>
      <patternFill patternType="solid">
        <fgColor rgb="FF0027F7"/>
        <bgColor indexed="64"/>
      </patternFill>
    </fill>
    <fill>
      <patternFill patternType="solid">
        <fgColor rgb="FF0027F8"/>
        <bgColor indexed="64"/>
      </patternFill>
    </fill>
    <fill>
      <patternFill patternType="solid">
        <fgColor rgb="FF0027F9"/>
        <bgColor indexed="64"/>
      </patternFill>
    </fill>
    <fill>
      <patternFill patternType="solid">
        <fgColor rgb="FF0027FA"/>
        <bgColor indexed="64"/>
      </patternFill>
    </fill>
    <fill>
      <patternFill patternType="solid">
        <fgColor rgb="FF0027FB"/>
        <bgColor indexed="64"/>
      </patternFill>
    </fill>
    <fill>
      <patternFill patternType="solid">
        <fgColor rgb="FF0027FC"/>
        <bgColor indexed="64"/>
      </patternFill>
    </fill>
    <fill>
      <patternFill patternType="solid">
        <fgColor rgb="FF0027FD"/>
        <bgColor indexed="64"/>
      </patternFill>
    </fill>
    <fill>
      <patternFill patternType="solid">
        <fgColor rgb="FF0027FE"/>
        <bgColor indexed="64"/>
      </patternFill>
    </fill>
    <fill>
      <patternFill patternType="solid">
        <fgColor rgb="FF0027FF"/>
        <bgColor indexed="64"/>
      </patternFill>
    </fill>
    <fill>
      <patternFill patternType="solid">
        <fgColor rgb="FF002800"/>
        <bgColor indexed="64"/>
      </patternFill>
    </fill>
    <fill>
      <patternFill patternType="solid">
        <fgColor rgb="FF002801"/>
        <bgColor indexed="64"/>
      </patternFill>
    </fill>
    <fill>
      <patternFill patternType="solid">
        <fgColor rgb="FF002802"/>
        <bgColor indexed="64"/>
      </patternFill>
    </fill>
    <fill>
      <patternFill patternType="solid">
        <fgColor rgb="FF002803"/>
        <bgColor indexed="64"/>
      </patternFill>
    </fill>
    <fill>
      <patternFill patternType="solid">
        <fgColor rgb="FF002804"/>
        <bgColor indexed="64"/>
      </patternFill>
    </fill>
    <fill>
      <patternFill patternType="solid">
        <fgColor rgb="FF002805"/>
        <bgColor indexed="64"/>
      </patternFill>
    </fill>
    <fill>
      <patternFill patternType="solid">
        <fgColor rgb="FF002806"/>
        <bgColor indexed="64"/>
      </patternFill>
    </fill>
    <fill>
      <patternFill patternType="solid">
        <fgColor rgb="FF002807"/>
        <bgColor indexed="64"/>
      </patternFill>
    </fill>
    <fill>
      <patternFill patternType="solid">
        <fgColor rgb="FF002808"/>
        <bgColor indexed="64"/>
      </patternFill>
    </fill>
    <fill>
      <patternFill patternType="solid">
        <fgColor rgb="FF002809"/>
        <bgColor indexed="64"/>
      </patternFill>
    </fill>
    <fill>
      <patternFill patternType="solid">
        <fgColor rgb="FF00280A"/>
        <bgColor indexed="64"/>
      </patternFill>
    </fill>
    <fill>
      <patternFill patternType="solid">
        <fgColor rgb="FF00280B"/>
        <bgColor indexed="64"/>
      </patternFill>
    </fill>
    <fill>
      <patternFill patternType="solid">
        <fgColor rgb="FF00280C"/>
        <bgColor indexed="64"/>
      </patternFill>
    </fill>
    <fill>
      <patternFill patternType="solid">
        <fgColor rgb="FF00280D"/>
        <bgColor indexed="64"/>
      </patternFill>
    </fill>
    <fill>
      <patternFill patternType="solid">
        <fgColor rgb="FF00280E"/>
        <bgColor indexed="64"/>
      </patternFill>
    </fill>
    <fill>
      <patternFill patternType="solid">
        <fgColor rgb="FF00280F"/>
        <bgColor indexed="64"/>
      </patternFill>
    </fill>
    <fill>
      <patternFill patternType="solid">
        <fgColor rgb="FF002810"/>
        <bgColor indexed="64"/>
      </patternFill>
    </fill>
    <fill>
      <patternFill patternType="solid">
        <fgColor rgb="FF002811"/>
        <bgColor indexed="64"/>
      </patternFill>
    </fill>
    <fill>
      <patternFill patternType="solid">
        <fgColor rgb="FF002812"/>
        <bgColor indexed="64"/>
      </patternFill>
    </fill>
    <fill>
      <patternFill patternType="solid">
        <fgColor rgb="FF002813"/>
        <bgColor indexed="64"/>
      </patternFill>
    </fill>
    <fill>
      <patternFill patternType="solid">
        <fgColor rgb="FF002814"/>
        <bgColor indexed="64"/>
      </patternFill>
    </fill>
    <fill>
      <patternFill patternType="solid">
        <fgColor rgb="FF002815"/>
        <bgColor indexed="64"/>
      </patternFill>
    </fill>
    <fill>
      <patternFill patternType="solid">
        <fgColor rgb="FF002816"/>
        <bgColor indexed="64"/>
      </patternFill>
    </fill>
    <fill>
      <patternFill patternType="solid">
        <fgColor rgb="FF002817"/>
        <bgColor indexed="64"/>
      </patternFill>
    </fill>
    <fill>
      <patternFill patternType="solid">
        <fgColor rgb="FF002818"/>
        <bgColor indexed="64"/>
      </patternFill>
    </fill>
    <fill>
      <patternFill patternType="solid">
        <fgColor rgb="FF002819"/>
        <bgColor indexed="64"/>
      </patternFill>
    </fill>
    <fill>
      <patternFill patternType="solid">
        <fgColor rgb="FF00281A"/>
        <bgColor indexed="64"/>
      </patternFill>
    </fill>
    <fill>
      <patternFill patternType="solid">
        <fgColor rgb="FF00281B"/>
        <bgColor indexed="64"/>
      </patternFill>
    </fill>
    <fill>
      <patternFill patternType="solid">
        <fgColor rgb="FF00281C"/>
        <bgColor indexed="64"/>
      </patternFill>
    </fill>
    <fill>
      <patternFill patternType="solid">
        <fgColor rgb="FF00281D"/>
        <bgColor indexed="64"/>
      </patternFill>
    </fill>
    <fill>
      <patternFill patternType="solid">
        <fgColor rgb="FF00281E"/>
        <bgColor indexed="64"/>
      </patternFill>
    </fill>
    <fill>
      <patternFill patternType="solid">
        <fgColor rgb="FF00281F"/>
        <bgColor indexed="64"/>
      </patternFill>
    </fill>
    <fill>
      <patternFill patternType="solid">
        <fgColor rgb="FF002820"/>
        <bgColor indexed="64"/>
      </patternFill>
    </fill>
    <fill>
      <patternFill patternType="solid">
        <fgColor rgb="FF002821"/>
        <bgColor indexed="64"/>
      </patternFill>
    </fill>
    <fill>
      <patternFill patternType="solid">
        <fgColor rgb="FF002822"/>
        <bgColor indexed="64"/>
      </patternFill>
    </fill>
    <fill>
      <patternFill patternType="solid">
        <fgColor rgb="FF002823"/>
        <bgColor indexed="64"/>
      </patternFill>
    </fill>
    <fill>
      <patternFill patternType="solid">
        <fgColor rgb="FF002824"/>
        <bgColor indexed="64"/>
      </patternFill>
    </fill>
    <fill>
      <patternFill patternType="solid">
        <fgColor rgb="FF002825"/>
        <bgColor indexed="64"/>
      </patternFill>
    </fill>
    <fill>
      <patternFill patternType="solid">
        <fgColor rgb="FF002826"/>
        <bgColor indexed="64"/>
      </patternFill>
    </fill>
    <fill>
      <patternFill patternType="solid">
        <fgColor rgb="FF002827"/>
        <bgColor indexed="64"/>
      </patternFill>
    </fill>
    <fill>
      <patternFill patternType="solid">
        <fgColor rgb="FF002828"/>
        <bgColor indexed="64"/>
      </patternFill>
    </fill>
    <fill>
      <patternFill patternType="solid">
        <fgColor rgb="FF002829"/>
        <bgColor indexed="64"/>
      </patternFill>
    </fill>
    <fill>
      <patternFill patternType="solid">
        <fgColor rgb="FF00282A"/>
        <bgColor indexed="64"/>
      </patternFill>
    </fill>
    <fill>
      <patternFill patternType="solid">
        <fgColor rgb="FF00282B"/>
        <bgColor indexed="64"/>
      </patternFill>
    </fill>
    <fill>
      <patternFill patternType="solid">
        <fgColor rgb="FF00282C"/>
        <bgColor indexed="64"/>
      </patternFill>
    </fill>
    <fill>
      <patternFill patternType="solid">
        <fgColor rgb="FF00282D"/>
        <bgColor indexed="64"/>
      </patternFill>
    </fill>
    <fill>
      <patternFill patternType="solid">
        <fgColor rgb="FF00282E"/>
        <bgColor indexed="64"/>
      </patternFill>
    </fill>
    <fill>
      <patternFill patternType="solid">
        <fgColor rgb="FF00282F"/>
        <bgColor indexed="64"/>
      </patternFill>
    </fill>
    <fill>
      <patternFill patternType="solid">
        <fgColor rgb="FF002830"/>
        <bgColor indexed="64"/>
      </patternFill>
    </fill>
    <fill>
      <patternFill patternType="solid">
        <fgColor rgb="FF002831"/>
        <bgColor indexed="64"/>
      </patternFill>
    </fill>
    <fill>
      <patternFill patternType="solid">
        <fgColor rgb="FF002832"/>
        <bgColor indexed="64"/>
      </patternFill>
    </fill>
    <fill>
      <patternFill patternType="solid">
        <fgColor rgb="FF002833"/>
        <bgColor indexed="64"/>
      </patternFill>
    </fill>
    <fill>
      <patternFill patternType="solid">
        <fgColor rgb="FF002834"/>
        <bgColor indexed="64"/>
      </patternFill>
    </fill>
    <fill>
      <patternFill patternType="solid">
        <fgColor rgb="FF002835"/>
        <bgColor indexed="64"/>
      </patternFill>
    </fill>
    <fill>
      <patternFill patternType="solid">
        <fgColor rgb="FF002836"/>
        <bgColor indexed="64"/>
      </patternFill>
    </fill>
    <fill>
      <patternFill patternType="solid">
        <fgColor rgb="FF002837"/>
        <bgColor indexed="64"/>
      </patternFill>
    </fill>
    <fill>
      <patternFill patternType="solid">
        <fgColor rgb="FF002838"/>
        <bgColor indexed="64"/>
      </patternFill>
    </fill>
    <fill>
      <patternFill patternType="solid">
        <fgColor rgb="FF002839"/>
        <bgColor indexed="64"/>
      </patternFill>
    </fill>
    <fill>
      <patternFill patternType="solid">
        <fgColor rgb="FF00283A"/>
        <bgColor indexed="64"/>
      </patternFill>
    </fill>
    <fill>
      <patternFill patternType="solid">
        <fgColor rgb="FF00283B"/>
        <bgColor indexed="64"/>
      </patternFill>
    </fill>
    <fill>
      <patternFill patternType="solid">
        <fgColor rgb="FF00283C"/>
        <bgColor indexed="64"/>
      </patternFill>
    </fill>
    <fill>
      <patternFill patternType="solid">
        <fgColor rgb="FF00283D"/>
        <bgColor indexed="64"/>
      </patternFill>
    </fill>
    <fill>
      <patternFill patternType="solid">
        <fgColor rgb="FF00283E"/>
        <bgColor indexed="64"/>
      </patternFill>
    </fill>
    <fill>
      <patternFill patternType="solid">
        <fgColor rgb="FF00283F"/>
        <bgColor indexed="64"/>
      </patternFill>
    </fill>
    <fill>
      <patternFill patternType="solid">
        <fgColor rgb="FF002840"/>
        <bgColor indexed="64"/>
      </patternFill>
    </fill>
    <fill>
      <patternFill patternType="solid">
        <fgColor rgb="FF002841"/>
        <bgColor indexed="64"/>
      </patternFill>
    </fill>
    <fill>
      <patternFill patternType="solid">
        <fgColor rgb="FF002842"/>
        <bgColor indexed="64"/>
      </patternFill>
    </fill>
    <fill>
      <patternFill patternType="solid">
        <fgColor rgb="FF002843"/>
        <bgColor indexed="64"/>
      </patternFill>
    </fill>
    <fill>
      <patternFill patternType="solid">
        <fgColor rgb="FF002844"/>
        <bgColor indexed="64"/>
      </patternFill>
    </fill>
    <fill>
      <patternFill patternType="solid">
        <fgColor rgb="FF002845"/>
        <bgColor indexed="64"/>
      </patternFill>
    </fill>
    <fill>
      <patternFill patternType="solid">
        <fgColor rgb="FF002846"/>
        <bgColor indexed="64"/>
      </patternFill>
    </fill>
    <fill>
      <patternFill patternType="solid">
        <fgColor rgb="FF002847"/>
        <bgColor indexed="64"/>
      </patternFill>
    </fill>
    <fill>
      <patternFill patternType="solid">
        <fgColor rgb="FF002848"/>
        <bgColor indexed="64"/>
      </patternFill>
    </fill>
    <fill>
      <patternFill patternType="solid">
        <fgColor rgb="FF002849"/>
        <bgColor indexed="64"/>
      </patternFill>
    </fill>
    <fill>
      <patternFill patternType="solid">
        <fgColor rgb="FF00284A"/>
        <bgColor indexed="64"/>
      </patternFill>
    </fill>
    <fill>
      <patternFill patternType="solid">
        <fgColor rgb="FF00284B"/>
        <bgColor indexed="64"/>
      </patternFill>
    </fill>
    <fill>
      <patternFill patternType="solid">
        <fgColor rgb="FF00284C"/>
        <bgColor indexed="64"/>
      </patternFill>
    </fill>
    <fill>
      <patternFill patternType="solid">
        <fgColor rgb="FF00284D"/>
        <bgColor indexed="64"/>
      </patternFill>
    </fill>
    <fill>
      <patternFill patternType="solid">
        <fgColor rgb="FF00284E"/>
        <bgColor indexed="64"/>
      </patternFill>
    </fill>
    <fill>
      <patternFill patternType="solid">
        <fgColor rgb="FF00284F"/>
        <bgColor indexed="64"/>
      </patternFill>
    </fill>
    <fill>
      <patternFill patternType="solid">
        <fgColor rgb="FF002850"/>
        <bgColor indexed="64"/>
      </patternFill>
    </fill>
    <fill>
      <patternFill patternType="solid">
        <fgColor rgb="FF002851"/>
        <bgColor indexed="64"/>
      </patternFill>
    </fill>
    <fill>
      <patternFill patternType="solid">
        <fgColor rgb="FF002852"/>
        <bgColor indexed="64"/>
      </patternFill>
    </fill>
    <fill>
      <patternFill patternType="solid">
        <fgColor rgb="FF002853"/>
        <bgColor indexed="64"/>
      </patternFill>
    </fill>
    <fill>
      <patternFill patternType="solid">
        <fgColor rgb="FF002854"/>
        <bgColor indexed="64"/>
      </patternFill>
    </fill>
    <fill>
      <patternFill patternType="solid">
        <fgColor rgb="FF002855"/>
        <bgColor indexed="64"/>
      </patternFill>
    </fill>
    <fill>
      <patternFill patternType="solid">
        <fgColor rgb="FF002856"/>
        <bgColor indexed="64"/>
      </patternFill>
    </fill>
    <fill>
      <patternFill patternType="solid">
        <fgColor rgb="FF002857"/>
        <bgColor indexed="64"/>
      </patternFill>
    </fill>
    <fill>
      <patternFill patternType="solid">
        <fgColor rgb="FF002858"/>
        <bgColor indexed="64"/>
      </patternFill>
    </fill>
    <fill>
      <patternFill patternType="solid">
        <fgColor rgb="FF002859"/>
        <bgColor indexed="64"/>
      </patternFill>
    </fill>
    <fill>
      <patternFill patternType="solid">
        <fgColor rgb="FF00285A"/>
        <bgColor indexed="64"/>
      </patternFill>
    </fill>
    <fill>
      <patternFill patternType="solid">
        <fgColor rgb="FF00285B"/>
        <bgColor indexed="64"/>
      </patternFill>
    </fill>
    <fill>
      <patternFill patternType="solid">
        <fgColor rgb="FF00285C"/>
        <bgColor indexed="64"/>
      </patternFill>
    </fill>
    <fill>
      <patternFill patternType="solid">
        <fgColor rgb="FF00285D"/>
        <bgColor indexed="64"/>
      </patternFill>
    </fill>
    <fill>
      <patternFill patternType="solid">
        <fgColor rgb="FF00285E"/>
        <bgColor indexed="64"/>
      </patternFill>
    </fill>
    <fill>
      <patternFill patternType="solid">
        <fgColor rgb="FF00285F"/>
        <bgColor indexed="64"/>
      </patternFill>
    </fill>
    <fill>
      <patternFill patternType="solid">
        <fgColor rgb="FF002860"/>
        <bgColor indexed="64"/>
      </patternFill>
    </fill>
    <fill>
      <patternFill patternType="solid">
        <fgColor rgb="FF002861"/>
        <bgColor indexed="64"/>
      </patternFill>
    </fill>
    <fill>
      <patternFill patternType="solid">
        <fgColor rgb="FF002862"/>
        <bgColor indexed="64"/>
      </patternFill>
    </fill>
    <fill>
      <patternFill patternType="solid">
        <fgColor rgb="FF002863"/>
        <bgColor indexed="64"/>
      </patternFill>
    </fill>
    <fill>
      <patternFill patternType="solid">
        <fgColor rgb="FF002864"/>
        <bgColor indexed="64"/>
      </patternFill>
    </fill>
    <fill>
      <patternFill patternType="solid">
        <fgColor rgb="FF002865"/>
        <bgColor indexed="64"/>
      </patternFill>
    </fill>
    <fill>
      <patternFill patternType="solid">
        <fgColor rgb="FF002866"/>
        <bgColor indexed="64"/>
      </patternFill>
    </fill>
    <fill>
      <patternFill patternType="solid">
        <fgColor rgb="FF002867"/>
        <bgColor indexed="64"/>
      </patternFill>
    </fill>
    <fill>
      <patternFill patternType="solid">
        <fgColor rgb="FF002868"/>
        <bgColor indexed="64"/>
      </patternFill>
    </fill>
    <fill>
      <patternFill patternType="solid">
        <fgColor rgb="FF002869"/>
        <bgColor indexed="64"/>
      </patternFill>
    </fill>
    <fill>
      <patternFill patternType="solid">
        <fgColor rgb="FF00286A"/>
        <bgColor indexed="64"/>
      </patternFill>
    </fill>
    <fill>
      <patternFill patternType="solid">
        <fgColor rgb="FF00286B"/>
        <bgColor indexed="64"/>
      </patternFill>
    </fill>
    <fill>
      <patternFill patternType="solid">
        <fgColor rgb="FF00286C"/>
        <bgColor indexed="64"/>
      </patternFill>
    </fill>
    <fill>
      <patternFill patternType="solid">
        <fgColor rgb="FF00286D"/>
        <bgColor indexed="64"/>
      </patternFill>
    </fill>
    <fill>
      <patternFill patternType="solid">
        <fgColor rgb="FF00286E"/>
        <bgColor indexed="64"/>
      </patternFill>
    </fill>
    <fill>
      <patternFill patternType="solid">
        <fgColor rgb="FF00286F"/>
        <bgColor indexed="64"/>
      </patternFill>
    </fill>
    <fill>
      <patternFill patternType="solid">
        <fgColor rgb="FF002870"/>
        <bgColor indexed="64"/>
      </patternFill>
    </fill>
    <fill>
      <patternFill patternType="solid">
        <fgColor rgb="FF002871"/>
        <bgColor indexed="64"/>
      </patternFill>
    </fill>
    <fill>
      <patternFill patternType="solid">
        <fgColor rgb="FF002872"/>
        <bgColor indexed="64"/>
      </patternFill>
    </fill>
    <fill>
      <patternFill patternType="solid">
        <fgColor rgb="FF002873"/>
        <bgColor indexed="64"/>
      </patternFill>
    </fill>
    <fill>
      <patternFill patternType="solid">
        <fgColor rgb="FF002874"/>
        <bgColor indexed="64"/>
      </patternFill>
    </fill>
    <fill>
      <patternFill patternType="solid">
        <fgColor rgb="FF002875"/>
        <bgColor indexed="64"/>
      </patternFill>
    </fill>
    <fill>
      <patternFill patternType="solid">
        <fgColor rgb="FF002876"/>
        <bgColor indexed="64"/>
      </patternFill>
    </fill>
    <fill>
      <patternFill patternType="solid">
        <fgColor rgb="FF002877"/>
        <bgColor indexed="64"/>
      </patternFill>
    </fill>
    <fill>
      <patternFill patternType="solid">
        <fgColor rgb="FF002878"/>
        <bgColor indexed="64"/>
      </patternFill>
    </fill>
    <fill>
      <patternFill patternType="solid">
        <fgColor rgb="FF002879"/>
        <bgColor indexed="64"/>
      </patternFill>
    </fill>
    <fill>
      <patternFill patternType="solid">
        <fgColor rgb="FF00287A"/>
        <bgColor indexed="64"/>
      </patternFill>
    </fill>
    <fill>
      <patternFill patternType="solid">
        <fgColor rgb="FF00287B"/>
        <bgColor indexed="64"/>
      </patternFill>
    </fill>
    <fill>
      <patternFill patternType="solid">
        <fgColor rgb="FF00287C"/>
        <bgColor indexed="64"/>
      </patternFill>
    </fill>
    <fill>
      <patternFill patternType="solid">
        <fgColor rgb="FF00287D"/>
        <bgColor indexed="64"/>
      </patternFill>
    </fill>
    <fill>
      <patternFill patternType="solid">
        <fgColor rgb="FF00287E"/>
        <bgColor indexed="64"/>
      </patternFill>
    </fill>
    <fill>
      <patternFill patternType="solid">
        <fgColor rgb="FF00287F"/>
        <bgColor indexed="64"/>
      </patternFill>
    </fill>
    <fill>
      <patternFill patternType="solid">
        <fgColor rgb="FF002880"/>
        <bgColor indexed="64"/>
      </patternFill>
    </fill>
    <fill>
      <patternFill patternType="solid">
        <fgColor rgb="FF002881"/>
        <bgColor indexed="64"/>
      </patternFill>
    </fill>
    <fill>
      <patternFill patternType="solid">
        <fgColor rgb="FF002882"/>
        <bgColor indexed="64"/>
      </patternFill>
    </fill>
    <fill>
      <patternFill patternType="solid">
        <fgColor rgb="FF002883"/>
        <bgColor indexed="64"/>
      </patternFill>
    </fill>
    <fill>
      <patternFill patternType="solid">
        <fgColor rgb="FF002884"/>
        <bgColor indexed="64"/>
      </patternFill>
    </fill>
    <fill>
      <patternFill patternType="solid">
        <fgColor rgb="FF002885"/>
        <bgColor indexed="64"/>
      </patternFill>
    </fill>
    <fill>
      <patternFill patternType="solid">
        <fgColor rgb="FF002886"/>
        <bgColor indexed="64"/>
      </patternFill>
    </fill>
    <fill>
      <patternFill patternType="solid">
        <fgColor rgb="FF002887"/>
        <bgColor indexed="64"/>
      </patternFill>
    </fill>
    <fill>
      <patternFill patternType="solid">
        <fgColor rgb="FF002888"/>
        <bgColor indexed="64"/>
      </patternFill>
    </fill>
    <fill>
      <patternFill patternType="solid">
        <fgColor rgb="FF002889"/>
        <bgColor indexed="64"/>
      </patternFill>
    </fill>
    <fill>
      <patternFill patternType="solid">
        <fgColor rgb="FF00288A"/>
        <bgColor indexed="64"/>
      </patternFill>
    </fill>
    <fill>
      <patternFill patternType="solid">
        <fgColor rgb="FF00288B"/>
        <bgColor indexed="64"/>
      </patternFill>
    </fill>
    <fill>
      <patternFill patternType="solid">
        <fgColor rgb="FF00288C"/>
        <bgColor indexed="64"/>
      </patternFill>
    </fill>
    <fill>
      <patternFill patternType="solid">
        <fgColor rgb="FF00288D"/>
        <bgColor indexed="64"/>
      </patternFill>
    </fill>
    <fill>
      <patternFill patternType="solid">
        <fgColor rgb="FF00288E"/>
        <bgColor indexed="64"/>
      </patternFill>
    </fill>
    <fill>
      <patternFill patternType="solid">
        <fgColor rgb="FF00288F"/>
        <bgColor indexed="64"/>
      </patternFill>
    </fill>
    <fill>
      <patternFill patternType="solid">
        <fgColor rgb="FF002890"/>
        <bgColor indexed="64"/>
      </patternFill>
    </fill>
    <fill>
      <patternFill patternType="solid">
        <fgColor rgb="FF002891"/>
        <bgColor indexed="64"/>
      </patternFill>
    </fill>
    <fill>
      <patternFill patternType="solid">
        <fgColor rgb="FF002892"/>
        <bgColor indexed="64"/>
      </patternFill>
    </fill>
    <fill>
      <patternFill patternType="solid">
        <fgColor rgb="FF002893"/>
        <bgColor indexed="64"/>
      </patternFill>
    </fill>
    <fill>
      <patternFill patternType="solid">
        <fgColor rgb="FF002894"/>
        <bgColor indexed="64"/>
      </patternFill>
    </fill>
    <fill>
      <patternFill patternType="solid">
        <fgColor rgb="FF002895"/>
        <bgColor indexed="64"/>
      </patternFill>
    </fill>
    <fill>
      <patternFill patternType="solid">
        <fgColor rgb="FF002896"/>
        <bgColor indexed="64"/>
      </patternFill>
    </fill>
    <fill>
      <patternFill patternType="solid">
        <fgColor rgb="FF002897"/>
        <bgColor indexed="64"/>
      </patternFill>
    </fill>
    <fill>
      <patternFill patternType="solid">
        <fgColor rgb="FF002898"/>
        <bgColor indexed="64"/>
      </patternFill>
    </fill>
    <fill>
      <patternFill patternType="solid">
        <fgColor rgb="FF002899"/>
        <bgColor indexed="64"/>
      </patternFill>
    </fill>
    <fill>
      <patternFill patternType="solid">
        <fgColor rgb="FF00289A"/>
        <bgColor indexed="64"/>
      </patternFill>
    </fill>
    <fill>
      <patternFill patternType="solid">
        <fgColor rgb="FF00289B"/>
        <bgColor indexed="64"/>
      </patternFill>
    </fill>
    <fill>
      <patternFill patternType="solid">
        <fgColor rgb="FF00289C"/>
        <bgColor indexed="64"/>
      </patternFill>
    </fill>
    <fill>
      <patternFill patternType="solid">
        <fgColor rgb="FF00289D"/>
        <bgColor indexed="64"/>
      </patternFill>
    </fill>
    <fill>
      <patternFill patternType="solid">
        <fgColor rgb="FF00289E"/>
        <bgColor indexed="64"/>
      </patternFill>
    </fill>
    <fill>
      <patternFill patternType="solid">
        <fgColor rgb="FF00289F"/>
        <bgColor indexed="64"/>
      </patternFill>
    </fill>
    <fill>
      <patternFill patternType="solid">
        <fgColor rgb="FF0028A0"/>
        <bgColor indexed="64"/>
      </patternFill>
    </fill>
    <fill>
      <patternFill patternType="solid">
        <fgColor rgb="FF0028A1"/>
        <bgColor indexed="64"/>
      </patternFill>
    </fill>
    <fill>
      <patternFill patternType="solid">
        <fgColor rgb="FF0028A2"/>
        <bgColor indexed="64"/>
      </patternFill>
    </fill>
    <fill>
      <patternFill patternType="solid">
        <fgColor rgb="FF0028A3"/>
        <bgColor indexed="64"/>
      </patternFill>
    </fill>
    <fill>
      <patternFill patternType="solid">
        <fgColor rgb="FF0028A4"/>
        <bgColor indexed="64"/>
      </patternFill>
    </fill>
    <fill>
      <patternFill patternType="solid">
        <fgColor rgb="FF0028A5"/>
        <bgColor indexed="64"/>
      </patternFill>
    </fill>
    <fill>
      <patternFill patternType="solid">
        <fgColor rgb="FF0028A6"/>
        <bgColor indexed="64"/>
      </patternFill>
    </fill>
    <fill>
      <patternFill patternType="solid">
        <fgColor rgb="FF0028A7"/>
        <bgColor indexed="64"/>
      </patternFill>
    </fill>
    <fill>
      <patternFill patternType="solid">
        <fgColor rgb="FF0028A8"/>
        <bgColor indexed="64"/>
      </patternFill>
    </fill>
    <fill>
      <patternFill patternType="solid">
        <fgColor rgb="FF0028A9"/>
        <bgColor indexed="64"/>
      </patternFill>
    </fill>
    <fill>
      <patternFill patternType="solid">
        <fgColor rgb="FF0028AA"/>
        <bgColor indexed="64"/>
      </patternFill>
    </fill>
    <fill>
      <patternFill patternType="solid">
        <fgColor rgb="FF0028AB"/>
        <bgColor indexed="64"/>
      </patternFill>
    </fill>
    <fill>
      <patternFill patternType="solid">
        <fgColor rgb="FF0028AC"/>
        <bgColor indexed="64"/>
      </patternFill>
    </fill>
    <fill>
      <patternFill patternType="solid">
        <fgColor rgb="FF0028AD"/>
        <bgColor indexed="64"/>
      </patternFill>
    </fill>
    <fill>
      <patternFill patternType="solid">
        <fgColor rgb="FF0028AE"/>
        <bgColor indexed="64"/>
      </patternFill>
    </fill>
    <fill>
      <patternFill patternType="solid">
        <fgColor rgb="FF0028AF"/>
        <bgColor indexed="64"/>
      </patternFill>
    </fill>
    <fill>
      <patternFill patternType="solid">
        <fgColor rgb="FF0028B0"/>
        <bgColor indexed="64"/>
      </patternFill>
    </fill>
    <fill>
      <patternFill patternType="solid">
        <fgColor rgb="FF0028B1"/>
        <bgColor indexed="64"/>
      </patternFill>
    </fill>
    <fill>
      <patternFill patternType="solid">
        <fgColor rgb="FF0028B2"/>
        <bgColor indexed="64"/>
      </patternFill>
    </fill>
    <fill>
      <patternFill patternType="solid">
        <fgColor rgb="FF0028B3"/>
        <bgColor indexed="64"/>
      </patternFill>
    </fill>
    <fill>
      <patternFill patternType="solid">
        <fgColor rgb="FF0028B4"/>
        <bgColor indexed="64"/>
      </patternFill>
    </fill>
    <fill>
      <patternFill patternType="solid">
        <fgColor rgb="FF0028B5"/>
        <bgColor indexed="64"/>
      </patternFill>
    </fill>
    <fill>
      <patternFill patternType="solid">
        <fgColor rgb="FF0028B6"/>
        <bgColor indexed="64"/>
      </patternFill>
    </fill>
    <fill>
      <patternFill patternType="solid">
        <fgColor rgb="FF0028B7"/>
        <bgColor indexed="64"/>
      </patternFill>
    </fill>
    <fill>
      <patternFill patternType="solid">
        <fgColor rgb="FF0028B8"/>
        <bgColor indexed="64"/>
      </patternFill>
    </fill>
    <fill>
      <patternFill patternType="solid">
        <fgColor rgb="FF0028B9"/>
        <bgColor indexed="64"/>
      </patternFill>
    </fill>
    <fill>
      <patternFill patternType="solid">
        <fgColor rgb="FF0028BA"/>
        <bgColor indexed="64"/>
      </patternFill>
    </fill>
    <fill>
      <patternFill patternType="solid">
        <fgColor rgb="FF0028BB"/>
        <bgColor indexed="64"/>
      </patternFill>
    </fill>
    <fill>
      <patternFill patternType="solid">
        <fgColor rgb="FF0028BC"/>
        <bgColor indexed="64"/>
      </patternFill>
    </fill>
    <fill>
      <patternFill patternType="solid">
        <fgColor rgb="FF0028BD"/>
        <bgColor indexed="64"/>
      </patternFill>
    </fill>
    <fill>
      <patternFill patternType="solid">
        <fgColor rgb="FF0028BE"/>
        <bgColor indexed="64"/>
      </patternFill>
    </fill>
    <fill>
      <patternFill patternType="solid">
        <fgColor rgb="FF0028BF"/>
        <bgColor indexed="64"/>
      </patternFill>
    </fill>
    <fill>
      <patternFill patternType="solid">
        <fgColor rgb="FF0028C0"/>
        <bgColor indexed="64"/>
      </patternFill>
    </fill>
    <fill>
      <patternFill patternType="solid">
        <fgColor rgb="FF0028C1"/>
        <bgColor indexed="64"/>
      </patternFill>
    </fill>
    <fill>
      <patternFill patternType="solid">
        <fgColor rgb="FF0028C2"/>
        <bgColor indexed="64"/>
      </patternFill>
    </fill>
    <fill>
      <patternFill patternType="solid">
        <fgColor rgb="FF0028C3"/>
        <bgColor indexed="64"/>
      </patternFill>
    </fill>
    <fill>
      <patternFill patternType="solid">
        <fgColor rgb="FF0028C4"/>
        <bgColor indexed="64"/>
      </patternFill>
    </fill>
    <fill>
      <patternFill patternType="solid">
        <fgColor rgb="FF0028C5"/>
        <bgColor indexed="64"/>
      </patternFill>
    </fill>
    <fill>
      <patternFill patternType="solid">
        <fgColor rgb="FF0028C6"/>
        <bgColor indexed="64"/>
      </patternFill>
    </fill>
    <fill>
      <patternFill patternType="solid">
        <fgColor rgb="FF0028C7"/>
        <bgColor indexed="64"/>
      </patternFill>
    </fill>
    <fill>
      <patternFill patternType="solid">
        <fgColor rgb="FF0028C8"/>
        <bgColor indexed="64"/>
      </patternFill>
    </fill>
    <fill>
      <patternFill patternType="solid">
        <fgColor rgb="FF0028C9"/>
        <bgColor indexed="64"/>
      </patternFill>
    </fill>
    <fill>
      <patternFill patternType="solid">
        <fgColor rgb="FF0028CA"/>
        <bgColor indexed="64"/>
      </patternFill>
    </fill>
    <fill>
      <patternFill patternType="solid">
        <fgColor rgb="FF0028CB"/>
        <bgColor indexed="64"/>
      </patternFill>
    </fill>
    <fill>
      <patternFill patternType="solid">
        <fgColor rgb="FF0028CC"/>
        <bgColor indexed="64"/>
      </patternFill>
    </fill>
    <fill>
      <patternFill patternType="solid">
        <fgColor rgb="FF0028CD"/>
        <bgColor indexed="64"/>
      </patternFill>
    </fill>
    <fill>
      <patternFill patternType="solid">
        <fgColor rgb="FF0028CE"/>
        <bgColor indexed="64"/>
      </patternFill>
    </fill>
    <fill>
      <patternFill patternType="solid">
        <fgColor rgb="FF0028CF"/>
        <bgColor indexed="64"/>
      </patternFill>
    </fill>
    <fill>
      <patternFill patternType="solid">
        <fgColor rgb="FF0028D0"/>
        <bgColor indexed="64"/>
      </patternFill>
    </fill>
    <fill>
      <patternFill patternType="solid">
        <fgColor rgb="FF0028D1"/>
        <bgColor indexed="64"/>
      </patternFill>
    </fill>
    <fill>
      <patternFill patternType="solid">
        <fgColor rgb="FF0028D2"/>
        <bgColor indexed="64"/>
      </patternFill>
    </fill>
    <fill>
      <patternFill patternType="solid">
        <fgColor rgb="FF0028D3"/>
        <bgColor indexed="64"/>
      </patternFill>
    </fill>
    <fill>
      <patternFill patternType="solid">
        <fgColor rgb="FF0028D4"/>
        <bgColor indexed="64"/>
      </patternFill>
    </fill>
    <fill>
      <patternFill patternType="solid">
        <fgColor rgb="FF0028D5"/>
        <bgColor indexed="64"/>
      </patternFill>
    </fill>
    <fill>
      <patternFill patternType="solid">
        <fgColor rgb="FF0028D6"/>
        <bgColor indexed="64"/>
      </patternFill>
    </fill>
    <fill>
      <patternFill patternType="solid">
        <fgColor rgb="FF0028D7"/>
        <bgColor indexed="64"/>
      </patternFill>
    </fill>
    <fill>
      <patternFill patternType="solid">
        <fgColor rgb="FF0028D8"/>
        <bgColor indexed="64"/>
      </patternFill>
    </fill>
    <fill>
      <patternFill patternType="solid">
        <fgColor rgb="FF0028D9"/>
        <bgColor indexed="64"/>
      </patternFill>
    </fill>
    <fill>
      <patternFill patternType="solid">
        <fgColor rgb="FF0028DA"/>
        <bgColor indexed="64"/>
      </patternFill>
    </fill>
    <fill>
      <patternFill patternType="solid">
        <fgColor rgb="FF0028DB"/>
        <bgColor indexed="64"/>
      </patternFill>
    </fill>
    <fill>
      <patternFill patternType="solid">
        <fgColor rgb="FF0028DC"/>
        <bgColor indexed="64"/>
      </patternFill>
    </fill>
    <fill>
      <patternFill patternType="solid">
        <fgColor rgb="FF0028DD"/>
        <bgColor indexed="64"/>
      </patternFill>
    </fill>
    <fill>
      <patternFill patternType="solid">
        <fgColor rgb="FF0028DE"/>
        <bgColor indexed="64"/>
      </patternFill>
    </fill>
    <fill>
      <patternFill patternType="solid">
        <fgColor rgb="FF0028DF"/>
        <bgColor indexed="64"/>
      </patternFill>
    </fill>
    <fill>
      <patternFill patternType="solid">
        <fgColor rgb="FF0028E0"/>
        <bgColor indexed="64"/>
      </patternFill>
    </fill>
    <fill>
      <patternFill patternType="solid">
        <fgColor rgb="FF0028E1"/>
        <bgColor indexed="64"/>
      </patternFill>
    </fill>
    <fill>
      <patternFill patternType="solid">
        <fgColor rgb="FF0028E2"/>
        <bgColor indexed="64"/>
      </patternFill>
    </fill>
    <fill>
      <patternFill patternType="solid">
        <fgColor rgb="FF0028E3"/>
        <bgColor indexed="64"/>
      </patternFill>
    </fill>
    <fill>
      <patternFill patternType="solid">
        <fgColor rgb="FF0028E4"/>
        <bgColor indexed="64"/>
      </patternFill>
    </fill>
    <fill>
      <patternFill patternType="solid">
        <fgColor rgb="FF0028E5"/>
        <bgColor indexed="64"/>
      </patternFill>
    </fill>
    <fill>
      <patternFill patternType="solid">
        <fgColor rgb="FF0028E6"/>
        <bgColor indexed="64"/>
      </patternFill>
    </fill>
    <fill>
      <patternFill patternType="solid">
        <fgColor rgb="FF0028E7"/>
        <bgColor indexed="64"/>
      </patternFill>
    </fill>
    <fill>
      <patternFill patternType="solid">
        <fgColor rgb="FF0028E8"/>
        <bgColor indexed="64"/>
      </patternFill>
    </fill>
    <fill>
      <patternFill patternType="solid">
        <fgColor rgb="FF0028E9"/>
        <bgColor indexed="64"/>
      </patternFill>
    </fill>
    <fill>
      <patternFill patternType="solid">
        <fgColor rgb="FF0028EA"/>
        <bgColor indexed="64"/>
      </patternFill>
    </fill>
    <fill>
      <patternFill patternType="solid">
        <fgColor rgb="FF0028EB"/>
        <bgColor indexed="64"/>
      </patternFill>
    </fill>
    <fill>
      <patternFill patternType="solid">
        <fgColor rgb="FF0028EC"/>
        <bgColor indexed="64"/>
      </patternFill>
    </fill>
    <fill>
      <patternFill patternType="solid">
        <fgColor rgb="FF0028ED"/>
        <bgColor indexed="64"/>
      </patternFill>
    </fill>
    <fill>
      <patternFill patternType="solid">
        <fgColor rgb="FF0028EE"/>
        <bgColor indexed="64"/>
      </patternFill>
    </fill>
    <fill>
      <patternFill patternType="solid">
        <fgColor rgb="FF0028EF"/>
        <bgColor indexed="64"/>
      </patternFill>
    </fill>
    <fill>
      <patternFill patternType="solid">
        <fgColor rgb="FF0028F0"/>
        <bgColor indexed="64"/>
      </patternFill>
    </fill>
    <fill>
      <patternFill patternType="solid">
        <fgColor rgb="FF0028F1"/>
        <bgColor indexed="64"/>
      </patternFill>
    </fill>
    <fill>
      <patternFill patternType="solid">
        <fgColor rgb="FF0028F2"/>
        <bgColor indexed="64"/>
      </patternFill>
    </fill>
    <fill>
      <patternFill patternType="solid">
        <fgColor rgb="FF0028F3"/>
        <bgColor indexed="64"/>
      </patternFill>
    </fill>
    <fill>
      <patternFill patternType="solid">
        <fgColor rgb="FF0028F4"/>
        <bgColor indexed="64"/>
      </patternFill>
    </fill>
    <fill>
      <patternFill patternType="solid">
        <fgColor rgb="FF0028F5"/>
        <bgColor indexed="64"/>
      </patternFill>
    </fill>
    <fill>
      <patternFill patternType="solid">
        <fgColor rgb="FF0028F6"/>
        <bgColor indexed="64"/>
      </patternFill>
    </fill>
    <fill>
      <patternFill patternType="solid">
        <fgColor rgb="FF0028F7"/>
        <bgColor indexed="64"/>
      </patternFill>
    </fill>
    <fill>
      <patternFill patternType="solid">
        <fgColor rgb="FF0028F8"/>
        <bgColor indexed="64"/>
      </patternFill>
    </fill>
    <fill>
      <patternFill patternType="solid">
        <fgColor rgb="FF0028F9"/>
        <bgColor indexed="64"/>
      </patternFill>
    </fill>
    <fill>
      <patternFill patternType="solid">
        <fgColor rgb="FF0028FA"/>
        <bgColor indexed="64"/>
      </patternFill>
    </fill>
    <fill>
      <patternFill patternType="solid">
        <fgColor rgb="FF0028FB"/>
        <bgColor indexed="64"/>
      </patternFill>
    </fill>
    <fill>
      <patternFill patternType="solid">
        <fgColor rgb="FF0028FC"/>
        <bgColor indexed="64"/>
      </patternFill>
    </fill>
    <fill>
      <patternFill patternType="solid">
        <fgColor rgb="FF0028FD"/>
        <bgColor indexed="64"/>
      </patternFill>
    </fill>
    <fill>
      <patternFill patternType="solid">
        <fgColor rgb="FF0028FE"/>
        <bgColor indexed="64"/>
      </patternFill>
    </fill>
    <fill>
      <patternFill patternType="solid">
        <fgColor rgb="FF0028FF"/>
        <bgColor indexed="64"/>
      </patternFill>
    </fill>
    <fill>
      <patternFill patternType="solid">
        <fgColor rgb="FF002900"/>
        <bgColor indexed="64"/>
      </patternFill>
    </fill>
    <fill>
      <patternFill patternType="solid">
        <fgColor rgb="FF002901"/>
        <bgColor indexed="64"/>
      </patternFill>
    </fill>
    <fill>
      <patternFill patternType="solid">
        <fgColor rgb="FF002902"/>
        <bgColor indexed="64"/>
      </patternFill>
    </fill>
    <fill>
      <patternFill patternType="solid">
        <fgColor rgb="FF002903"/>
        <bgColor indexed="64"/>
      </patternFill>
    </fill>
    <fill>
      <patternFill patternType="solid">
        <fgColor rgb="FF002904"/>
        <bgColor indexed="64"/>
      </patternFill>
    </fill>
    <fill>
      <patternFill patternType="solid">
        <fgColor rgb="FF002905"/>
        <bgColor indexed="64"/>
      </patternFill>
    </fill>
    <fill>
      <patternFill patternType="solid">
        <fgColor rgb="FF002906"/>
        <bgColor indexed="64"/>
      </patternFill>
    </fill>
    <fill>
      <patternFill patternType="solid">
        <fgColor rgb="FF002907"/>
        <bgColor indexed="64"/>
      </patternFill>
    </fill>
    <fill>
      <patternFill patternType="solid">
        <fgColor rgb="FF002908"/>
        <bgColor indexed="64"/>
      </patternFill>
    </fill>
    <fill>
      <patternFill patternType="solid">
        <fgColor rgb="FF002909"/>
        <bgColor indexed="64"/>
      </patternFill>
    </fill>
    <fill>
      <patternFill patternType="solid">
        <fgColor rgb="FF00290A"/>
        <bgColor indexed="64"/>
      </patternFill>
    </fill>
    <fill>
      <patternFill patternType="solid">
        <fgColor rgb="FF00290B"/>
        <bgColor indexed="64"/>
      </patternFill>
    </fill>
    <fill>
      <patternFill patternType="solid">
        <fgColor rgb="FF00290C"/>
        <bgColor indexed="64"/>
      </patternFill>
    </fill>
    <fill>
      <patternFill patternType="solid">
        <fgColor rgb="FF00290D"/>
        <bgColor indexed="64"/>
      </patternFill>
    </fill>
    <fill>
      <patternFill patternType="solid">
        <fgColor rgb="FF00290E"/>
        <bgColor indexed="64"/>
      </patternFill>
    </fill>
    <fill>
      <patternFill patternType="solid">
        <fgColor rgb="FF00290F"/>
        <bgColor indexed="64"/>
      </patternFill>
    </fill>
    <fill>
      <patternFill patternType="solid">
        <fgColor rgb="FF002910"/>
        <bgColor indexed="64"/>
      </patternFill>
    </fill>
    <fill>
      <patternFill patternType="solid">
        <fgColor rgb="FF002911"/>
        <bgColor indexed="64"/>
      </patternFill>
    </fill>
    <fill>
      <patternFill patternType="solid">
        <fgColor rgb="FF002912"/>
        <bgColor indexed="64"/>
      </patternFill>
    </fill>
    <fill>
      <patternFill patternType="solid">
        <fgColor rgb="FF002913"/>
        <bgColor indexed="64"/>
      </patternFill>
    </fill>
    <fill>
      <patternFill patternType="solid">
        <fgColor rgb="FF002914"/>
        <bgColor indexed="64"/>
      </patternFill>
    </fill>
    <fill>
      <patternFill patternType="solid">
        <fgColor rgb="FF002915"/>
        <bgColor indexed="64"/>
      </patternFill>
    </fill>
    <fill>
      <patternFill patternType="solid">
        <fgColor rgb="FF002916"/>
        <bgColor indexed="64"/>
      </patternFill>
    </fill>
    <fill>
      <patternFill patternType="solid">
        <fgColor rgb="FF002917"/>
        <bgColor indexed="64"/>
      </patternFill>
    </fill>
    <fill>
      <patternFill patternType="solid">
        <fgColor rgb="FF002918"/>
        <bgColor indexed="64"/>
      </patternFill>
    </fill>
    <fill>
      <patternFill patternType="solid">
        <fgColor rgb="FF002919"/>
        <bgColor indexed="64"/>
      </patternFill>
    </fill>
    <fill>
      <patternFill patternType="solid">
        <fgColor rgb="FF00291A"/>
        <bgColor indexed="64"/>
      </patternFill>
    </fill>
    <fill>
      <patternFill patternType="solid">
        <fgColor rgb="FF00291B"/>
        <bgColor indexed="64"/>
      </patternFill>
    </fill>
    <fill>
      <patternFill patternType="solid">
        <fgColor rgb="FF00291C"/>
        <bgColor indexed="64"/>
      </patternFill>
    </fill>
    <fill>
      <patternFill patternType="solid">
        <fgColor rgb="FF00291D"/>
        <bgColor indexed="64"/>
      </patternFill>
    </fill>
    <fill>
      <patternFill patternType="solid">
        <fgColor rgb="FF00291E"/>
        <bgColor indexed="64"/>
      </patternFill>
    </fill>
    <fill>
      <patternFill patternType="solid">
        <fgColor rgb="FF00291F"/>
        <bgColor indexed="64"/>
      </patternFill>
    </fill>
    <fill>
      <patternFill patternType="solid">
        <fgColor rgb="FF002920"/>
        <bgColor indexed="64"/>
      </patternFill>
    </fill>
    <fill>
      <patternFill patternType="solid">
        <fgColor rgb="FF002921"/>
        <bgColor indexed="64"/>
      </patternFill>
    </fill>
    <fill>
      <patternFill patternType="solid">
        <fgColor rgb="FF002922"/>
        <bgColor indexed="64"/>
      </patternFill>
    </fill>
    <fill>
      <patternFill patternType="solid">
        <fgColor rgb="FF002923"/>
        <bgColor indexed="64"/>
      </patternFill>
    </fill>
    <fill>
      <patternFill patternType="solid">
        <fgColor rgb="FF002924"/>
        <bgColor indexed="64"/>
      </patternFill>
    </fill>
    <fill>
      <patternFill patternType="solid">
        <fgColor rgb="FF002925"/>
        <bgColor indexed="64"/>
      </patternFill>
    </fill>
    <fill>
      <patternFill patternType="solid">
        <fgColor rgb="FF002926"/>
        <bgColor indexed="64"/>
      </patternFill>
    </fill>
    <fill>
      <patternFill patternType="solid">
        <fgColor rgb="FF002927"/>
        <bgColor indexed="64"/>
      </patternFill>
    </fill>
    <fill>
      <patternFill patternType="solid">
        <fgColor rgb="FF002928"/>
        <bgColor indexed="64"/>
      </patternFill>
    </fill>
    <fill>
      <patternFill patternType="solid">
        <fgColor rgb="FF002929"/>
        <bgColor indexed="64"/>
      </patternFill>
    </fill>
    <fill>
      <patternFill patternType="solid">
        <fgColor rgb="FF00292A"/>
        <bgColor indexed="64"/>
      </patternFill>
    </fill>
    <fill>
      <patternFill patternType="solid">
        <fgColor rgb="FF00292B"/>
        <bgColor indexed="64"/>
      </patternFill>
    </fill>
    <fill>
      <patternFill patternType="solid">
        <fgColor rgb="FF00292C"/>
        <bgColor indexed="64"/>
      </patternFill>
    </fill>
    <fill>
      <patternFill patternType="solid">
        <fgColor rgb="FF00292D"/>
        <bgColor indexed="64"/>
      </patternFill>
    </fill>
    <fill>
      <patternFill patternType="solid">
        <fgColor rgb="FF00292E"/>
        <bgColor indexed="64"/>
      </patternFill>
    </fill>
    <fill>
      <patternFill patternType="solid">
        <fgColor rgb="FF00292F"/>
        <bgColor indexed="64"/>
      </patternFill>
    </fill>
    <fill>
      <patternFill patternType="solid">
        <fgColor rgb="FF002930"/>
        <bgColor indexed="64"/>
      </patternFill>
    </fill>
    <fill>
      <patternFill patternType="solid">
        <fgColor rgb="FF002931"/>
        <bgColor indexed="64"/>
      </patternFill>
    </fill>
    <fill>
      <patternFill patternType="solid">
        <fgColor rgb="FF002932"/>
        <bgColor indexed="64"/>
      </patternFill>
    </fill>
    <fill>
      <patternFill patternType="solid">
        <fgColor rgb="FF002933"/>
        <bgColor indexed="64"/>
      </patternFill>
    </fill>
    <fill>
      <patternFill patternType="solid">
        <fgColor rgb="FF002934"/>
        <bgColor indexed="64"/>
      </patternFill>
    </fill>
    <fill>
      <patternFill patternType="solid">
        <fgColor rgb="FF002935"/>
        <bgColor indexed="64"/>
      </patternFill>
    </fill>
    <fill>
      <patternFill patternType="solid">
        <fgColor rgb="FF002936"/>
        <bgColor indexed="64"/>
      </patternFill>
    </fill>
    <fill>
      <patternFill patternType="solid">
        <fgColor rgb="FF002937"/>
        <bgColor indexed="64"/>
      </patternFill>
    </fill>
    <fill>
      <patternFill patternType="solid">
        <fgColor rgb="FF002938"/>
        <bgColor indexed="64"/>
      </patternFill>
    </fill>
    <fill>
      <patternFill patternType="solid">
        <fgColor rgb="FF002939"/>
        <bgColor indexed="64"/>
      </patternFill>
    </fill>
    <fill>
      <patternFill patternType="solid">
        <fgColor rgb="FF00293A"/>
        <bgColor indexed="64"/>
      </patternFill>
    </fill>
    <fill>
      <patternFill patternType="solid">
        <fgColor rgb="FF00293B"/>
        <bgColor indexed="64"/>
      </patternFill>
    </fill>
    <fill>
      <patternFill patternType="solid">
        <fgColor rgb="FF00293C"/>
        <bgColor indexed="64"/>
      </patternFill>
    </fill>
    <fill>
      <patternFill patternType="solid">
        <fgColor rgb="FF00293D"/>
        <bgColor indexed="64"/>
      </patternFill>
    </fill>
    <fill>
      <patternFill patternType="solid">
        <fgColor rgb="FF00293E"/>
        <bgColor indexed="64"/>
      </patternFill>
    </fill>
    <fill>
      <patternFill patternType="solid">
        <fgColor rgb="FF00293F"/>
        <bgColor indexed="64"/>
      </patternFill>
    </fill>
    <fill>
      <patternFill patternType="solid">
        <fgColor rgb="FF002940"/>
        <bgColor indexed="64"/>
      </patternFill>
    </fill>
    <fill>
      <patternFill patternType="solid">
        <fgColor rgb="FF002941"/>
        <bgColor indexed="64"/>
      </patternFill>
    </fill>
    <fill>
      <patternFill patternType="solid">
        <fgColor rgb="FF002942"/>
        <bgColor indexed="64"/>
      </patternFill>
    </fill>
    <fill>
      <patternFill patternType="solid">
        <fgColor rgb="FF002943"/>
        <bgColor indexed="64"/>
      </patternFill>
    </fill>
    <fill>
      <patternFill patternType="solid">
        <fgColor rgb="FF002944"/>
        <bgColor indexed="64"/>
      </patternFill>
    </fill>
    <fill>
      <patternFill patternType="solid">
        <fgColor rgb="FF002945"/>
        <bgColor indexed="64"/>
      </patternFill>
    </fill>
    <fill>
      <patternFill patternType="solid">
        <fgColor rgb="FF002946"/>
        <bgColor indexed="64"/>
      </patternFill>
    </fill>
    <fill>
      <patternFill patternType="solid">
        <fgColor rgb="FF002947"/>
        <bgColor indexed="64"/>
      </patternFill>
    </fill>
    <fill>
      <patternFill patternType="solid">
        <fgColor rgb="FF002948"/>
        <bgColor indexed="64"/>
      </patternFill>
    </fill>
    <fill>
      <patternFill patternType="solid">
        <fgColor rgb="FF002949"/>
        <bgColor indexed="64"/>
      </patternFill>
    </fill>
    <fill>
      <patternFill patternType="solid">
        <fgColor rgb="FF00294A"/>
        <bgColor indexed="64"/>
      </patternFill>
    </fill>
    <fill>
      <patternFill patternType="solid">
        <fgColor rgb="FF00294B"/>
        <bgColor indexed="64"/>
      </patternFill>
    </fill>
    <fill>
      <patternFill patternType="solid">
        <fgColor rgb="FF00294C"/>
        <bgColor indexed="64"/>
      </patternFill>
    </fill>
    <fill>
      <patternFill patternType="solid">
        <fgColor rgb="FF00294D"/>
        <bgColor indexed="64"/>
      </patternFill>
    </fill>
    <fill>
      <patternFill patternType="solid">
        <fgColor rgb="FF00294E"/>
        <bgColor indexed="64"/>
      </patternFill>
    </fill>
    <fill>
      <patternFill patternType="solid">
        <fgColor rgb="FF00294F"/>
        <bgColor indexed="64"/>
      </patternFill>
    </fill>
    <fill>
      <patternFill patternType="solid">
        <fgColor rgb="FF002950"/>
        <bgColor indexed="64"/>
      </patternFill>
    </fill>
    <fill>
      <patternFill patternType="solid">
        <fgColor rgb="FF002951"/>
        <bgColor indexed="64"/>
      </patternFill>
    </fill>
    <fill>
      <patternFill patternType="solid">
        <fgColor rgb="FF002952"/>
        <bgColor indexed="64"/>
      </patternFill>
    </fill>
    <fill>
      <patternFill patternType="solid">
        <fgColor rgb="FF002953"/>
        <bgColor indexed="64"/>
      </patternFill>
    </fill>
    <fill>
      <patternFill patternType="solid">
        <fgColor rgb="FF002954"/>
        <bgColor indexed="64"/>
      </patternFill>
    </fill>
    <fill>
      <patternFill patternType="solid">
        <fgColor rgb="FF002955"/>
        <bgColor indexed="64"/>
      </patternFill>
    </fill>
    <fill>
      <patternFill patternType="solid">
        <fgColor rgb="FF002956"/>
        <bgColor indexed="64"/>
      </patternFill>
    </fill>
    <fill>
      <patternFill patternType="solid">
        <fgColor rgb="FF002957"/>
        <bgColor indexed="64"/>
      </patternFill>
    </fill>
    <fill>
      <patternFill patternType="solid">
        <fgColor rgb="FF002958"/>
        <bgColor indexed="64"/>
      </patternFill>
    </fill>
    <fill>
      <patternFill patternType="solid">
        <fgColor rgb="FF002959"/>
        <bgColor indexed="64"/>
      </patternFill>
    </fill>
    <fill>
      <patternFill patternType="solid">
        <fgColor rgb="FF00295A"/>
        <bgColor indexed="64"/>
      </patternFill>
    </fill>
    <fill>
      <patternFill patternType="solid">
        <fgColor rgb="FF00295B"/>
        <bgColor indexed="64"/>
      </patternFill>
    </fill>
    <fill>
      <patternFill patternType="solid">
        <fgColor rgb="FF00295C"/>
        <bgColor indexed="64"/>
      </patternFill>
    </fill>
    <fill>
      <patternFill patternType="solid">
        <fgColor rgb="FF00295D"/>
        <bgColor indexed="64"/>
      </patternFill>
    </fill>
    <fill>
      <patternFill patternType="solid">
        <fgColor rgb="FF00295E"/>
        <bgColor indexed="64"/>
      </patternFill>
    </fill>
    <fill>
      <patternFill patternType="solid">
        <fgColor rgb="FF00295F"/>
        <bgColor indexed="64"/>
      </patternFill>
    </fill>
    <fill>
      <patternFill patternType="solid">
        <fgColor rgb="FF002960"/>
        <bgColor indexed="64"/>
      </patternFill>
    </fill>
    <fill>
      <patternFill patternType="solid">
        <fgColor rgb="FF002961"/>
        <bgColor indexed="64"/>
      </patternFill>
    </fill>
    <fill>
      <patternFill patternType="solid">
        <fgColor rgb="FF002962"/>
        <bgColor indexed="64"/>
      </patternFill>
    </fill>
    <fill>
      <patternFill patternType="solid">
        <fgColor rgb="FF002963"/>
        <bgColor indexed="64"/>
      </patternFill>
    </fill>
    <fill>
      <patternFill patternType="solid">
        <fgColor rgb="FF002964"/>
        <bgColor indexed="64"/>
      </patternFill>
    </fill>
    <fill>
      <patternFill patternType="solid">
        <fgColor rgb="FF002965"/>
        <bgColor indexed="64"/>
      </patternFill>
    </fill>
    <fill>
      <patternFill patternType="solid">
        <fgColor rgb="FF002966"/>
        <bgColor indexed="64"/>
      </patternFill>
    </fill>
    <fill>
      <patternFill patternType="solid">
        <fgColor rgb="FF002967"/>
        <bgColor indexed="64"/>
      </patternFill>
    </fill>
    <fill>
      <patternFill patternType="solid">
        <fgColor rgb="FF002968"/>
        <bgColor indexed="64"/>
      </patternFill>
    </fill>
    <fill>
      <patternFill patternType="solid">
        <fgColor rgb="FF002969"/>
        <bgColor indexed="64"/>
      </patternFill>
    </fill>
    <fill>
      <patternFill patternType="solid">
        <fgColor rgb="FF00296A"/>
        <bgColor indexed="64"/>
      </patternFill>
    </fill>
    <fill>
      <patternFill patternType="solid">
        <fgColor rgb="FF00296B"/>
        <bgColor indexed="64"/>
      </patternFill>
    </fill>
    <fill>
      <patternFill patternType="solid">
        <fgColor rgb="FF00296C"/>
        <bgColor indexed="64"/>
      </patternFill>
    </fill>
    <fill>
      <patternFill patternType="solid">
        <fgColor rgb="FF00296D"/>
        <bgColor indexed="64"/>
      </patternFill>
    </fill>
    <fill>
      <patternFill patternType="solid">
        <fgColor rgb="FF00296E"/>
        <bgColor indexed="64"/>
      </patternFill>
    </fill>
    <fill>
      <patternFill patternType="solid">
        <fgColor rgb="FF00296F"/>
        <bgColor indexed="64"/>
      </patternFill>
    </fill>
    <fill>
      <patternFill patternType="solid">
        <fgColor rgb="FF002970"/>
        <bgColor indexed="64"/>
      </patternFill>
    </fill>
    <fill>
      <patternFill patternType="solid">
        <fgColor rgb="FF002971"/>
        <bgColor indexed="64"/>
      </patternFill>
    </fill>
    <fill>
      <patternFill patternType="solid">
        <fgColor rgb="FF002972"/>
        <bgColor indexed="64"/>
      </patternFill>
    </fill>
    <fill>
      <patternFill patternType="solid">
        <fgColor rgb="FF002973"/>
        <bgColor indexed="64"/>
      </patternFill>
    </fill>
    <fill>
      <patternFill patternType="solid">
        <fgColor rgb="FF002974"/>
        <bgColor indexed="64"/>
      </patternFill>
    </fill>
    <fill>
      <patternFill patternType="solid">
        <fgColor rgb="FF002975"/>
        <bgColor indexed="64"/>
      </patternFill>
    </fill>
    <fill>
      <patternFill patternType="solid">
        <fgColor rgb="FF002976"/>
        <bgColor indexed="64"/>
      </patternFill>
    </fill>
    <fill>
      <patternFill patternType="solid">
        <fgColor rgb="FF002977"/>
        <bgColor indexed="64"/>
      </patternFill>
    </fill>
    <fill>
      <patternFill patternType="solid">
        <fgColor rgb="FF002978"/>
        <bgColor indexed="64"/>
      </patternFill>
    </fill>
    <fill>
      <patternFill patternType="solid">
        <fgColor rgb="FF002979"/>
        <bgColor indexed="64"/>
      </patternFill>
    </fill>
    <fill>
      <patternFill patternType="solid">
        <fgColor rgb="FF00297A"/>
        <bgColor indexed="64"/>
      </patternFill>
    </fill>
    <fill>
      <patternFill patternType="solid">
        <fgColor rgb="FF00297B"/>
        <bgColor indexed="64"/>
      </patternFill>
    </fill>
    <fill>
      <patternFill patternType="solid">
        <fgColor rgb="FF00297C"/>
        <bgColor indexed="64"/>
      </patternFill>
    </fill>
    <fill>
      <patternFill patternType="solid">
        <fgColor rgb="FF00297D"/>
        <bgColor indexed="64"/>
      </patternFill>
    </fill>
    <fill>
      <patternFill patternType="solid">
        <fgColor rgb="FF00297E"/>
        <bgColor indexed="64"/>
      </patternFill>
    </fill>
    <fill>
      <patternFill patternType="solid">
        <fgColor rgb="FF00297F"/>
        <bgColor indexed="64"/>
      </patternFill>
    </fill>
    <fill>
      <patternFill patternType="solid">
        <fgColor rgb="FF002980"/>
        <bgColor indexed="64"/>
      </patternFill>
    </fill>
    <fill>
      <patternFill patternType="solid">
        <fgColor rgb="FF002981"/>
        <bgColor indexed="64"/>
      </patternFill>
    </fill>
    <fill>
      <patternFill patternType="solid">
        <fgColor rgb="FF002982"/>
        <bgColor indexed="64"/>
      </patternFill>
    </fill>
    <fill>
      <patternFill patternType="solid">
        <fgColor rgb="FF002983"/>
        <bgColor indexed="64"/>
      </patternFill>
    </fill>
    <fill>
      <patternFill patternType="solid">
        <fgColor rgb="FF002984"/>
        <bgColor indexed="64"/>
      </patternFill>
    </fill>
    <fill>
      <patternFill patternType="solid">
        <fgColor rgb="FF002985"/>
        <bgColor indexed="64"/>
      </patternFill>
    </fill>
    <fill>
      <patternFill patternType="solid">
        <fgColor rgb="FF002986"/>
        <bgColor indexed="64"/>
      </patternFill>
    </fill>
    <fill>
      <patternFill patternType="solid">
        <fgColor rgb="FF002987"/>
        <bgColor indexed="64"/>
      </patternFill>
    </fill>
    <fill>
      <patternFill patternType="solid">
        <fgColor rgb="FF002988"/>
        <bgColor indexed="64"/>
      </patternFill>
    </fill>
    <fill>
      <patternFill patternType="solid">
        <fgColor rgb="FF002989"/>
        <bgColor indexed="64"/>
      </patternFill>
    </fill>
    <fill>
      <patternFill patternType="solid">
        <fgColor rgb="FF00298A"/>
        <bgColor indexed="64"/>
      </patternFill>
    </fill>
    <fill>
      <patternFill patternType="solid">
        <fgColor rgb="FF00298B"/>
        <bgColor indexed="64"/>
      </patternFill>
    </fill>
    <fill>
      <patternFill patternType="solid">
        <fgColor rgb="FF00298C"/>
        <bgColor indexed="64"/>
      </patternFill>
    </fill>
    <fill>
      <patternFill patternType="solid">
        <fgColor rgb="FF00298D"/>
        <bgColor indexed="64"/>
      </patternFill>
    </fill>
    <fill>
      <patternFill patternType="solid">
        <fgColor rgb="FF00298E"/>
        <bgColor indexed="64"/>
      </patternFill>
    </fill>
    <fill>
      <patternFill patternType="solid">
        <fgColor rgb="FF00298F"/>
        <bgColor indexed="64"/>
      </patternFill>
    </fill>
    <fill>
      <patternFill patternType="solid">
        <fgColor rgb="FF002990"/>
        <bgColor indexed="64"/>
      </patternFill>
    </fill>
    <fill>
      <patternFill patternType="solid">
        <fgColor rgb="FF002991"/>
        <bgColor indexed="64"/>
      </patternFill>
    </fill>
    <fill>
      <patternFill patternType="solid">
        <fgColor rgb="FF002992"/>
        <bgColor indexed="64"/>
      </patternFill>
    </fill>
    <fill>
      <patternFill patternType="solid">
        <fgColor rgb="FF002993"/>
        <bgColor indexed="64"/>
      </patternFill>
    </fill>
    <fill>
      <patternFill patternType="solid">
        <fgColor rgb="FF002994"/>
        <bgColor indexed="64"/>
      </patternFill>
    </fill>
    <fill>
      <patternFill patternType="solid">
        <fgColor rgb="FF002995"/>
        <bgColor indexed="64"/>
      </patternFill>
    </fill>
    <fill>
      <patternFill patternType="solid">
        <fgColor rgb="FF002996"/>
        <bgColor indexed="64"/>
      </patternFill>
    </fill>
    <fill>
      <patternFill patternType="solid">
        <fgColor rgb="FF002997"/>
        <bgColor indexed="64"/>
      </patternFill>
    </fill>
    <fill>
      <patternFill patternType="solid">
        <fgColor rgb="FF002998"/>
        <bgColor indexed="64"/>
      </patternFill>
    </fill>
    <fill>
      <patternFill patternType="solid">
        <fgColor rgb="FF002999"/>
        <bgColor indexed="64"/>
      </patternFill>
    </fill>
    <fill>
      <patternFill patternType="solid">
        <fgColor rgb="FF00299A"/>
        <bgColor indexed="64"/>
      </patternFill>
    </fill>
    <fill>
      <patternFill patternType="solid">
        <fgColor rgb="FF00299B"/>
        <bgColor indexed="64"/>
      </patternFill>
    </fill>
    <fill>
      <patternFill patternType="solid">
        <fgColor rgb="FF00299C"/>
        <bgColor indexed="64"/>
      </patternFill>
    </fill>
    <fill>
      <patternFill patternType="solid">
        <fgColor rgb="FF00299D"/>
        <bgColor indexed="64"/>
      </patternFill>
    </fill>
    <fill>
      <patternFill patternType="solid">
        <fgColor rgb="FF00299E"/>
        <bgColor indexed="64"/>
      </patternFill>
    </fill>
    <fill>
      <patternFill patternType="solid">
        <fgColor rgb="FF00299F"/>
        <bgColor indexed="64"/>
      </patternFill>
    </fill>
    <fill>
      <patternFill patternType="solid">
        <fgColor rgb="FF0029A0"/>
        <bgColor indexed="64"/>
      </patternFill>
    </fill>
    <fill>
      <patternFill patternType="solid">
        <fgColor rgb="FF0029A1"/>
        <bgColor indexed="64"/>
      </patternFill>
    </fill>
    <fill>
      <patternFill patternType="solid">
        <fgColor rgb="FF0029A2"/>
        <bgColor indexed="64"/>
      </patternFill>
    </fill>
    <fill>
      <patternFill patternType="solid">
        <fgColor rgb="FF0029A3"/>
        <bgColor indexed="64"/>
      </patternFill>
    </fill>
    <fill>
      <patternFill patternType="solid">
        <fgColor rgb="FF0029A4"/>
        <bgColor indexed="64"/>
      </patternFill>
    </fill>
    <fill>
      <patternFill patternType="solid">
        <fgColor rgb="FF0029A5"/>
        <bgColor indexed="64"/>
      </patternFill>
    </fill>
    <fill>
      <patternFill patternType="solid">
        <fgColor rgb="FF0029A6"/>
        <bgColor indexed="64"/>
      </patternFill>
    </fill>
    <fill>
      <patternFill patternType="solid">
        <fgColor rgb="FF0029A7"/>
        <bgColor indexed="64"/>
      </patternFill>
    </fill>
    <fill>
      <patternFill patternType="solid">
        <fgColor rgb="FF0029A8"/>
        <bgColor indexed="64"/>
      </patternFill>
    </fill>
    <fill>
      <patternFill patternType="solid">
        <fgColor rgb="FF0029A9"/>
        <bgColor indexed="64"/>
      </patternFill>
    </fill>
    <fill>
      <patternFill patternType="solid">
        <fgColor rgb="FF0029AA"/>
        <bgColor indexed="64"/>
      </patternFill>
    </fill>
    <fill>
      <patternFill patternType="solid">
        <fgColor rgb="FF0029AB"/>
        <bgColor indexed="64"/>
      </patternFill>
    </fill>
    <fill>
      <patternFill patternType="solid">
        <fgColor rgb="FF0029AC"/>
        <bgColor indexed="64"/>
      </patternFill>
    </fill>
    <fill>
      <patternFill patternType="solid">
        <fgColor rgb="FF0029AD"/>
        <bgColor indexed="64"/>
      </patternFill>
    </fill>
    <fill>
      <patternFill patternType="solid">
        <fgColor rgb="FF0029AE"/>
        <bgColor indexed="64"/>
      </patternFill>
    </fill>
    <fill>
      <patternFill patternType="solid">
        <fgColor rgb="FF0029AF"/>
        <bgColor indexed="64"/>
      </patternFill>
    </fill>
    <fill>
      <patternFill patternType="solid">
        <fgColor rgb="FF0029B0"/>
        <bgColor indexed="64"/>
      </patternFill>
    </fill>
    <fill>
      <patternFill patternType="solid">
        <fgColor rgb="FF0029B1"/>
        <bgColor indexed="64"/>
      </patternFill>
    </fill>
    <fill>
      <patternFill patternType="solid">
        <fgColor rgb="FF0029B2"/>
        <bgColor indexed="64"/>
      </patternFill>
    </fill>
    <fill>
      <patternFill patternType="solid">
        <fgColor rgb="FF0029B3"/>
        <bgColor indexed="64"/>
      </patternFill>
    </fill>
    <fill>
      <patternFill patternType="solid">
        <fgColor rgb="FF0029B4"/>
        <bgColor indexed="64"/>
      </patternFill>
    </fill>
    <fill>
      <patternFill patternType="solid">
        <fgColor rgb="FF0029B5"/>
        <bgColor indexed="64"/>
      </patternFill>
    </fill>
    <fill>
      <patternFill patternType="solid">
        <fgColor rgb="FF0029B6"/>
        <bgColor indexed="64"/>
      </patternFill>
    </fill>
    <fill>
      <patternFill patternType="solid">
        <fgColor rgb="FF0029B7"/>
        <bgColor indexed="64"/>
      </patternFill>
    </fill>
    <fill>
      <patternFill patternType="solid">
        <fgColor rgb="FF0029B8"/>
        <bgColor indexed="64"/>
      </patternFill>
    </fill>
    <fill>
      <patternFill patternType="solid">
        <fgColor rgb="FF0029B9"/>
        <bgColor indexed="64"/>
      </patternFill>
    </fill>
    <fill>
      <patternFill patternType="solid">
        <fgColor rgb="FF0029BA"/>
        <bgColor indexed="64"/>
      </patternFill>
    </fill>
    <fill>
      <patternFill patternType="solid">
        <fgColor rgb="FF0029BB"/>
        <bgColor indexed="64"/>
      </patternFill>
    </fill>
    <fill>
      <patternFill patternType="solid">
        <fgColor rgb="FF0029BC"/>
        <bgColor indexed="64"/>
      </patternFill>
    </fill>
    <fill>
      <patternFill patternType="solid">
        <fgColor rgb="FF0029BD"/>
        <bgColor indexed="64"/>
      </patternFill>
    </fill>
    <fill>
      <patternFill patternType="solid">
        <fgColor rgb="FF0029BE"/>
        <bgColor indexed="64"/>
      </patternFill>
    </fill>
    <fill>
      <patternFill patternType="solid">
        <fgColor rgb="FF0029BF"/>
        <bgColor indexed="64"/>
      </patternFill>
    </fill>
    <fill>
      <patternFill patternType="solid">
        <fgColor rgb="FF0029C0"/>
        <bgColor indexed="64"/>
      </patternFill>
    </fill>
    <fill>
      <patternFill patternType="solid">
        <fgColor rgb="FF0029C1"/>
        <bgColor indexed="64"/>
      </patternFill>
    </fill>
    <fill>
      <patternFill patternType="solid">
        <fgColor rgb="FF0029C2"/>
        <bgColor indexed="64"/>
      </patternFill>
    </fill>
    <fill>
      <patternFill patternType="solid">
        <fgColor rgb="FF0029C3"/>
        <bgColor indexed="64"/>
      </patternFill>
    </fill>
    <fill>
      <patternFill patternType="solid">
        <fgColor rgb="FF0029C4"/>
        <bgColor indexed="64"/>
      </patternFill>
    </fill>
    <fill>
      <patternFill patternType="solid">
        <fgColor rgb="FF0029C5"/>
        <bgColor indexed="64"/>
      </patternFill>
    </fill>
    <fill>
      <patternFill patternType="solid">
        <fgColor rgb="FF0029C6"/>
        <bgColor indexed="64"/>
      </patternFill>
    </fill>
    <fill>
      <patternFill patternType="solid">
        <fgColor rgb="FF0029C7"/>
        <bgColor indexed="64"/>
      </patternFill>
    </fill>
    <fill>
      <patternFill patternType="solid">
        <fgColor rgb="FF0029C8"/>
        <bgColor indexed="64"/>
      </patternFill>
    </fill>
    <fill>
      <patternFill patternType="solid">
        <fgColor rgb="FF0029C9"/>
        <bgColor indexed="64"/>
      </patternFill>
    </fill>
    <fill>
      <patternFill patternType="solid">
        <fgColor rgb="FF0029CA"/>
        <bgColor indexed="64"/>
      </patternFill>
    </fill>
    <fill>
      <patternFill patternType="solid">
        <fgColor rgb="FF0029CB"/>
        <bgColor indexed="64"/>
      </patternFill>
    </fill>
    <fill>
      <patternFill patternType="solid">
        <fgColor rgb="FF0029CC"/>
        <bgColor indexed="64"/>
      </patternFill>
    </fill>
    <fill>
      <patternFill patternType="solid">
        <fgColor rgb="FF0029CD"/>
        <bgColor indexed="64"/>
      </patternFill>
    </fill>
    <fill>
      <patternFill patternType="solid">
        <fgColor rgb="FF0029CE"/>
        <bgColor indexed="64"/>
      </patternFill>
    </fill>
    <fill>
      <patternFill patternType="solid">
        <fgColor rgb="FF0029CF"/>
        <bgColor indexed="64"/>
      </patternFill>
    </fill>
    <fill>
      <patternFill patternType="solid">
        <fgColor rgb="FF0029D0"/>
        <bgColor indexed="64"/>
      </patternFill>
    </fill>
    <fill>
      <patternFill patternType="solid">
        <fgColor rgb="FF0029D1"/>
        <bgColor indexed="64"/>
      </patternFill>
    </fill>
    <fill>
      <patternFill patternType="solid">
        <fgColor rgb="FF0029D2"/>
        <bgColor indexed="64"/>
      </patternFill>
    </fill>
    <fill>
      <patternFill patternType="solid">
        <fgColor rgb="FF0029D3"/>
        <bgColor indexed="64"/>
      </patternFill>
    </fill>
    <fill>
      <patternFill patternType="solid">
        <fgColor rgb="FF0029D4"/>
        <bgColor indexed="64"/>
      </patternFill>
    </fill>
    <fill>
      <patternFill patternType="solid">
        <fgColor rgb="FF0029D5"/>
        <bgColor indexed="64"/>
      </patternFill>
    </fill>
    <fill>
      <patternFill patternType="solid">
        <fgColor rgb="FF0029D6"/>
        <bgColor indexed="64"/>
      </patternFill>
    </fill>
    <fill>
      <patternFill patternType="solid">
        <fgColor rgb="FF0029D7"/>
        <bgColor indexed="64"/>
      </patternFill>
    </fill>
    <fill>
      <patternFill patternType="solid">
        <fgColor rgb="FF0029D8"/>
        <bgColor indexed="64"/>
      </patternFill>
    </fill>
    <fill>
      <patternFill patternType="solid">
        <fgColor rgb="FF0029D9"/>
        <bgColor indexed="64"/>
      </patternFill>
    </fill>
    <fill>
      <patternFill patternType="solid">
        <fgColor rgb="FF0029DA"/>
        <bgColor indexed="64"/>
      </patternFill>
    </fill>
    <fill>
      <patternFill patternType="solid">
        <fgColor rgb="FF0029DB"/>
        <bgColor indexed="64"/>
      </patternFill>
    </fill>
    <fill>
      <patternFill patternType="solid">
        <fgColor rgb="FF0029DC"/>
        <bgColor indexed="64"/>
      </patternFill>
    </fill>
    <fill>
      <patternFill patternType="solid">
        <fgColor rgb="FF0029DD"/>
        <bgColor indexed="64"/>
      </patternFill>
    </fill>
    <fill>
      <patternFill patternType="solid">
        <fgColor rgb="FF0029DE"/>
        <bgColor indexed="64"/>
      </patternFill>
    </fill>
    <fill>
      <patternFill patternType="solid">
        <fgColor rgb="FF0029DF"/>
        <bgColor indexed="64"/>
      </patternFill>
    </fill>
    <fill>
      <patternFill patternType="solid">
        <fgColor rgb="FF0029E0"/>
        <bgColor indexed="64"/>
      </patternFill>
    </fill>
    <fill>
      <patternFill patternType="solid">
        <fgColor rgb="FF0029E1"/>
        <bgColor indexed="64"/>
      </patternFill>
    </fill>
    <fill>
      <patternFill patternType="solid">
        <fgColor rgb="FF0029E2"/>
        <bgColor indexed="64"/>
      </patternFill>
    </fill>
    <fill>
      <patternFill patternType="solid">
        <fgColor rgb="FF0029E3"/>
        <bgColor indexed="64"/>
      </patternFill>
    </fill>
    <fill>
      <patternFill patternType="solid">
        <fgColor rgb="FF0029E4"/>
        <bgColor indexed="64"/>
      </patternFill>
    </fill>
    <fill>
      <patternFill patternType="solid">
        <fgColor rgb="FF0029E5"/>
        <bgColor indexed="64"/>
      </patternFill>
    </fill>
    <fill>
      <patternFill patternType="solid">
        <fgColor rgb="FF0029E6"/>
        <bgColor indexed="64"/>
      </patternFill>
    </fill>
    <fill>
      <patternFill patternType="solid">
        <fgColor rgb="FF0029E7"/>
        <bgColor indexed="64"/>
      </patternFill>
    </fill>
    <fill>
      <patternFill patternType="solid">
        <fgColor rgb="FF0029E8"/>
        <bgColor indexed="64"/>
      </patternFill>
    </fill>
    <fill>
      <patternFill patternType="solid">
        <fgColor rgb="FF0029E9"/>
        <bgColor indexed="64"/>
      </patternFill>
    </fill>
    <fill>
      <patternFill patternType="solid">
        <fgColor rgb="FF0029EA"/>
        <bgColor indexed="64"/>
      </patternFill>
    </fill>
    <fill>
      <patternFill patternType="solid">
        <fgColor rgb="FF0029EB"/>
        <bgColor indexed="64"/>
      </patternFill>
    </fill>
    <fill>
      <patternFill patternType="solid">
        <fgColor rgb="FF0029EC"/>
        <bgColor indexed="64"/>
      </patternFill>
    </fill>
    <fill>
      <patternFill patternType="solid">
        <fgColor rgb="FF0029ED"/>
        <bgColor indexed="64"/>
      </patternFill>
    </fill>
    <fill>
      <patternFill patternType="solid">
        <fgColor rgb="FF0029EE"/>
        <bgColor indexed="64"/>
      </patternFill>
    </fill>
    <fill>
      <patternFill patternType="solid">
        <fgColor rgb="FF0029EF"/>
        <bgColor indexed="64"/>
      </patternFill>
    </fill>
    <fill>
      <patternFill patternType="solid">
        <fgColor rgb="FF0029F0"/>
        <bgColor indexed="64"/>
      </patternFill>
    </fill>
    <fill>
      <patternFill patternType="solid">
        <fgColor rgb="FF0029F1"/>
        <bgColor indexed="64"/>
      </patternFill>
    </fill>
    <fill>
      <patternFill patternType="solid">
        <fgColor rgb="FF0029F2"/>
        <bgColor indexed="64"/>
      </patternFill>
    </fill>
    <fill>
      <patternFill patternType="solid">
        <fgColor rgb="FF0029F3"/>
        <bgColor indexed="64"/>
      </patternFill>
    </fill>
    <fill>
      <patternFill patternType="solid">
        <fgColor rgb="FF0029F4"/>
        <bgColor indexed="64"/>
      </patternFill>
    </fill>
    <fill>
      <patternFill patternType="solid">
        <fgColor rgb="FF0029F5"/>
        <bgColor indexed="64"/>
      </patternFill>
    </fill>
    <fill>
      <patternFill patternType="solid">
        <fgColor rgb="FF0029F6"/>
        <bgColor indexed="64"/>
      </patternFill>
    </fill>
    <fill>
      <patternFill patternType="solid">
        <fgColor rgb="FF0029F7"/>
        <bgColor indexed="64"/>
      </patternFill>
    </fill>
    <fill>
      <patternFill patternType="solid">
        <fgColor rgb="FF0029F8"/>
        <bgColor indexed="64"/>
      </patternFill>
    </fill>
    <fill>
      <patternFill patternType="solid">
        <fgColor rgb="FF0029F9"/>
        <bgColor indexed="64"/>
      </patternFill>
    </fill>
    <fill>
      <patternFill patternType="solid">
        <fgColor rgb="FF0029FA"/>
        <bgColor indexed="64"/>
      </patternFill>
    </fill>
    <fill>
      <patternFill patternType="solid">
        <fgColor rgb="FF0029FB"/>
        <bgColor indexed="64"/>
      </patternFill>
    </fill>
    <fill>
      <patternFill patternType="solid">
        <fgColor rgb="FF0029FC"/>
        <bgColor indexed="64"/>
      </patternFill>
    </fill>
    <fill>
      <patternFill patternType="solid">
        <fgColor rgb="FF0029FD"/>
        <bgColor indexed="64"/>
      </patternFill>
    </fill>
    <fill>
      <patternFill patternType="solid">
        <fgColor rgb="FF0029FE"/>
        <bgColor indexed="64"/>
      </patternFill>
    </fill>
    <fill>
      <patternFill patternType="solid">
        <fgColor rgb="FF0029FF"/>
        <bgColor indexed="64"/>
      </patternFill>
    </fill>
    <fill>
      <patternFill patternType="solid">
        <fgColor rgb="FF002A00"/>
        <bgColor indexed="64"/>
      </patternFill>
    </fill>
    <fill>
      <patternFill patternType="solid">
        <fgColor rgb="FF002A01"/>
        <bgColor indexed="64"/>
      </patternFill>
    </fill>
    <fill>
      <patternFill patternType="solid">
        <fgColor rgb="FF002A02"/>
        <bgColor indexed="64"/>
      </patternFill>
    </fill>
    <fill>
      <patternFill patternType="solid">
        <fgColor rgb="FF002A03"/>
        <bgColor indexed="64"/>
      </patternFill>
    </fill>
    <fill>
      <patternFill patternType="solid">
        <fgColor rgb="FF002A04"/>
        <bgColor indexed="64"/>
      </patternFill>
    </fill>
    <fill>
      <patternFill patternType="solid">
        <fgColor rgb="FF002A05"/>
        <bgColor indexed="64"/>
      </patternFill>
    </fill>
    <fill>
      <patternFill patternType="solid">
        <fgColor rgb="FF002A06"/>
        <bgColor indexed="64"/>
      </patternFill>
    </fill>
    <fill>
      <patternFill patternType="solid">
        <fgColor rgb="FF002A07"/>
        <bgColor indexed="64"/>
      </patternFill>
    </fill>
    <fill>
      <patternFill patternType="solid">
        <fgColor rgb="FF002A08"/>
        <bgColor indexed="64"/>
      </patternFill>
    </fill>
    <fill>
      <patternFill patternType="solid">
        <fgColor rgb="FF002A09"/>
        <bgColor indexed="64"/>
      </patternFill>
    </fill>
    <fill>
      <patternFill patternType="solid">
        <fgColor rgb="FF002A0A"/>
        <bgColor indexed="64"/>
      </patternFill>
    </fill>
    <fill>
      <patternFill patternType="solid">
        <fgColor rgb="FF002A0B"/>
        <bgColor indexed="64"/>
      </patternFill>
    </fill>
    <fill>
      <patternFill patternType="solid">
        <fgColor rgb="FF002A0C"/>
        <bgColor indexed="64"/>
      </patternFill>
    </fill>
    <fill>
      <patternFill patternType="solid">
        <fgColor rgb="FF002A0D"/>
        <bgColor indexed="64"/>
      </patternFill>
    </fill>
    <fill>
      <patternFill patternType="solid">
        <fgColor rgb="FF002A0E"/>
        <bgColor indexed="64"/>
      </patternFill>
    </fill>
    <fill>
      <patternFill patternType="solid">
        <fgColor rgb="FF002A0F"/>
        <bgColor indexed="64"/>
      </patternFill>
    </fill>
    <fill>
      <patternFill patternType="solid">
        <fgColor rgb="FF002A10"/>
        <bgColor indexed="64"/>
      </patternFill>
    </fill>
    <fill>
      <patternFill patternType="solid">
        <fgColor rgb="FF002A11"/>
        <bgColor indexed="64"/>
      </patternFill>
    </fill>
    <fill>
      <patternFill patternType="solid">
        <fgColor rgb="FF002A12"/>
        <bgColor indexed="64"/>
      </patternFill>
    </fill>
    <fill>
      <patternFill patternType="solid">
        <fgColor rgb="FF002A13"/>
        <bgColor indexed="64"/>
      </patternFill>
    </fill>
    <fill>
      <patternFill patternType="solid">
        <fgColor rgb="FF002A14"/>
        <bgColor indexed="64"/>
      </patternFill>
    </fill>
    <fill>
      <patternFill patternType="solid">
        <fgColor rgb="FF002A15"/>
        <bgColor indexed="64"/>
      </patternFill>
    </fill>
    <fill>
      <patternFill patternType="solid">
        <fgColor rgb="FF002A16"/>
        <bgColor indexed="64"/>
      </patternFill>
    </fill>
    <fill>
      <patternFill patternType="solid">
        <fgColor rgb="FF002A17"/>
        <bgColor indexed="64"/>
      </patternFill>
    </fill>
    <fill>
      <patternFill patternType="solid">
        <fgColor rgb="FF002A18"/>
        <bgColor indexed="64"/>
      </patternFill>
    </fill>
    <fill>
      <patternFill patternType="solid">
        <fgColor rgb="FF002A19"/>
        <bgColor indexed="64"/>
      </patternFill>
    </fill>
    <fill>
      <patternFill patternType="solid">
        <fgColor rgb="FF002A1A"/>
        <bgColor indexed="64"/>
      </patternFill>
    </fill>
    <fill>
      <patternFill patternType="solid">
        <fgColor rgb="FF002A1B"/>
        <bgColor indexed="64"/>
      </patternFill>
    </fill>
    <fill>
      <patternFill patternType="solid">
        <fgColor rgb="FF002A1C"/>
        <bgColor indexed="64"/>
      </patternFill>
    </fill>
    <fill>
      <patternFill patternType="solid">
        <fgColor rgb="FF002A1D"/>
        <bgColor indexed="64"/>
      </patternFill>
    </fill>
    <fill>
      <patternFill patternType="solid">
        <fgColor rgb="FF002A1E"/>
        <bgColor indexed="64"/>
      </patternFill>
    </fill>
    <fill>
      <patternFill patternType="solid">
        <fgColor rgb="FF002A1F"/>
        <bgColor indexed="64"/>
      </patternFill>
    </fill>
    <fill>
      <patternFill patternType="solid">
        <fgColor rgb="FF002A20"/>
        <bgColor indexed="64"/>
      </patternFill>
    </fill>
    <fill>
      <patternFill patternType="solid">
        <fgColor rgb="FF002A21"/>
        <bgColor indexed="64"/>
      </patternFill>
    </fill>
    <fill>
      <patternFill patternType="solid">
        <fgColor rgb="FF002A22"/>
        <bgColor indexed="64"/>
      </patternFill>
    </fill>
    <fill>
      <patternFill patternType="solid">
        <fgColor rgb="FF002A23"/>
        <bgColor indexed="64"/>
      </patternFill>
    </fill>
    <fill>
      <patternFill patternType="solid">
        <fgColor rgb="FF002A24"/>
        <bgColor indexed="64"/>
      </patternFill>
    </fill>
    <fill>
      <patternFill patternType="solid">
        <fgColor rgb="FF002A25"/>
        <bgColor indexed="64"/>
      </patternFill>
    </fill>
    <fill>
      <patternFill patternType="solid">
        <fgColor rgb="FF002A26"/>
        <bgColor indexed="64"/>
      </patternFill>
    </fill>
    <fill>
      <patternFill patternType="solid">
        <fgColor rgb="FF002A27"/>
        <bgColor indexed="64"/>
      </patternFill>
    </fill>
    <fill>
      <patternFill patternType="solid">
        <fgColor rgb="FF002A28"/>
        <bgColor indexed="64"/>
      </patternFill>
    </fill>
    <fill>
      <patternFill patternType="solid">
        <fgColor rgb="FF002A29"/>
        <bgColor indexed="64"/>
      </patternFill>
    </fill>
    <fill>
      <patternFill patternType="solid">
        <fgColor rgb="FF002A2A"/>
        <bgColor indexed="64"/>
      </patternFill>
    </fill>
    <fill>
      <patternFill patternType="solid">
        <fgColor rgb="FF002A2B"/>
        <bgColor indexed="64"/>
      </patternFill>
    </fill>
    <fill>
      <patternFill patternType="solid">
        <fgColor rgb="FF002A2C"/>
        <bgColor indexed="64"/>
      </patternFill>
    </fill>
    <fill>
      <patternFill patternType="solid">
        <fgColor rgb="FF002A2D"/>
        <bgColor indexed="64"/>
      </patternFill>
    </fill>
    <fill>
      <patternFill patternType="solid">
        <fgColor rgb="FF002A2E"/>
        <bgColor indexed="64"/>
      </patternFill>
    </fill>
    <fill>
      <patternFill patternType="solid">
        <fgColor rgb="FF002A2F"/>
        <bgColor indexed="64"/>
      </patternFill>
    </fill>
    <fill>
      <patternFill patternType="solid">
        <fgColor rgb="FF002A30"/>
        <bgColor indexed="64"/>
      </patternFill>
    </fill>
    <fill>
      <patternFill patternType="solid">
        <fgColor rgb="FF002A31"/>
        <bgColor indexed="64"/>
      </patternFill>
    </fill>
    <fill>
      <patternFill patternType="solid">
        <fgColor rgb="FF002A32"/>
        <bgColor indexed="64"/>
      </patternFill>
    </fill>
    <fill>
      <patternFill patternType="solid">
        <fgColor rgb="FF002A33"/>
        <bgColor indexed="64"/>
      </patternFill>
    </fill>
    <fill>
      <patternFill patternType="solid">
        <fgColor rgb="FF002A34"/>
        <bgColor indexed="64"/>
      </patternFill>
    </fill>
    <fill>
      <patternFill patternType="solid">
        <fgColor rgb="FF002A35"/>
        <bgColor indexed="64"/>
      </patternFill>
    </fill>
    <fill>
      <patternFill patternType="solid">
        <fgColor rgb="FF002A36"/>
        <bgColor indexed="64"/>
      </patternFill>
    </fill>
    <fill>
      <patternFill patternType="solid">
        <fgColor rgb="FF002A37"/>
        <bgColor indexed="64"/>
      </patternFill>
    </fill>
    <fill>
      <patternFill patternType="solid">
        <fgColor rgb="FF002A38"/>
        <bgColor indexed="64"/>
      </patternFill>
    </fill>
    <fill>
      <patternFill patternType="solid">
        <fgColor rgb="FF002A39"/>
        <bgColor indexed="64"/>
      </patternFill>
    </fill>
    <fill>
      <patternFill patternType="solid">
        <fgColor rgb="FF002A3A"/>
        <bgColor indexed="64"/>
      </patternFill>
    </fill>
    <fill>
      <patternFill patternType="solid">
        <fgColor rgb="FF002A3B"/>
        <bgColor indexed="64"/>
      </patternFill>
    </fill>
    <fill>
      <patternFill patternType="solid">
        <fgColor rgb="FF002A3C"/>
        <bgColor indexed="64"/>
      </patternFill>
    </fill>
    <fill>
      <patternFill patternType="solid">
        <fgColor rgb="FF002A3D"/>
        <bgColor indexed="64"/>
      </patternFill>
    </fill>
    <fill>
      <patternFill patternType="solid">
        <fgColor rgb="FF002A3E"/>
        <bgColor indexed="64"/>
      </patternFill>
    </fill>
    <fill>
      <patternFill patternType="solid">
        <fgColor rgb="FF002A3F"/>
        <bgColor indexed="64"/>
      </patternFill>
    </fill>
    <fill>
      <patternFill patternType="solid">
        <fgColor rgb="FF002A40"/>
        <bgColor indexed="64"/>
      </patternFill>
    </fill>
    <fill>
      <patternFill patternType="solid">
        <fgColor rgb="FF002A41"/>
        <bgColor indexed="64"/>
      </patternFill>
    </fill>
    <fill>
      <patternFill patternType="solid">
        <fgColor rgb="FF002A42"/>
        <bgColor indexed="64"/>
      </patternFill>
    </fill>
    <fill>
      <patternFill patternType="solid">
        <fgColor rgb="FF002A43"/>
        <bgColor indexed="64"/>
      </patternFill>
    </fill>
    <fill>
      <patternFill patternType="solid">
        <fgColor rgb="FF002A44"/>
        <bgColor indexed="64"/>
      </patternFill>
    </fill>
    <fill>
      <patternFill patternType="solid">
        <fgColor rgb="FF002A45"/>
        <bgColor indexed="64"/>
      </patternFill>
    </fill>
    <fill>
      <patternFill patternType="solid">
        <fgColor rgb="FF002A46"/>
        <bgColor indexed="64"/>
      </patternFill>
    </fill>
    <fill>
      <patternFill patternType="solid">
        <fgColor rgb="FF002A47"/>
        <bgColor indexed="64"/>
      </patternFill>
    </fill>
    <fill>
      <patternFill patternType="solid">
        <fgColor rgb="FF002A48"/>
        <bgColor indexed="64"/>
      </patternFill>
    </fill>
    <fill>
      <patternFill patternType="solid">
        <fgColor rgb="FF002A49"/>
        <bgColor indexed="64"/>
      </patternFill>
    </fill>
    <fill>
      <patternFill patternType="solid">
        <fgColor rgb="FF002A4A"/>
        <bgColor indexed="64"/>
      </patternFill>
    </fill>
    <fill>
      <patternFill patternType="solid">
        <fgColor rgb="FF002A4B"/>
        <bgColor indexed="64"/>
      </patternFill>
    </fill>
    <fill>
      <patternFill patternType="solid">
        <fgColor rgb="FF002A4C"/>
        <bgColor indexed="64"/>
      </patternFill>
    </fill>
    <fill>
      <patternFill patternType="solid">
        <fgColor rgb="FF002A4D"/>
        <bgColor indexed="64"/>
      </patternFill>
    </fill>
    <fill>
      <patternFill patternType="solid">
        <fgColor rgb="FF002A4E"/>
        <bgColor indexed="64"/>
      </patternFill>
    </fill>
    <fill>
      <patternFill patternType="solid">
        <fgColor rgb="FF002A4F"/>
        <bgColor indexed="64"/>
      </patternFill>
    </fill>
    <fill>
      <patternFill patternType="solid">
        <fgColor rgb="FF002A50"/>
        <bgColor indexed="64"/>
      </patternFill>
    </fill>
    <fill>
      <patternFill patternType="solid">
        <fgColor rgb="FF002A51"/>
        <bgColor indexed="64"/>
      </patternFill>
    </fill>
    <fill>
      <patternFill patternType="solid">
        <fgColor rgb="FF002A52"/>
        <bgColor indexed="64"/>
      </patternFill>
    </fill>
    <fill>
      <patternFill patternType="solid">
        <fgColor rgb="FF002A53"/>
        <bgColor indexed="64"/>
      </patternFill>
    </fill>
    <fill>
      <patternFill patternType="solid">
        <fgColor rgb="FF002A54"/>
        <bgColor indexed="64"/>
      </patternFill>
    </fill>
    <fill>
      <patternFill patternType="solid">
        <fgColor rgb="FF002A55"/>
        <bgColor indexed="64"/>
      </patternFill>
    </fill>
    <fill>
      <patternFill patternType="solid">
        <fgColor rgb="FF002A56"/>
        <bgColor indexed="64"/>
      </patternFill>
    </fill>
    <fill>
      <patternFill patternType="solid">
        <fgColor rgb="FF002A57"/>
        <bgColor indexed="64"/>
      </patternFill>
    </fill>
    <fill>
      <patternFill patternType="solid">
        <fgColor rgb="FF002A58"/>
        <bgColor indexed="64"/>
      </patternFill>
    </fill>
    <fill>
      <patternFill patternType="solid">
        <fgColor rgb="FF002A59"/>
        <bgColor indexed="64"/>
      </patternFill>
    </fill>
    <fill>
      <patternFill patternType="solid">
        <fgColor rgb="FF002A5A"/>
        <bgColor indexed="64"/>
      </patternFill>
    </fill>
    <fill>
      <patternFill patternType="solid">
        <fgColor rgb="FF002A5B"/>
        <bgColor indexed="64"/>
      </patternFill>
    </fill>
    <fill>
      <patternFill patternType="solid">
        <fgColor rgb="FF002A5C"/>
        <bgColor indexed="64"/>
      </patternFill>
    </fill>
    <fill>
      <patternFill patternType="solid">
        <fgColor rgb="FF002A5D"/>
        <bgColor indexed="64"/>
      </patternFill>
    </fill>
    <fill>
      <patternFill patternType="solid">
        <fgColor rgb="FF002A5E"/>
        <bgColor indexed="64"/>
      </patternFill>
    </fill>
    <fill>
      <patternFill patternType="solid">
        <fgColor rgb="FF002A5F"/>
        <bgColor indexed="64"/>
      </patternFill>
    </fill>
    <fill>
      <patternFill patternType="solid">
        <fgColor rgb="FF002A60"/>
        <bgColor indexed="64"/>
      </patternFill>
    </fill>
    <fill>
      <patternFill patternType="solid">
        <fgColor rgb="FF002A61"/>
        <bgColor indexed="64"/>
      </patternFill>
    </fill>
    <fill>
      <patternFill patternType="solid">
        <fgColor rgb="FF002A62"/>
        <bgColor indexed="64"/>
      </patternFill>
    </fill>
    <fill>
      <patternFill patternType="solid">
        <fgColor rgb="FF002A63"/>
        <bgColor indexed="64"/>
      </patternFill>
    </fill>
    <fill>
      <patternFill patternType="solid">
        <fgColor rgb="FF002A64"/>
        <bgColor indexed="64"/>
      </patternFill>
    </fill>
    <fill>
      <patternFill patternType="solid">
        <fgColor rgb="FF002A65"/>
        <bgColor indexed="64"/>
      </patternFill>
    </fill>
    <fill>
      <patternFill patternType="solid">
        <fgColor rgb="FF002A66"/>
        <bgColor indexed="64"/>
      </patternFill>
    </fill>
    <fill>
      <patternFill patternType="solid">
        <fgColor rgb="FF002A67"/>
        <bgColor indexed="64"/>
      </patternFill>
    </fill>
    <fill>
      <patternFill patternType="solid">
        <fgColor rgb="FF002A68"/>
        <bgColor indexed="64"/>
      </patternFill>
    </fill>
    <fill>
      <patternFill patternType="solid">
        <fgColor rgb="FF002A69"/>
        <bgColor indexed="64"/>
      </patternFill>
    </fill>
    <fill>
      <patternFill patternType="solid">
        <fgColor rgb="FF002A6A"/>
        <bgColor indexed="64"/>
      </patternFill>
    </fill>
    <fill>
      <patternFill patternType="solid">
        <fgColor rgb="FF002A6B"/>
        <bgColor indexed="64"/>
      </patternFill>
    </fill>
    <fill>
      <patternFill patternType="solid">
        <fgColor rgb="FF002A6C"/>
        <bgColor indexed="64"/>
      </patternFill>
    </fill>
    <fill>
      <patternFill patternType="solid">
        <fgColor rgb="FF002A6D"/>
        <bgColor indexed="64"/>
      </patternFill>
    </fill>
    <fill>
      <patternFill patternType="solid">
        <fgColor rgb="FF002A6E"/>
        <bgColor indexed="64"/>
      </patternFill>
    </fill>
    <fill>
      <patternFill patternType="solid">
        <fgColor rgb="FF002A6F"/>
        <bgColor indexed="64"/>
      </patternFill>
    </fill>
    <fill>
      <patternFill patternType="solid">
        <fgColor rgb="FF002A70"/>
        <bgColor indexed="64"/>
      </patternFill>
    </fill>
    <fill>
      <patternFill patternType="solid">
        <fgColor rgb="FF002A71"/>
        <bgColor indexed="64"/>
      </patternFill>
    </fill>
    <fill>
      <patternFill patternType="solid">
        <fgColor rgb="FF002A72"/>
        <bgColor indexed="64"/>
      </patternFill>
    </fill>
    <fill>
      <patternFill patternType="solid">
        <fgColor rgb="FF002A73"/>
        <bgColor indexed="64"/>
      </patternFill>
    </fill>
    <fill>
      <patternFill patternType="solid">
        <fgColor rgb="FF002A74"/>
        <bgColor indexed="64"/>
      </patternFill>
    </fill>
    <fill>
      <patternFill patternType="solid">
        <fgColor rgb="FF002A75"/>
        <bgColor indexed="64"/>
      </patternFill>
    </fill>
    <fill>
      <patternFill patternType="solid">
        <fgColor rgb="FF002A76"/>
        <bgColor indexed="64"/>
      </patternFill>
    </fill>
    <fill>
      <patternFill patternType="solid">
        <fgColor rgb="FF002A77"/>
        <bgColor indexed="64"/>
      </patternFill>
    </fill>
    <fill>
      <patternFill patternType="solid">
        <fgColor rgb="FF002A78"/>
        <bgColor indexed="64"/>
      </patternFill>
    </fill>
    <fill>
      <patternFill patternType="solid">
        <fgColor rgb="FF002A79"/>
        <bgColor indexed="64"/>
      </patternFill>
    </fill>
    <fill>
      <patternFill patternType="solid">
        <fgColor rgb="FF002A7A"/>
        <bgColor indexed="64"/>
      </patternFill>
    </fill>
    <fill>
      <patternFill patternType="solid">
        <fgColor rgb="FF002A7B"/>
        <bgColor indexed="64"/>
      </patternFill>
    </fill>
    <fill>
      <patternFill patternType="solid">
        <fgColor rgb="FF002A7C"/>
        <bgColor indexed="64"/>
      </patternFill>
    </fill>
    <fill>
      <patternFill patternType="solid">
        <fgColor rgb="FF002A7D"/>
        <bgColor indexed="64"/>
      </patternFill>
    </fill>
    <fill>
      <patternFill patternType="solid">
        <fgColor rgb="FF002A7E"/>
        <bgColor indexed="64"/>
      </patternFill>
    </fill>
    <fill>
      <patternFill patternType="solid">
        <fgColor rgb="FF002A7F"/>
        <bgColor indexed="64"/>
      </patternFill>
    </fill>
    <fill>
      <patternFill patternType="solid">
        <fgColor rgb="FF002A80"/>
        <bgColor indexed="64"/>
      </patternFill>
    </fill>
    <fill>
      <patternFill patternType="solid">
        <fgColor rgb="FF002A81"/>
        <bgColor indexed="64"/>
      </patternFill>
    </fill>
    <fill>
      <patternFill patternType="solid">
        <fgColor rgb="FF002A82"/>
        <bgColor indexed="64"/>
      </patternFill>
    </fill>
    <fill>
      <patternFill patternType="solid">
        <fgColor rgb="FF002A83"/>
        <bgColor indexed="64"/>
      </patternFill>
    </fill>
    <fill>
      <patternFill patternType="solid">
        <fgColor rgb="FF002A84"/>
        <bgColor indexed="64"/>
      </patternFill>
    </fill>
    <fill>
      <patternFill patternType="solid">
        <fgColor rgb="FF002A85"/>
        <bgColor indexed="64"/>
      </patternFill>
    </fill>
    <fill>
      <patternFill patternType="solid">
        <fgColor rgb="FF002A86"/>
        <bgColor indexed="64"/>
      </patternFill>
    </fill>
    <fill>
      <patternFill patternType="solid">
        <fgColor rgb="FF002A87"/>
        <bgColor indexed="64"/>
      </patternFill>
    </fill>
    <fill>
      <patternFill patternType="solid">
        <fgColor rgb="FF002A88"/>
        <bgColor indexed="64"/>
      </patternFill>
    </fill>
    <fill>
      <patternFill patternType="solid">
        <fgColor rgb="FF002A89"/>
        <bgColor indexed="64"/>
      </patternFill>
    </fill>
    <fill>
      <patternFill patternType="solid">
        <fgColor rgb="FF002A8A"/>
        <bgColor indexed="64"/>
      </patternFill>
    </fill>
    <fill>
      <patternFill patternType="solid">
        <fgColor rgb="FF002A8B"/>
        <bgColor indexed="64"/>
      </patternFill>
    </fill>
    <fill>
      <patternFill patternType="solid">
        <fgColor rgb="FF002A8C"/>
        <bgColor indexed="64"/>
      </patternFill>
    </fill>
    <fill>
      <patternFill patternType="solid">
        <fgColor rgb="FF002A8D"/>
        <bgColor indexed="64"/>
      </patternFill>
    </fill>
    <fill>
      <patternFill patternType="solid">
        <fgColor rgb="FF002A8E"/>
        <bgColor indexed="64"/>
      </patternFill>
    </fill>
    <fill>
      <patternFill patternType="solid">
        <fgColor rgb="FF002A8F"/>
        <bgColor indexed="64"/>
      </patternFill>
    </fill>
    <fill>
      <patternFill patternType="solid">
        <fgColor rgb="FF002A90"/>
        <bgColor indexed="64"/>
      </patternFill>
    </fill>
    <fill>
      <patternFill patternType="solid">
        <fgColor rgb="FF002A91"/>
        <bgColor indexed="64"/>
      </patternFill>
    </fill>
    <fill>
      <patternFill patternType="solid">
        <fgColor rgb="FF002A92"/>
        <bgColor indexed="64"/>
      </patternFill>
    </fill>
    <fill>
      <patternFill patternType="solid">
        <fgColor rgb="FF002A93"/>
        <bgColor indexed="64"/>
      </patternFill>
    </fill>
    <fill>
      <patternFill patternType="solid">
        <fgColor rgb="FF002A94"/>
        <bgColor indexed="64"/>
      </patternFill>
    </fill>
    <fill>
      <patternFill patternType="solid">
        <fgColor rgb="FF002A95"/>
        <bgColor indexed="64"/>
      </patternFill>
    </fill>
    <fill>
      <patternFill patternType="solid">
        <fgColor rgb="FF002A96"/>
        <bgColor indexed="64"/>
      </patternFill>
    </fill>
    <fill>
      <patternFill patternType="solid">
        <fgColor rgb="FF002A97"/>
        <bgColor indexed="64"/>
      </patternFill>
    </fill>
    <fill>
      <patternFill patternType="solid">
        <fgColor rgb="FF002A98"/>
        <bgColor indexed="64"/>
      </patternFill>
    </fill>
    <fill>
      <patternFill patternType="solid">
        <fgColor rgb="FF002A99"/>
        <bgColor indexed="64"/>
      </patternFill>
    </fill>
    <fill>
      <patternFill patternType="solid">
        <fgColor rgb="FF002A9A"/>
        <bgColor indexed="64"/>
      </patternFill>
    </fill>
    <fill>
      <patternFill patternType="solid">
        <fgColor rgb="FF002A9B"/>
        <bgColor indexed="64"/>
      </patternFill>
    </fill>
    <fill>
      <patternFill patternType="solid">
        <fgColor rgb="FF002A9C"/>
        <bgColor indexed="64"/>
      </patternFill>
    </fill>
    <fill>
      <patternFill patternType="solid">
        <fgColor rgb="FF002A9D"/>
        <bgColor indexed="64"/>
      </patternFill>
    </fill>
    <fill>
      <patternFill patternType="solid">
        <fgColor rgb="FF002A9E"/>
        <bgColor indexed="64"/>
      </patternFill>
    </fill>
    <fill>
      <patternFill patternType="solid">
        <fgColor rgb="FF002A9F"/>
        <bgColor indexed="64"/>
      </patternFill>
    </fill>
    <fill>
      <patternFill patternType="solid">
        <fgColor rgb="FF002AA0"/>
        <bgColor indexed="64"/>
      </patternFill>
    </fill>
    <fill>
      <patternFill patternType="solid">
        <fgColor rgb="FF002AA1"/>
        <bgColor indexed="64"/>
      </patternFill>
    </fill>
    <fill>
      <patternFill patternType="solid">
        <fgColor rgb="FF002AA2"/>
        <bgColor indexed="64"/>
      </patternFill>
    </fill>
    <fill>
      <patternFill patternType="solid">
        <fgColor rgb="FF002AA3"/>
        <bgColor indexed="64"/>
      </patternFill>
    </fill>
    <fill>
      <patternFill patternType="solid">
        <fgColor rgb="FF002AA4"/>
        <bgColor indexed="64"/>
      </patternFill>
    </fill>
    <fill>
      <patternFill patternType="solid">
        <fgColor rgb="FF002AA5"/>
        <bgColor indexed="64"/>
      </patternFill>
    </fill>
    <fill>
      <patternFill patternType="solid">
        <fgColor rgb="FF002AA6"/>
        <bgColor indexed="64"/>
      </patternFill>
    </fill>
    <fill>
      <patternFill patternType="solid">
        <fgColor rgb="FF002AA7"/>
        <bgColor indexed="64"/>
      </patternFill>
    </fill>
    <fill>
      <patternFill patternType="solid">
        <fgColor rgb="FF002AA8"/>
        <bgColor indexed="64"/>
      </patternFill>
    </fill>
    <fill>
      <patternFill patternType="solid">
        <fgColor rgb="FF002AA9"/>
        <bgColor indexed="64"/>
      </patternFill>
    </fill>
    <fill>
      <patternFill patternType="solid">
        <fgColor rgb="FF002AAA"/>
        <bgColor indexed="64"/>
      </patternFill>
    </fill>
    <fill>
      <patternFill patternType="solid">
        <fgColor rgb="FF002AAB"/>
        <bgColor indexed="64"/>
      </patternFill>
    </fill>
    <fill>
      <patternFill patternType="solid">
        <fgColor rgb="FF002AAC"/>
        <bgColor indexed="64"/>
      </patternFill>
    </fill>
    <fill>
      <patternFill patternType="solid">
        <fgColor rgb="FF002AAD"/>
        <bgColor indexed="64"/>
      </patternFill>
    </fill>
    <fill>
      <patternFill patternType="solid">
        <fgColor rgb="FF002AAE"/>
        <bgColor indexed="64"/>
      </patternFill>
    </fill>
    <fill>
      <patternFill patternType="solid">
        <fgColor rgb="FF002AAF"/>
        <bgColor indexed="64"/>
      </patternFill>
    </fill>
    <fill>
      <patternFill patternType="solid">
        <fgColor rgb="FF002AB0"/>
        <bgColor indexed="64"/>
      </patternFill>
    </fill>
    <fill>
      <patternFill patternType="solid">
        <fgColor rgb="FF002AB1"/>
        <bgColor indexed="64"/>
      </patternFill>
    </fill>
    <fill>
      <patternFill patternType="solid">
        <fgColor rgb="FF002AB2"/>
        <bgColor indexed="64"/>
      </patternFill>
    </fill>
    <fill>
      <patternFill patternType="solid">
        <fgColor rgb="FF002AB3"/>
        <bgColor indexed="64"/>
      </patternFill>
    </fill>
    <fill>
      <patternFill patternType="solid">
        <fgColor rgb="FF002AB4"/>
        <bgColor indexed="64"/>
      </patternFill>
    </fill>
    <fill>
      <patternFill patternType="solid">
        <fgColor rgb="FF002AB5"/>
        <bgColor indexed="64"/>
      </patternFill>
    </fill>
    <fill>
      <patternFill patternType="solid">
        <fgColor rgb="FF002AB6"/>
        <bgColor indexed="64"/>
      </patternFill>
    </fill>
    <fill>
      <patternFill patternType="solid">
        <fgColor rgb="FF002AB7"/>
        <bgColor indexed="64"/>
      </patternFill>
    </fill>
    <fill>
      <patternFill patternType="solid">
        <fgColor rgb="FF002AB8"/>
        <bgColor indexed="64"/>
      </patternFill>
    </fill>
    <fill>
      <patternFill patternType="solid">
        <fgColor rgb="FF002AB9"/>
        <bgColor indexed="64"/>
      </patternFill>
    </fill>
    <fill>
      <patternFill patternType="solid">
        <fgColor rgb="FF002ABA"/>
        <bgColor indexed="64"/>
      </patternFill>
    </fill>
    <fill>
      <patternFill patternType="solid">
        <fgColor rgb="FF002ABB"/>
        <bgColor indexed="64"/>
      </patternFill>
    </fill>
    <fill>
      <patternFill patternType="solid">
        <fgColor rgb="FF002ABC"/>
        <bgColor indexed="64"/>
      </patternFill>
    </fill>
    <fill>
      <patternFill patternType="solid">
        <fgColor rgb="FF002ABD"/>
        <bgColor indexed="64"/>
      </patternFill>
    </fill>
    <fill>
      <patternFill patternType="solid">
        <fgColor rgb="FF002ABE"/>
        <bgColor indexed="64"/>
      </patternFill>
    </fill>
    <fill>
      <patternFill patternType="solid">
        <fgColor rgb="FF002ABF"/>
        <bgColor indexed="64"/>
      </patternFill>
    </fill>
    <fill>
      <patternFill patternType="solid">
        <fgColor rgb="FF002AC0"/>
        <bgColor indexed="64"/>
      </patternFill>
    </fill>
    <fill>
      <patternFill patternType="solid">
        <fgColor rgb="FF002AC1"/>
        <bgColor indexed="64"/>
      </patternFill>
    </fill>
    <fill>
      <patternFill patternType="solid">
        <fgColor rgb="FF002AC2"/>
        <bgColor indexed="64"/>
      </patternFill>
    </fill>
    <fill>
      <patternFill patternType="solid">
        <fgColor rgb="FF002AC3"/>
        <bgColor indexed="64"/>
      </patternFill>
    </fill>
    <fill>
      <patternFill patternType="solid">
        <fgColor rgb="FF002AC4"/>
        <bgColor indexed="64"/>
      </patternFill>
    </fill>
    <fill>
      <patternFill patternType="solid">
        <fgColor rgb="FF002AC5"/>
        <bgColor indexed="64"/>
      </patternFill>
    </fill>
    <fill>
      <patternFill patternType="solid">
        <fgColor rgb="FF002AC6"/>
        <bgColor indexed="64"/>
      </patternFill>
    </fill>
    <fill>
      <patternFill patternType="solid">
        <fgColor rgb="FF002AC7"/>
        <bgColor indexed="64"/>
      </patternFill>
    </fill>
    <fill>
      <patternFill patternType="solid">
        <fgColor rgb="FF002AC8"/>
        <bgColor indexed="64"/>
      </patternFill>
    </fill>
    <fill>
      <patternFill patternType="solid">
        <fgColor rgb="FF002AC9"/>
        <bgColor indexed="64"/>
      </patternFill>
    </fill>
    <fill>
      <patternFill patternType="solid">
        <fgColor rgb="FF002ACA"/>
        <bgColor indexed="64"/>
      </patternFill>
    </fill>
    <fill>
      <patternFill patternType="solid">
        <fgColor rgb="FF002ACB"/>
        <bgColor indexed="64"/>
      </patternFill>
    </fill>
    <fill>
      <patternFill patternType="solid">
        <fgColor rgb="FF002ACC"/>
        <bgColor indexed="64"/>
      </patternFill>
    </fill>
    <fill>
      <patternFill patternType="solid">
        <fgColor rgb="FF002ACD"/>
        <bgColor indexed="64"/>
      </patternFill>
    </fill>
    <fill>
      <patternFill patternType="solid">
        <fgColor rgb="FF002ACE"/>
        <bgColor indexed="64"/>
      </patternFill>
    </fill>
    <fill>
      <patternFill patternType="solid">
        <fgColor rgb="FF002ACF"/>
        <bgColor indexed="64"/>
      </patternFill>
    </fill>
    <fill>
      <patternFill patternType="solid">
        <fgColor rgb="FF002AD0"/>
        <bgColor indexed="64"/>
      </patternFill>
    </fill>
    <fill>
      <patternFill patternType="solid">
        <fgColor rgb="FF002AD1"/>
        <bgColor indexed="64"/>
      </patternFill>
    </fill>
    <fill>
      <patternFill patternType="solid">
        <fgColor rgb="FF002AD2"/>
        <bgColor indexed="64"/>
      </patternFill>
    </fill>
    <fill>
      <patternFill patternType="solid">
        <fgColor rgb="FF002AD3"/>
        <bgColor indexed="64"/>
      </patternFill>
    </fill>
    <fill>
      <patternFill patternType="solid">
        <fgColor rgb="FF002AD4"/>
        <bgColor indexed="64"/>
      </patternFill>
    </fill>
    <fill>
      <patternFill patternType="solid">
        <fgColor rgb="FF002AD5"/>
        <bgColor indexed="64"/>
      </patternFill>
    </fill>
    <fill>
      <patternFill patternType="solid">
        <fgColor rgb="FF002AD6"/>
        <bgColor indexed="64"/>
      </patternFill>
    </fill>
    <fill>
      <patternFill patternType="solid">
        <fgColor rgb="FF002AD7"/>
        <bgColor indexed="64"/>
      </patternFill>
    </fill>
    <fill>
      <patternFill patternType="solid">
        <fgColor rgb="FF002AD8"/>
        <bgColor indexed="64"/>
      </patternFill>
    </fill>
    <fill>
      <patternFill patternType="solid">
        <fgColor rgb="FF002AD9"/>
        <bgColor indexed="64"/>
      </patternFill>
    </fill>
    <fill>
      <patternFill patternType="solid">
        <fgColor rgb="FF002ADA"/>
        <bgColor indexed="64"/>
      </patternFill>
    </fill>
    <fill>
      <patternFill patternType="solid">
        <fgColor rgb="FF002ADB"/>
        <bgColor indexed="64"/>
      </patternFill>
    </fill>
    <fill>
      <patternFill patternType="solid">
        <fgColor rgb="FF002ADC"/>
        <bgColor indexed="64"/>
      </patternFill>
    </fill>
    <fill>
      <patternFill patternType="solid">
        <fgColor rgb="FF002ADD"/>
        <bgColor indexed="64"/>
      </patternFill>
    </fill>
    <fill>
      <patternFill patternType="solid">
        <fgColor rgb="FF002ADE"/>
        <bgColor indexed="64"/>
      </patternFill>
    </fill>
    <fill>
      <patternFill patternType="solid">
        <fgColor rgb="FF002ADF"/>
        <bgColor indexed="64"/>
      </patternFill>
    </fill>
    <fill>
      <patternFill patternType="solid">
        <fgColor rgb="FF002AE0"/>
        <bgColor indexed="64"/>
      </patternFill>
    </fill>
    <fill>
      <patternFill patternType="solid">
        <fgColor rgb="FF002AE1"/>
        <bgColor indexed="64"/>
      </patternFill>
    </fill>
    <fill>
      <patternFill patternType="solid">
        <fgColor rgb="FF002AE2"/>
        <bgColor indexed="64"/>
      </patternFill>
    </fill>
    <fill>
      <patternFill patternType="solid">
        <fgColor rgb="FF002AE3"/>
        <bgColor indexed="64"/>
      </patternFill>
    </fill>
    <fill>
      <patternFill patternType="solid">
        <fgColor rgb="FF002AE4"/>
        <bgColor indexed="64"/>
      </patternFill>
    </fill>
    <fill>
      <patternFill patternType="solid">
        <fgColor rgb="FF002AE5"/>
        <bgColor indexed="64"/>
      </patternFill>
    </fill>
    <fill>
      <patternFill patternType="solid">
        <fgColor rgb="FF002AE6"/>
        <bgColor indexed="64"/>
      </patternFill>
    </fill>
    <fill>
      <patternFill patternType="solid">
        <fgColor rgb="FF002AE7"/>
        <bgColor indexed="64"/>
      </patternFill>
    </fill>
    <fill>
      <patternFill patternType="solid">
        <fgColor rgb="FF002AE8"/>
        <bgColor indexed="64"/>
      </patternFill>
    </fill>
    <fill>
      <patternFill patternType="solid">
        <fgColor rgb="FF002AE9"/>
        <bgColor indexed="64"/>
      </patternFill>
    </fill>
    <fill>
      <patternFill patternType="solid">
        <fgColor rgb="FF002AEA"/>
        <bgColor indexed="64"/>
      </patternFill>
    </fill>
    <fill>
      <patternFill patternType="solid">
        <fgColor rgb="FF002AEB"/>
        <bgColor indexed="64"/>
      </patternFill>
    </fill>
    <fill>
      <patternFill patternType="solid">
        <fgColor rgb="FF002AEC"/>
        <bgColor indexed="64"/>
      </patternFill>
    </fill>
    <fill>
      <patternFill patternType="solid">
        <fgColor rgb="FF002AED"/>
        <bgColor indexed="64"/>
      </patternFill>
    </fill>
    <fill>
      <patternFill patternType="solid">
        <fgColor rgb="FF002AEE"/>
        <bgColor indexed="64"/>
      </patternFill>
    </fill>
    <fill>
      <patternFill patternType="solid">
        <fgColor rgb="FF002AEF"/>
        <bgColor indexed="64"/>
      </patternFill>
    </fill>
    <fill>
      <patternFill patternType="solid">
        <fgColor rgb="FF002AF0"/>
        <bgColor indexed="64"/>
      </patternFill>
    </fill>
    <fill>
      <patternFill patternType="solid">
        <fgColor rgb="FF002AF1"/>
        <bgColor indexed="64"/>
      </patternFill>
    </fill>
    <fill>
      <patternFill patternType="solid">
        <fgColor rgb="FF002AF2"/>
        <bgColor indexed="64"/>
      </patternFill>
    </fill>
    <fill>
      <patternFill patternType="solid">
        <fgColor rgb="FF002AF3"/>
        <bgColor indexed="64"/>
      </patternFill>
    </fill>
    <fill>
      <patternFill patternType="solid">
        <fgColor rgb="FF002AF4"/>
        <bgColor indexed="64"/>
      </patternFill>
    </fill>
    <fill>
      <patternFill patternType="solid">
        <fgColor rgb="FF002AF5"/>
        <bgColor indexed="64"/>
      </patternFill>
    </fill>
    <fill>
      <patternFill patternType="solid">
        <fgColor rgb="FF002AF6"/>
        <bgColor indexed="64"/>
      </patternFill>
    </fill>
    <fill>
      <patternFill patternType="solid">
        <fgColor rgb="FF002AF7"/>
        <bgColor indexed="64"/>
      </patternFill>
    </fill>
    <fill>
      <patternFill patternType="solid">
        <fgColor rgb="FF002AF8"/>
        <bgColor indexed="64"/>
      </patternFill>
    </fill>
    <fill>
      <patternFill patternType="solid">
        <fgColor rgb="FF002AF9"/>
        <bgColor indexed="64"/>
      </patternFill>
    </fill>
    <fill>
      <patternFill patternType="solid">
        <fgColor rgb="FF002AFA"/>
        <bgColor indexed="64"/>
      </patternFill>
    </fill>
    <fill>
      <patternFill patternType="solid">
        <fgColor rgb="FF002AFB"/>
        <bgColor indexed="64"/>
      </patternFill>
    </fill>
    <fill>
      <patternFill patternType="solid">
        <fgColor rgb="FF002AFC"/>
        <bgColor indexed="64"/>
      </patternFill>
    </fill>
    <fill>
      <patternFill patternType="solid">
        <fgColor rgb="FF002AFD"/>
        <bgColor indexed="64"/>
      </patternFill>
    </fill>
    <fill>
      <patternFill patternType="solid">
        <fgColor rgb="FF002AFE"/>
        <bgColor indexed="64"/>
      </patternFill>
    </fill>
    <fill>
      <patternFill patternType="solid">
        <fgColor rgb="FF002AFF"/>
        <bgColor indexed="64"/>
      </patternFill>
    </fill>
    <fill>
      <patternFill patternType="solid">
        <fgColor rgb="FF002B00"/>
        <bgColor indexed="64"/>
      </patternFill>
    </fill>
    <fill>
      <patternFill patternType="solid">
        <fgColor rgb="FF002B01"/>
        <bgColor indexed="64"/>
      </patternFill>
    </fill>
    <fill>
      <patternFill patternType="solid">
        <fgColor rgb="FF002B02"/>
        <bgColor indexed="64"/>
      </patternFill>
    </fill>
    <fill>
      <patternFill patternType="solid">
        <fgColor rgb="FF002B03"/>
        <bgColor indexed="64"/>
      </patternFill>
    </fill>
    <fill>
      <patternFill patternType="solid">
        <fgColor rgb="FF002B04"/>
        <bgColor indexed="64"/>
      </patternFill>
    </fill>
    <fill>
      <patternFill patternType="solid">
        <fgColor rgb="FF002B05"/>
        <bgColor indexed="64"/>
      </patternFill>
    </fill>
    <fill>
      <patternFill patternType="solid">
        <fgColor rgb="FF002B06"/>
        <bgColor indexed="64"/>
      </patternFill>
    </fill>
    <fill>
      <patternFill patternType="solid">
        <fgColor rgb="FF002B07"/>
        <bgColor indexed="64"/>
      </patternFill>
    </fill>
    <fill>
      <patternFill patternType="solid">
        <fgColor rgb="FF002B08"/>
        <bgColor indexed="64"/>
      </patternFill>
    </fill>
    <fill>
      <patternFill patternType="solid">
        <fgColor rgb="FF002B09"/>
        <bgColor indexed="64"/>
      </patternFill>
    </fill>
    <fill>
      <patternFill patternType="solid">
        <fgColor rgb="FF002B0A"/>
        <bgColor indexed="64"/>
      </patternFill>
    </fill>
    <fill>
      <patternFill patternType="solid">
        <fgColor rgb="FF002B0B"/>
        <bgColor indexed="64"/>
      </patternFill>
    </fill>
    <fill>
      <patternFill patternType="solid">
        <fgColor rgb="FF002B0C"/>
        <bgColor indexed="64"/>
      </patternFill>
    </fill>
    <fill>
      <patternFill patternType="solid">
        <fgColor rgb="FF002B0D"/>
        <bgColor indexed="64"/>
      </patternFill>
    </fill>
    <fill>
      <patternFill patternType="solid">
        <fgColor rgb="FF002B0E"/>
        <bgColor indexed="64"/>
      </patternFill>
    </fill>
    <fill>
      <patternFill patternType="solid">
        <fgColor rgb="FF002B0F"/>
        <bgColor indexed="64"/>
      </patternFill>
    </fill>
    <fill>
      <patternFill patternType="solid">
        <fgColor rgb="FF002B10"/>
        <bgColor indexed="64"/>
      </patternFill>
    </fill>
    <fill>
      <patternFill patternType="solid">
        <fgColor rgb="FF002B11"/>
        <bgColor indexed="64"/>
      </patternFill>
    </fill>
    <fill>
      <patternFill patternType="solid">
        <fgColor rgb="FF002B12"/>
        <bgColor indexed="64"/>
      </patternFill>
    </fill>
    <fill>
      <patternFill patternType="solid">
        <fgColor rgb="FF002B13"/>
        <bgColor indexed="64"/>
      </patternFill>
    </fill>
    <fill>
      <patternFill patternType="solid">
        <fgColor rgb="FF002B14"/>
        <bgColor indexed="64"/>
      </patternFill>
    </fill>
    <fill>
      <patternFill patternType="solid">
        <fgColor rgb="FF002B15"/>
        <bgColor indexed="64"/>
      </patternFill>
    </fill>
    <fill>
      <patternFill patternType="solid">
        <fgColor rgb="FF002B16"/>
        <bgColor indexed="64"/>
      </patternFill>
    </fill>
    <fill>
      <patternFill patternType="solid">
        <fgColor rgb="FF002B17"/>
        <bgColor indexed="64"/>
      </patternFill>
    </fill>
    <fill>
      <patternFill patternType="solid">
        <fgColor rgb="FF002B18"/>
        <bgColor indexed="64"/>
      </patternFill>
    </fill>
    <fill>
      <patternFill patternType="solid">
        <fgColor rgb="FF002B19"/>
        <bgColor indexed="64"/>
      </patternFill>
    </fill>
    <fill>
      <patternFill patternType="solid">
        <fgColor rgb="FF002B1A"/>
        <bgColor indexed="64"/>
      </patternFill>
    </fill>
    <fill>
      <patternFill patternType="solid">
        <fgColor rgb="FF002B1B"/>
        <bgColor indexed="64"/>
      </patternFill>
    </fill>
    <fill>
      <patternFill patternType="solid">
        <fgColor rgb="FF002B1C"/>
        <bgColor indexed="64"/>
      </patternFill>
    </fill>
    <fill>
      <patternFill patternType="solid">
        <fgColor rgb="FF002B1D"/>
        <bgColor indexed="64"/>
      </patternFill>
    </fill>
    <fill>
      <patternFill patternType="solid">
        <fgColor rgb="FF002B1E"/>
        <bgColor indexed="64"/>
      </patternFill>
    </fill>
    <fill>
      <patternFill patternType="solid">
        <fgColor rgb="FF002B1F"/>
        <bgColor indexed="64"/>
      </patternFill>
    </fill>
    <fill>
      <patternFill patternType="solid">
        <fgColor rgb="FF002B20"/>
        <bgColor indexed="64"/>
      </patternFill>
    </fill>
    <fill>
      <patternFill patternType="solid">
        <fgColor rgb="FF002B21"/>
        <bgColor indexed="64"/>
      </patternFill>
    </fill>
    <fill>
      <patternFill patternType="solid">
        <fgColor rgb="FF002B22"/>
        <bgColor indexed="64"/>
      </patternFill>
    </fill>
    <fill>
      <patternFill patternType="solid">
        <fgColor rgb="FF002B23"/>
        <bgColor indexed="64"/>
      </patternFill>
    </fill>
    <fill>
      <patternFill patternType="solid">
        <fgColor rgb="FF002B24"/>
        <bgColor indexed="64"/>
      </patternFill>
    </fill>
    <fill>
      <patternFill patternType="solid">
        <fgColor rgb="FF002B25"/>
        <bgColor indexed="64"/>
      </patternFill>
    </fill>
    <fill>
      <patternFill patternType="solid">
        <fgColor rgb="FF002B26"/>
        <bgColor indexed="64"/>
      </patternFill>
    </fill>
    <fill>
      <patternFill patternType="solid">
        <fgColor rgb="FF002B27"/>
        <bgColor indexed="64"/>
      </patternFill>
    </fill>
    <fill>
      <patternFill patternType="solid">
        <fgColor rgb="FF002B28"/>
        <bgColor indexed="64"/>
      </patternFill>
    </fill>
    <fill>
      <patternFill patternType="solid">
        <fgColor rgb="FF002B29"/>
        <bgColor indexed="64"/>
      </patternFill>
    </fill>
    <fill>
      <patternFill patternType="solid">
        <fgColor rgb="FF002B2A"/>
        <bgColor indexed="64"/>
      </patternFill>
    </fill>
    <fill>
      <patternFill patternType="solid">
        <fgColor rgb="FF002B2B"/>
        <bgColor indexed="64"/>
      </patternFill>
    </fill>
    <fill>
      <patternFill patternType="solid">
        <fgColor rgb="FF002B2C"/>
        <bgColor indexed="64"/>
      </patternFill>
    </fill>
    <fill>
      <patternFill patternType="solid">
        <fgColor rgb="FF002B2D"/>
        <bgColor indexed="64"/>
      </patternFill>
    </fill>
    <fill>
      <patternFill patternType="solid">
        <fgColor rgb="FF002B2E"/>
        <bgColor indexed="64"/>
      </patternFill>
    </fill>
    <fill>
      <patternFill patternType="solid">
        <fgColor rgb="FF002B2F"/>
        <bgColor indexed="64"/>
      </patternFill>
    </fill>
    <fill>
      <patternFill patternType="solid">
        <fgColor rgb="FF002B30"/>
        <bgColor indexed="64"/>
      </patternFill>
    </fill>
    <fill>
      <patternFill patternType="solid">
        <fgColor rgb="FF002B31"/>
        <bgColor indexed="64"/>
      </patternFill>
    </fill>
    <fill>
      <patternFill patternType="solid">
        <fgColor rgb="FF002B32"/>
        <bgColor indexed="64"/>
      </patternFill>
    </fill>
    <fill>
      <patternFill patternType="solid">
        <fgColor rgb="FF002B33"/>
        <bgColor indexed="64"/>
      </patternFill>
    </fill>
    <fill>
      <patternFill patternType="solid">
        <fgColor rgb="FF002B34"/>
        <bgColor indexed="64"/>
      </patternFill>
    </fill>
    <fill>
      <patternFill patternType="solid">
        <fgColor rgb="FF002B35"/>
        <bgColor indexed="64"/>
      </patternFill>
    </fill>
    <fill>
      <patternFill patternType="solid">
        <fgColor rgb="FF002B36"/>
        <bgColor indexed="64"/>
      </patternFill>
    </fill>
    <fill>
      <patternFill patternType="solid">
        <fgColor rgb="FF002B37"/>
        <bgColor indexed="64"/>
      </patternFill>
    </fill>
    <fill>
      <patternFill patternType="solid">
        <fgColor rgb="FF002B38"/>
        <bgColor indexed="64"/>
      </patternFill>
    </fill>
    <fill>
      <patternFill patternType="solid">
        <fgColor rgb="FF002B39"/>
        <bgColor indexed="64"/>
      </patternFill>
    </fill>
    <fill>
      <patternFill patternType="solid">
        <fgColor rgb="FF002B3A"/>
        <bgColor indexed="64"/>
      </patternFill>
    </fill>
    <fill>
      <patternFill patternType="solid">
        <fgColor rgb="FF002B3B"/>
        <bgColor indexed="64"/>
      </patternFill>
    </fill>
    <fill>
      <patternFill patternType="solid">
        <fgColor rgb="FF002B3C"/>
        <bgColor indexed="64"/>
      </patternFill>
    </fill>
    <fill>
      <patternFill patternType="solid">
        <fgColor rgb="FF002B3D"/>
        <bgColor indexed="64"/>
      </patternFill>
    </fill>
    <fill>
      <patternFill patternType="solid">
        <fgColor rgb="FF002B3E"/>
        <bgColor indexed="64"/>
      </patternFill>
    </fill>
    <fill>
      <patternFill patternType="solid">
        <fgColor rgb="FF002B3F"/>
        <bgColor indexed="64"/>
      </patternFill>
    </fill>
    <fill>
      <patternFill patternType="solid">
        <fgColor rgb="FF002B40"/>
        <bgColor indexed="64"/>
      </patternFill>
    </fill>
    <fill>
      <patternFill patternType="solid">
        <fgColor rgb="FF002B41"/>
        <bgColor indexed="64"/>
      </patternFill>
    </fill>
    <fill>
      <patternFill patternType="solid">
        <fgColor rgb="FF002B42"/>
        <bgColor indexed="64"/>
      </patternFill>
    </fill>
    <fill>
      <patternFill patternType="solid">
        <fgColor rgb="FF002B43"/>
        <bgColor indexed="64"/>
      </patternFill>
    </fill>
    <fill>
      <patternFill patternType="solid">
        <fgColor rgb="FF002B44"/>
        <bgColor indexed="64"/>
      </patternFill>
    </fill>
    <fill>
      <patternFill patternType="solid">
        <fgColor rgb="FF002B45"/>
        <bgColor indexed="64"/>
      </patternFill>
    </fill>
    <fill>
      <patternFill patternType="solid">
        <fgColor rgb="FF002B46"/>
        <bgColor indexed="64"/>
      </patternFill>
    </fill>
    <fill>
      <patternFill patternType="solid">
        <fgColor rgb="FF002B47"/>
        <bgColor indexed="64"/>
      </patternFill>
    </fill>
    <fill>
      <patternFill patternType="solid">
        <fgColor rgb="FF002B48"/>
        <bgColor indexed="64"/>
      </patternFill>
    </fill>
    <fill>
      <patternFill patternType="solid">
        <fgColor rgb="FF002B49"/>
        <bgColor indexed="64"/>
      </patternFill>
    </fill>
    <fill>
      <patternFill patternType="solid">
        <fgColor rgb="FF002B4A"/>
        <bgColor indexed="64"/>
      </patternFill>
    </fill>
    <fill>
      <patternFill patternType="solid">
        <fgColor rgb="FF002B4B"/>
        <bgColor indexed="64"/>
      </patternFill>
    </fill>
    <fill>
      <patternFill patternType="solid">
        <fgColor rgb="FF002B4C"/>
        <bgColor indexed="64"/>
      </patternFill>
    </fill>
    <fill>
      <patternFill patternType="solid">
        <fgColor rgb="FF002B4D"/>
        <bgColor indexed="64"/>
      </patternFill>
    </fill>
    <fill>
      <patternFill patternType="solid">
        <fgColor rgb="FF002B4E"/>
        <bgColor indexed="64"/>
      </patternFill>
    </fill>
    <fill>
      <patternFill patternType="solid">
        <fgColor rgb="FF002B4F"/>
        <bgColor indexed="64"/>
      </patternFill>
    </fill>
    <fill>
      <patternFill patternType="solid">
        <fgColor rgb="FF002B50"/>
        <bgColor indexed="64"/>
      </patternFill>
    </fill>
    <fill>
      <patternFill patternType="solid">
        <fgColor rgb="FF002B51"/>
        <bgColor indexed="64"/>
      </patternFill>
    </fill>
    <fill>
      <patternFill patternType="solid">
        <fgColor rgb="FF002B52"/>
        <bgColor indexed="64"/>
      </patternFill>
    </fill>
    <fill>
      <patternFill patternType="solid">
        <fgColor rgb="FF002B53"/>
        <bgColor indexed="64"/>
      </patternFill>
    </fill>
    <fill>
      <patternFill patternType="solid">
        <fgColor rgb="FF002B54"/>
        <bgColor indexed="64"/>
      </patternFill>
    </fill>
    <fill>
      <patternFill patternType="solid">
        <fgColor rgb="FF002B55"/>
        <bgColor indexed="64"/>
      </patternFill>
    </fill>
    <fill>
      <patternFill patternType="solid">
        <fgColor rgb="FF002B56"/>
        <bgColor indexed="64"/>
      </patternFill>
    </fill>
    <fill>
      <patternFill patternType="solid">
        <fgColor rgb="FF002B57"/>
        <bgColor indexed="64"/>
      </patternFill>
    </fill>
    <fill>
      <patternFill patternType="solid">
        <fgColor rgb="FF002B58"/>
        <bgColor indexed="64"/>
      </patternFill>
    </fill>
    <fill>
      <patternFill patternType="solid">
        <fgColor rgb="FF002B59"/>
        <bgColor indexed="64"/>
      </patternFill>
    </fill>
    <fill>
      <patternFill patternType="solid">
        <fgColor rgb="FF002B5A"/>
        <bgColor indexed="64"/>
      </patternFill>
    </fill>
    <fill>
      <patternFill patternType="solid">
        <fgColor rgb="FF002B5B"/>
        <bgColor indexed="64"/>
      </patternFill>
    </fill>
    <fill>
      <patternFill patternType="solid">
        <fgColor rgb="FF002B5C"/>
        <bgColor indexed="64"/>
      </patternFill>
    </fill>
    <fill>
      <patternFill patternType="solid">
        <fgColor rgb="FF002B5D"/>
        <bgColor indexed="64"/>
      </patternFill>
    </fill>
    <fill>
      <patternFill patternType="solid">
        <fgColor rgb="FF002B5E"/>
        <bgColor indexed="64"/>
      </patternFill>
    </fill>
    <fill>
      <patternFill patternType="solid">
        <fgColor rgb="FF002B5F"/>
        <bgColor indexed="64"/>
      </patternFill>
    </fill>
    <fill>
      <patternFill patternType="solid">
        <fgColor rgb="FF002B60"/>
        <bgColor indexed="64"/>
      </patternFill>
    </fill>
    <fill>
      <patternFill patternType="solid">
        <fgColor rgb="FF002B61"/>
        <bgColor indexed="64"/>
      </patternFill>
    </fill>
    <fill>
      <patternFill patternType="solid">
        <fgColor rgb="FF002B62"/>
        <bgColor indexed="64"/>
      </patternFill>
    </fill>
    <fill>
      <patternFill patternType="solid">
        <fgColor rgb="FF002B63"/>
        <bgColor indexed="64"/>
      </patternFill>
    </fill>
    <fill>
      <patternFill patternType="solid">
        <fgColor rgb="FF002B64"/>
        <bgColor indexed="64"/>
      </patternFill>
    </fill>
    <fill>
      <patternFill patternType="solid">
        <fgColor rgb="FF002B65"/>
        <bgColor indexed="64"/>
      </patternFill>
    </fill>
    <fill>
      <patternFill patternType="solid">
        <fgColor rgb="FF002B66"/>
        <bgColor indexed="64"/>
      </patternFill>
    </fill>
    <fill>
      <patternFill patternType="solid">
        <fgColor rgb="FF002B67"/>
        <bgColor indexed="64"/>
      </patternFill>
    </fill>
    <fill>
      <patternFill patternType="solid">
        <fgColor rgb="FF002B68"/>
        <bgColor indexed="64"/>
      </patternFill>
    </fill>
    <fill>
      <patternFill patternType="solid">
        <fgColor rgb="FF002B69"/>
        <bgColor indexed="64"/>
      </patternFill>
    </fill>
    <fill>
      <patternFill patternType="solid">
        <fgColor rgb="FF002B6A"/>
        <bgColor indexed="64"/>
      </patternFill>
    </fill>
    <fill>
      <patternFill patternType="solid">
        <fgColor rgb="FF002B6B"/>
        <bgColor indexed="64"/>
      </patternFill>
    </fill>
    <fill>
      <patternFill patternType="solid">
        <fgColor rgb="FF002B6C"/>
        <bgColor indexed="64"/>
      </patternFill>
    </fill>
    <fill>
      <patternFill patternType="solid">
        <fgColor rgb="FF002B6D"/>
        <bgColor indexed="64"/>
      </patternFill>
    </fill>
    <fill>
      <patternFill patternType="solid">
        <fgColor rgb="FF002B6E"/>
        <bgColor indexed="64"/>
      </patternFill>
    </fill>
    <fill>
      <patternFill patternType="solid">
        <fgColor rgb="FF002B6F"/>
        <bgColor indexed="64"/>
      </patternFill>
    </fill>
    <fill>
      <patternFill patternType="solid">
        <fgColor rgb="FF002B70"/>
        <bgColor indexed="64"/>
      </patternFill>
    </fill>
    <fill>
      <patternFill patternType="solid">
        <fgColor rgb="FF002B71"/>
        <bgColor indexed="64"/>
      </patternFill>
    </fill>
    <fill>
      <patternFill patternType="solid">
        <fgColor rgb="FF002B72"/>
        <bgColor indexed="64"/>
      </patternFill>
    </fill>
    <fill>
      <patternFill patternType="solid">
        <fgColor rgb="FF002B73"/>
        <bgColor indexed="64"/>
      </patternFill>
    </fill>
    <fill>
      <patternFill patternType="solid">
        <fgColor rgb="FF002B74"/>
        <bgColor indexed="64"/>
      </patternFill>
    </fill>
    <fill>
      <patternFill patternType="solid">
        <fgColor rgb="FF002B75"/>
        <bgColor indexed="64"/>
      </patternFill>
    </fill>
    <fill>
      <patternFill patternType="solid">
        <fgColor rgb="FF002B76"/>
        <bgColor indexed="64"/>
      </patternFill>
    </fill>
    <fill>
      <patternFill patternType="solid">
        <fgColor rgb="FF002B77"/>
        <bgColor indexed="64"/>
      </patternFill>
    </fill>
    <fill>
      <patternFill patternType="solid">
        <fgColor rgb="FF002B78"/>
        <bgColor indexed="64"/>
      </patternFill>
    </fill>
    <fill>
      <patternFill patternType="solid">
        <fgColor rgb="FF002B79"/>
        <bgColor indexed="64"/>
      </patternFill>
    </fill>
    <fill>
      <patternFill patternType="solid">
        <fgColor rgb="FF002B7A"/>
        <bgColor indexed="64"/>
      </patternFill>
    </fill>
    <fill>
      <patternFill patternType="solid">
        <fgColor rgb="FF002B7B"/>
        <bgColor indexed="64"/>
      </patternFill>
    </fill>
    <fill>
      <patternFill patternType="solid">
        <fgColor rgb="FF002B7C"/>
        <bgColor indexed="64"/>
      </patternFill>
    </fill>
    <fill>
      <patternFill patternType="solid">
        <fgColor rgb="FF002B7D"/>
        <bgColor indexed="64"/>
      </patternFill>
    </fill>
    <fill>
      <patternFill patternType="solid">
        <fgColor rgb="FF002B7E"/>
        <bgColor indexed="64"/>
      </patternFill>
    </fill>
    <fill>
      <patternFill patternType="solid">
        <fgColor rgb="FF002B7F"/>
        <bgColor indexed="64"/>
      </patternFill>
    </fill>
    <fill>
      <patternFill patternType="solid">
        <fgColor rgb="FF002B80"/>
        <bgColor indexed="64"/>
      </patternFill>
    </fill>
    <fill>
      <patternFill patternType="solid">
        <fgColor rgb="FF002B81"/>
        <bgColor indexed="64"/>
      </patternFill>
    </fill>
    <fill>
      <patternFill patternType="solid">
        <fgColor rgb="FF002B82"/>
        <bgColor indexed="64"/>
      </patternFill>
    </fill>
    <fill>
      <patternFill patternType="solid">
        <fgColor rgb="FF002B83"/>
        <bgColor indexed="64"/>
      </patternFill>
    </fill>
    <fill>
      <patternFill patternType="solid">
        <fgColor rgb="FF002B84"/>
        <bgColor indexed="64"/>
      </patternFill>
    </fill>
    <fill>
      <patternFill patternType="solid">
        <fgColor rgb="FF002B85"/>
        <bgColor indexed="64"/>
      </patternFill>
    </fill>
    <fill>
      <patternFill patternType="solid">
        <fgColor rgb="FF002B86"/>
        <bgColor indexed="64"/>
      </patternFill>
    </fill>
    <fill>
      <patternFill patternType="solid">
        <fgColor rgb="FF002B87"/>
        <bgColor indexed="64"/>
      </patternFill>
    </fill>
    <fill>
      <patternFill patternType="solid">
        <fgColor rgb="FF002B88"/>
        <bgColor indexed="64"/>
      </patternFill>
    </fill>
    <fill>
      <patternFill patternType="solid">
        <fgColor rgb="FF002B89"/>
        <bgColor indexed="64"/>
      </patternFill>
    </fill>
    <fill>
      <patternFill patternType="solid">
        <fgColor rgb="FF002B8A"/>
        <bgColor indexed="64"/>
      </patternFill>
    </fill>
    <fill>
      <patternFill patternType="solid">
        <fgColor rgb="FF002B8B"/>
        <bgColor indexed="64"/>
      </patternFill>
    </fill>
    <fill>
      <patternFill patternType="solid">
        <fgColor rgb="FF002B8C"/>
        <bgColor indexed="64"/>
      </patternFill>
    </fill>
    <fill>
      <patternFill patternType="solid">
        <fgColor rgb="FF002B8D"/>
        <bgColor indexed="64"/>
      </patternFill>
    </fill>
    <fill>
      <patternFill patternType="solid">
        <fgColor rgb="FF002B8E"/>
        <bgColor indexed="64"/>
      </patternFill>
    </fill>
    <fill>
      <patternFill patternType="solid">
        <fgColor rgb="FF002B8F"/>
        <bgColor indexed="64"/>
      </patternFill>
    </fill>
    <fill>
      <patternFill patternType="solid">
        <fgColor rgb="FF002B90"/>
        <bgColor indexed="64"/>
      </patternFill>
    </fill>
    <fill>
      <patternFill patternType="solid">
        <fgColor rgb="FF002B91"/>
        <bgColor indexed="64"/>
      </patternFill>
    </fill>
    <fill>
      <patternFill patternType="solid">
        <fgColor rgb="FF002B92"/>
        <bgColor indexed="64"/>
      </patternFill>
    </fill>
    <fill>
      <patternFill patternType="solid">
        <fgColor rgb="FF002B93"/>
        <bgColor indexed="64"/>
      </patternFill>
    </fill>
    <fill>
      <patternFill patternType="solid">
        <fgColor rgb="FF002B94"/>
        <bgColor indexed="64"/>
      </patternFill>
    </fill>
    <fill>
      <patternFill patternType="solid">
        <fgColor rgb="FF002B95"/>
        <bgColor indexed="64"/>
      </patternFill>
    </fill>
    <fill>
      <patternFill patternType="solid">
        <fgColor rgb="FF002B96"/>
        <bgColor indexed="64"/>
      </patternFill>
    </fill>
    <fill>
      <patternFill patternType="solid">
        <fgColor rgb="FF002B97"/>
        <bgColor indexed="64"/>
      </patternFill>
    </fill>
    <fill>
      <patternFill patternType="solid">
        <fgColor rgb="FF002B98"/>
        <bgColor indexed="64"/>
      </patternFill>
    </fill>
    <fill>
      <patternFill patternType="solid">
        <fgColor rgb="FF002B99"/>
        <bgColor indexed="64"/>
      </patternFill>
    </fill>
    <fill>
      <patternFill patternType="solid">
        <fgColor rgb="FF002B9A"/>
        <bgColor indexed="64"/>
      </patternFill>
    </fill>
    <fill>
      <patternFill patternType="solid">
        <fgColor rgb="FF002B9B"/>
        <bgColor indexed="64"/>
      </patternFill>
    </fill>
    <fill>
      <patternFill patternType="solid">
        <fgColor rgb="FF002B9C"/>
        <bgColor indexed="64"/>
      </patternFill>
    </fill>
    <fill>
      <patternFill patternType="solid">
        <fgColor rgb="FF002B9D"/>
        <bgColor indexed="64"/>
      </patternFill>
    </fill>
    <fill>
      <patternFill patternType="solid">
        <fgColor rgb="FF002B9E"/>
        <bgColor indexed="64"/>
      </patternFill>
    </fill>
    <fill>
      <patternFill patternType="solid">
        <fgColor rgb="FF002B9F"/>
        <bgColor indexed="64"/>
      </patternFill>
    </fill>
    <fill>
      <patternFill patternType="solid">
        <fgColor rgb="FF002BA0"/>
        <bgColor indexed="64"/>
      </patternFill>
    </fill>
    <fill>
      <patternFill patternType="solid">
        <fgColor rgb="FF002BA1"/>
        <bgColor indexed="64"/>
      </patternFill>
    </fill>
    <fill>
      <patternFill patternType="solid">
        <fgColor rgb="FF002BA2"/>
        <bgColor indexed="64"/>
      </patternFill>
    </fill>
    <fill>
      <patternFill patternType="solid">
        <fgColor rgb="FF002BA3"/>
        <bgColor indexed="64"/>
      </patternFill>
    </fill>
    <fill>
      <patternFill patternType="solid">
        <fgColor rgb="FF002BA4"/>
        <bgColor indexed="64"/>
      </patternFill>
    </fill>
    <fill>
      <patternFill patternType="solid">
        <fgColor rgb="FF002BA5"/>
        <bgColor indexed="64"/>
      </patternFill>
    </fill>
    <fill>
      <patternFill patternType="solid">
        <fgColor rgb="FF002BA6"/>
        <bgColor indexed="64"/>
      </patternFill>
    </fill>
    <fill>
      <patternFill patternType="solid">
        <fgColor rgb="FF002BA7"/>
        <bgColor indexed="64"/>
      </patternFill>
    </fill>
    <fill>
      <patternFill patternType="solid">
        <fgColor rgb="FF002BA8"/>
        <bgColor indexed="64"/>
      </patternFill>
    </fill>
    <fill>
      <patternFill patternType="solid">
        <fgColor rgb="FF002BA9"/>
        <bgColor indexed="64"/>
      </patternFill>
    </fill>
    <fill>
      <patternFill patternType="solid">
        <fgColor rgb="FF002BAA"/>
        <bgColor indexed="64"/>
      </patternFill>
    </fill>
    <fill>
      <patternFill patternType="solid">
        <fgColor rgb="FF002BAB"/>
        <bgColor indexed="64"/>
      </patternFill>
    </fill>
    <fill>
      <patternFill patternType="solid">
        <fgColor rgb="FF002BAC"/>
        <bgColor indexed="64"/>
      </patternFill>
    </fill>
    <fill>
      <patternFill patternType="solid">
        <fgColor rgb="FF002BAD"/>
        <bgColor indexed="64"/>
      </patternFill>
    </fill>
    <fill>
      <patternFill patternType="solid">
        <fgColor rgb="FF002BAE"/>
        <bgColor indexed="64"/>
      </patternFill>
    </fill>
    <fill>
      <patternFill patternType="solid">
        <fgColor rgb="FF002BAF"/>
        <bgColor indexed="64"/>
      </patternFill>
    </fill>
    <fill>
      <patternFill patternType="solid">
        <fgColor rgb="FF002BB0"/>
        <bgColor indexed="64"/>
      </patternFill>
    </fill>
    <fill>
      <patternFill patternType="solid">
        <fgColor rgb="FF002BB1"/>
        <bgColor indexed="64"/>
      </patternFill>
    </fill>
    <fill>
      <patternFill patternType="solid">
        <fgColor rgb="FF002BB2"/>
        <bgColor indexed="64"/>
      </patternFill>
    </fill>
    <fill>
      <patternFill patternType="solid">
        <fgColor rgb="FF002BB3"/>
        <bgColor indexed="64"/>
      </patternFill>
    </fill>
    <fill>
      <patternFill patternType="solid">
        <fgColor rgb="FF002BB4"/>
        <bgColor indexed="64"/>
      </patternFill>
    </fill>
    <fill>
      <patternFill patternType="solid">
        <fgColor rgb="FF002BB5"/>
        <bgColor indexed="64"/>
      </patternFill>
    </fill>
    <fill>
      <patternFill patternType="solid">
        <fgColor rgb="FF002BB6"/>
        <bgColor indexed="64"/>
      </patternFill>
    </fill>
    <fill>
      <patternFill patternType="solid">
        <fgColor rgb="FF002BB7"/>
        <bgColor indexed="64"/>
      </patternFill>
    </fill>
    <fill>
      <patternFill patternType="solid">
        <fgColor rgb="FF002BB8"/>
        <bgColor indexed="64"/>
      </patternFill>
    </fill>
    <fill>
      <patternFill patternType="solid">
        <fgColor rgb="FF002BB9"/>
        <bgColor indexed="64"/>
      </patternFill>
    </fill>
    <fill>
      <patternFill patternType="solid">
        <fgColor rgb="FF002BBA"/>
        <bgColor indexed="64"/>
      </patternFill>
    </fill>
    <fill>
      <patternFill patternType="solid">
        <fgColor rgb="FF002BBB"/>
        <bgColor indexed="64"/>
      </patternFill>
    </fill>
    <fill>
      <patternFill patternType="solid">
        <fgColor rgb="FF002BBC"/>
        <bgColor indexed="64"/>
      </patternFill>
    </fill>
    <fill>
      <patternFill patternType="solid">
        <fgColor rgb="FF002BBD"/>
        <bgColor indexed="64"/>
      </patternFill>
    </fill>
    <fill>
      <patternFill patternType="solid">
        <fgColor rgb="FF002BBE"/>
        <bgColor indexed="64"/>
      </patternFill>
    </fill>
    <fill>
      <patternFill patternType="solid">
        <fgColor rgb="FF002BBF"/>
        <bgColor indexed="64"/>
      </patternFill>
    </fill>
    <fill>
      <patternFill patternType="solid">
        <fgColor rgb="FF002BC0"/>
        <bgColor indexed="64"/>
      </patternFill>
    </fill>
    <fill>
      <patternFill patternType="solid">
        <fgColor rgb="FF002BC1"/>
        <bgColor indexed="64"/>
      </patternFill>
    </fill>
    <fill>
      <patternFill patternType="solid">
        <fgColor rgb="FF002BC2"/>
        <bgColor indexed="64"/>
      </patternFill>
    </fill>
    <fill>
      <patternFill patternType="solid">
        <fgColor rgb="FF002BC3"/>
        <bgColor indexed="64"/>
      </patternFill>
    </fill>
    <fill>
      <patternFill patternType="solid">
        <fgColor rgb="FF002BC4"/>
        <bgColor indexed="64"/>
      </patternFill>
    </fill>
    <fill>
      <patternFill patternType="solid">
        <fgColor rgb="FF002BC5"/>
        <bgColor indexed="64"/>
      </patternFill>
    </fill>
    <fill>
      <patternFill patternType="solid">
        <fgColor rgb="FF002BC6"/>
        <bgColor indexed="64"/>
      </patternFill>
    </fill>
    <fill>
      <patternFill patternType="solid">
        <fgColor rgb="FF002BC7"/>
        <bgColor indexed="64"/>
      </patternFill>
    </fill>
    <fill>
      <patternFill patternType="solid">
        <fgColor rgb="FF002BC8"/>
        <bgColor indexed="64"/>
      </patternFill>
    </fill>
    <fill>
      <patternFill patternType="solid">
        <fgColor rgb="FF002BC9"/>
        <bgColor indexed="64"/>
      </patternFill>
    </fill>
    <fill>
      <patternFill patternType="solid">
        <fgColor rgb="FF002BCA"/>
        <bgColor indexed="64"/>
      </patternFill>
    </fill>
    <fill>
      <patternFill patternType="solid">
        <fgColor rgb="FF002BCB"/>
        <bgColor indexed="64"/>
      </patternFill>
    </fill>
    <fill>
      <patternFill patternType="solid">
        <fgColor rgb="FF002BCC"/>
        <bgColor indexed="64"/>
      </patternFill>
    </fill>
    <fill>
      <patternFill patternType="solid">
        <fgColor rgb="FF002BCD"/>
        <bgColor indexed="64"/>
      </patternFill>
    </fill>
    <fill>
      <patternFill patternType="solid">
        <fgColor rgb="FF002BCE"/>
        <bgColor indexed="64"/>
      </patternFill>
    </fill>
    <fill>
      <patternFill patternType="solid">
        <fgColor rgb="FF002BCF"/>
        <bgColor indexed="64"/>
      </patternFill>
    </fill>
    <fill>
      <patternFill patternType="solid">
        <fgColor rgb="FF002BD0"/>
        <bgColor indexed="64"/>
      </patternFill>
    </fill>
    <fill>
      <patternFill patternType="solid">
        <fgColor rgb="FF002BD1"/>
        <bgColor indexed="64"/>
      </patternFill>
    </fill>
    <fill>
      <patternFill patternType="solid">
        <fgColor rgb="FF002BD2"/>
        <bgColor indexed="64"/>
      </patternFill>
    </fill>
    <fill>
      <patternFill patternType="solid">
        <fgColor rgb="FF002BD3"/>
        <bgColor indexed="64"/>
      </patternFill>
    </fill>
    <fill>
      <patternFill patternType="solid">
        <fgColor rgb="FF002BD4"/>
        <bgColor indexed="64"/>
      </patternFill>
    </fill>
    <fill>
      <patternFill patternType="solid">
        <fgColor rgb="FF002BD5"/>
        <bgColor indexed="64"/>
      </patternFill>
    </fill>
    <fill>
      <patternFill patternType="solid">
        <fgColor rgb="FF002BD6"/>
        <bgColor indexed="64"/>
      </patternFill>
    </fill>
    <fill>
      <patternFill patternType="solid">
        <fgColor rgb="FF002BD7"/>
        <bgColor indexed="64"/>
      </patternFill>
    </fill>
    <fill>
      <patternFill patternType="solid">
        <fgColor rgb="FF002BD8"/>
        <bgColor indexed="64"/>
      </patternFill>
    </fill>
    <fill>
      <patternFill patternType="solid">
        <fgColor rgb="FF002BD9"/>
        <bgColor indexed="64"/>
      </patternFill>
    </fill>
    <fill>
      <patternFill patternType="solid">
        <fgColor rgb="FF002BDA"/>
        <bgColor indexed="64"/>
      </patternFill>
    </fill>
    <fill>
      <patternFill patternType="solid">
        <fgColor rgb="FF002BDB"/>
        <bgColor indexed="64"/>
      </patternFill>
    </fill>
    <fill>
      <patternFill patternType="solid">
        <fgColor rgb="FF002BDC"/>
        <bgColor indexed="64"/>
      </patternFill>
    </fill>
    <fill>
      <patternFill patternType="solid">
        <fgColor rgb="FF002BDD"/>
        <bgColor indexed="64"/>
      </patternFill>
    </fill>
    <fill>
      <patternFill patternType="solid">
        <fgColor rgb="FF002BDE"/>
        <bgColor indexed="64"/>
      </patternFill>
    </fill>
    <fill>
      <patternFill patternType="solid">
        <fgColor rgb="FF002BDF"/>
        <bgColor indexed="64"/>
      </patternFill>
    </fill>
    <fill>
      <patternFill patternType="solid">
        <fgColor rgb="FF002BE0"/>
        <bgColor indexed="64"/>
      </patternFill>
    </fill>
    <fill>
      <patternFill patternType="solid">
        <fgColor rgb="FF002BE1"/>
        <bgColor indexed="64"/>
      </patternFill>
    </fill>
    <fill>
      <patternFill patternType="solid">
        <fgColor rgb="FF002BE2"/>
        <bgColor indexed="64"/>
      </patternFill>
    </fill>
    <fill>
      <patternFill patternType="solid">
        <fgColor rgb="FF002BE3"/>
        <bgColor indexed="64"/>
      </patternFill>
    </fill>
    <fill>
      <patternFill patternType="solid">
        <fgColor rgb="FF002BE4"/>
        <bgColor indexed="64"/>
      </patternFill>
    </fill>
    <fill>
      <patternFill patternType="solid">
        <fgColor rgb="FF002BE5"/>
        <bgColor indexed="64"/>
      </patternFill>
    </fill>
    <fill>
      <patternFill patternType="solid">
        <fgColor rgb="FF002BE6"/>
        <bgColor indexed="64"/>
      </patternFill>
    </fill>
    <fill>
      <patternFill patternType="solid">
        <fgColor rgb="FF002BE7"/>
        <bgColor indexed="64"/>
      </patternFill>
    </fill>
    <fill>
      <patternFill patternType="solid">
        <fgColor rgb="FF002BE8"/>
        <bgColor indexed="64"/>
      </patternFill>
    </fill>
    <fill>
      <patternFill patternType="solid">
        <fgColor rgb="FF002BE9"/>
        <bgColor indexed="64"/>
      </patternFill>
    </fill>
    <fill>
      <patternFill patternType="solid">
        <fgColor rgb="FF002BEA"/>
        <bgColor indexed="64"/>
      </patternFill>
    </fill>
    <fill>
      <patternFill patternType="solid">
        <fgColor rgb="FF002BEB"/>
        <bgColor indexed="64"/>
      </patternFill>
    </fill>
    <fill>
      <patternFill patternType="solid">
        <fgColor rgb="FF002BEC"/>
        <bgColor indexed="64"/>
      </patternFill>
    </fill>
    <fill>
      <patternFill patternType="solid">
        <fgColor rgb="FF002BED"/>
        <bgColor indexed="64"/>
      </patternFill>
    </fill>
    <fill>
      <patternFill patternType="solid">
        <fgColor rgb="FF002BEE"/>
        <bgColor indexed="64"/>
      </patternFill>
    </fill>
    <fill>
      <patternFill patternType="solid">
        <fgColor rgb="FF002BEF"/>
        <bgColor indexed="64"/>
      </patternFill>
    </fill>
    <fill>
      <patternFill patternType="solid">
        <fgColor rgb="FF002BF0"/>
        <bgColor indexed="64"/>
      </patternFill>
    </fill>
    <fill>
      <patternFill patternType="solid">
        <fgColor rgb="FF002BF1"/>
        <bgColor indexed="64"/>
      </patternFill>
    </fill>
    <fill>
      <patternFill patternType="solid">
        <fgColor rgb="FF002BF2"/>
        <bgColor indexed="64"/>
      </patternFill>
    </fill>
    <fill>
      <patternFill patternType="solid">
        <fgColor rgb="FF002BF3"/>
        <bgColor indexed="64"/>
      </patternFill>
    </fill>
    <fill>
      <patternFill patternType="solid">
        <fgColor rgb="FF002BF4"/>
        <bgColor indexed="64"/>
      </patternFill>
    </fill>
    <fill>
      <patternFill patternType="solid">
        <fgColor rgb="FF002BF5"/>
        <bgColor indexed="64"/>
      </patternFill>
    </fill>
    <fill>
      <patternFill patternType="solid">
        <fgColor rgb="FF002BF6"/>
        <bgColor indexed="64"/>
      </patternFill>
    </fill>
    <fill>
      <patternFill patternType="solid">
        <fgColor rgb="FF002BF7"/>
        <bgColor indexed="64"/>
      </patternFill>
    </fill>
    <fill>
      <patternFill patternType="solid">
        <fgColor rgb="FF002BF8"/>
        <bgColor indexed="64"/>
      </patternFill>
    </fill>
    <fill>
      <patternFill patternType="solid">
        <fgColor rgb="FF002BF9"/>
        <bgColor indexed="64"/>
      </patternFill>
    </fill>
    <fill>
      <patternFill patternType="solid">
        <fgColor rgb="FF002BFA"/>
        <bgColor indexed="64"/>
      </patternFill>
    </fill>
    <fill>
      <patternFill patternType="solid">
        <fgColor rgb="FF002BFB"/>
        <bgColor indexed="64"/>
      </patternFill>
    </fill>
    <fill>
      <patternFill patternType="solid">
        <fgColor rgb="FF002BFC"/>
        <bgColor indexed="64"/>
      </patternFill>
    </fill>
    <fill>
      <patternFill patternType="solid">
        <fgColor rgb="FF002BFD"/>
        <bgColor indexed="64"/>
      </patternFill>
    </fill>
    <fill>
      <patternFill patternType="solid">
        <fgColor rgb="FF002BFE"/>
        <bgColor indexed="64"/>
      </patternFill>
    </fill>
    <fill>
      <patternFill patternType="solid">
        <fgColor rgb="FF002BFF"/>
        <bgColor indexed="64"/>
      </patternFill>
    </fill>
    <fill>
      <patternFill patternType="solid">
        <fgColor rgb="FF002C00"/>
        <bgColor indexed="64"/>
      </patternFill>
    </fill>
    <fill>
      <patternFill patternType="solid">
        <fgColor rgb="FF002C01"/>
        <bgColor indexed="64"/>
      </patternFill>
    </fill>
    <fill>
      <patternFill patternType="solid">
        <fgColor rgb="FF002C02"/>
        <bgColor indexed="64"/>
      </patternFill>
    </fill>
    <fill>
      <patternFill patternType="solid">
        <fgColor rgb="FF002C03"/>
        <bgColor indexed="64"/>
      </patternFill>
    </fill>
    <fill>
      <patternFill patternType="solid">
        <fgColor rgb="FF002C04"/>
        <bgColor indexed="64"/>
      </patternFill>
    </fill>
    <fill>
      <patternFill patternType="solid">
        <fgColor rgb="FF002C05"/>
        <bgColor indexed="64"/>
      </patternFill>
    </fill>
    <fill>
      <patternFill patternType="solid">
        <fgColor rgb="FF002C06"/>
        <bgColor indexed="64"/>
      </patternFill>
    </fill>
    <fill>
      <patternFill patternType="solid">
        <fgColor rgb="FF002C07"/>
        <bgColor indexed="64"/>
      </patternFill>
    </fill>
    <fill>
      <patternFill patternType="solid">
        <fgColor rgb="FF002C08"/>
        <bgColor indexed="64"/>
      </patternFill>
    </fill>
    <fill>
      <patternFill patternType="solid">
        <fgColor rgb="FF002C09"/>
        <bgColor indexed="64"/>
      </patternFill>
    </fill>
    <fill>
      <patternFill patternType="solid">
        <fgColor rgb="FF002C0A"/>
        <bgColor indexed="64"/>
      </patternFill>
    </fill>
    <fill>
      <patternFill patternType="solid">
        <fgColor rgb="FF002C0B"/>
        <bgColor indexed="64"/>
      </patternFill>
    </fill>
    <fill>
      <patternFill patternType="solid">
        <fgColor rgb="FF002C0C"/>
        <bgColor indexed="64"/>
      </patternFill>
    </fill>
    <fill>
      <patternFill patternType="solid">
        <fgColor rgb="FF002C0D"/>
        <bgColor indexed="64"/>
      </patternFill>
    </fill>
    <fill>
      <patternFill patternType="solid">
        <fgColor rgb="FF002C0E"/>
        <bgColor indexed="64"/>
      </patternFill>
    </fill>
    <fill>
      <patternFill patternType="solid">
        <fgColor rgb="FF002C0F"/>
        <bgColor indexed="64"/>
      </patternFill>
    </fill>
    <fill>
      <patternFill patternType="solid">
        <fgColor rgb="FF002C10"/>
        <bgColor indexed="64"/>
      </patternFill>
    </fill>
    <fill>
      <patternFill patternType="solid">
        <fgColor rgb="FF002C11"/>
        <bgColor indexed="64"/>
      </patternFill>
    </fill>
    <fill>
      <patternFill patternType="solid">
        <fgColor rgb="FF002C12"/>
        <bgColor indexed="64"/>
      </patternFill>
    </fill>
    <fill>
      <patternFill patternType="solid">
        <fgColor rgb="FF002C13"/>
        <bgColor indexed="64"/>
      </patternFill>
    </fill>
    <fill>
      <patternFill patternType="solid">
        <fgColor rgb="FF002C14"/>
        <bgColor indexed="64"/>
      </patternFill>
    </fill>
    <fill>
      <patternFill patternType="solid">
        <fgColor rgb="FF002C15"/>
        <bgColor indexed="64"/>
      </patternFill>
    </fill>
    <fill>
      <patternFill patternType="solid">
        <fgColor rgb="FF002C16"/>
        <bgColor indexed="64"/>
      </patternFill>
    </fill>
    <fill>
      <patternFill patternType="solid">
        <fgColor rgb="FF002C17"/>
        <bgColor indexed="64"/>
      </patternFill>
    </fill>
    <fill>
      <patternFill patternType="solid">
        <fgColor rgb="FF002C18"/>
        <bgColor indexed="64"/>
      </patternFill>
    </fill>
    <fill>
      <patternFill patternType="solid">
        <fgColor rgb="FF002C19"/>
        <bgColor indexed="64"/>
      </patternFill>
    </fill>
    <fill>
      <patternFill patternType="solid">
        <fgColor rgb="FF002C1A"/>
        <bgColor indexed="64"/>
      </patternFill>
    </fill>
    <fill>
      <patternFill patternType="solid">
        <fgColor rgb="FF002C1B"/>
        <bgColor indexed="64"/>
      </patternFill>
    </fill>
    <fill>
      <patternFill patternType="solid">
        <fgColor rgb="FF002C1C"/>
        <bgColor indexed="64"/>
      </patternFill>
    </fill>
    <fill>
      <patternFill patternType="solid">
        <fgColor rgb="FF002C1D"/>
        <bgColor indexed="64"/>
      </patternFill>
    </fill>
    <fill>
      <patternFill patternType="solid">
        <fgColor rgb="FF002C1E"/>
        <bgColor indexed="64"/>
      </patternFill>
    </fill>
    <fill>
      <patternFill patternType="solid">
        <fgColor rgb="FF002C1F"/>
        <bgColor indexed="64"/>
      </patternFill>
    </fill>
    <fill>
      <patternFill patternType="solid">
        <fgColor rgb="FF002C20"/>
        <bgColor indexed="64"/>
      </patternFill>
    </fill>
    <fill>
      <patternFill patternType="solid">
        <fgColor rgb="FF002C21"/>
        <bgColor indexed="64"/>
      </patternFill>
    </fill>
    <fill>
      <patternFill patternType="solid">
        <fgColor rgb="FF002C22"/>
        <bgColor indexed="64"/>
      </patternFill>
    </fill>
    <fill>
      <patternFill patternType="solid">
        <fgColor rgb="FF002C23"/>
        <bgColor indexed="64"/>
      </patternFill>
    </fill>
    <fill>
      <patternFill patternType="solid">
        <fgColor rgb="FF002C24"/>
        <bgColor indexed="64"/>
      </patternFill>
    </fill>
    <fill>
      <patternFill patternType="solid">
        <fgColor rgb="FF002C25"/>
        <bgColor indexed="64"/>
      </patternFill>
    </fill>
    <fill>
      <patternFill patternType="solid">
        <fgColor rgb="FF002C26"/>
        <bgColor indexed="64"/>
      </patternFill>
    </fill>
    <fill>
      <patternFill patternType="solid">
        <fgColor rgb="FF002C27"/>
        <bgColor indexed="64"/>
      </patternFill>
    </fill>
    <fill>
      <patternFill patternType="solid">
        <fgColor rgb="FF002C28"/>
        <bgColor indexed="64"/>
      </patternFill>
    </fill>
    <fill>
      <patternFill patternType="solid">
        <fgColor rgb="FF002C29"/>
        <bgColor indexed="64"/>
      </patternFill>
    </fill>
    <fill>
      <patternFill patternType="solid">
        <fgColor rgb="FF002C2A"/>
        <bgColor indexed="64"/>
      </patternFill>
    </fill>
    <fill>
      <patternFill patternType="solid">
        <fgColor rgb="FF002C2B"/>
        <bgColor indexed="64"/>
      </patternFill>
    </fill>
    <fill>
      <patternFill patternType="solid">
        <fgColor rgb="FF002C2C"/>
        <bgColor indexed="64"/>
      </patternFill>
    </fill>
    <fill>
      <patternFill patternType="solid">
        <fgColor rgb="FF002C2D"/>
        <bgColor indexed="64"/>
      </patternFill>
    </fill>
    <fill>
      <patternFill patternType="solid">
        <fgColor rgb="FF002C2E"/>
        <bgColor indexed="64"/>
      </patternFill>
    </fill>
    <fill>
      <patternFill patternType="solid">
        <fgColor rgb="FF002C2F"/>
        <bgColor indexed="64"/>
      </patternFill>
    </fill>
    <fill>
      <patternFill patternType="solid">
        <fgColor rgb="FF002C30"/>
        <bgColor indexed="64"/>
      </patternFill>
    </fill>
    <fill>
      <patternFill patternType="solid">
        <fgColor rgb="FF002C31"/>
        <bgColor indexed="64"/>
      </patternFill>
    </fill>
    <fill>
      <patternFill patternType="solid">
        <fgColor rgb="FF002C32"/>
        <bgColor indexed="64"/>
      </patternFill>
    </fill>
    <fill>
      <patternFill patternType="solid">
        <fgColor rgb="FF002C33"/>
        <bgColor indexed="64"/>
      </patternFill>
    </fill>
    <fill>
      <patternFill patternType="solid">
        <fgColor rgb="FF002C34"/>
        <bgColor indexed="64"/>
      </patternFill>
    </fill>
    <fill>
      <patternFill patternType="solid">
        <fgColor rgb="FF002C35"/>
        <bgColor indexed="64"/>
      </patternFill>
    </fill>
    <fill>
      <patternFill patternType="solid">
        <fgColor rgb="FF002C36"/>
        <bgColor indexed="64"/>
      </patternFill>
    </fill>
    <fill>
      <patternFill patternType="solid">
        <fgColor rgb="FF002C37"/>
        <bgColor indexed="64"/>
      </patternFill>
    </fill>
    <fill>
      <patternFill patternType="solid">
        <fgColor rgb="FF002C38"/>
        <bgColor indexed="64"/>
      </patternFill>
    </fill>
    <fill>
      <patternFill patternType="solid">
        <fgColor rgb="FF002C39"/>
        <bgColor indexed="64"/>
      </patternFill>
    </fill>
    <fill>
      <patternFill patternType="solid">
        <fgColor rgb="FF002C3A"/>
        <bgColor indexed="64"/>
      </patternFill>
    </fill>
    <fill>
      <patternFill patternType="solid">
        <fgColor rgb="FF002C3B"/>
        <bgColor indexed="64"/>
      </patternFill>
    </fill>
    <fill>
      <patternFill patternType="solid">
        <fgColor rgb="FF002C3C"/>
        <bgColor indexed="64"/>
      </patternFill>
    </fill>
    <fill>
      <patternFill patternType="solid">
        <fgColor rgb="FF002C3D"/>
        <bgColor indexed="64"/>
      </patternFill>
    </fill>
    <fill>
      <patternFill patternType="solid">
        <fgColor rgb="FF002C3E"/>
        <bgColor indexed="64"/>
      </patternFill>
    </fill>
    <fill>
      <patternFill patternType="solid">
        <fgColor rgb="FF002C3F"/>
        <bgColor indexed="64"/>
      </patternFill>
    </fill>
    <fill>
      <patternFill patternType="solid">
        <fgColor rgb="FF002C40"/>
        <bgColor indexed="64"/>
      </patternFill>
    </fill>
    <fill>
      <patternFill patternType="solid">
        <fgColor rgb="FF002C41"/>
        <bgColor indexed="64"/>
      </patternFill>
    </fill>
    <fill>
      <patternFill patternType="solid">
        <fgColor rgb="FF002C42"/>
        <bgColor indexed="64"/>
      </patternFill>
    </fill>
    <fill>
      <patternFill patternType="solid">
        <fgColor rgb="FF002C43"/>
        <bgColor indexed="64"/>
      </patternFill>
    </fill>
    <fill>
      <patternFill patternType="solid">
        <fgColor rgb="FF002C44"/>
        <bgColor indexed="64"/>
      </patternFill>
    </fill>
    <fill>
      <patternFill patternType="solid">
        <fgColor rgb="FF002C45"/>
        <bgColor indexed="64"/>
      </patternFill>
    </fill>
    <fill>
      <patternFill patternType="solid">
        <fgColor rgb="FF002C46"/>
        <bgColor indexed="64"/>
      </patternFill>
    </fill>
    <fill>
      <patternFill patternType="solid">
        <fgColor rgb="FF002C47"/>
        <bgColor indexed="64"/>
      </patternFill>
    </fill>
    <fill>
      <patternFill patternType="solid">
        <fgColor rgb="FF002C48"/>
        <bgColor indexed="64"/>
      </patternFill>
    </fill>
    <fill>
      <patternFill patternType="solid">
        <fgColor rgb="FF002C49"/>
        <bgColor indexed="64"/>
      </patternFill>
    </fill>
    <fill>
      <patternFill patternType="solid">
        <fgColor rgb="FF002C4A"/>
        <bgColor indexed="64"/>
      </patternFill>
    </fill>
    <fill>
      <patternFill patternType="solid">
        <fgColor rgb="FF002C4B"/>
        <bgColor indexed="64"/>
      </patternFill>
    </fill>
    <fill>
      <patternFill patternType="solid">
        <fgColor rgb="FF002C4C"/>
        <bgColor indexed="64"/>
      </patternFill>
    </fill>
    <fill>
      <patternFill patternType="solid">
        <fgColor rgb="FF002C4D"/>
        <bgColor indexed="64"/>
      </patternFill>
    </fill>
    <fill>
      <patternFill patternType="solid">
        <fgColor rgb="FF002C4E"/>
        <bgColor indexed="64"/>
      </patternFill>
    </fill>
    <fill>
      <patternFill patternType="solid">
        <fgColor rgb="FF002C4F"/>
        <bgColor indexed="64"/>
      </patternFill>
    </fill>
    <fill>
      <patternFill patternType="solid">
        <fgColor rgb="FF002C50"/>
        <bgColor indexed="64"/>
      </patternFill>
    </fill>
    <fill>
      <patternFill patternType="solid">
        <fgColor rgb="FF002C51"/>
        <bgColor indexed="64"/>
      </patternFill>
    </fill>
    <fill>
      <patternFill patternType="solid">
        <fgColor rgb="FF002C52"/>
        <bgColor indexed="64"/>
      </patternFill>
    </fill>
    <fill>
      <patternFill patternType="solid">
        <fgColor rgb="FF002C53"/>
        <bgColor indexed="64"/>
      </patternFill>
    </fill>
    <fill>
      <patternFill patternType="solid">
        <fgColor rgb="FF002C54"/>
        <bgColor indexed="64"/>
      </patternFill>
    </fill>
    <fill>
      <patternFill patternType="solid">
        <fgColor rgb="FF002C55"/>
        <bgColor indexed="64"/>
      </patternFill>
    </fill>
    <fill>
      <patternFill patternType="solid">
        <fgColor rgb="FF002C56"/>
        <bgColor indexed="64"/>
      </patternFill>
    </fill>
    <fill>
      <patternFill patternType="solid">
        <fgColor rgb="FF002C57"/>
        <bgColor indexed="64"/>
      </patternFill>
    </fill>
    <fill>
      <patternFill patternType="solid">
        <fgColor rgb="FF002C58"/>
        <bgColor indexed="64"/>
      </patternFill>
    </fill>
    <fill>
      <patternFill patternType="solid">
        <fgColor rgb="FF002C59"/>
        <bgColor indexed="64"/>
      </patternFill>
    </fill>
    <fill>
      <patternFill patternType="solid">
        <fgColor rgb="FF002C5A"/>
        <bgColor indexed="64"/>
      </patternFill>
    </fill>
    <fill>
      <patternFill patternType="solid">
        <fgColor rgb="FF002C5B"/>
        <bgColor indexed="64"/>
      </patternFill>
    </fill>
    <fill>
      <patternFill patternType="solid">
        <fgColor rgb="FF002C5C"/>
        <bgColor indexed="64"/>
      </patternFill>
    </fill>
    <fill>
      <patternFill patternType="solid">
        <fgColor rgb="FF002C5D"/>
        <bgColor indexed="64"/>
      </patternFill>
    </fill>
    <fill>
      <patternFill patternType="solid">
        <fgColor rgb="FF002C5E"/>
        <bgColor indexed="64"/>
      </patternFill>
    </fill>
    <fill>
      <patternFill patternType="solid">
        <fgColor rgb="FF002C5F"/>
        <bgColor indexed="64"/>
      </patternFill>
    </fill>
    <fill>
      <patternFill patternType="solid">
        <fgColor rgb="FF002C60"/>
        <bgColor indexed="64"/>
      </patternFill>
    </fill>
    <fill>
      <patternFill patternType="solid">
        <fgColor rgb="FF002C61"/>
        <bgColor indexed="64"/>
      </patternFill>
    </fill>
    <fill>
      <patternFill patternType="solid">
        <fgColor rgb="FF002C62"/>
        <bgColor indexed="64"/>
      </patternFill>
    </fill>
    <fill>
      <patternFill patternType="solid">
        <fgColor rgb="FF002C63"/>
        <bgColor indexed="64"/>
      </patternFill>
    </fill>
    <fill>
      <patternFill patternType="solid">
        <fgColor rgb="FF002C64"/>
        <bgColor indexed="64"/>
      </patternFill>
    </fill>
    <fill>
      <patternFill patternType="solid">
        <fgColor rgb="FF002C65"/>
        <bgColor indexed="64"/>
      </patternFill>
    </fill>
    <fill>
      <patternFill patternType="solid">
        <fgColor rgb="FF002C66"/>
        <bgColor indexed="64"/>
      </patternFill>
    </fill>
    <fill>
      <patternFill patternType="solid">
        <fgColor rgb="FF002C67"/>
        <bgColor indexed="64"/>
      </patternFill>
    </fill>
    <fill>
      <patternFill patternType="solid">
        <fgColor rgb="FF002C68"/>
        <bgColor indexed="64"/>
      </patternFill>
    </fill>
    <fill>
      <patternFill patternType="solid">
        <fgColor rgb="FF002C69"/>
        <bgColor indexed="64"/>
      </patternFill>
    </fill>
    <fill>
      <patternFill patternType="solid">
        <fgColor rgb="FF002C6A"/>
        <bgColor indexed="64"/>
      </patternFill>
    </fill>
    <fill>
      <patternFill patternType="solid">
        <fgColor rgb="FF002C6B"/>
        <bgColor indexed="64"/>
      </patternFill>
    </fill>
    <fill>
      <patternFill patternType="solid">
        <fgColor rgb="FF002C6C"/>
        <bgColor indexed="64"/>
      </patternFill>
    </fill>
    <fill>
      <patternFill patternType="solid">
        <fgColor rgb="FF002C6D"/>
        <bgColor indexed="64"/>
      </patternFill>
    </fill>
    <fill>
      <patternFill patternType="solid">
        <fgColor rgb="FF002C6E"/>
        <bgColor indexed="64"/>
      </patternFill>
    </fill>
    <fill>
      <patternFill patternType="solid">
        <fgColor rgb="FF002C6F"/>
        <bgColor indexed="64"/>
      </patternFill>
    </fill>
    <fill>
      <patternFill patternType="solid">
        <fgColor rgb="FF002C70"/>
        <bgColor indexed="64"/>
      </patternFill>
    </fill>
    <fill>
      <patternFill patternType="solid">
        <fgColor rgb="FF002C71"/>
        <bgColor indexed="64"/>
      </patternFill>
    </fill>
    <fill>
      <patternFill patternType="solid">
        <fgColor rgb="FF002C72"/>
        <bgColor indexed="64"/>
      </patternFill>
    </fill>
    <fill>
      <patternFill patternType="solid">
        <fgColor rgb="FF002C73"/>
        <bgColor indexed="64"/>
      </patternFill>
    </fill>
    <fill>
      <patternFill patternType="solid">
        <fgColor rgb="FF002C74"/>
        <bgColor indexed="64"/>
      </patternFill>
    </fill>
    <fill>
      <patternFill patternType="solid">
        <fgColor rgb="FF002C75"/>
        <bgColor indexed="64"/>
      </patternFill>
    </fill>
    <fill>
      <patternFill patternType="solid">
        <fgColor rgb="FF002C76"/>
        <bgColor indexed="64"/>
      </patternFill>
    </fill>
    <fill>
      <patternFill patternType="solid">
        <fgColor rgb="FF002C77"/>
        <bgColor indexed="64"/>
      </patternFill>
    </fill>
    <fill>
      <patternFill patternType="solid">
        <fgColor rgb="FF002C78"/>
        <bgColor indexed="64"/>
      </patternFill>
    </fill>
    <fill>
      <patternFill patternType="solid">
        <fgColor rgb="FF002C79"/>
        <bgColor indexed="64"/>
      </patternFill>
    </fill>
    <fill>
      <patternFill patternType="solid">
        <fgColor rgb="FF002C7A"/>
        <bgColor indexed="64"/>
      </patternFill>
    </fill>
    <fill>
      <patternFill patternType="solid">
        <fgColor rgb="FF002C7B"/>
        <bgColor indexed="64"/>
      </patternFill>
    </fill>
    <fill>
      <patternFill patternType="solid">
        <fgColor rgb="FF002C7C"/>
        <bgColor indexed="64"/>
      </patternFill>
    </fill>
    <fill>
      <patternFill patternType="solid">
        <fgColor rgb="FF002C7D"/>
        <bgColor indexed="64"/>
      </patternFill>
    </fill>
    <fill>
      <patternFill patternType="solid">
        <fgColor rgb="FF002C7E"/>
        <bgColor indexed="64"/>
      </patternFill>
    </fill>
    <fill>
      <patternFill patternType="solid">
        <fgColor rgb="FF002C7F"/>
        <bgColor indexed="64"/>
      </patternFill>
    </fill>
    <fill>
      <patternFill patternType="solid">
        <fgColor rgb="FF002C80"/>
        <bgColor indexed="64"/>
      </patternFill>
    </fill>
    <fill>
      <patternFill patternType="solid">
        <fgColor rgb="FF002C81"/>
        <bgColor indexed="64"/>
      </patternFill>
    </fill>
    <fill>
      <patternFill patternType="solid">
        <fgColor rgb="FF002C82"/>
        <bgColor indexed="64"/>
      </patternFill>
    </fill>
    <fill>
      <patternFill patternType="solid">
        <fgColor rgb="FF002C83"/>
        <bgColor indexed="64"/>
      </patternFill>
    </fill>
    <fill>
      <patternFill patternType="solid">
        <fgColor rgb="FF002C84"/>
        <bgColor indexed="64"/>
      </patternFill>
    </fill>
    <fill>
      <patternFill patternType="solid">
        <fgColor rgb="FF002C85"/>
        <bgColor indexed="64"/>
      </patternFill>
    </fill>
    <fill>
      <patternFill patternType="solid">
        <fgColor rgb="FF002C86"/>
        <bgColor indexed="64"/>
      </patternFill>
    </fill>
    <fill>
      <patternFill patternType="solid">
        <fgColor rgb="FF002C87"/>
        <bgColor indexed="64"/>
      </patternFill>
    </fill>
    <fill>
      <patternFill patternType="solid">
        <fgColor rgb="FF002C88"/>
        <bgColor indexed="64"/>
      </patternFill>
    </fill>
    <fill>
      <patternFill patternType="solid">
        <fgColor rgb="FF002C89"/>
        <bgColor indexed="64"/>
      </patternFill>
    </fill>
    <fill>
      <patternFill patternType="solid">
        <fgColor rgb="FF002C8A"/>
        <bgColor indexed="64"/>
      </patternFill>
    </fill>
    <fill>
      <patternFill patternType="solid">
        <fgColor rgb="FF002C8B"/>
        <bgColor indexed="64"/>
      </patternFill>
    </fill>
    <fill>
      <patternFill patternType="solid">
        <fgColor rgb="FF002C8C"/>
        <bgColor indexed="64"/>
      </patternFill>
    </fill>
    <fill>
      <patternFill patternType="solid">
        <fgColor rgb="FF002C8D"/>
        <bgColor indexed="64"/>
      </patternFill>
    </fill>
    <fill>
      <patternFill patternType="solid">
        <fgColor rgb="FF002C8E"/>
        <bgColor indexed="64"/>
      </patternFill>
    </fill>
    <fill>
      <patternFill patternType="solid">
        <fgColor rgb="FF002C8F"/>
        <bgColor indexed="64"/>
      </patternFill>
    </fill>
    <fill>
      <patternFill patternType="solid">
        <fgColor rgb="FF002C90"/>
        <bgColor indexed="64"/>
      </patternFill>
    </fill>
    <fill>
      <patternFill patternType="solid">
        <fgColor rgb="FF002C91"/>
        <bgColor indexed="64"/>
      </patternFill>
    </fill>
    <fill>
      <patternFill patternType="solid">
        <fgColor rgb="FF002C92"/>
        <bgColor indexed="64"/>
      </patternFill>
    </fill>
    <fill>
      <patternFill patternType="solid">
        <fgColor rgb="FF002C93"/>
        <bgColor indexed="64"/>
      </patternFill>
    </fill>
    <fill>
      <patternFill patternType="solid">
        <fgColor rgb="FF002C94"/>
        <bgColor indexed="64"/>
      </patternFill>
    </fill>
    <fill>
      <patternFill patternType="solid">
        <fgColor rgb="FF002C95"/>
        <bgColor indexed="64"/>
      </patternFill>
    </fill>
    <fill>
      <patternFill patternType="solid">
        <fgColor rgb="FF002C96"/>
        <bgColor indexed="64"/>
      </patternFill>
    </fill>
    <fill>
      <patternFill patternType="solid">
        <fgColor rgb="FF002C97"/>
        <bgColor indexed="64"/>
      </patternFill>
    </fill>
    <fill>
      <patternFill patternType="solid">
        <fgColor rgb="FF002C98"/>
        <bgColor indexed="64"/>
      </patternFill>
    </fill>
    <fill>
      <patternFill patternType="solid">
        <fgColor rgb="FF002C99"/>
        <bgColor indexed="64"/>
      </patternFill>
    </fill>
    <fill>
      <patternFill patternType="solid">
        <fgColor rgb="FF002C9A"/>
        <bgColor indexed="64"/>
      </patternFill>
    </fill>
    <fill>
      <patternFill patternType="solid">
        <fgColor rgb="FF002C9B"/>
        <bgColor indexed="64"/>
      </patternFill>
    </fill>
    <fill>
      <patternFill patternType="solid">
        <fgColor rgb="FF002C9C"/>
        <bgColor indexed="64"/>
      </patternFill>
    </fill>
    <fill>
      <patternFill patternType="solid">
        <fgColor rgb="FF002C9D"/>
        <bgColor indexed="64"/>
      </patternFill>
    </fill>
    <fill>
      <patternFill patternType="solid">
        <fgColor rgb="FF002C9E"/>
        <bgColor indexed="64"/>
      </patternFill>
    </fill>
    <fill>
      <patternFill patternType="solid">
        <fgColor rgb="FF002C9F"/>
        <bgColor indexed="64"/>
      </patternFill>
    </fill>
    <fill>
      <patternFill patternType="solid">
        <fgColor rgb="FF002CA0"/>
        <bgColor indexed="64"/>
      </patternFill>
    </fill>
    <fill>
      <patternFill patternType="solid">
        <fgColor rgb="FF002CA1"/>
        <bgColor indexed="64"/>
      </patternFill>
    </fill>
    <fill>
      <patternFill patternType="solid">
        <fgColor rgb="FF002CA2"/>
        <bgColor indexed="64"/>
      </patternFill>
    </fill>
    <fill>
      <patternFill patternType="solid">
        <fgColor rgb="FF002CA3"/>
        <bgColor indexed="64"/>
      </patternFill>
    </fill>
    <fill>
      <patternFill patternType="solid">
        <fgColor rgb="FF002CA4"/>
        <bgColor indexed="64"/>
      </patternFill>
    </fill>
    <fill>
      <patternFill patternType="solid">
        <fgColor rgb="FF002CA5"/>
        <bgColor indexed="64"/>
      </patternFill>
    </fill>
    <fill>
      <patternFill patternType="solid">
        <fgColor rgb="FF002CA6"/>
        <bgColor indexed="64"/>
      </patternFill>
    </fill>
    <fill>
      <patternFill patternType="solid">
        <fgColor rgb="FF002CA7"/>
        <bgColor indexed="64"/>
      </patternFill>
    </fill>
    <fill>
      <patternFill patternType="solid">
        <fgColor rgb="FF002CA8"/>
        <bgColor indexed="64"/>
      </patternFill>
    </fill>
    <fill>
      <patternFill patternType="solid">
        <fgColor rgb="FF002CA9"/>
        <bgColor indexed="64"/>
      </patternFill>
    </fill>
    <fill>
      <patternFill patternType="solid">
        <fgColor rgb="FF002CAA"/>
        <bgColor indexed="64"/>
      </patternFill>
    </fill>
    <fill>
      <patternFill patternType="solid">
        <fgColor rgb="FF002CAB"/>
        <bgColor indexed="64"/>
      </patternFill>
    </fill>
    <fill>
      <patternFill patternType="solid">
        <fgColor rgb="FF002CAC"/>
        <bgColor indexed="64"/>
      </patternFill>
    </fill>
    <fill>
      <patternFill patternType="solid">
        <fgColor rgb="FF002CAD"/>
        <bgColor indexed="64"/>
      </patternFill>
    </fill>
    <fill>
      <patternFill patternType="solid">
        <fgColor rgb="FF002CAE"/>
        <bgColor indexed="64"/>
      </patternFill>
    </fill>
    <fill>
      <patternFill patternType="solid">
        <fgColor rgb="FF002CAF"/>
        <bgColor indexed="64"/>
      </patternFill>
    </fill>
    <fill>
      <patternFill patternType="solid">
        <fgColor rgb="FF002CB0"/>
        <bgColor indexed="64"/>
      </patternFill>
    </fill>
    <fill>
      <patternFill patternType="solid">
        <fgColor rgb="FF002CB1"/>
        <bgColor indexed="64"/>
      </patternFill>
    </fill>
    <fill>
      <patternFill patternType="solid">
        <fgColor rgb="FF002CB2"/>
        <bgColor indexed="64"/>
      </patternFill>
    </fill>
    <fill>
      <patternFill patternType="solid">
        <fgColor rgb="FF002CB3"/>
        <bgColor indexed="64"/>
      </patternFill>
    </fill>
    <fill>
      <patternFill patternType="solid">
        <fgColor rgb="FF002CB4"/>
        <bgColor indexed="64"/>
      </patternFill>
    </fill>
    <fill>
      <patternFill patternType="solid">
        <fgColor rgb="FF002CB5"/>
        <bgColor indexed="64"/>
      </patternFill>
    </fill>
    <fill>
      <patternFill patternType="solid">
        <fgColor rgb="FF002CB6"/>
        <bgColor indexed="64"/>
      </patternFill>
    </fill>
    <fill>
      <patternFill patternType="solid">
        <fgColor rgb="FF002CB7"/>
        <bgColor indexed="64"/>
      </patternFill>
    </fill>
    <fill>
      <patternFill patternType="solid">
        <fgColor rgb="FF002CB8"/>
        <bgColor indexed="64"/>
      </patternFill>
    </fill>
    <fill>
      <patternFill patternType="solid">
        <fgColor rgb="FF002CB9"/>
        <bgColor indexed="64"/>
      </patternFill>
    </fill>
    <fill>
      <patternFill patternType="solid">
        <fgColor rgb="FF002CBA"/>
        <bgColor indexed="64"/>
      </patternFill>
    </fill>
    <fill>
      <patternFill patternType="solid">
        <fgColor rgb="FF002CBB"/>
        <bgColor indexed="64"/>
      </patternFill>
    </fill>
    <fill>
      <patternFill patternType="solid">
        <fgColor rgb="FF002CBC"/>
        <bgColor indexed="64"/>
      </patternFill>
    </fill>
    <fill>
      <patternFill patternType="solid">
        <fgColor rgb="FF002CBD"/>
        <bgColor indexed="64"/>
      </patternFill>
    </fill>
    <fill>
      <patternFill patternType="solid">
        <fgColor rgb="FF002CBE"/>
        <bgColor indexed="64"/>
      </patternFill>
    </fill>
    <fill>
      <patternFill patternType="solid">
        <fgColor rgb="FF002CBF"/>
        <bgColor indexed="64"/>
      </patternFill>
    </fill>
    <fill>
      <patternFill patternType="solid">
        <fgColor rgb="FF002CC0"/>
        <bgColor indexed="64"/>
      </patternFill>
    </fill>
    <fill>
      <patternFill patternType="solid">
        <fgColor rgb="FF002CC1"/>
        <bgColor indexed="64"/>
      </patternFill>
    </fill>
    <fill>
      <patternFill patternType="solid">
        <fgColor rgb="FF002CC2"/>
        <bgColor indexed="64"/>
      </patternFill>
    </fill>
    <fill>
      <patternFill patternType="solid">
        <fgColor rgb="FF002CC3"/>
        <bgColor indexed="64"/>
      </patternFill>
    </fill>
    <fill>
      <patternFill patternType="solid">
        <fgColor rgb="FF002CC4"/>
        <bgColor indexed="64"/>
      </patternFill>
    </fill>
    <fill>
      <patternFill patternType="solid">
        <fgColor rgb="FF002CC5"/>
        <bgColor indexed="64"/>
      </patternFill>
    </fill>
    <fill>
      <patternFill patternType="solid">
        <fgColor rgb="FF002CC6"/>
        <bgColor indexed="64"/>
      </patternFill>
    </fill>
    <fill>
      <patternFill patternType="solid">
        <fgColor rgb="FF002CC7"/>
        <bgColor indexed="64"/>
      </patternFill>
    </fill>
    <fill>
      <patternFill patternType="solid">
        <fgColor rgb="FF002CC8"/>
        <bgColor indexed="64"/>
      </patternFill>
    </fill>
    <fill>
      <patternFill patternType="solid">
        <fgColor rgb="FF002CC9"/>
        <bgColor indexed="64"/>
      </patternFill>
    </fill>
    <fill>
      <patternFill patternType="solid">
        <fgColor rgb="FF002CCA"/>
        <bgColor indexed="64"/>
      </patternFill>
    </fill>
    <fill>
      <patternFill patternType="solid">
        <fgColor rgb="FF002CCB"/>
        <bgColor indexed="64"/>
      </patternFill>
    </fill>
    <fill>
      <patternFill patternType="solid">
        <fgColor rgb="FF002CCC"/>
        <bgColor indexed="64"/>
      </patternFill>
    </fill>
    <fill>
      <patternFill patternType="solid">
        <fgColor rgb="FF002CCD"/>
        <bgColor indexed="64"/>
      </patternFill>
    </fill>
    <fill>
      <patternFill patternType="solid">
        <fgColor rgb="FF002CCE"/>
        <bgColor indexed="64"/>
      </patternFill>
    </fill>
    <fill>
      <patternFill patternType="solid">
        <fgColor rgb="FF002CCF"/>
        <bgColor indexed="64"/>
      </patternFill>
    </fill>
    <fill>
      <patternFill patternType="solid">
        <fgColor rgb="FF002CD0"/>
        <bgColor indexed="64"/>
      </patternFill>
    </fill>
    <fill>
      <patternFill patternType="solid">
        <fgColor rgb="FF002CD1"/>
        <bgColor indexed="64"/>
      </patternFill>
    </fill>
    <fill>
      <patternFill patternType="solid">
        <fgColor rgb="FF002CD2"/>
        <bgColor indexed="64"/>
      </patternFill>
    </fill>
    <fill>
      <patternFill patternType="solid">
        <fgColor rgb="FF002CD3"/>
        <bgColor indexed="64"/>
      </patternFill>
    </fill>
    <fill>
      <patternFill patternType="solid">
        <fgColor rgb="FF002CD4"/>
        <bgColor indexed="64"/>
      </patternFill>
    </fill>
    <fill>
      <patternFill patternType="solid">
        <fgColor rgb="FF002CD5"/>
        <bgColor indexed="64"/>
      </patternFill>
    </fill>
    <fill>
      <patternFill patternType="solid">
        <fgColor rgb="FF002CD6"/>
        <bgColor indexed="64"/>
      </patternFill>
    </fill>
    <fill>
      <patternFill patternType="solid">
        <fgColor rgb="FF002CD7"/>
        <bgColor indexed="64"/>
      </patternFill>
    </fill>
    <fill>
      <patternFill patternType="solid">
        <fgColor rgb="FF002CD8"/>
        <bgColor indexed="64"/>
      </patternFill>
    </fill>
    <fill>
      <patternFill patternType="solid">
        <fgColor rgb="FF002CD9"/>
        <bgColor indexed="64"/>
      </patternFill>
    </fill>
    <fill>
      <patternFill patternType="solid">
        <fgColor rgb="FF002CDA"/>
        <bgColor indexed="64"/>
      </patternFill>
    </fill>
    <fill>
      <patternFill patternType="solid">
        <fgColor rgb="FF002CDB"/>
        <bgColor indexed="64"/>
      </patternFill>
    </fill>
    <fill>
      <patternFill patternType="solid">
        <fgColor rgb="FF002CDC"/>
        <bgColor indexed="64"/>
      </patternFill>
    </fill>
    <fill>
      <patternFill patternType="solid">
        <fgColor rgb="FF002CDD"/>
        <bgColor indexed="64"/>
      </patternFill>
    </fill>
    <fill>
      <patternFill patternType="solid">
        <fgColor rgb="FF002CDE"/>
        <bgColor indexed="64"/>
      </patternFill>
    </fill>
    <fill>
      <patternFill patternType="solid">
        <fgColor rgb="FF002CDF"/>
        <bgColor indexed="64"/>
      </patternFill>
    </fill>
    <fill>
      <patternFill patternType="solid">
        <fgColor rgb="FF002CE0"/>
        <bgColor indexed="64"/>
      </patternFill>
    </fill>
    <fill>
      <patternFill patternType="solid">
        <fgColor rgb="FF002CE1"/>
        <bgColor indexed="64"/>
      </patternFill>
    </fill>
    <fill>
      <patternFill patternType="solid">
        <fgColor rgb="FF002CE2"/>
        <bgColor indexed="64"/>
      </patternFill>
    </fill>
    <fill>
      <patternFill patternType="solid">
        <fgColor rgb="FF002CE3"/>
        <bgColor indexed="64"/>
      </patternFill>
    </fill>
    <fill>
      <patternFill patternType="solid">
        <fgColor rgb="FF002CE4"/>
        <bgColor indexed="64"/>
      </patternFill>
    </fill>
    <fill>
      <patternFill patternType="solid">
        <fgColor rgb="FF002CE5"/>
        <bgColor indexed="64"/>
      </patternFill>
    </fill>
    <fill>
      <patternFill patternType="solid">
        <fgColor rgb="FF002CE6"/>
        <bgColor indexed="64"/>
      </patternFill>
    </fill>
    <fill>
      <patternFill patternType="solid">
        <fgColor rgb="FF002CE7"/>
        <bgColor indexed="64"/>
      </patternFill>
    </fill>
    <fill>
      <patternFill patternType="solid">
        <fgColor rgb="FF002CE8"/>
        <bgColor indexed="64"/>
      </patternFill>
    </fill>
    <fill>
      <patternFill patternType="solid">
        <fgColor rgb="FF002CE9"/>
        <bgColor indexed="64"/>
      </patternFill>
    </fill>
    <fill>
      <patternFill patternType="solid">
        <fgColor rgb="FF002CEA"/>
        <bgColor indexed="64"/>
      </patternFill>
    </fill>
    <fill>
      <patternFill patternType="solid">
        <fgColor rgb="FF002CEB"/>
        <bgColor indexed="64"/>
      </patternFill>
    </fill>
    <fill>
      <patternFill patternType="solid">
        <fgColor rgb="FF002CEC"/>
        <bgColor indexed="64"/>
      </patternFill>
    </fill>
    <fill>
      <patternFill patternType="solid">
        <fgColor rgb="FF002CED"/>
        <bgColor indexed="64"/>
      </patternFill>
    </fill>
    <fill>
      <patternFill patternType="solid">
        <fgColor rgb="FF002CEE"/>
        <bgColor indexed="64"/>
      </patternFill>
    </fill>
    <fill>
      <patternFill patternType="solid">
        <fgColor rgb="FF002CEF"/>
        <bgColor indexed="64"/>
      </patternFill>
    </fill>
    <fill>
      <patternFill patternType="solid">
        <fgColor rgb="FF002CF0"/>
        <bgColor indexed="64"/>
      </patternFill>
    </fill>
    <fill>
      <patternFill patternType="solid">
        <fgColor rgb="FF002CF1"/>
        <bgColor indexed="64"/>
      </patternFill>
    </fill>
    <fill>
      <patternFill patternType="solid">
        <fgColor rgb="FF002CF2"/>
        <bgColor indexed="64"/>
      </patternFill>
    </fill>
    <fill>
      <patternFill patternType="solid">
        <fgColor rgb="FF002CF3"/>
        <bgColor indexed="64"/>
      </patternFill>
    </fill>
    <fill>
      <patternFill patternType="solid">
        <fgColor rgb="FF002CF4"/>
        <bgColor indexed="64"/>
      </patternFill>
    </fill>
    <fill>
      <patternFill patternType="solid">
        <fgColor rgb="FF002CF5"/>
        <bgColor indexed="64"/>
      </patternFill>
    </fill>
    <fill>
      <patternFill patternType="solid">
        <fgColor rgb="FF002CF6"/>
        <bgColor indexed="64"/>
      </patternFill>
    </fill>
    <fill>
      <patternFill patternType="solid">
        <fgColor rgb="FF002CF7"/>
        <bgColor indexed="64"/>
      </patternFill>
    </fill>
    <fill>
      <patternFill patternType="solid">
        <fgColor rgb="FF002CF8"/>
        <bgColor indexed="64"/>
      </patternFill>
    </fill>
    <fill>
      <patternFill patternType="solid">
        <fgColor rgb="FF002CF9"/>
        <bgColor indexed="64"/>
      </patternFill>
    </fill>
    <fill>
      <patternFill patternType="solid">
        <fgColor rgb="FF002CFA"/>
        <bgColor indexed="64"/>
      </patternFill>
    </fill>
    <fill>
      <patternFill patternType="solid">
        <fgColor rgb="FF002CFB"/>
        <bgColor indexed="64"/>
      </patternFill>
    </fill>
    <fill>
      <patternFill patternType="solid">
        <fgColor rgb="FF002CFC"/>
        <bgColor indexed="64"/>
      </patternFill>
    </fill>
    <fill>
      <patternFill patternType="solid">
        <fgColor rgb="FF002CFD"/>
        <bgColor indexed="64"/>
      </patternFill>
    </fill>
    <fill>
      <patternFill patternType="solid">
        <fgColor rgb="FF002CFE"/>
        <bgColor indexed="64"/>
      </patternFill>
    </fill>
    <fill>
      <patternFill patternType="solid">
        <fgColor rgb="FF002CFF"/>
        <bgColor indexed="64"/>
      </patternFill>
    </fill>
    <fill>
      <patternFill patternType="solid">
        <fgColor rgb="FF002D00"/>
        <bgColor indexed="64"/>
      </patternFill>
    </fill>
    <fill>
      <patternFill patternType="solid">
        <fgColor rgb="FF002D01"/>
        <bgColor indexed="64"/>
      </patternFill>
    </fill>
    <fill>
      <patternFill patternType="solid">
        <fgColor rgb="FF002D02"/>
        <bgColor indexed="64"/>
      </patternFill>
    </fill>
    <fill>
      <patternFill patternType="solid">
        <fgColor rgb="FF002D03"/>
        <bgColor indexed="64"/>
      </patternFill>
    </fill>
    <fill>
      <patternFill patternType="solid">
        <fgColor rgb="FF002D04"/>
        <bgColor indexed="64"/>
      </patternFill>
    </fill>
    <fill>
      <patternFill patternType="solid">
        <fgColor rgb="FF002D05"/>
        <bgColor indexed="64"/>
      </patternFill>
    </fill>
    <fill>
      <patternFill patternType="solid">
        <fgColor rgb="FF002D06"/>
        <bgColor indexed="64"/>
      </patternFill>
    </fill>
    <fill>
      <patternFill patternType="solid">
        <fgColor rgb="FF002D07"/>
        <bgColor indexed="64"/>
      </patternFill>
    </fill>
    <fill>
      <patternFill patternType="solid">
        <fgColor rgb="FF002D08"/>
        <bgColor indexed="64"/>
      </patternFill>
    </fill>
    <fill>
      <patternFill patternType="solid">
        <fgColor rgb="FF002D09"/>
        <bgColor indexed="64"/>
      </patternFill>
    </fill>
    <fill>
      <patternFill patternType="solid">
        <fgColor rgb="FF002D0A"/>
        <bgColor indexed="64"/>
      </patternFill>
    </fill>
    <fill>
      <patternFill patternType="solid">
        <fgColor rgb="FF002D0B"/>
        <bgColor indexed="64"/>
      </patternFill>
    </fill>
    <fill>
      <patternFill patternType="solid">
        <fgColor rgb="FF002D0C"/>
        <bgColor indexed="64"/>
      </patternFill>
    </fill>
    <fill>
      <patternFill patternType="solid">
        <fgColor rgb="FF002D0D"/>
        <bgColor indexed="64"/>
      </patternFill>
    </fill>
    <fill>
      <patternFill patternType="solid">
        <fgColor rgb="FF002D0E"/>
        <bgColor indexed="64"/>
      </patternFill>
    </fill>
    <fill>
      <patternFill patternType="solid">
        <fgColor rgb="FF002D0F"/>
        <bgColor indexed="64"/>
      </patternFill>
    </fill>
    <fill>
      <patternFill patternType="solid">
        <fgColor rgb="FF002D10"/>
        <bgColor indexed="64"/>
      </patternFill>
    </fill>
    <fill>
      <patternFill patternType="solid">
        <fgColor rgb="FF002D11"/>
        <bgColor indexed="64"/>
      </patternFill>
    </fill>
    <fill>
      <patternFill patternType="solid">
        <fgColor rgb="FF002D12"/>
        <bgColor indexed="64"/>
      </patternFill>
    </fill>
    <fill>
      <patternFill patternType="solid">
        <fgColor rgb="FF002D13"/>
        <bgColor indexed="64"/>
      </patternFill>
    </fill>
    <fill>
      <patternFill patternType="solid">
        <fgColor rgb="FF002D14"/>
        <bgColor indexed="64"/>
      </patternFill>
    </fill>
    <fill>
      <patternFill patternType="solid">
        <fgColor rgb="FF002D15"/>
        <bgColor indexed="64"/>
      </patternFill>
    </fill>
    <fill>
      <patternFill patternType="solid">
        <fgColor rgb="FF002D16"/>
        <bgColor indexed="64"/>
      </patternFill>
    </fill>
    <fill>
      <patternFill patternType="solid">
        <fgColor rgb="FF002D17"/>
        <bgColor indexed="64"/>
      </patternFill>
    </fill>
    <fill>
      <patternFill patternType="solid">
        <fgColor rgb="FF002D18"/>
        <bgColor indexed="64"/>
      </patternFill>
    </fill>
    <fill>
      <patternFill patternType="solid">
        <fgColor rgb="FF002D19"/>
        <bgColor indexed="64"/>
      </patternFill>
    </fill>
    <fill>
      <patternFill patternType="solid">
        <fgColor rgb="FF002D1A"/>
        <bgColor indexed="64"/>
      </patternFill>
    </fill>
    <fill>
      <patternFill patternType="solid">
        <fgColor rgb="FF002D1B"/>
        <bgColor indexed="64"/>
      </patternFill>
    </fill>
    <fill>
      <patternFill patternType="solid">
        <fgColor rgb="FF002D1C"/>
        <bgColor indexed="64"/>
      </patternFill>
    </fill>
    <fill>
      <patternFill patternType="solid">
        <fgColor rgb="FF002D1D"/>
        <bgColor indexed="64"/>
      </patternFill>
    </fill>
    <fill>
      <patternFill patternType="solid">
        <fgColor rgb="FF002D1E"/>
        <bgColor indexed="64"/>
      </patternFill>
    </fill>
    <fill>
      <patternFill patternType="solid">
        <fgColor rgb="FF002D1F"/>
        <bgColor indexed="64"/>
      </patternFill>
    </fill>
    <fill>
      <patternFill patternType="solid">
        <fgColor rgb="FF002D20"/>
        <bgColor indexed="64"/>
      </patternFill>
    </fill>
    <fill>
      <patternFill patternType="solid">
        <fgColor rgb="FF002D21"/>
        <bgColor indexed="64"/>
      </patternFill>
    </fill>
    <fill>
      <patternFill patternType="solid">
        <fgColor rgb="FF002D22"/>
        <bgColor indexed="64"/>
      </patternFill>
    </fill>
    <fill>
      <patternFill patternType="solid">
        <fgColor rgb="FF002D23"/>
        <bgColor indexed="64"/>
      </patternFill>
    </fill>
    <fill>
      <patternFill patternType="solid">
        <fgColor rgb="FF002D24"/>
        <bgColor indexed="64"/>
      </patternFill>
    </fill>
    <fill>
      <patternFill patternType="solid">
        <fgColor rgb="FF002D25"/>
        <bgColor indexed="64"/>
      </patternFill>
    </fill>
    <fill>
      <patternFill patternType="solid">
        <fgColor rgb="FF002D26"/>
        <bgColor indexed="64"/>
      </patternFill>
    </fill>
    <fill>
      <patternFill patternType="solid">
        <fgColor rgb="FF002D27"/>
        <bgColor indexed="64"/>
      </patternFill>
    </fill>
    <fill>
      <patternFill patternType="solid">
        <fgColor rgb="FF002D28"/>
        <bgColor indexed="64"/>
      </patternFill>
    </fill>
    <fill>
      <patternFill patternType="solid">
        <fgColor rgb="FF002D29"/>
        <bgColor indexed="64"/>
      </patternFill>
    </fill>
    <fill>
      <patternFill patternType="solid">
        <fgColor rgb="FF002D2A"/>
        <bgColor indexed="64"/>
      </patternFill>
    </fill>
    <fill>
      <patternFill patternType="solid">
        <fgColor rgb="FF002D2B"/>
        <bgColor indexed="64"/>
      </patternFill>
    </fill>
    <fill>
      <patternFill patternType="solid">
        <fgColor rgb="FF002D2C"/>
        <bgColor indexed="64"/>
      </patternFill>
    </fill>
    <fill>
      <patternFill patternType="solid">
        <fgColor rgb="FF002D2D"/>
        <bgColor indexed="64"/>
      </patternFill>
    </fill>
    <fill>
      <patternFill patternType="solid">
        <fgColor rgb="FF002D2E"/>
        <bgColor indexed="64"/>
      </patternFill>
    </fill>
    <fill>
      <patternFill patternType="solid">
        <fgColor rgb="FF002D2F"/>
        <bgColor indexed="64"/>
      </patternFill>
    </fill>
    <fill>
      <patternFill patternType="solid">
        <fgColor rgb="FF002D30"/>
        <bgColor indexed="64"/>
      </patternFill>
    </fill>
    <fill>
      <patternFill patternType="solid">
        <fgColor rgb="FF002D31"/>
        <bgColor indexed="64"/>
      </patternFill>
    </fill>
    <fill>
      <patternFill patternType="solid">
        <fgColor rgb="FF002D32"/>
        <bgColor indexed="64"/>
      </patternFill>
    </fill>
    <fill>
      <patternFill patternType="solid">
        <fgColor rgb="FF002D33"/>
        <bgColor indexed="64"/>
      </patternFill>
    </fill>
    <fill>
      <patternFill patternType="solid">
        <fgColor rgb="FF002D34"/>
        <bgColor indexed="64"/>
      </patternFill>
    </fill>
    <fill>
      <patternFill patternType="solid">
        <fgColor rgb="FF002D35"/>
        <bgColor indexed="64"/>
      </patternFill>
    </fill>
    <fill>
      <patternFill patternType="solid">
        <fgColor rgb="FF002D36"/>
        <bgColor indexed="64"/>
      </patternFill>
    </fill>
    <fill>
      <patternFill patternType="solid">
        <fgColor rgb="FF002D37"/>
        <bgColor indexed="64"/>
      </patternFill>
    </fill>
    <fill>
      <patternFill patternType="solid">
        <fgColor rgb="FF002D38"/>
        <bgColor indexed="64"/>
      </patternFill>
    </fill>
    <fill>
      <patternFill patternType="solid">
        <fgColor rgb="FF002D39"/>
        <bgColor indexed="64"/>
      </patternFill>
    </fill>
    <fill>
      <patternFill patternType="solid">
        <fgColor rgb="FF002D3A"/>
        <bgColor indexed="64"/>
      </patternFill>
    </fill>
    <fill>
      <patternFill patternType="solid">
        <fgColor rgb="FF002D3B"/>
        <bgColor indexed="64"/>
      </patternFill>
    </fill>
    <fill>
      <patternFill patternType="solid">
        <fgColor rgb="FF002D3C"/>
        <bgColor indexed="64"/>
      </patternFill>
    </fill>
    <fill>
      <patternFill patternType="solid">
        <fgColor rgb="FF002D3D"/>
        <bgColor indexed="64"/>
      </patternFill>
    </fill>
    <fill>
      <patternFill patternType="solid">
        <fgColor rgb="FF002D3E"/>
        <bgColor indexed="64"/>
      </patternFill>
    </fill>
    <fill>
      <patternFill patternType="solid">
        <fgColor rgb="FF002D3F"/>
        <bgColor indexed="64"/>
      </patternFill>
    </fill>
    <fill>
      <patternFill patternType="solid">
        <fgColor rgb="FF002D40"/>
        <bgColor indexed="64"/>
      </patternFill>
    </fill>
    <fill>
      <patternFill patternType="solid">
        <fgColor rgb="FF002D41"/>
        <bgColor indexed="64"/>
      </patternFill>
    </fill>
    <fill>
      <patternFill patternType="solid">
        <fgColor rgb="FF002D42"/>
        <bgColor indexed="64"/>
      </patternFill>
    </fill>
    <fill>
      <patternFill patternType="solid">
        <fgColor rgb="FF002D43"/>
        <bgColor indexed="64"/>
      </patternFill>
    </fill>
    <fill>
      <patternFill patternType="solid">
        <fgColor rgb="FF002D44"/>
        <bgColor indexed="64"/>
      </patternFill>
    </fill>
    <fill>
      <patternFill patternType="solid">
        <fgColor rgb="FF002D45"/>
        <bgColor indexed="64"/>
      </patternFill>
    </fill>
    <fill>
      <patternFill patternType="solid">
        <fgColor rgb="FF002D46"/>
        <bgColor indexed="64"/>
      </patternFill>
    </fill>
    <fill>
      <patternFill patternType="solid">
        <fgColor rgb="FF002D47"/>
        <bgColor indexed="64"/>
      </patternFill>
    </fill>
    <fill>
      <patternFill patternType="solid">
        <fgColor rgb="FF002D48"/>
        <bgColor indexed="64"/>
      </patternFill>
    </fill>
    <fill>
      <patternFill patternType="solid">
        <fgColor rgb="FF002D49"/>
        <bgColor indexed="64"/>
      </patternFill>
    </fill>
    <fill>
      <patternFill patternType="solid">
        <fgColor rgb="FF002D4A"/>
        <bgColor indexed="64"/>
      </patternFill>
    </fill>
    <fill>
      <patternFill patternType="solid">
        <fgColor rgb="FF002D4B"/>
        <bgColor indexed="64"/>
      </patternFill>
    </fill>
    <fill>
      <patternFill patternType="solid">
        <fgColor rgb="FF002D4C"/>
        <bgColor indexed="64"/>
      </patternFill>
    </fill>
    <fill>
      <patternFill patternType="solid">
        <fgColor rgb="FF002D4D"/>
        <bgColor indexed="64"/>
      </patternFill>
    </fill>
    <fill>
      <patternFill patternType="solid">
        <fgColor rgb="FF002D4E"/>
        <bgColor indexed="64"/>
      </patternFill>
    </fill>
    <fill>
      <patternFill patternType="solid">
        <fgColor rgb="FF002D4F"/>
        <bgColor indexed="64"/>
      </patternFill>
    </fill>
    <fill>
      <patternFill patternType="solid">
        <fgColor rgb="FF002D50"/>
        <bgColor indexed="64"/>
      </patternFill>
    </fill>
    <fill>
      <patternFill patternType="solid">
        <fgColor rgb="FF002D51"/>
        <bgColor indexed="64"/>
      </patternFill>
    </fill>
    <fill>
      <patternFill patternType="solid">
        <fgColor rgb="FF002D52"/>
        <bgColor indexed="64"/>
      </patternFill>
    </fill>
    <fill>
      <patternFill patternType="solid">
        <fgColor rgb="FF002D53"/>
        <bgColor indexed="64"/>
      </patternFill>
    </fill>
    <fill>
      <patternFill patternType="solid">
        <fgColor rgb="FF002D54"/>
        <bgColor indexed="64"/>
      </patternFill>
    </fill>
    <fill>
      <patternFill patternType="solid">
        <fgColor rgb="FF002D55"/>
        <bgColor indexed="64"/>
      </patternFill>
    </fill>
    <fill>
      <patternFill patternType="solid">
        <fgColor rgb="FF002D56"/>
        <bgColor indexed="64"/>
      </patternFill>
    </fill>
    <fill>
      <patternFill patternType="solid">
        <fgColor rgb="FF002D57"/>
        <bgColor indexed="64"/>
      </patternFill>
    </fill>
    <fill>
      <patternFill patternType="solid">
        <fgColor rgb="FF002D58"/>
        <bgColor indexed="64"/>
      </patternFill>
    </fill>
    <fill>
      <patternFill patternType="solid">
        <fgColor rgb="FF002D59"/>
        <bgColor indexed="64"/>
      </patternFill>
    </fill>
    <fill>
      <patternFill patternType="solid">
        <fgColor rgb="FF002D5A"/>
        <bgColor indexed="64"/>
      </patternFill>
    </fill>
    <fill>
      <patternFill patternType="solid">
        <fgColor rgb="FF002D5B"/>
        <bgColor indexed="64"/>
      </patternFill>
    </fill>
    <fill>
      <patternFill patternType="solid">
        <fgColor rgb="FF002D5C"/>
        <bgColor indexed="64"/>
      </patternFill>
    </fill>
    <fill>
      <patternFill patternType="solid">
        <fgColor rgb="FF002D5D"/>
        <bgColor indexed="64"/>
      </patternFill>
    </fill>
    <fill>
      <patternFill patternType="solid">
        <fgColor rgb="FF002D5E"/>
        <bgColor indexed="64"/>
      </patternFill>
    </fill>
    <fill>
      <patternFill patternType="solid">
        <fgColor rgb="FF002D5F"/>
        <bgColor indexed="64"/>
      </patternFill>
    </fill>
    <fill>
      <patternFill patternType="solid">
        <fgColor rgb="FF002D60"/>
        <bgColor indexed="64"/>
      </patternFill>
    </fill>
    <fill>
      <patternFill patternType="solid">
        <fgColor rgb="FF002D61"/>
        <bgColor indexed="64"/>
      </patternFill>
    </fill>
    <fill>
      <patternFill patternType="solid">
        <fgColor rgb="FF002D62"/>
        <bgColor indexed="64"/>
      </patternFill>
    </fill>
    <fill>
      <patternFill patternType="solid">
        <fgColor rgb="FF002D63"/>
        <bgColor indexed="64"/>
      </patternFill>
    </fill>
    <fill>
      <patternFill patternType="solid">
        <fgColor rgb="FF002D64"/>
        <bgColor indexed="64"/>
      </patternFill>
    </fill>
    <fill>
      <patternFill patternType="solid">
        <fgColor rgb="FF002D65"/>
        <bgColor indexed="64"/>
      </patternFill>
    </fill>
    <fill>
      <patternFill patternType="solid">
        <fgColor rgb="FF002D66"/>
        <bgColor indexed="64"/>
      </patternFill>
    </fill>
    <fill>
      <patternFill patternType="solid">
        <fgColor rgb="FF002D67"/>
        <bgColor indexed="64"/>
      </patternFill>
    </fill>
    <fill>
      <patternFill patternType="solid">
        <fgColor rgb="FF002D68"/>
        <bgColor indexed="64"/>
      </patternFill>
    </fill>
    <fill>
      <patternFill patternType="solid">
        <fgColor rgb="FF002D69"/>
        <bgColor indexed="64"/>
      </patternFill>
    </fill>
    <fill>
      <patternFill patternType="solid">
        <fgColor rgb="FF002D6A"/>
        <bgColor indexed="64"/>
      </patternFill>
    </fill>
    <fill>
      <patternFill patternType="solid">
        <fgColor rgb="FF002D6B"/>
        <bgColor indexed="64"/>
      </patternFill>
    </fill>
    <fill>
      <patternFill patternType="solid">
        <fgColor rgb="FF002D6C"/>
        <bgColor indexed="64"/>
      </patternFill>
    </fill>
    <fill>
      <patternFill patternType="solid">
        <fgColor rgb="FF002D6D"/>
        <bgColor indexed="64"/>
      </patternFill>
    </fill>
    <fill>
      <patternFill patternType="solid">
        <fgColor rgb="FF002D6E"/>
        <bgColor indexed="64"/>
      </patternFill>
    </fill>
    <fill>
      <patternFill patternType="solid">
        <fgColor rgb="FF002D6F"/>
        <bgColor indexed="64"/>
      </patternFill>
    </fill>
    <fill>
      <patternFill patternType="solid">
        <fgColor rgb="FF002D70"/>
        <bgColor indexed="64"/>
      </patternFill>
    </fill>
    <fill>
      <patternFill patternType="solid">
        <fgColor rgb="FF002D71"/>
        <bgColor indexed="64"/>
      </patternFill>
    </fill>
    <fill>
      <patternFill patternType="solid">
        <fgColor rgb="FF002D72"/>
        <bgColor indexed="64"/>
      </patternFill>
    </fill>
    <fill>
      <patternFill patternType="solid">
        <fgColor rgb="FF002D73"/>
        <bgColor indexed="64"/>
      </patternFill>
    </fill>
    <fill>
      <patternFill patternType="solid">
        <fgColor rgb="FF002D74"/>
        <bgColor indexed="64"/>
      </patternFill>
    </fill>
    <fill>
      <patternFill patternType="solid">
        <fgColor rgb="FF002D75"/>
        <bgColor indexed="64"/>
      </patternFill>
    </fill>
    <fill>
      <patternFill patternType="solid">
        <fgColor rgb="FF002D76"/>
        <bgColor indexed="64"/>
      </patternFill>
    </fill>
    <fill>
      <patternFill patternType="solid">
        <fgColor rgb="FF002D77"/>
        <bgColor indexed="64"/>
      </patternFill>
    </fill>
    <fill>
      <patternFill patternType="solid">
        <fgColor rgb="FF002D78"/>
        <bgColor indexed="64"/>
      </patternFill>
    </fill>
    <fill>
      <patternFill patternType="solid">
        <fgColor rgb="FF002D79"/>
        <bgColor indexed="64"/>
      </patternFill>
    </fill>
    <fill>
      <patternFill patternType="solid">
        <fgColor rgb="FF002D7A"/>
        <bgColor indexed="64"/>
      </patternFill>
    </fill>
    <fill>
      <patternFill patternType="solid">
        <fgColor rgb="FF002D7B"/>
        <bgColor indexed="64"/>
      </patternFill>
    </fill>
    <fill>
      <patternFill patternType="solid">
        <fgColor rgb="FF002D7C"/>
        <bgColor indexed="64"/>
      </patternFill>
    </fill>
    <fill>
      <patternFill patternType="solid">
        <fgColor rgb="FF002D7D"/>
        <bgColor indexed="64"/>
      </patternFill>
    </fill>
    <fill>
      <patternFill patternType="solid">
        <fgColor rgb="FF002D7E"/>
        <bgColor indexed="64"/>
      </patternFill>
    </fill>
    <fill>
      <patternFill patternType="solid">
        <fgColor rgb="FF002D7F"/>
        <bgColor indexed="64"/>
      </patternFill>
    </fill>
    <fill>
      <patternFill patternType="solid">
        <fgColor rgb="FF002D80"/>
        <bgColor indexed="64"/>
      </patternFill>
    </fill>
    <fill>
      <patternFill patternType="solid">
        <fgColor rgb="FF002D81"/>
        <bgColor indexed="64"/>
      </patternFill>
    </fill>
    <fill>
      <patternFill patternType="solid">
        <fgColor rgb="FF002D82"/>
        <bgColor indexed="64"/>
      </patternFill>
    </fill>
    <fill>
      <patternFill patternType="solid">
        <fgColor rgb="FF002D83"/>
        <bgColor indexed="64"/>
      </patternFill>
    </fill>
    <fill>
      <patternFill patternType="solid">
        <fgColor rgb="FF002D84"/>
        <bgColor indexed="64"/>
      </patternFill>
    </fill>
    <fill>
      <patternFill patternType="solid">
        <fgColor rgb="FF002D85"/>
        <bgColor indexed="64"/>
      </patternFill>
    </fill>
    <fill>
      <patternFill patternType="solid">
        <fgColor rgb="FF002D86"/>
        <bgColor indexed="64"/>
      </patternFill>
    </fill>
    <fill>
      <patternFill patternType="solid">
        <fgColor rgb="FF002D87"/>
        <bgColor indexed="64"/>
      </patternFill>
    </fill>
    <fill>
      <patternFill patternType="solid">
        <fgColor rgb="FF002D88"/>
        <bgColor indexed="64"/>
      </patternFill>
    </fill>
    <fill>
      <patternFill patternType="solid">
        <fgColor rgb="FF002D89"/>
        <bgColor indexed="64"/>
      </patternFill>
    </fill>
    <fill>
      <patternFill patternType="solid">
        <fgColor rgb="FF002D8A"/>
        <bgColor indexed="64"/>
      </patternFill>
    </fill>
    <fill>
      <patternFill patternType="solid">
        <fgColor rgb="FF002D8B"/>
        <bgColor indexed="64"/>
      </patternFill>
    </fill>
    <fill>
      <patternFill patternType="solid">
        <fgColor rgb="FF002D8C"/>
        <bgColor indexed="64"/>
      </patternFill>
    </fill>
    <fill>
      <patternFill patternType="solid">
        <fgColor rgb="FF002D8D"/>
        <bgColor indexed="64"/>
      </patternFill>
    </fill>
    <fill>
      <patternFill patternType="solid">
        <fgColor rgb="FF002D8E"/>
        <bgColor indexed="64"/>
      </patternFill>
    </fill>
    <fill>
      <patternFill patternType="solid">
        <fgColor rgb="FF002D8F"/>
        <bgColor indexed="64"/>
      </patternFill>
    </fill>
    <fill>
      <patternFill patternType="solid">
        <fgColor rgb="FF002D90"/>
        <bgColor indexed="64"/>
      </patternFill>
    </fill>
    <fill>
      <patternFill patternType="solid">
        <fgColor rgb="FF002D91"/>
        <bgColor indexed="64"/>
      </patternFill>
    </fill>
    <fill>
      <patternFill patternType="solid">
        <fgColor rgb="FF002D92"/>
        <bgColor indexed="64"/>
      </patternFill>
    </fill>
    <fill>
      <patternFill patternType="solid">
        <fgColor rgb="FF002D93"/>
        <bgColor indexed="64"/>
      </patternFill>
    </fill>
    <fill>
      <patternFill patternType="solid">
        <fgColor rgb="FF002D94"/>
        <bgColor indexed="64"/>
      </patternFill>
    </fill>
    <fill>
      <patternFill patternType="solid">
        <fgColor rgb="FF002D95"/>
        <bgColor indexed="64"/>
      </patternFill>
    </fill>
    <fill>
      <patternFill patternType="solid">
        <fgColor rgb="FF002D96"/>
        <bgColor indexed="64"/>
      </patternFill>
    </fill>
    <fill>
      <patternFill patternType="solid">
        <fgColor rgb="FF002D97"/>
        <bgColor indexed="64"/>
      </patternFill>
    </fill>
    <fill>
      <patternFill patternType="solid">
        <fgColor rgb="FF002D98"/>
        <bgColor indexed="64"/>
      </patternFill>
    </fill>
    <fill>
      <patternFill patternType="solid">
        <fgColor rgb="FF002D99"/>
        <bgColor indexed="64"/>
      </patternFill>
    </fill>
    <fill>
      <patternFill patternType="solid">
        <fgColor rgb="FF002D9A"/>
        <bgColor indexed="64"/>
      </patternFill>
    </fill>
    <fill>
      <patternFill patternType="solid">
        <fgColor rgb="FF002D9B"/>
        <bgColor indexed="64"/>
      </patternFill>
    </fill>
    <fill>
      <patternFill patternType="solid">
        <fgColor rgb="FF002D9C"/>
        <bgColor indexed="64"/>
      </patternFill>
    </fill>
    <fill>
      <patternFill patternType="solid">
        <fgColor rgb="FF002D9D"/>
        <bgColor indexed="64"/>
      </patternFill>
    </fill>
    <fill>
      <patternFill patternType="solid">
        <fgColor rgb="FF002D9E"/>
        <bgColor indexed="64"/>
      </patternFill>
    </fill>
    <fill>
      <patternFill patternType="solid">
        <fgColor rgb="FF002D9F"/>
        <bgColor indexed="64"/>
      </patternFill>
    </fill>
    <fill>
      <patternFill patternType="solid">
        <fgColor rgb="FF002DA0"/>
        <bgColor indexed="64"/>
      </patternFill>
    </fill>
    <fill>
      <patternFill patternType="solid">
        <fgColor rgb="FF002DA1"/>
        <bgColor indexed="64"/>
      </patternFill>
    </fill>
    <fill>
      <patternFill patternType="solid">
        <fgColor rgb="FF002DA2"/>
        <bgColor indexed="64"/>
      </patternFill>
    </fill>
    <fill>
      <patternFill patternType="solid">
        <fgColor rgb="FF002DA3"/>
        <bgColor indexed="64"/>
      </patternFill>
    </fill>
    <fill>
      <patternFill patternType="solid">
        <fgColor rgb="FF002DA4"/>
        <bgColor indexed="64"/>
      </patternFill>
    </fill>
    <fill>
      <patternFill patternType="solid">
        <fgColor rgb="FF002DA5"/>
        <bgColor indexed="64"/>
      </patternFill>
    </fill>
    <fill>
      <patternFill patternType="solid">
        <fgColor rgb="FF002DA6"/>
        <bgColor indexed="64"/>
      </patternFill>
    </fill>
    <fill>
      <patternFill patternType="solid">
        <fgColor rgb="FF002DA7"/>
        <bgColor indexed="64"/>
      </patternFill>
    </fill>
    <fill>
      <patternFill patternType="solid">
        <fgColor rgb="FF002DA8"/>
        <bgColor indexed="64"/>
      </patternFill>
    </fill>
    <fill>
      <patternFill patternType="solid">
        <fgColor rgb="FF002DA9"/>
        <bgColor indexed="64"/>
      </patternFill>
    </fill>
    <fill>
      <patternFill patternType="solid">
        <fgColor rgb="FF002DAA"/>
        <bgColor indexed="64"/>
      </patternFill>
    </fill>
    <fill>
      <patternFill patternType="solid">
        <fgColor rgb="FF002DAB"/>
        <bgColor indexed="64"/>
      </patternFill>
    </fill>
    <fill>
      <patternFill patternType="solid">
        <fgColor rgb="FF002DAC"/>
        <bgColor indexed="64"/>
      </patternFill>
    </fill>
    <fill>
      <patternFill patternType="solid">
        <fgColor rgb="FF002DAD"/>
        <bgColor indexed="64"/>
      </patternFill>
    </fill>
    <fill>
      <patternFill patternType="solid">
        <fgColor rgb="FF002DAE"/>
        <bgColor indexed="64"/>
      </patternFill>
    </fill>
    <fill>
      <patternFill patternType="solid">
        <fgColor rgb="FF002DAF"/>
        <bgColor indexed="64"/>
      </patternFill>
    </fill>
    <fill>
      <patternFill patternType="solid">
        <fgColor rgb="FF002DB0"/>
        <bgColor indexed="64"/>
      </patternFill>
    </fill>
    <fill>
      <patternFill patternType="solid">
        <fgColor rgb="FF002DB1"/>
        <bgColor indexed="64"/>
      </patternFill>
    </fill>
    <fill>
      <patternFill patternType="solid">
        <fgColor rgb="FF002DB2"/>
        <bgColor indexed="64"/>
      </patternFill>
    </fill>
    <fill>
      <patternFill patternType="solid">
        <fgColor rgb="FF002DB3"/>
        <bgColor indexed="64"/>
      </patternFill>
    </fill>
    <fill>
      <patternFill patternType="solid">
        <fgColor rgb="FF002DB4"/>
        <bgColor indexed="64"/>
      </patternFill>
    </fill>
    <fill>
      <patternFill patternType="solid">
        <fgColor rgb="FF002DB5"/>
        <bgColor indexed="64"/>
      </patternFill>
    </fill>
    <fill>
      <patternFill patternType="solid">
        <fgColor rgb="FF002DB6"/>
        <bgColor indexed="64"/>
      </patternFill>
    </fill>
    <fill>
      <patternFill patternType="solid">
        <fgColor rgb="FF002DB7"/>
        <bgColor indexed="64"/>
      </patternFill>
    </fill>
    <fill>
      <patternFill patternType="solid">
        <fgColor rgb="FF002DB8"/>
        <bgColor indexed="64"/>
      </patternFill>
    </fill>
    <fill>
      <patternFill patternType="solid">
        <fgColor rgb="FF002DB9"/>
        <bgColor indexed="64"/>
      </patternFill>
    </fill>
    <fill>
      <patternFill patternType="solid">
        <fgColor rgb="FF002DBA"/>
        <bgColor indexed="64"/>
      </patternFill>
    </fill>
    <fill>
      <patternFill patternType="solid">
        <fgColor rgb="FF002DBB"/>
        <bgColor indexed="64"/>
      </patternFill>
    </fill>
    <fill>
      <patternFill patternType="solid">
        <fgColor rgb="FF002DBC"/>
        <bgColor indexed="64"/>
      </patternFill>
    </fill>
    <fill>
      <patternFill patternType="solid">
        <fgColor rgb="FF002DBD"/>
        <bgColor indexed="64"/>
      </patternFill>
    </fill>
    <fill>
      <patternFill patternType="solid">
        <fgColor rgb="FF002DBE"/>
        <bgColor indexed="64"/>
      </patternFill>
    </fill>
    <fill>
      <patternFill patternType="solid">
        <fgColor rgb="FF002DBF"/>
        <bgColor indexed="64"/>
      </patternFill>
    </fill>
    <fill>
      <patternFill patternType="solid">
        <fgColor rgb="FF002DC0"/>
        <bgColor indexed="64"/>
      </patternFill>
    </fill>
    <fill>
      <patternFill patternType="solid">
        <fgColor rgb="FF002DC1"/>
        <bgColor indexed="64"/>
      </patternFill>
    </fill>
    <fill>
      <patternFill patternType="solid">
        <fgColor rgb="FF002DC2"/>
        <bgColor indexed="64"/>
      </patternFill>
    </fill>
    <fill>
      <patternFill patternType="solid">
        <fgColor rgb="FF002DC3"/>
        <bgColor indexed="64"/>
      </patternFill>
    </fill>
    <fill>
      <patternFill patternType="solid">
        <fgColor rgb="FF002DC4"/>
        <bgColor indexed="64"/>
      </patternFill>
    </fill>
    <fill>
      <patternFill patternType="solid">
        <fgColor rgb="FF002DC5"/>
        <bgColor indexed="64"/>
      </patternFill>
    </fill>
    <fill>
      <patternFill patternType="solid">
        <fgColor rgb="FF002DC6"/>
        <bgColor indexed="64"/>
      </patternFill>
    </fill>
    <fill>
      <patternFill patternType="solid">
        <fgColor rgb="FF002DC7"/>
        <bgColor indexed="64"/>
      </patternFill>
    </fill>
    <fill>
      <patternFill patternType="solid">
        <fgColor rgb="FF002DC8"/>
        <bgColor indexed="64"/>
      </patternFill>
    </fill>
    <fill>
      <patternFill patternType="solid">
        <fgColor rgb="FF002DC9"/>
        <bgColor indexed="64"/>
      </patternFill>
    </fill>
    <fill>
      <patternFill patternType="solid">
        <fgColor rgb="FF002DCA"/>
        <bgColor indexed="64"/>
      </patternFill>
    </fill>
    <fill>
      <patternFill patternType="solid">
        <fgColor rgb="FF002DCB"/>
        <bgColor indexed="64"/>
      </patternFill>
    </fill>
    <fill>
      <patternFill patternType="solid">
        <fgColor rgb="FF002DCC"/>
        <bgColor indexed="64"/>
      </patternFill>
    </fill>
    <fill>
      <patternFill patternType="solid">
        <fgColor rgb="FF002DCD"/>
        <bgColor indexed="64"/>
      </patternFill>
    </fill>
    <fill>
      <patternFill patternType="solid">
        <fgColor rgb="FF002DCE"/>
        <bgColor indexed="64"/>
      </patternFill>
    </fill>
    <fill>
      <patternFill patternType="solid">
        <fgColor rgb="FF002DCF"/>
        <bgColor indexed="64"/>
      </patternFill>
    </fill>
    <fill>
      <patternFill patternType="solid">
        <fgColor rgb="FF002DD0"/>
        <bgColor indexed="64"/>
      </patternFill>
    </fill>
    <fill>
      <patternFill patternType="solid">
        <fgColor rgb="FF002DD1"/>
        <bgColor indexed="64"/>
      </patternFill>
    </fill>
    <fill>
      <patternFill patternType="solid">
        <fgColor rgb="FF002DD2"/>
        <bgColor indexed="64"/>
      </patternFill>
    </fill>
    <fill>
      <patternFill patternType="solid">
        <fgColor rgb="FF002DD3"/>
        <bgColor indexed="64"/>
      </patternFill>
    </fill>
    <fill>
      <patternFill patternType="solid">
        <fgColor rgb="FF002DD4"/>
        <bgColor indexed="64"/>
      </patternFill>
    </fill>
    <fill>
      <patternFill patternType="solid">
        <fgColor rgb="FF002DD5"/>
        <bgColor indexed="64"/>
      </patternFill>
    </fill>
    <fill>
      <patternFill patternType="solid">
        <fgColor rgb="FF002DD6"/>
        <bgColor indexed="64"/>
      </patternFill>
    </fill>
    <fill>
      <patternFill patternType="solid">
        <fgColor rgb="FF002DD7"/>
        <bgColor indexed="64"/>
      </patternFill>
    </fill>
    <fill>
      <patternFill patternType="solid">
        <fgColor rgb="FF002DD8"/>
        <bgColor indexed="64"/>
      </patternFill>
    </fill>
    <fill>
      <patternFill patternType="solid">
        <fgColor rgb="FF002DD9"/>
        <bgColor indexed="64"/>
      </patternFill>
    </fill>
    <fill>
      <patternFill patternType="solid">
        <fgColor rgb="FF002DDA"/>
        <bgColor indexed="64"/>
      </patternFill>
    </fill>
    <fill>
      <patternFill patternType="solid">
        <fgColor rgb="FF002DDB"/>
        <bgColor indexed="64"/>
      </patternFill>
    </fill>
    <fill>
      <patternFill patternType="solid">
        <fgColor rgb="FF002DDC"/>
        <bgColor indexed="64"/>
      </patternFill>
    </fill>
    <fill>
      <patternFill patternType="solid">
        <fgColor rgb="FF002DDD"/>
        <bgColor indexed="64"/>
      </patternFill>
    </fill>
    <fill>
      <patternFill patternType="solid">
        <fgColor rgb="FF002DDE"/>
        <bgColor indexed="64"/>
      </patternFill>
    </fill>
    <fill>
      <patternFill patternType="solid">
        <fgColor rgb="FF002DDF"/>
        <bgColor indexed="64"/>
      </patternFill>
    </fill>
    <fill>
      <patternFill patternType="solid">
        <fgColor rgb="FF002DE0"/>
        <bgColor indexed="64"/>
      </patternFill>
    </fill>
    <fill>
      <patternFill patternType="solid">
        <fgColor rgb="FF002DE1"/>
        <bgColor indexed="64"/>
      </patternFill>
    </fill>
    <fill>
      <patternFill patternType="solid">
        <fgColor rgb="FF002DE2"/>
        <bgColor indexed="64"/>
      </patternFill>
    </fill>
    <fill>
      <patternFill patternType="solid">
        <fgColor rgb="FF002DE3"/>
        <bgColor indexed="64"/>
      </patternFill>
    </fill>
    <fill>
      <patternFill patternType="solid">
        <fgColor rgb="FF002DE4"/>
        <bgColor indexed="64"/>
      </patternFill>
    </fill>
    <fill>
      <patternFill patternType="solid">
        <fgColor rgb="FF002DE5"/>
        <bgColor indexed="64"/>
      </patternFill>
    </fill>
    <fill>
      <patternFill patternType="solid">
        <fgColor rgb="FF002DE6"/>
        <bgColor indexed="64"/>
      </patternFill>
    </fill>
    <fill>
      <patternFill patternType="solid">
        <fgColor rgb="FF002DE7"/>
        <bgColor indexed="64"/>
      </patternFill>
    </fill>
    <fill>
      <patternFill patternType="solid">
        <fgColor rgb="FF002DE8"/>
        <bgColor indexed="64"/>
      </patternFill>
    </fill>
    <fill>
      <patternFill patternType="solid">
        <fgColor rgb="FF002DE9"/>
        <bgColor indexed="64"/>
      </patternFill>
    </fill>
    <fill>
      <patternFill patternType="solid">
        <fgColor rgb="FF002DEA"/>
        <bgColor indexed="64"/>
      </patternFill>
    </fill>
    <fill>
      <patternFill patternType="solid">
        <fgColor rgb="FF002DEB"/>
        <bgColor indexed="64"/>
      </patternFill>
    </fill>
    <fill>
      <patternFill patternType="solid">
        <fgColor rgb="FF002DEC"/>
        <bgColor indexed="64"/>
      </patternFill>
    </fill>
    <fill>
      <patternFill patternType="solid">
        <fgColor rgb="FF002DED"/>
        <bgColor indexed="64"/>
      </patternFill>
    </fill>
    <fill>
      <patternFill patternType="solid">
        <fgColor rgb="FF002DEE"/>
        <bgColor indexed="64"/>
      </patternFill>
    </fill>
    <fill>
      <patternFill patternType="solid">
        <fgColor rgb="FF002DEF"/>
        <bgColor indexed="64"/>
      </patternFill>
    </fill>
    <fill>
      <patternFill patternType="solid">
        <fgColor rgb="FF002DF0"/>
        <bgColor indexed="64"/>
      </patternFill>
    </fill>
    <fill>
      <patternFill patternType="solid">
        <fgColor rgb="FF002DF1"/>
        <bgColor indexed="64"/>
      </patternFill>
    </fill>
    <fill>
      <patternFill patternType="solid">
        <fgColor rgb="FF002DF2"/>
        <bgColor indexed="64"/>
      </patternFill>
    </fill>
    <fill>
      <patternFill patternType="solid">
        <fgColor rgb="FF002DF3"/>
        <bgColor indexed="64"/>
      </patternFill>
    </fill>
    <fill>
      <patternFill patternType="solid">
        <fgColor rgb="FF002DF4"/>
        <bgColor indexed="64"/>
      </patternFill>
    </fill>
    <fill>
      <patternFill patternType="solid">
        <fgColor rgb="FF002DF5"/>
        <bgColor indexed="64"/>
      </patternFill>
    </fill>
    <fill>
      <patternFill patternType="solid">
        <fgColor rgb="FF002DF6"/>
        <bgColor indexed="64"/>
      </patternFill>
    </fill>
    <fill>
      <patternFill patternType="solid">
        <fgColor rgb="FF002DF7"/>
        <bgColor indexed="64"/>
      </patternFill>
    </fill>
    <fill>
      <patternFill patternType="solid">
        <fgColor rgb="FF002DF8"/>
        <bgColor indexed="64"/>
      </patternFill>
    </fill>
    <fill>
      <patternFill patternType="solid">
        <fgColor rgb="FF002DF9"/>
        <bgColor indexed="64"/>
      </patternFill>
    </fill>
    <fill>
      <patternFill patternType="solid">
        <fgColor rgb="FF002DFA"/>
        <bgColor indexed="64"/>
      </patternFill>
    </fill>
    <fill>
      <patternFill patternType="solid">
        <fgColor rgb="FF002DFB"/>
        <bgColor indexed="64"/>
      </patternFill>
    </fill>
    <fill>
      <patternFill patternType="solid">
        <fgColor rgb="FF002DFC"/>
        <bgColor indexed="64"/>
      </patternFill>
    </fill>
    <fill>
      <patternFill patternType="solid">
        <fgColor rgb="FF002DFD"/>
        <bgColor indexed="64"/>
      </patternFill>
    </fill>
    <fill>
      <patternFill patternType="solid">
        <fgColor rgb="FF002DFE"/>
        <bgColor indexed="64"/>
      </patternFill>
    </fill>
    <fill>
      <patternFill patternType="solid">
        <fgColor rgb="FF002DFF"/>
        <bgColor indexed="64"/>
      </patternFill>
    </fill>
    <fill>
      <patternFill patternType="solid">
        <fgColor rgb="FF002E00"/>
        <bgColor indexed="64"/>
      </patternFill>
    </fill>
    <fill>
      <patternFill patternType="solid">
        <fgColor rgb="FF002E01"/>
        <bgColor indexed="64"/>
      </patternFill>
    </fill>
    <fill>
      <patternFill patternType="solid">
        <fgColor rgb="FF002E02"/>
        <bgColor indexed="64"/>
      </patternFill>
    </fill>
    <fill>
      <patternFill patternType="solid">
        <fgColor rgb="FF002E03"/>
        <bgColor indexed="64"/>
      </patternFill>
    </fill>
    <fill>
      <patternFill patternType="solid">
        <fgColor rgb="FF002E04"/>
        <bgColor indexed="64"/>
      </patternFill>
    </fill>
    <fill>
      <patternFill patternType="solid">
        <fgColor rgb="FF002E05"/>
        <bgColor indexed="64"/>
      </patternFill>
    </fill>
    <fill>
      <patternFill patternType="solid">
        <fgColor rgb="FF002E06"/>
        <bgColor indexed="64"/>
      </patternFill>
    </fill>
    <fill>
      <patternFill patternType="solid">
        <fgColor rgb="FF002E07"/>
        <bgColor indexed="64"/>
      </patternFill>
    </fill>
    <fill>
      <patternFill patternType="solid">
        <fgColor rgb="FF002E08"/>
        <bgColor indexed="64"/>
      </patternFill>
    </fill>
    <fill>
      <patternFill patternType="solid">
        <fgColor rgb="FF002E09"/>
        <bgColor indexed="64"/>
      </patternFill>
    </fill>
    <fill>
      <patternFill patternType="solid">
        <fgColor rgb="FF002E0A"/>
        <bgColor indexed="64"/>
      </patternFill>
    </fill>
    <fill>
      <patternFill patternType="solid">
        <fgColor rgb="FF002E0B"/>
        <bgColor indexed="64"/>
      </patternFill>
    </fill>
    <fill>
      <patternFill patternType="solid">
        <fgColor rgb="FF002E0C"/>
        <bgColor indexed="64"/>
      </patternFill>
    </fill>
    <fill>
      <patternFill patternType="solid">
        <fgColor rgb="FF002E0D"/>
        <bgColor indexed="64"/>
      </patternFill>
    </fill>
    <fill>
      <patternFill patternType="solid">
        <fgColor rgb="FF002E0E"/>
        <bgColor indexed="64"/>
      </patternFill>
    </fill>
    <fill>
      <patternFill patternType="solid">
        <fgColor rgb="FF002E0F"/>
        <bgColor indexed="64"/>
      </patternFill>
    </fill>
    <fill>
      <patternFill patternType="solid">
        <fgColor rgb="FF002E10"/>
        <bgColor indexed="64"/>
      </patternFill>
    </fill>
    <fill>
      <patternFill patternType="solid">
        <fgColor rgb="FF002E11"/>
        <bgColor indexed="64"/>
      </patternFill>
    </fill>
    <fill>
      <patternFill patternType="solid">
        <fgColor rgb="FF002E12"/>
        <bgColor indexed="64"/>
      </patternFill>
    </fill>
    <fill>
      <patternFill patternType="solid">
        <fgColor rgb="FF002E13"/>
        <bgColor indexed="64"/>
      </patternFill>
    </fill>
    <fill>
      <patternFill patternType="solid">
        <fgColor rgb="FF002E14"/>
        <bgColor indexed="64"/>
      </patternFill>
    </fill>
    <fill>
      <patternFill patternType="solid">
        <fgColor rgb="FF002E15"/>
        <bgColor indexed="64"/>
      </patternFill>
    </fill>
    <fill>
      <patternFill patternType="solid">
        <fgColor rgb="FF002E16"/>
        <bgColor indexed="64"/>
      </patternFill>
    </fill>
    <fill>
      <patternFill patternType="solid">
        <fgColor rgb="FF002E17"/>
        <bgColor indexed="64"/>
      </patternFill>
    </fill>
    <fill>
      <patternFill patternType="solid">
        <fgColor rgb="FF002E18"/>
        <bgColor indexed="64"/>
      </patternFill>
    </fill>
    <fill>
      <patternFill patternType="solid">
        <fgColor rgb="FF002E19"/>
        <bgColor indexed="64"/>
      </patternFill>
    </fill>
    <fill>
      <patternFill patternType="solid">
        <fgColor rgb="FF002E1A"/>
        <bgColor indexed="64"/>
      </patternFill>
    </fill>
    <fill>
      <patternFill patternType="solid">
        <fgColor rgb="FF002E1B"/>
        <bgColor indexed="64"/>
      </patternFill>
    </fill>
    <fill>
      <patternFill patternType="solid">
        <fgColor rgb="FF002E1C"/>
        <bgColor indexed="64"/>
      </patternFill>
    </fill>
    <fill>
      <patternFill patternType="solid">
        <fgColor rgb="FF002E1D"/>
        <bgColor indexed="64"/>
      </patternFill>
    </fill>
    <fill>
      <patternFill patternType="solid">
        <fgColor rgb="FF002E1E"/>
        <bgColor indexed="64"/>
      </patternFill>
    </fill>
    <fill>
      <patternFill patternType="solid">
        <fgColor rgb="FF002E1F"/>
        <bgColor indexed="64"/>
      </patternFill>
    </fill>
    <fill>
      <patternFill patternType="solid">
        <fgColor rgb="FF002E20"/>
        <bgColor indexed="64"/>
      </patternFill>
    </fill>
    <fill>
      <patternFill patternType="solid">
        <fgColor rgb="FF002E21"/>
        <bgColor indexed="64"/>
      </patternFill>
    </fill>
    <fill>
      <patternFill patternType="solid">
        <fgColor rgb="FF002E22"/>
        <bgColor indexed="64"/>
      </patternFill>
    </fill>
    <fill>
      <patternFill patternType="solid">
        <fgColor rgb="FF002E23"/>
        <bgColor indexed="64"/>
      </patternFill>
    </fill>
    <fill>
      <patternFill patternType="solid">
        <fgColor rgb="FF002E24"/>
        <bgColor indexed="64"/>
      </patternFill>
    </fill>
    <fill>
      <patternFill patternType="solid">
        <fgColor rgb="FF002E25"/>
        <bgColor indexed="64"/>
      </patternFill>
    </fill>
    <fill>
      <patternFill patternType="solid">
        <fgColor rgb="FF002E26"/>
        <bgColor indexed="64"/>
      </patternFill>
    </fill>
    <fill>
      <patternFill patternType="solid">
        <fgColor rgb="FF002E27"/>
        <bgColor indexed="64"/>
      </patternFill>
    </fill>
    <fill>
      <patternFill patternType="solid">
        <fgColor rgb="FF002E28"/>
        <bgColor indexed="64"/>
      </patternFill>
    </fill>
    <fill>
      <patternFill patternType="solid">
        <fgColor rgb="FF002E29"/>
        <bgColor indexed="64"/>
      </patternFill>
    </fill>
    <fill>
      <patternFill patternType="solid">
        <fgColor rgb="FF002E2A"/>
        <bgColor indexed="64"/>
      </patternFill>
    </fill>
    <fill>
      <patternFill patternType="solid">
        <fgColor rgb="FF002E2B"/>
        <bgColor indexed="64"/>
      </patternFill>
    </fill>
    <fill>
      <patternFill patternType="solid">
        <fgColor rgb="FF002E2C"/>
        <bgColor indexed="64"/>
      </patternFill>
    </fill>
    <fill>
      <patternFill patternType="solid">
        <fgColor rgb="FF002E2D"/>
        <bgColor indexed="64"/>
      </patternFill>
    </fill>
    <fill>
      <patternFill patternType="solid">
        <fgColor rgb="FF002E2E"/>
        <bgColor indexed="64"/>
      </patternFill>
    </fill>
    <fill>
      <patternFill patternType="solid">
        <fgColor rgb="FF002E2F"/>
        <bgColor indexed="64"/>
      </patternFill>
    </fill>
    <fill>
      <patternFill patternType="solid">
        <fgColor rgb="FF002E30"/>
        <bgColor indexed="64"/>
      </patternFill>
    </fill>
    <fill>
      <patternFill patternType="solid">
        <fgColor rgb="FF002E31"/>
        <bgColor indexed="64"/>
      </patternFill>
    </fill>
    <fill>
      <patternFill patternType="solid">
        <fgColor rgb="FF002E32"/>
        <bgColor indexed="64"/>
      </patternFill>
    </fill>
    <fill>
      <patternFill patternType="solid">
        <fgColor rgb="FF002E33"/>
        <bgColor indexed="64"/>
      </patternFill>
    </fill>
    <fill>
      <patternFill patternType="solid">
        <fgColor rgb="FF002E34"/>
        <bgColor indexed="64"/>
      </patternFill>
    </fill>
    <fill>
      <patternFill patternType="solid">
        <fgColor rgb="FF002E35"/>
        <bgColor indexed="64"/>
      </patternFill>
    </fill>
    <fill>
      <patternFill patternType="solid">
        <fgColor rgb="FF002E36"/>
        <bgColor indexed="64"/>
      </patternFill>
    </fill>
    <fill>
      <patternFill patternType="solid">
        <fgColor rgb="FF002E37"/>
        <bgColor indexed="64"/>
      </patternFill>
    </fill>
    <fill>
      <patternFill patternType="solid">
        <fgColor rgb="FF002E38"/>
        <bgColor indexed="64"/>
      </patternFill>
    </fill>
    <fill>
      <patternFill patternType="solid">
        <fgColor rgb="FF002E39"/>
        <bgColor indexed="64"/>
      </patternFill>
    </fill>
    <fill>
      <patternFill patternType="solid">
        <fgColor rgb="FF002E3A"/>
        <bgColor indexed="64"/>
      </patternFill>
    </fill>
    <fill>
      <patternFill patternType="solid">
        <fgColor rgb="FF002E3B"/>
        <bgColor indexed="64"/>
      </patternFill>
    </fill>
    <fill>
      <patternFill patternType="solid">
        <fgColor rgb="FF002E3C"/>
        <bgColor indexed="64"/>
      </patternFill>
    </fill>
    <fill>
      <patternFill patternType="solid">
        <fgColor rgb="FF002E3D"/>
        <bgColor indexed="64"/>
      </patternFill>
    </fill>
    <fill>
      <patternFill patternType="solid">
        <fgColor rgb="FF002E3E"/>
        <bgColor indexed="64"/>
      </patternFill>
    </fill>
    <fill>
      <patternFill patternType="solid">
        <fgColor rgb="FF002E3F"/>
        <bgColor indexed="64"/>
      </patternFill>
    </fill>
    <fill>
      <patternFill patternType="solid">
        <fgColor rgb="FF002E40"/>
        <bgColor indexed="64"/>
      </patternFill>
    </fill>
    <fill>
      <patternFill patternType="solid">
        <fgColor rgb="FF002E41"/>
        <bgColor indexed="64"/>
      </patternFill>
    </fill>
    <fill>
      <patternFill patternType="solid">
        <fgColor rgb="FF002E42"/>
        <bgColor indexed="64"/>
      </patternFill>
    </fill>
    <fill>
      <patternFill patternType="solid">
        <fgColor rgb="FF002E43"/>
        <bgColor indexed="64"/>
      </patternFill>
    </fill>
    <fill>
      <patternFill patternType="solid">
        <fgColor rgb="FF002E44"/>
        <bgColor indexed="64"/>
      </patternFill>
    </fill>
    <fill>
      <patternFill patternType="solid">
        <fgColor rgb="FF002E45"/>
        <bgColor indexed="64"/>
      </patternFill>
    </fill>
    <fill>
      <patternFill patternType="solid">
        <fgColor rgb="FF002E46"/>
        <bgColor indexed="64"/>
      </patternFill>
    </fill>
    <fill>
      <patternFill patternType="solid">
        <fgColor rgb="FF002E47"/>
        <bgColor indexed="64"/>
      </patternFill>
    </fill>
    <fill>
      <patternFill patternType="solid">
        <fgColor rgb="FF002E48"/>
        <bgColor indexed="64"/>
      </patternFill>
    </fill>
    <fill>
      <patternFill patternType="solid">
        <fgColor rgb="FF002E49"/>
        <bgColor indexed="64"/>
      </patternFill>
    </fill>
    <fill>
      <patternFill patternType="solid">
        <fgColor rgb="FF002E4A"/>
        <bgColor indexed="64"/>
      </patternFill>
    </fill>
    <fill>
      <patternFill patternType="solid">
        <fgColor rgb="FF002E4B"/>
        <bgColor indexed="64"/>
      </patternFill>
    </fill>
    <fill>
      <patternFill patternType="solid">
        <fgColor rgb="FF002E4C"/>
        <bgColor indexed="64"/>
      </patternFill>
    </fill>
    <fill>
      <patternFill patternType="solid">
        <fgColor rgb="FF002E4D"/>
        <bgColor indexed="64"/>
      </patternFill>
    </fill>
    <fill>
      <patternFill patternType="solid">
        <fgColor rgb="FF002E4E"/>
        <bgColor indexed="64"/>
      </patternFill>
    </fill>
    <fill>
      <patternFill patternType="solid">
        <fgColor rgb="FF002E4F"/>
        <bgColor indexed="64"/>
      </patternFill>
    </fill>
    <fill>
      <patternFill patternType="solid">
        <fgColor rgb="FF002E50"/>
        <bgColor indexed="64"/>
      </patternFill>
    </fill>
    <fill>
      <patternFill patternType="solid">
        <fgColor rgb="FF002E51"/>
        <bgColor indexed="64"/>
      </patternFill>
    </fill>
    <fill>
      <patternFill patternType="solid">
        <fgColor rgb="FF002E52"/>
        <bgColor indexed="64"/>
      </patternFill>
    </fill>
    <fill>
      <patternFill patternType="solid">
        <fgColor rgb="FF002E53"/>
        <bgColor indexed="64"/>
      </patternFill>
    </fill>
    <fill>
      <patternFill patternType="solid">
        <fgColor rgb="FF002E54"/>
        <bgColor indexed="64"/>
      </patternFill>
    </fill>
    <fill>
      <patternFill patternType="solid">
        <fgColor rgb="FF002E55"/>
        <bgColor indexed="64"/>
      </patternFill>
    </fill>
    <fill>
      <patternFill patternType="solid">
        <fgColor rgb="FF002E56"/>
        <bgColor indexed="64"/>
      </patternFill>
    </fill>
    <fill>
      <patternFill patternType="solid">
        <fgColor rgb="FF002E57"/>
        <bgColor indexed="64"/>
      </patternFill>
    </fill>
    <fill>
      <patternFill patternType="solid">
        <fgColor rgb="FF002E58"/>
        <bgColor indexed="64"/>
      </patternFill>
    </fill>
    <fill>
      <patternFill patternType="solid">
        <fgColor rgb="FF002E59"/>
        <bgColor indexed="64"/>
      </patternFill>
    </fill>
    <fill>
      <patternFill patternType="solid">
        <fgColor rgb="FF002E5A"/>
        <bgColor indexed="64"/>
      </patternFill>
    </fill>
    <fill>
      <patternFill patternType="solid">
        <fgColor rgb="FF002E5B"/>
        <bgColor indexed="64"/>
      </patternFill>
    </fill>
    <fill>
      <patternFill patternType="solid">
        <fgColor rgb="FF002E5C"/>
        <bgColor indexed="64"/>
      </patternFill>
    </fill>
    <fill>
      <patternFill patternType="solid">
        <fgColor rgb="FF002E5D"/>
        <bgColor indexed="64"/>
      </patternFill>
    </fill>
    <fill>
      <patternFill patternType="solid">
        <fgColor rgb="FF002E5E"/>
        <bgColor indexed="64"/>
      </patternFill>
    </fill>
    <fill>
      <patternFill patternType="solid">
        <fgColor rgb="FF002E5F"/>
        <bgColor indexed="64"/>
      </patternFill>
    </fill>
    <fill>
      <patternFill patternType="solid">
        <fgColor rgb="FF002E60"/>
        <bgColor indexed="64"/>
      </patternFill>
    </fill>
    <fill>
      <patternFill patternType="solid">
        <fgColor rgb="FF002E61"/>
        <bgColor indexed="64"/>
      </patternFill>
    </fill>
    <fill>
      <patternFill patternType="solid">
        <fgColor rgb="FF002E62"/>
        <bgColor indexed="64"/>
      </patternFill>
    </fill>
    <fill>
      <patternFill patternType="solid">
        <fgColor rgb="FF002E63"/>
        <bgColor indexed="64"/>
      </patternFill>
    </fill>
    <fill>
      <patternFill patternType="solid">
        <fgColor rgb="FF002E64"/>
        <bgColor indexed="64"/>
      </patternFill>
    </fill>
    <fill>
      <patternFill patternType="solid">
        <fgColor rgb="FF002E65"/>
        <bgColor indexed="64"/>
      </patternFill>
    </fill>
    <fill>
      <patternFill patternType="solid">
        <fgColor rgb="FF002E66"/>
        <bgColor indexed="64"/>
      </patternFill>
    </fill>
    <fill>
      <patternFill patternType="solid">
        <fgColor rgb="FF002E67"/>
        <bgColor indexed="64"/>
      </patternFill>
    </fill>
    <fill>
      <patternFill patternType="solid">
        <fgColor rgb="FF002E68"/>
        <bgColor indexed="64"/>
      </patternFill>
    </fill>
    <fill>
      <patternFill patternType="solid">
        <fgColor rgb="FF002E69"/>
        <bgColor indexed="64"/>
      </patternFill>
    </fill>
    <fill>
      <patternFill patternType="solid">
        <fgColor rgb="FF002E6A"/>
        <bgColor indexed="64"/>
      </patternFill>
    </fill>
    <fill>
      <patternFill patternType="solid">
        <fgColor rgb="FF002E6B"/>
        <bgColor indexed="64"/>
      </patternFill>
    </fill>
    <fill>
      <patternFill patternType="solid">
        <fgColor rgb="FF002E6C"/>
        <bgColor indexed="64"/>
      </patternFill>
    </fill>
    <fill>
      <patternFill patternType="solid">
        <fgColor rgb="FF002E6D"/>
        <bgColor indexed="64"/>
      </patternFill>
    </fill>
    <fill>
      <patternFill patternType="solid">
        <fgColor rgb="FF002E6E"/>
        <bgColor indexed="64"/>
      </patternFill>
    </fill>
    <fill>
      <patternFill patternType="solid">
        <fgColor rgb="FF002E6F"/>
        <bgColor indexed="64"/>
      </patternFill>
    </fill>
    <fill>
      <patternFill patternType="solid">
        <fgColor rgb="FF002E70"/>
        <bgColor indexed="64"/>
      </patternFill>
    </fill>
    <fill>
      <patternFill patternType="solid">
        <fgColor rgb="FF002E71"/>
        <bgColor indexed="64"/>
      </patternFill>
    </fill>
    <fill>
      <patternFill patternType="solid">
        <fgColor rgb="FF002E72"/>
        <bgColor indexed="64"/>
      </patternFill>
    </fill>
    <fill>
      <patternFill patternType="solid">
        <fgColor rgb="FF002E73"/>
        <bgColor indexed="64"/>
      </patternFill>
    </fill>
    <fill>
      <patternFill patternType="solid">
        <fgColor rgb="FF002E74"/>
        <bgColor indexed="64"/>
      </patternFill>
    </fill>
    <fill>
      <patternFill patternType="solid">
        <fgColor rgb="FF002E75"/>
        <bgColor indexed="64"/>
      </patternFill>
    </fill>
    <fill>
      <patternFill patternType="solid">
        <fgColor rgb="FF002E76"/>
        <bgColor indexed="64"/>
      </patternFill>
    </fill>
    <fill>
      <patternFill patternType="solid">
        <fgColor rgb="FF002E77"/>
        <bgColor indexed="64"/>
      </patternFill>
    </fill>
    <fill>
      <patternFill patternType="solid">
        <fgColor rgb="FF002E78"/>
        <bgColor indexed="64"/>
      </patternFill>
    </fill>
    <fill>
      <patternFill patternType="solid">
        <fgColor rgb="FF002E79"/>
        <bgColor indexed="64"/>
      </patternFill>
    </fill>
    <fill>
      <patternFill patternType="solid">
        <fgColor rgb="FF002E7A"/>
        <bgColor indexed="64"/>
      </patternFill>
    </fill>
    <fill>
      <patternFill patternType="solid">
        <fgColor rgb="FF002E7B"/>
        <bgColor indexed="64"/>
      </patternFill>
    </fill>
    <fill>
      <patternFill patternType="solid">
        <fgColor rgb="FF002E7C"/>
        <bgColor indexed="64"/>
      </patternFill>
    </fill>
    <fill>
      <patternFill patternType="solid">
        <fgColor rgb="FF002E7D"/>
        <bgColor indexed="64"/>
      </patternFill>
    </fill>
    <fill>
      <patternFill patternType="solid">
        <fgColor rgb="FF002E7E"/>
        <bgColor indexed="64"/>
      </patternFill>
    </fill>
    <fill>
      <patternFill patternType="solid">
        <fgColor rgb="FF002E7F"/>
        <bgColor indexed="64"/>
      </patternFill>
    </fill>
    <fill>
      <patternFill patternType="solid">
        <fgColor rgb="FF002E80"/>
        <bgColor indexed="64"/>
      </patternFill>
    </fill>
    <fill>
      <patternFill patternType="solid">
        <fgColor rgb="FF002E81"/>
        <bgColor indexed="64"/>
      </patternFill>
    </fill>
    <fill>
      <patternFill patternType="solid">
        <fgColor rgb="FF002E82"/>
        <bgColor indexed="64"/>
      </patternFill>
    </fill>
    <fill>
      <patternFill patternType="solid">
        <fgColor rgb="FF002E83"/>
        <bgColor indexed="64"/>
      </patternFill>
    </fill>
    <fill>
      <patternFill patternType="solid">
        <fgColor rgb="FF002E84"/>
        <bgColor indexed="64"/>
      </patternFill>
    </fill>
    <fill>
      <patternFill patternType="solid">
        <fgColor rgb="FF002E85"/>
        <bgColor indexed="64"/>
      </patternFill>
    </fill>
    <fill>
      <patternFill patternType="solid">
        <fgColor rgb="FF002E86"/>
        <bgColor indexed="64"/>
      </patternFill>
    </fill>
    <fill>
      <patternFill patternType="solid">
        <fgColor rgb="FF002E87"/>
        <bgColor indexed="64"/>
      </patternFill>
    </fill>
    <fill>
      <patternFill patternType="solid">
        <fgColor rgb="FF002E88"/>
        <bgColor indexed="64"/>
      </patternFill>
    </fill>
    <fill>
      <patternFill patternType="solid">
        <fgColor rgb="FF002E89"/>
        <bgColor indexed="64"/>
      </patternFill>
    </fill>
    <fill>
      <patternFill patternType="solid">
        <fgColor rgb="FF002E8A"/>
        <bgColor indexed="64"/>
      </patternFill>
    </fill>
    <fill>
      <patternFill patternType="solid">
        <fgColor rgb="FF002E8B"/>
        <bgColor indexed="64"/>
      </patternFill>
    </fill>
    <fill>
      <patternFill patternType="solid">
        <fgColor rgb="FF002E8C"/>
        <bgColor indexed="64"/>
      </patternFill>
    </fill>
    <fill>
      <patternFill patternType="solid">
        <fgColor rgb="FF002E8D"/>
        <bgColor indexed="64"/>
      </patternFill>
    </fill>
    <fill>
      <patternFill patternType="solid">
        <fgColor rgb="FF002E8E"/>
        <bgColor indexed="64"/>
      </patternFill>
    </fill>
    <fill>
      <patternFill patternType="solid">
        <fgColor rgb="FF002E8F"/>
        <bgColor indexed="64"/>
      </patternFill>
    </fill>
    <fill>
      <patternFill patternType="solid">
        <fgColor rgb="FF002E90"/>
        <bgColor indexed="64"/>
      </patternFill>
    </fill>
    <fill>
      <patternFill patternType="solid">
        <fgColor rgb="FF002E91"/>
        <bgColor indexed="64"/>
      </patternFill>
    </fill>
    <fill>
      <patternFill patternType="solid">
        <fgColor rgb="FF002E92"/>
        <bgColor indexed="64"/>
      </patternFill>
    </fill>
    <fill>
      <patternFill patternType="solid">
        <fgColor rgb="FF002E93"/>
        <bgColor indexed="64"/>
      </patternFill>
    </fill>
    <fill>
      <patternFill patternType="solid">
        <fgColor rgb="FF002E94"/>
        <bgColor indexed="64"/>
      </patternFill>
    </fill>
    <fill>
      <patternFill patternType="solid">
        <fgColor rgb="FF002E95"/>
        <bgColor indexed="64"/>
      </patternFill>
    </fill>
    <fill>
      <patternFill patternType="solid">
        <fgColor rgb="FF002E96"/>
        <bgColor indexed="64"/>
      </patternFill>
    </fill>
    <fill>
      <patternFill patternType="solid">
        <fgColor rgb="FF002E97"/>
        <bgColor indexed="64"/>
      </patternFill>
    </fill>
    <fill>
      <patternFill patternType="solid">
        <fgColor rgb="FF002E98"/>
        <bgColor indexed="64"/>
      </patternFill>
    </fill>
    <fill>
      <patternFill patternType="solid">
        <fgColor rgb="FF002E99"/>
        <bgColor indexed="64"/>
      </patternFill>
    </fill>
    <fill>
      <patternFill patternType="solid">
        <fgColor rgb="FF002E9A"/>
        <bgColor indexed="64"/>
      </patternFill>
    </fill>
    <fill>
      <patternFill patternType="solid">
        <fgColor rgb="FF002E9B"/>
        <bgColor indexed="64"/>
      </patternFill>
    </fill>
    <fill>
      <patternFill patternType="solid">
        <fgColor rgb="FF002E9C"/>
        <bgColor indexed="64"/>
      </patternFill>
    </fill>
    <fill>
      <patternFill patternType="solid">
        <fgColor rgb="FF002E9D"/>
        <bgColor indexed="64"/>
      </patternFill>
    </fill>
    <fill>
      <patternFill patternType="solid">
        <fgColor rgb="FF002E9E"/>
        <bgColor indexed="64"/>
      </patternFill>
    </fill>
    <fill>
      <patternFill patternType="solid">
        <fgColor rgb="FF002E9F"/>
        <bgColor indexed="64"/>
      </patternFill>
    </fill>
    <fill>
      <patternFill patternType="solid">
        <fgColor rgb="FF002EA0"/>
        <bgColor indexed="64"/>
      </patternFill>
    </fill>
    <fill>
      <patternFill patternType="solid">
        <fgColor rgb="FF002EA1"/>
        <bgColor indexed="64"/>
      </patternFill>
    </fill>
    <fill>
      <patternFill patternType="solid">
        <fgColor rgb="FF002EA2"/>
        <bgColor indexed="64"/>
      </patternFill>
    </fill>
    <fill>
      <patternFill patternType="solid">
        <fgColor rgb="FF002EA3"/>
        <bgColor indexed="64"/>
      </patternFill>
    </fill>
    <fill>
      <patternFill patternType="solid">
        <fgColor rgb="FF002EA4"/>
        <bgColor indexed="64"/>
      </patternFill>
    </fill>
    <fill>
      <patternFill patternType="solid">
        <fgColor rgb="FF002EA5"/>
        <bgColor indexed="64"/>
      </patternFill>
    </fill>
    <fill>
      <patternFill patternType="solid">
        <fgColor rgb="FF002EA6"/>
        <bgColor indexed="64"/>
      </patternFill>
    </fill>
    <fill>
      <patternFill patternType="solid">
        <fgColor rgb="FF002EA7"/>
        <bgColor indexed="64"/>
      </patternFill>
    </fill>
    <fill>
      <patternFill patternType="solid">
        <fgColor rgb="FF002EA8"/>
        <bgColor indexed="64"/>
      </patternFill>
    </fill>
    <fill>
      <patternFill patternType="solid">
        <fgColor rgb="FF002EA9"/>
        <bgColor indexed="64"/>
      </patternFill>
    </fill>
    <fill>
      <patternFill patternType="solid">
        <fgColor rgb="FF002EAA"/>
        <bgColor indexed="64"/>
      </patternFill>
    </fill>
    <fill>
      <patternFill patternType="solid">
        <fgColor rgb="FF002EAB"/>
        <bgColor indexed="64"/>
      </patternFill>
    </fill>
    <fill>
      <patternFill patternType="solid">
        <fgColor rgb="FF002EAC"/>
        <bgColor indexed="64"/>
      </patternFill>
    </fill>
    <fill>
      <patternFill patternType="solid">
        <fgColor rgb="FF002EAD"/>
        <bgColor indexed="64"/>
      </patternFill>
    </fill>
    <fill>
      <patternFill patternType="solid">
        <fgColor rgb="FF002EAE"/>
        <bgColor indexed="64"/>
      </patternFill>
    </fill>
    <fill>
      <patternFill patternType="solid">
        <fgColor rgb="FF002EAF"/>
        <bgColor indexed="64"/>
      </patternFill>
    </fill>
    <fill>
      <patternFill patternType="solid">
        <fgColor rgb="FF002EB0"/>
        <bgColor indexed="64"/>
      </patternFill>
    </fill>
    <fill>
      <patternFill patternType="solid">
        <fgColor rgb="FF002EB1"/>
        <bgColor indexed="64"/>
      </patternFill>
    </fill>
    <fill>
      <patternFill patternType="solid">
        <fgColor rgb="FF002EB2"/>
        <bgColor indexed="64"/>
      </patternFill>
    </fill>
    <fill>
      <patternFill patternType="solid">
        <fgColor rgb="FF002EB3"/>
        <bgColor indexed="64"/>
      </patternFill>
    </fill>
    <fill>
      <patternFill patternType="solid">
        <fgColor rgb="FF002EB4"/>
        <bgColor indexed="64"/>
      </patternFill>
    </fill>
    <fill>
      <patternFill patternType="solid">
        <fgColor rgb="FF002EB5"/>
        <bgColor indexed="64"/>
      </patternFill>
    </fill>
    <fill>
      <patternFill patternType="solid">
        <fgColor rgb="FF002EB6"/>
        <bgColor indexed="64"/>
      </patternFill>
    </fill>
    <fill>
      <patternFill patternType="solid">
        <fgColor rgb="FF002EB7"/>
        <bgColor indexed="64"/>
      </patternFill>
    </fill>
    <fill>
      <patternFill patternType="solid">
        <fgColor rgb="FF002EB8"/>
        <bgColor indexed="64"/>
      </patternFill>
    </fill>
    <fill>
      <patternFill patternType="solid">
        <fgColor rgb="FF002EB9"/>
        <bgColor indexed="64"/>
      </patternFill>
    </fill>
    <fill>
      <patternFill patternType="solid">
        <fgColor rgb="FF002EBA"/>
        <bgColor indexed="64"/>
      </patternFill>
    </fill>
    <fill>
      <patternFill patternType="solid">
        <fgColor rgb="FF002EBB"/>
        <bgColor indexed="64"/>
      </patternFill>
    </fill>
    <fill>
      <patternFill patternType="solid">
        <fgColor rgb="FF002EBC"/>
        <bgColor indexed="64"/>
      </patternFill>
    </fill>
    <fill>
      <patternFill patternType="solid">
        <fgColor rgb="FF002EBD"/>
        <bgColor indexed="64"/>
      </patternFill>
    </fill>
    <fill>
      <patternFill patternType="solid">
        <fgColor rgb="FF002EBE"/>
        <bgColor indexed="64"/>
      </patternFill>
    </fill>
    <fill>
      <patternFill patternType="solid">
        <fgColor rgb="FF002EBF"/>
        <bgColor indexed="64"/>
      </patternFill>
    </fill>
    <fill>
      <patternFill patternType="solid">
        <fgColor rgb="FF002EC0"/>
        <bgColor indexed="64"/>
      </patternFill>
    </fill>
    <fill>
      <patternFill patternType="solid">
        <fgColor rgb="FF002EC1"/>
        <bgColor indexed="64"/>
      </patternFill>
    </fill>
    <fill>
      <patternFill patternType="solid">
        <fgColor rgb="FF002EC2"/>
        <bgColor indexed="64"/>
      </patternFill>
    </fill>
    <fill>
      <patternFill patternType="solid">
        <fgColor rgb="FF002EC3"/>
        <bgColor indexed="64"/>
      </patternFill>
    </fill>
    <fill>
      <patternFill patternType="solid">
        <fgColor rgb="FF002EC4"/>
        <bgColor indexed="64"/>
      </patternFill>
    </fill>
    <fill>
      <patternFill patternType="solid">
        <fgColor rgb="FF002EC5"/>
        <bgColor indexed="64"/>
      </patternFill>
    </fill>
    <fill>
      <patternFill patternType="solid">
        <fgColor rgb="FF002EC6"/>
        <bgColor indexed="64"/>
      </patternFill>
    </fill>
    <fill>
      <patternFill patternType="solid">
        <fgColor rgb="FF002EC7"/>
        <bgColor indexed="64"/>
      </patternFill>
    </fill>
    <fill>
      <patternFill patternType="solid">
        <fgColor rgb="FF002EC8"/>
        <bgColor indexed="64"/>
      </patternFill>
    </fill>
    <fill>
      <patternFill patternType="solid">
        <fgColor rgb="FF002EC9"/>
        <bgColor indexed="64"/>
      </patternFill>
    </fill>
    <fill>
      <patternFill patternType="solid">
        <fgColor rgb="FF002ECA"/>
        <bgColor indexed="64"/>
      </patternFill>
    </fill>
    <fill>
      <patternFill patternType="solid">
        <fgColor rgb="FF002ECB"/>
        <bgColor indexed="64"/>
      </patternFill>
    </fill>
    <fill>
      <patternFill patternType="solid">
        <fgColor rgb="FF002ECC"/>
        <bgColor indexed="64"/>
      </patternFill>
    </fill>
    <fill>
      <patternFill patternType="solid">
        <fgColor rgb="FF002ECD"/>
        <bgColor indexed="64"/>
      </patternFill>
    </fill>
    <fill>
      <patternFill patternType="solid">
        <fgColor rgb="FF002ECE"/>
        <bgColor indexed="64"/>
      </patternFill>
    </fill>
    <fill>
      <patternFill patternType="solid">
        <fgColor rgb="FF002ECF"/>
        <bgColor indexed="64"/>
      </patternFill>
    </fill>
    <fill>
      <patternFill patternType="solid">
        <fgColor rgb="FF002ED0"/>
        <bgColor indexed="64"/>
      </patternFill>
    </fill>
    <fill>
      <patternFill patternType="solid">
        <fgColor rgb="FF002ED1"/>
        <bgColor indexed="64"/>
      </patternFill>
    </fill>
    <fill>
      <patternFill patternType="solid">
        <fgColor rgb="FF002ED2"/>
        <bgColor indexed="64"/>
      </patternFill>
    </fill>
    <fill>
      <patternFill patternType="solid">
        <fgColor rgb="FF002ED3"/>
        <bgColor indexed="64"/>
      </patternFill>
    </fill>
    <fill>
      <patternFill patternType="solid">
        <fgColor rgb="FF002ED4"/>
        <bgColor indexed="64"/>
      </patternFill>
    </fill>
    <fill>
      <patternFill patternType="solid">
        <fgColor rgb="FF002ED5"/>
        <bgColor indexed="64"/>
      </patternFill>
    </fill>
    <fill>
      <patternFill patternType="solid">
        <fgColor rgb="FF002ED6"/>
        <bgColor indexed="64"/>
      </patternFill>
    </fill>
    <fill>
      <patternFill patternType="solid">
        <fgColor rgb="FF002ED7"/>
        <bgColor indexed="64"/>
      </patternFill>
    </fill>
    <fill>
      <patternFill patternType="solid">
        <fgColor rgb="FF002ED8"/>
        <bgColor indexed="64"/>
      </patternFill>
    </fill>
    <fill>
      <patternFill patternType="solid">
        <fgColor rgb="FF002ED9"/>
        <bgColor indexed="64"/>
      </patternFill>
    </fill>
    <fill>
      <patternFill patternType="solid">
        <fgColor rgb="FF002EDA"/>
        <bgColor indexed="64"/>
      </patternFill>
    </fill>
    <fill>
      <patternFill patternType="solid">
        <fgColor rgb="FF002EDB"/>
        <bgColor indexed="64"/>
      </patternFill>
    </fill>
    <fill>
      <patternFill patternType="solid">
        <fgColor rgb="FF002EDC"/>
        <bgColor indexed="64"/>
      </patternFill>
    </fill>
    <fill>
      <patternFill patternType="solid">
        <fgColor rgb="FF002EDD"/>
        <bgColor indexed="64"/>
      </patternFill>
    </fill>
    <fill>
      <patternFill patternType="solid">
        <fgColor rgb="FF002EDE"/>
        <bgColor indexed="64"/>
      </patternFill>
    </fill>
    <fill>
      <patternFill patternType="solid">
        <fgColor rgb="FF002EDF"/>
        <bgColor indexed="64"/>
      </patternFill>
    </fill>
    <fill>
      <patternFill patternType="solid">
        <fgColor rgb="FF002EE0"/>
        <bgColor indexed="64"/>
      </patternFill>
    </fill>
    <fill>
      <patternFill patternType="solid">
        <fgColor rgb="FF002EE1"/>
        <bgColor indexed="64"/>
      </patternFill>
    </fill>
    <fill>
      <patternFill patternType="solid">
        <fgColor rgb="FF002EE2"/>
        <bgColor indexed="64"/>
      </patternFill>
    </fill>
    <fill>
      <patternFill patternType="solid">
        <fgColor rgb="FF002EE3"/>
        <bgColor indexed="64"/>
      </patternFill>
    </fill>
    <fill>
      <patternFill patternType="solid">
        <fgColor rgb="FF002EE4"/>
        <bgColor indexed="64"/>
      </patternFill>
    </fill>
    <fill>
      <patternFill patternType="solid">
        <fgColor rgb="FF002EE5"/>
        <bgColor indexed="64"/>
      </patternFill>
    </fill>
    <fill>
      <patternFill patternType="solid">
        <fgColor rgb="FF002EE6"/>
        <bgColor indexed="64"/>
      </patternFill>
    </fill>
    <fill>
      <patternFill patternType="solid">
        <fgColor rgb="FF002EE7"/>
        <bgColor indexed="64"/>
      </patternFill>
    </fill>
    <fill>
      <patternFill patternType="solid">
        <fgColor rgb="FF002EE8"/>
        <bgColor indexed="64"/>
      </patternFill>
    </fill>
    <fill>
      <patternFill patternType="solid">
        <fgColor rgb="FF002EE9"/>
        <bgColor indexed="64"/>
      </patternFill>
    </fill>
    <fill>
      <patternFill patternType="solid">
        <fgColor rgb="FF002EEA"/>
        <bgColor indexed="64"/>
      </patternFill>
    </fill>
    <fill>
      <patternFill patternType="solid">
        <fgColor rgb="FF002EEB"/>
        <bgColor indexed="64"/>
      </patternFill>
    </fill>
    <fill>
      <patternFill patternType="solid">
        <fgColor rgb="FF002EEC"/>
        <bgColor indexed="64"/>
      </patternFill>
    </fill>
    <fill>
      <patternFill patternType="solid">
        <fgColor rgb="FF002EED"/>
        <bgColor indexed="64"/>
      </patternFill>
    </fill>
    <fill>
      <patternFill patternType="solid">
        <fgColor rgb="FF002EEE"/>
        <bgColor indexed="64"/>
      </patternFill>
    </fill>
    <fill>
      <patternFill patternType="solid">
        <fgColor rgb="FF002EEF"/>
        <bgColor indexed="64"/>
      </patternFill>
    </fill>
    <fill>
      <patternFill patternType="solid">
        <fgColor rgb="FF002EF0"/>
        <bgColor indexed="64"/>
      </patternFill>
    </fill>
    <fill>
      <patternFill patternType="solid">
        <fgColor rgb="FF002EF1"/>
        <bgColor indexed="64"/>
      </patternFill>
    </fill>
    <fill>
      <patternFill patternType="solid">
        <fgColor rgb="FF002EF2"/>
        <bgColor indexed="64"/>
      </patternFill>
    </fill>
    <fill>
      <patternFill patternType="solid">
        <fgColor rgb="FF002EF3"/>
        <bgColor indexed="64"/>
      </patternFill>
    </fill>
    <fill>
      <patternFill patternType="solid">
        <fgColor rgb="FF002EF4"/>
        <bgColor indexed="64"/>
      </patternFill>
    </fill>
    <fill>
      <patternFill patternType="solid">
        <fgColor rgb="FF002EF5"/>
        <bgColor indexed="64"/>
      </patternFill>
    </fill>
    <fill>
      <patternFill patternType="solid">
        <fgColor rgb="FF002EF6"/>
        <bgColor indexed="64"/>
      </patternFill>
    </fill>
    <fill>
      <patternFill patternType="solid">
        <fgColor rgb="FF002EF7"/>
        <bgColor indexed="64"/>
      </patternFill>
    </fill>
    <fill>
      <patternFill patternType="solid">
        <fgColor rgb="FF002EF8"/>
        <bgColor indexed="64"/>
      </patternFill>
    </fill>
    <fill>
      <patternFill patternType="solid">
        <fgColor rgb="FF002EF9"/>
        <bgColor indexed="64"/>
      </patternFill>
    </fill>
    <fill>
      <patternFill patternType="solid">
        <fgColor rgb="FF002EFA"/>
        <bgColor indexed="64"/>
      </patternFill>
    </fill>
    <fill>
      <patternFill patternType="solid">
        <fgColor rgb="FF002EFB"/>
        <bgColor indexed="64"/>
      </patternFill>
    </fill>
    <fill>
      <patternFill patternType="solid">
        <fgColor rgb="FF002EFC"/>
        <bgColor indexed="64"/>
      </patternFill>
    </fill>
    <fill>
      <patternFill patternType="solid">
        <fgColor rgb="FF002EFD"/>
        <bgColor indexed="64"/>
      </patternFill>
    </fill>
    <fill>
      <patternFill patternType="solid">
        <fgColor rgb="FF002EFE"/>
        <bgColor indexed="64"/>
      </patternFill>
    </fill>
    <fill>
      <patternFill patternType="solid">
        <fgColor rgb="FF002EFF"/>
        <bgColor indexed="64"/>
      </patternFill>
    </fill>
    <fill>
      <patternFill patternType="solid">
        <fgColor rgb="FF002F00"/>
        <bgColor indexed="64"/>
      </patternFill>
    </fill>
    <fill>
      <patternFill patternType="solid">
        <fgColor rgb="FF002F01"/>
        <bgColor indexed="64"/>
      </patternFill>
    </fill>
    <fill>
      <patternFill patternType="solid">
        <fgColor rgb="FF002F02"/>
        <bgColor indexed="64"/>
      </patternFill>
    </fill>
    <fill>
      <patternFill patternType="solid">
        <fgColor rgb="FF002F03"/>
        <bgColor indexed="64"/>
      </patternFill>
    </fill>
    <fill>
      <patternFill patternType="solid">
        <fgColor rgb="FF002F04"/>
        <bgColor indexed="64"/>
      </patternFill>
    </fill>
    <fill>
      <patternFill patternType="solid">
        <fgColor rgb="FF002F05"/>
        <bgColor indexed="64"/>
      </patternFill>
    </fill>
    <fill>
      <patternFill patternType="solid">
        <fgColor rgb="FF002F06"/>
        <bgColor indexed="64"/>
      </patternFill>
    </fill>
    <fill>
      <patternFill patternType="solid">
        <fgColor rgb="FF002F07"/>
        <bgColor indexed="64"/>
      </patternFill>
    </fill>
    <fill>
      <patternFill patternType="solid">
        <fgColor rgb="FF002F08"/>
        <bgColor indexed="64"/>
      </patternFill>
    </fill>
    <fill>
      <patternFill patternType="solid">
        <fgColor rgb="FF002F09"/>
        <bgColor indexed="64"/>
      </patternFill>
    </fill>
    <fill>
      <patternFill patternType="solid">
        <fgColor rgb="FF002F0A"/>
        <bgColor indexed="64"/>
      </patternFill>
    </fill>
    <fill>
      <patternFill patternType="solid">
        <fgColor rgb="FF002F0B"/>
        <bgColor indexed="64"/>
      </patternFill>
    </fill>
    <fill>
      <patternFill patternType="solid">
        <fgColor rgb="FF002F0C"/>
        <bgColor indexed="64"/>
      </patternFill>
    </fill>
    <fill>
      <patternFill patternType="solid">
        <fgColor rgb="FF002F0D"/>
        <bgColor indexed="64"/>
      </patternFill>
    </fill>
    <fill>
      <patternFill patternType="solid">
        <fgColor rgb="FF002F0E"/>
        <bgColor indexed="64"/>
      </patternFill>
    </fill>
    <fill>
      <patternFill patternType="solid">
        <fgColor rgb="FF002F0F"/>
        <bgColor indexed="64"/>
      </patternFill>
    </fill>
    <fill>
      <patternFill patternType="solid">
        <fgColor rgb="FF002F10"/>
        <bgColor indexed="64"/>
      </patternFill>
    </fill>
    <fill>
      <patternFill patternType="solid">
        <fgColor rgb="FF002F11"/>
        <bgColor indexed="64"/>
      </patternFill>
    </fill>
    <fill>
      <patternFill patternType="solid">
        <fgColor rgb="FF002F12"/>
        <bgColor indexed="64"/>
      </patternFill>
    </fill>
    <fill>
      <patternFill patternType="solid">
        <fgColor rgb="FF002F13"/>
        <bgColor indexed="64"/>
      </patternFill>
    </fill>
    <fill>
      <patternFill patternType="solid">
        <fgColor rgb="FF002F14"/>
        <bgColor indexed="64"/>
      </patternFill>
    </fill>
    <fill>
      <patternFill patternType="solid">
        <fgColor rgb="FF002F15"/>
        <bgColor indexed="64"/>
      </patternFill>
    </fill>
    <fill>
      <patternFill patternType="solid">
        <fgColor rgb="FF002F16"/>
        <bgColor indexed="64"/>
      </patternFill>
    </fill>
    <fill>
      <patternFill patternType="solid">
        <fgColor rgb="FF002F17"/>
        <bgColor indexed="64"/>
      </patternFill>
    </fill>
    <fill>
      <patternFill patternType="solid">
        <fgColor rgb="FF002F18"/>
        <bgColor indexed="64"/>
      </patternFill>
    </fill>
    <fill>
      <patternFill patternType="solid">
        <fgColor rgb="FF002F19"/>
        <bgColor indexed="64"/>
      </patternFill>
    </fill>
    <fill>
      <patternFill patternType="solid">
        <fgColor rgb="FF002F1A"/>
        <bgColor indexed="64"/>
      </patternFill>
    </fill>
    <fill>
      <patternFill patternType="solid">
        <fgColor rgb="FF002F1B"/>
        <bgColor indexed="64"/>
      </patternFill>
    </fill>
    <fill>
      <patternFill patternType="solid">
        <fgColor rgb="FF002F1C"/>
        <bgColor indexed="64"/>
      </patternFill>
    </fill>
    <fill>
      <patternFill patternType="solid">
        <fgColor rgb="FF002F1D"/>
        <bgColor indexed="64"/>
      </patternFill>
    </fill>
    <fill>
      <patternFill patternType="solid">
        <fgColor rgb="FF002F1E"/>
        <bgColor indexed="64"/>
      </patternFill>
    </fill>
    <fill>
      <patternFill patternType="solid">
        <fgColor rgb="FF002F1F"/>
        <bgColor indexed="64"/>
      </patternFill>
    </fill>
    <fill>
      <patternFill patternType="solid">
        <fgColor rgb="FF002F20"/>
        <bgColor indexed="64"/>
      </patternFill>
    </fill>
    <fill>
      <patternFill patternType="solid">
        <fgColor rgb="FF002F21"/>
        <bgColor indexed="64"/>
      </patternFill>
    </fill>
    <fill>
      <patternFill patternType="solid">
        <fgColor rgb="FF002F22"/>
        <bgColor indexed="64"/>
      </patternFill>
    </fill>
    <fill>
      <patternFill patternType="solid">
        <fgColor rgb="FF002F23"/>
        <bgColor indexed="64"/>
      </patternFill>
    </fill>
    <fill>
      <patternFill patternType="solid">
        <fgColor rgb="FF002F24"/>
        <bgColor indexed="64"/>
      </patternFill>
    </fill>
    <fill>
      <patternFill patternType="solid">
        <fgColor rgb="FF002F25"/>
        <bgColor indexed="64"/>
      </patternFill>
    </fill>
    <fill>
      <patternFill patternType="solid">
        <fgColor rgb="FF002F26"/>
        <bgColor indexed="64"/>
      </patternFill>
    </fill>
    <fill>
      <patternFill patternType="solid">
        <fgColor rgb="FF002F27"/>
        <bgColor indexed="64"/>
      </patternFill>
    </fill>
    <fill>
      <patternFill patternType="solid">
        <fgColor rgb="FF002F28"/>
        <bgColor indexed="64"/>
      </patternFill>
    </fill>
    <fill>
      <patternFill patternType="solid">
        <fgColor rgb="FF002F29"/>
        <bgColor indexed="64"/>
      </patternFill>
    </fill>
    <fill>
      <patternFill patternType="solid">
        <fgColor rgb="FF002F2A"/>
        <bgColor indexed="64"/>
      </patternFill>
    </fill>
    <fill>
      <patternFill patternType="solid">
        <fgColor rgb="FF002F2B"/>
        <bgColor indexed="64"/>
      </patternFill>
    </fill>
    <fill>
      <patternFill patternType="solid">
        <fgColor rgb="FF002F2C"/>
        <bgColor indexed="64"/>
      </patternFill>
    </fill>
    <fill>
      <patternFill patternType="solid">
        <fgColor rgb="FF002F2D"/>
        <bgColor indexed="64"/>
      </patternFill>
    </fill>
    <fill>
      <patternFill patternType="solid">
        <fgColor rgb="FF002F2E"/>
        <bgColor indexed="64"/>
      </patternFill>
    </fill>
    <fill>
      <patternFill patternType="solid">
        <fgColor rgb="FF002F2F"/>
        <bgColor indexed="64"/>
      </patternFill>
    </fill>
    <fill>
      <patternFill patternType="solid">
        <fgColor rgb="FF002F30"/>
        <bgColor indexed="64"/>
      </patternFill>
    </fill>
    <fill>
      <patternFill patternType="solid">
        <fgColor rgb="FF002F31"/>
        <bgColor indexed="64"/>
      </patternFill>
    </fill>
    <fill>
      <patternFill patternType="solid">
        <fgColor rgb="FF002F32"/>
        <bgColor indexed="64"/>
      </patternFill>
    </fill>
    <fill>
      <patternFill patternType="solid">
        <fgColor rgb="FF002F33"/>
        <bgColor indexed="64"/>
      </patternFill>
    </fill>
    <fill>
      <patternFill patternType="solid">
        <fgColor rgb="FF002F34"/>
        <bgColor indexed="64"/>
      </patternFill>
    </fill>
    <fill>
      <patternFill patternType="solid">
        <fgColor rgb="FF002F35"/>
        <bgColor indexed="64"/>
      </patternFill>
    </fill>
    <fill>
      <patternFill patternType="solid">
        <fgColor rgb="FF002F36"/>
        <bgColor indexed="64"/>
      </patternFill>
    </fill>
    <fill>
      <patternFill patternType="solid">
        <fgColor rgb="FF002F37"/>
        <bgColor indexed="64"/>
      </patternFill>
    </fill>
    <fill>
      <patternFill patternType="solid">
        <fgColor rgb="FF002F38"/>
        <bgColor indexed="64"/>
      </patternFill>
    </fill>
    <fill>
      <patternFill patternType="solid">
        <fgColor rgb="FF002F39"/>
        <bgColor indexed="64"/>
      </patternFill>
    </fill>
    <fill>
      <patternFill patternType="solid">
        <fgColor rgb="FF002F3A"/>
        <bgColor indexed="64"/>
      </patternFill>
    </fill>
    <fill>
      <patternFill patternType="solid">
        <fgColor rgb="FF002F3B"/>
        <bgColor indexed="64"/>
      </patternFill>
    </fill>
    <fill>
      <patternFill patternType="solid">
        <fgColor rgb="FF002F3C"/>
        <bgColor indexed="64"/>
      </patternFill>
    </fill>
    <fill>
      <patternFill patternType="solid">
        <fgColor rgb="FF002F3D"/>
        <bgColor indexed="64"/>
      </patternFill>
    </fill>
    <fill>
      <patternFill patternType="solid">
        <fgColor rgb="FF002F3E"/>
        <bgColor indexed="64"/>
      </patternFill>
    </fill>
    <fill>
      <patternFill patternType="solid">
        <fgColor rgb="FF002F3F"/>
        <bgColor indexed="64"/>
      </patternFill>
    </fill>
    <fill>
      <patternFill patternType="solid">
        <fgColor rgb="FF002F40"/>
        <bgColor indexed="64"/>
      </patternFill>
    </fill>
    <fill>
      <patternFill patternType="solid">
        <fgColor rgb="FF002F41"/>
        <bgColor indexed="64"/>
      </patternFill>
    </fill>
    <fill>
      <patternFill patternType="solid">
        <fgColor rgb="FF002F42"/>
        <bgColor indexed="64"/>
      </patternFill>
    </fill>
    <fill>
      <patternFill patternType="solid">
        <fgColor rgb="FF002F43"/>
        <bgColor indexed="64"/>
      </patternFill>
    </fill>
    <fill>
      <patternFill patternType="solid">
        <fgColor rgb="FF002F44"/>
        <bgColor indexed="64"/>
      </patternFill>
    </fill>
    <fill>
      <patternFill patternType="solid">
        <fgColor rgb="FF002F45"/>
        <bgColor indexed="64"/>
      </patternFill>
    </fill>
    <fill>
      <patternFill patternType="solid">
        <fgColor rgb="FF002F46"/>
        <bgColor indexed="64"/>
      </patternFill>
    </fill>
    <fill>
      <patternFill patternType="solid">
        <fgColor rgb="FF002F47"/>
        <bgColor indexed="64"/>
      </patternFill>
    </fill>
    <fill>
      <patternFill patternType="solid">
        <fgColor rgb="FF002F48"/>
        <bgColor indexed="64"/>
      </patternFill>
    </fill>
    <fill>
      <patternFill patternType="solid">
        <fgColor rgb="FF002F49"/>
        <bgColor indexed="64"/>
      </patternFill>
    </fill>
    <fill>
      <patternFill patternType="solid">
        <fgColor rgb="FF002F4A"/>
        <bgColor indexed="64"/>
      </patternFill>
    </fill>
    <fill>
      <patternFill patternType="solid">
        <fgColor rgb="FF002F4B"/>
        <bgColor indexed="64"/>
      </patternFill>
    </fill>
    <fill>
      <patternFill patternType="solid">
        <fgColor rgb="FF002F4C"/>
        <bgColor indexed="64"/>
      </patternFill>
    </fill>
    <fill>
      <patternFill patternType="solid">
        <fgColor rgb="FF002F4D"/>
        <bgColor indexed="64"/>
      </patternFill>
    </fill>
    <fill>
      <patternFill patternType="solid">
        <fgColor rgb="FF002F4E"/>
        <bgColor indexed="64"/>
      </patternFill>
    </fill>
    <fill>
      <patternFill patternType="solid">
        <fgColor rgb="FF002F4F"/>
        <bgColor indexed="64"/>
      </patternFill>
    </fill>
    <fill>
      <patternFill patternType="solid">
        <fgColor rgb="FF002F50"/>
        <bgColor indexed="64"/>
      </patternFill>
    </fill>
    <fill>
      <patternFill patternType="solid">
        <fgColor rgb="FF002F51"/>
        <bgColor indexed="64"/>
      </patternFill>
    </fill>
    <fill>
      <patternFill patternType="solid">
        <fgColor rgb="FF002F52"/>
        <bgColor indexed="64"/>
      </patternFill>
    </fill>
    <fill>
      <patternFill patternType="solid">
        <fgColor rgb="FF002F53"/>
        <bgColor indexed="64"/>
      </patternFill>
    </fill>
    <fill>
      <patternFill patternType="solid">
        <fgColor rgb="FF002F54"/>
        <bgColor indexed="64"/>
      </patternFill>
    </fill>
    <fill>
      <patternFill patternType="solid">
        <fgColor rgb="FF002F55"/>
        <bgColor indexed="64"/>
      </patternFill>
    </fill>
    <fill>
      <patternFill patternType="solid">
        <fgColor rgb="FF002F56"/>
        <bgColor indexed="64"/>
      </patternFill>
    </fill>
    <fill>
      <patternFill patternType="solid">
        <fgColor rgb="FF002F57"/>
        <bgColor indexed="64"/>
      </patternFill>
    </fill>
    <fill>
      <patternFill patternType="solid">
        <fgColor rgb="FF002F58"/>
        <bgColor indexed="64"/>
      </patternFill>
    </fill>
    <fill>
      <patternFill patternType="solid">
        <fgColor rgb="FF002F59"/>
        <bgColor indexed="64"/>
      </patternFill>
    </fill>
    <fill>
      <patternFill patternType="solid">
        <fgColor rgb="FF002F5A"/>
        <bgColor indexed="64"/>
      </patternFill>
    </fill>
    <fill>
      <patternFill patternType="solid">
        <fgColor rgb="FF002F5B"/>
        <bgColor indexed="64"/>
      </patternFill>
    </fill>
    <fill>
      <patternFill patternType="solid">
        <fgColor rgb="FF002F5C"/>
        <bgColor indexed="64"/>
      </patternFill>
    </fill>
    <fill>
      <patternFill patternType="solid">
        <fgColor rgb="FF002F5D"/>
        <bgColor indexed="64"/>
      </patternFill>
    </fill>
    <fill>
      <patternFill patternType="solid">
        <fgColor rgb="FF002F5E"/>
        <bgColor indexed="64"/>
      </patternFill>
    </fill>
    <fill>
      <patternFill patternType="solid">
        <fgColor rgb="FF002F5F"/>
        <bgColor indexed="64"/>
      </patternFill>
    </fill>
    <fill>
      <patternFill patternType="solid">
        <fgColor rgb="FF002F60"/>
        <bgColor indexed="64"/>
      </patternFill>
    </fill>
    <fill>
      <patternFill patternType="solid">
        <fgColor rgb="FF002F61"/>
        <bgColor indexed="64"/>
      </patternFill>
    </fill>
    <fill>
      <patternFill patternType="solid">
        <fgColor rgb="FF002F62"/>
        <bgColor indexed="64"/>
      </patternFill>
    </fill>
    <fill>
      <patternFill patternType="solid">
        <fgColor rgb="FF002F63"/>
        <bgColor indexed="64"/>
      </patternFill>
    </fill>
    <fill>
      <patternFill patternType="solid">
        <fgColor rgb="FF002F64"/>
        <bgColor indexed="64"/>
      </patternFill>
    </fill>
    <fill>
      <patternFill patternType="solid">
        <fgColor rgb="FF002F65"/>
        <bgColor indexed="64"/>
      </patternFill>
    </fill>
    <fill>
      <patternFill patternType="solid">
        <fgColor rgb="FF002F66"/>
        <bgColor indexed="64"/>
      </patternFill>
    </fill>
    <fill>
      <patternFill patternType="solid">
        <fgColor rgb="FF002F67"/>
        <bgColor indexed="64"/>
      </patternFill>
    </fill>
    <fill>
      <patternFill patternType="solid">
        <fgColor rgb="FF002F68"/>
        <bgColor indexed="64"/>
      </patternFill>
    </fill>
    <fill>
      <patternFill patternType="solid">
        <fgColor rgb="FF002F69"/>
        <bgColor indexed="64"/>
      </patternFill>
    </fill>
    <fill>
      <patternFill patternType="solid">
        <fgColor rgb="FF002F6A"/>
        <bgColor indexed="64"/>
      </patternFill>
    </fill>
    <fill>
      <patternFill patternType="solid">
        <fgColor rgb="FF002F6B"/>
        <bgColor indexed="64"/>
      </patternFill>
    </fill>
    <fill>
      <patternFill patternType="solid">
        <fgColor rgb="FF002F6C"/>
        <bgColor indexed="64"/>
      </patternFill>
    </fill>
    <fill>
      <patternFill patternType="solid">
        <fgColor rgb="FF002F6D"/>
        <bgColor indexed="64"/>
      </patternFill>
    </fill>
    <fill>
      <patternFill patternType="solid">
        <fgColor rgb="FF002F6E"/>
        <bgColor indexed="64"/>
      </patternFill>
    </fill>
    <fill>
      <patternFill patternType="solid">
        <fgColor rgb="FF002F6F"/>
        <bgColor indexed="64"/>
      </patternFill>
    </fill>
    <fill>
      <patternFill patternType="solid">
        <fgColor rgb="FF002F70"/>
        <bgColor indexed="64"/>
      </patternFill>
    </fill>
    <fill>
      <patternFill patternType="solid">
        <fgColor rgb="FF002F71"/>
        <bgColor indexed="64"/>
      </patternFill>
    </fill>
    <fill>
      <patternFill patternType="solid">
        <fgColor rgb="FF002F72"/>
        <bgColor indexed="64"/>
      </patternFill>
    </fill>
    <fill>
      <patternFill patternType="solid">
        <fgColor rgb="FF002F73"/>
        <bgColor indexed="64"/>
      </patternFill>
    </fill>
    <fill>
      <patternFill patternType="solid">
        <fgColor rgb="FF002F74"/>
        <bgColor indexed="64"/>
      </patternFill>
    </fill>
    <fill>
      <patternFill patternType="solid">
        <fgColor rgb="FF002F75"/>
        <bgColor indexed="64"/>
      </patternFill>
    </fill>
    <fill>
      <patternFill patternType="solid">
        <fgColor rgb="FF002F76"/>
        <bgColor indexed="64"/>
      </patternFill>
    </fill>
    <fill>
      <patternFill patternType="solid">
        <fgColor rgb="FF002F77"/>
        <bgColor indexed="64"/>
      </patternFill>
    </fill>
    <fill>
      <patternFill patternType="solid">
        <fgColor rgb="FF002F78"/>
        <bgColor indexed="64"/>
      </patternFill>
    </fill>
    <fill>
      <patternFill patternType="solid">
        <fgColor rgb="FF002F79"/>
        <bgColor indexed="64"/>
      </patternFill>
    </fill>
    <fill>
      <patternFill patternType="solid">
        <fgColor rgb="FF002F7A"/>
        <bgColor indexed="64"/>
      </patternFill>
    </fill>
    <fill>
      <patternFill patternType="solid">
        <fgColor rgb="FF002F7B"/>
        <bgColor indexed="64"/>
      </patternFill>
    </fill>
    <fill>
      <patternFill patternType="solid">
        <fgColor rgb="FF002F7C"/>
        <bgColor indexed="64"/>
      </patternFill>
    </fill>
    <fill>
      <patternFill patternType="solid">
        <fgColor rgb="FF002F7D"/>
        <bgColor indexed="64"/>
      </patternFill>
    </fill>
    <fill>
      <patternFill patternType="solid">
        <fgColor rgb="FF002F7E"/>
        <bgColor indexed="64"/>
      </patternFill>
    </fill>
    <fill>
      <patternFill patternType="solid">
        <fgColor rgb="FF002F7F"/>
        <bgColor indexed="64"/>
      </patternFill>
    </fill>
    <fill>
      <patternFill patternType="solid">
        <fgColor rgb="FF002F80"/>
        <bgColor indexed="64"/>
      </patternFill>
    </fill>
    <fill>
      <patternFill patternType="solid">
        <fgColor rgb="FF002F81"/>
        <bgColor indexed="64"/>
      </patternFill>
    </fill>
    <fill>
      <patternFill patternType="solid">
        <fgColor rgb="FF002F82"/>
        <bgColor indexed="64"/>
      </patternFill>
    </fill>
    <fill>
      <patternFill patternType="solid">
        <fgColor rgb="FF002F83"/>
        <bgColor indexed="64"/>
      </patternFill>
    </fill>
    <fill>
      <patternFill patternType="solid">
        <fgColor rgb="FF002F84"/>
        <bgColor indexed="64"/>
      </patternFill>
    </fill>
    <fill>
      <patternFill patternType="solid">
        <fgColor rgb="FF002F85"/>
        <bgColor indexed="64"/>
      </patternFill>
    </fill>
    <fill>
      <patternFill patternType="solid">
        <fgColor rgb="FF002F86"/>
        <bgColor indexed="64"/>
      </patternFill>
    </fill>
    <fill>
      <patternFill patternType="solid">
        <fgColor rgb="FF002F87"/>
        <bgColor indexed="64"/>
      </patternFill>
    </fill>
    <fill>
      <patternFill patternType="solid">
        <fgColor rgb="FF002F88"/>
        <bgColor indexed="64"/>
      </patternFill>
    </fill>
    <fill>
      <patternFill patternType="solid">
        <fgColor rgb="FF002F89"/>
        <bgColor indexed="64"/>
      </patternFill>
    </fill>
    <fill>
      <patternFill patternType="solid">
        <fgColor rgb="FF002F8A"/>
        <bgColor indexed="64"/>
      </patternFill>
    </fill>
    <fill>
      <patternFill patternType="solid">
        <fgColor rgb="FF002F8B"/>
        <bgColor indexed="64"/>
      </patternFill>
    </fill>
    <fill>
      <patternFill patternType="solid">
        <fgColor rgb="FF002F8C"/>
        <bgColor indexed="64"/>
      </patternFill>
    </fill>
    <fill>
      <patternFill patternType="solid">
        <fgColor rgb="FF002F8D"/>
        <bgColor indexed="64"/>
      </patternFill>
    </fill>
    <fill>
      <patternFill patternType="solid">
        <fgColor rgb="FF002F8E"/>
        <bgColor indexed="64"/>
      </patternFill>
    </fill>
    <fill>
      <patternFill patternType="solid">
        <fgColor rgb="FF002F8F"/>
        <bgColor indexed="64"/>
      </patternFill>
    </fill>
    <fill>
      <patternFill patternType="solid">
        <fgColor rgb="FF002F90"/>
        <bgColor indexed="64"/>
      </patternFill>
    </fill>
    <fill>
      <patternFill patternType="solid">
        <fgColor rgb="FF002F91"/>
        <bgColor indexed="64"/>
      </patternFill>
    </fill>
    <fill>
      <patternFill patternType="solid">
        <fgColor rgb="FF002F92"/>
        <bgColor indexed="64"/>
      </patternFill>
    </fill>
    <fill>
      <patternFill patternType="solid">
        <fgColor rgb="FF002F93"/>
        <bgColor indexed="64"/>
      </patternFill>
    </fill>
    <fill>
      <patternFill patternType="solid">
        <fgColor rgb="FF002F94"/>
        <bgColor indexed="64"/>
      </patternFill>
    </fill>
    <fill>
      <patternFill patternType="solid">
        <fgColor rgb="FF002F95"/>
        <bgColor indexed="64"/>
      </patternFill>
    </fill>
    <fill>
      <patternFill patternType="solid">
        <fgColor rgb="FF002F96"/>
        <bgColor indexed="64"/>
      </patternFill>
    </fill>
    <fill>
      <patternFill patternType="solid">
        <fgColor rgb="FF002F97"/>
        <bgColor indexed="64"/>
      </patternFill>
    </fill>
    <fill>
      <patternFill patternType="solid">
        <fgColor rgb="FF002F98"/>
        <bgColor indexed="64"/>
      </patternFill>
    </fill>
    <fill>
      <patternFill patternType="solid">
        <fgColor rgb="FF002F99"/>
        <bgColor indexed="64"/>
      </patternFill>
    </fill>
    <fill>
      <patternFill patternType="solid">
        <fgColor rgb="FF002F9A"/>
        <bgColor indexed="64"/>
      </patternFill>
    </fill>
    <fill>
      <patternFill patternType="solid">
        <fgColor rgb="FF002F9B"/>
        <bgColor indexed="64"/>
      </patternFill>
    </fill>
    <fill>
      <patternFill patternType="solid">
        <fgColor rgb="FF002F9C"/>
        <bgColor indexed="64"/>
      </patternFill>
    </fill>
    <fill>
      <patternFill patternType="solid">
        <fgColor rgb="FF002F9D"/>
        <bgColor indexed="64"/>
      </patternFill>
    </fill>
    <fill>
      <patternFill patternType="solid">
        <fgColor rgb="FF002F9E"/>
        <bgColor indexed="64"/>
      </patternFill>
    </fill>
    <fill>
      <patternFill patternType="solid">
        <fgColor rgb="FF002F9F"/>
        <bgColor indexed="64"/>
      </patternFill>
    </fill>
    <fill>
      <patternFill patternType="solid">
        <fgColor rgb="FF002FA0"/>
        <bgColor indexed="64"/>
      </patternFill>
    </fill>
    <fill>
      <patternFill patternType="solid">
        <fgColor rgb="FF002FA1"/>
        <bgColor indexed="64"/>
      </patternFill>
    </fill>
    <fill>
      <patternFill patternType="solid">
        <fgColor rgb="FF002FA2"/>
        <bgColor indexed="64"/>
      </patternFill>
    </fill>
    <fill>
      <patternFill patternType="solid">
        <fgColor rgb="FF002FA3"/>
        <bgColor indexed="64"/>
      </patternFill>
    </fill>
    <fill>
      <patternFill patternType="solid">
        <fgColor rgb="FF002FA4"/>
        <bgColor indexed="64"/>
      </patternFill>
    </fill>
    <fill>
      <patternFill patternType="solid">
        <fgColor rgb="FF002FA5"/>
        <bgColor indexed="64"/>
      </patternFill>
    </fill>
    <fill>
      <patternFill patternType="solid">
        <fgColor rgb="FF002FA6"/>
        <bgColor indexed="64"/>
      </patternFill>
    </fill>
    <fill>
      <patternFill patternType="solid">
        <fgColor rgb="FF002FA7"/>
        <bgColor indexed="64"/>
      </patternFill>
    </fill>
    <fill>
      <patternFill patternType="solid">
        <fgColor rgb="FF002FA8"/>
        <bgColor indexed="64"/>
      </patternFill>
    </fill>
    <fill>
      <patternFill patternType="solid">
        <fgColor rgb="FF002FA9"/>
        <bgColor indexed="64"/>
      </patternFill>
    </fill>
    <fill>
      <patternFill patternType="solid">
        <fgColor rgb="FF002FAA"/>
        <bgColor indexed="64"/>
      </patternFill>
    </fill>
    <fill>
      <patternFill patternType="solid">
        <fgColor rgb="FF002FAB"/>
        <bgColor indexed="64"/>
      </patternFill>
    </fill>
    <fill>
      <patternFill patternType="solid">
        <fgColor rgb="FF002FAC"/>
        <bgColor indexed="64"/>
      </patternFill>
    </fill>
    <fill>
      <patternFill patternType="solid">
        <fgColor rgb="FF002FAD"/>
        <bgColor indexed="64"/>
      </patternFill>
    </fill>
    <fill>
      <patternFill patternType="solid">
        <fgColor rgb="FF002FAE"/>
        <bgColor indexed="64"/>
      </patternFill>
    </fill>
    <fill>
      <patternFill patternType="solid">
        <fgColor rgb="FF002FAF"/>
        <bgColor indexed="64"/>
      </patternFill>
    </fill>
    <fill>
      <patternFill patternType="solid">
        <fgColor rgb="FF002FB0"/>
        <bgColor indexed="64"/>
      </patternFill>
    </fill>
    <fill>
      <patternFill patternType="solid">
        <fgColor rgb="FF002FB1"/>
        <bgColor indexed="64"/>
      </patternFill>
    </fill>
    <fill>
      <patternFill patternType="solid">
        <fgColor rgb="FF002FB2"/>
        <bgColor indexed="64"/>
      </patternFill>
    </fill>
    <fill>
      <patternFill patternType="solid">
        <fgColor rgb="FF002FB3"/>
        <bgColor indexed="64"/>
      </patternFill>
    </fill>
    <fill>
      <patternFill patternType="solid">
        <fgColor rgb="FF002FB4"/>
        <bgColor indexed="64"/>
      </patternFill>
    </fill>
    <fill>
      <patternFill patternType="solid">
        <fgColor rgb="FF002FB5"/>
        <bgColor indexed="64"/>
      </patternFill>
    </fill>
    <fill>
      <patternFill patternType="solid">
        <fgColor rgb="FF002FB6"/>
        <bgColor indexed="64"/>
      </patternFill>
    </fill>
    <fill>
      <patternFill patternType="solid">
        <fgColor rgb="FF002FB7"/>
        <bgColor indexed="64"/>
      </patternFill>
    </fill>
    <fill>
      <patternFill patternType="solid">
        <fgColor rgb="FF002FB8"/>
        <bgColor indexed="64"/>
      </patternFill>
    </fill>
    <fill>
      <patternFill patternType="solid">
        <fgColor rgb="FF002FB9"/>
        <bgColor indexed="64"/>
      </patternFill>
    </fill>
    <fill>
      <patternFill patternType="solid">
        <fgColor rgb="FF002FBA"/>
        <bgColor indexed="64"/>
      </patternFill>
    </fill>
    <fill>
      <patternFill patternType="solid">
        <fgColor rgb="FF002FBB"/>
        <bgColor indexed="64"/>
      </patternFill>
    </fill>
    <fill>
      <patternFill patternType="solid">
        <fgColor rgb="FF002FBC"/>
        <bgColor indexed="64"/>
      </patternFill>
    </fill>
    <fill>
      <patternFill patternType="solid">
        <fgColor rgb="FF002FBD"/>
        <bgColor indexed="64"/>
      </patternFill>
    </fill>
    <fill>
      <patternFill patternType="solid">
        <fgColor rgb="FF002FBE"/>
        <bgColor indexed="64"/>
      </patternFill>
    </fill>
    <fill>
      <patternFill patternType="solid">
        <fgColor rgb="FF002FBF"/>
        <bgColor indexed="64"/>
      </patternFill>
    </fill>
    <fill>
      <patternFill patternType="solid">
        <fgColor rgb="FF002FC0"/>
        <bgColor indexed="64"/>
      </patternFill>
    </fill>
    <fill>
      <patternFill patternType="solid">
        <fgColor rgb="FF002FC1"/>
        <bgColor indexed="64"/>
      </patternFill>
    </fill>
    <fill>
      <patternFill patternType="solid">
        <fgColor rgb="FF002FC2"/>
        <bgColor indexed="64"/>
      </patternFill>
    </fill>
    <fill>
      <patternFill patternType="solid">
        <fgColor rgb="FF002FC3"/>
        <bgColor indexed="64"/>
      </patternFill>
    </fill>
    <fill>
      <patternFill patternType="solid">
        <fgColor rgb="FF002FC4"/>
        <bgColor indexed="64"/>
      </patternFill>
    </fill>
    <fill>
      <patternFill patternType="solid">
        <fgColor rgb="FF002FC5"/>
        <bgColor indexed="64"/>
      </patternFill>
    </fill>
    <fill>
      <patternFill patternType="solid">
        <fgColor rgb="FF002FC6"/>
        <bgColor indexed="64"/>
      </patternFill>
    </fill>
    <fill>
      <patternFill patternType="solid">
        <fgColor rgb="FF002FC7"/>
        <bgColor indexed="64"/>
      </patternFill>
    </fill>
    <fill>
      <patternFill patternType="solid">
        <fgColor rgb="FF002FC8"/>
        <bgColor indexed="64"/>
      </patternFill>
    </fill>
    <fill>
      <patternFill patternType="solid">
        <fgColor rgb="FF002FC9"/>
        <bgColor indexed="64"/>
      </patternFill>
    </fill>
    <fill>
      <patternFill patternType="solid">
        <fgColor rgb="FF002FCA"/>
        <bgColor indexed="64"/>
      </patternFill>
    </fill>
    <fill>
      <patternFill patternType="solid">
        <fgColor rgb="FF002FCB"/>
        <bgColor indexed="64"/>
      </patternFill>
    </fill>
    <fill>
      <patternFill patternType="solid">
        <fgColor rgb="FF002FCC"/>
        <bgColor indexed="64"/>
      </patternFill>
    </fill>
    <fill>
      <patternFill patternType="solid">
        <fgColor rgb="FF002FCD"/>
        <bgColor indexed="64"/>
      </patternFill>
    </fill>
    <fill>
      <patternFill patternType="solid">
        <fgColor rgb="FF002FCE"/>
        <bgColor indexed="64"/>
      </patternFill>
    </fill>
    <fill>
      <patternFill patternType="solid">
        <fgColor rgb="FF002FCF"/>
        <bgColor indexed="64"/>
      </patternFill>
    </fill>
    <fill>
      <patternFill patternType="solid">
        <fgColor rgb="FF002FD0"/>
        <bgColor indexed="64"/>
      </patternFill>
    </fill>
    <fill>
      <patternFill patternType="solid">
        <fgColor rgb="FF002FD1"/>
        <bgColor indexed="64"/>
      </patternFill>
    </fill>
    <fill>
      <patternFill patternType="solid">
        <fgColor rgb="FF002FD2"/>
        <bgColor indexed="64"/>
      </patternFill>
    </fill>
    <fill>
      <patternFill patternType="solid">
        <fgColor rgb="FF002FD3"/>
        <bgColor indexed="64"/>
      </patternFill>
    </fill>
    <fill>
      <patternFill patternType="solid">
        <fgColor rgb="FF002FD4"/>
        <bgColor indexed="64"/>
      </patternFill>
    </fill>
    <fill>
      <patternFill patternType="solid">
        <fgColor rgb="FF002FD5"/>
        <bgColor indexed="64"/>
      </patternFill>
    </fill>
    <fill>
      <patternFill patternType="solid">
        <fgColor rgb="FF002FD6"/>
        <bgColor indexed="64"/>
      </patternFill>
    </fill>
    <fill>
      <patternFill patternType="solid">
        <fgColor rgb="FF002FD7"/>
        <bgColor indexed="64"/>
      </patternFill>
    </fill>
    <fill>
      <patternFill patternType="solid">
        <fgColor rgb="FF002FD8"/>
        <bgColor indexed="64"/>
      </patternFill>
    </fill>
    <fill>
      <patternFill patternType="solid">
        <fgColor rgb="FF002FD9"/>
        <bgColor indexed="64"/>
      </patternFill>
    </fill>
    <fill>
      <patternFill patternType="solid">
        <fgColor rgb="FF002FDA"/>
        <bgColor indexed="64"/>
      </patternFill>
    </fill>
    <fill>
      <patternFill patternType="solid">
        <fgColor rgb="FF002FDB"/>
        <bgColor indexed="64"/>
      </patternFill>
    </fill>
    <fill>
      <patternFill patternType="solid">
        <fgColor rgb="FF002FDC"/>
        <bgColor indexed="64"/>
      </patternFill>
    </fill>
    <fill>
      <patternFill patternType="solid">
        <fgColor rgb="FF002FDD"/>
        <bgColor indexed="64"/>
      </patternFill>
    </fill>
    <fill>
      <patternFill patternType="solid">
        <fgColor rgb="FF002FDE"/>
        <bgColor indexed="64"/>
      </patternFill>
    </fill>
    <fill>
      <patternFill patternType="solid">
        <fgColor rgb="FF002FDF"/>
        <bgColor indexed="64"/>
      </patternFill>
    </fill>
    <fill>
      <patternFill patternType="solid">
        <fgColor rgb="FF002FE0"/>
        <bgColor indexed="64"/>
      </patternFill>
    </fill>
    <fill>
      <patternFill patternType="solid">
        <fgColor rgb="FF002FE1"/>
        <bgColor indexed="64"/>
      </patternFill>
    </fill>
    <fill>
      <patternFill patternType="solid">
        <fgColor rgb="FF002FE2"/>
        <bgColor indexed="64"/>
      </patternFill>
    </fill>
    <fill>
      <patternFill patternType="solid">
        <fgColor rgb="FF002FE3"/>
        <bgColor indexed="64"/>
      </patternFill>
    </fill>
    <fill>
      <patternFill patternType="solid">
        <fgColor rgb="FF002FE4"/>
        <bgColor indexed="64"/>
      </patternFill>
    </fill>
    <fill>
      <patternFill patternType="solid">
        <fgColor rgb="FF002FE5"/>
        <bgColor indexed="64"/>
      </patternFill>
    </fill>
    <fill>
      <patternFill patternType="solid">
        <fgColor rgb="FF002FE6"/>
        <bgColor indexed="64"/>
      </patternFill>
    </fill>
    <fill>
      <patternFill patternType="solid">
        <fgColor rgb="FF002FE7"/>
        <bgColor indexed="64"/>
      </patternFill>
    </fill>
    <fill>
      <patternFill patternType="solid">
        <fgColor rgb="FF002FE8"/>
        <bgColor indexed="64"/>
      </patternFill>
    </fill>
    <fill>
      <patternFill patternType="solid">
        <fgColor rgb="FF002FE9"/>
        <bgColor indexed="64"/>
      </patternFill>
    </fill>
    <fill>
      <patternFill patternType="solid">
        <fgColor rgb="FF002FEA"/>
        <bgColor indexed="64"/>
      </patternFill>
    </fill>
    <fill>
      <patternFill patternType="solid">
        <fgColor rgb="FF002FEB"/>
        <bgColor indexed="64"/>
      </patternFill>
    </fill>
    <fill>
      <patternFill patternType="solid">
        <fgColor rgb="FF002FEC"/>
        <bgColor indexed="64"/>
      </patternFill>
    </fill>
    <fill>
      <patternFill patternType="solid">
        <fgColor rgb="FF002FED"/>
        <bgColor indexed="64"/>
      </patternFill>
    </fill>
    <fill>
      <patternFill patternType="solid">
        <fgColor rgb="FF002FEE"/>
        <bgColor indexed="64"/>
      </patternFill>
    </fill>
    <fill>
      <patternFill patternType="solid">
        <fgColor rgb="FF002FEF"/>
        <bgColor indexed="64"/>
      </patternFill>
    </fill>
    <fill>
      <patternFill patternType="solid">
        <fgColor rgb="FF002FF0"/>
        <bgColor indexed="64"/>
      </patternFill>
    </fill>
    <fill>
      <patternFill patternType="solid">
        <fgColor rgb="FF002FF1"/>
        <bgColor indexed="64"/>
      </patternFill>
    </fill>
    <fill>
      <patternFill patternType="solid">
        <fgColor rgb="FF002FF2"/>
        <bgColor indexed="64"/>
      </patternFill>
    </fill>
    <fill>
      <patternFill patternType="solid">
        <fgColor rgb="FF002FF3"/>
        <bgColor indexed="64"/>
      </patternFill>
    </fill>
    <fill>
      <patternFill patternType="solid">
        <fgColor rgb="FF002FF4"/>
        <bgColor indexed="64"/>
      </patternFill>
    </fill>
    <fill>
      <patternFill patternType="solid">
        <fgColor rgb="FF002FF5"/>
        <bgColor indexed="64"/>
      </patternFill>
    </fill>
    <fill>
      <patternFill patternType="solid">
        <fgColor rgb="FF002FF6"/>
        <bgColor indexed="64"/>
      </patternFill>
    </fill>
    <fill>
      <patternFill patternType="solid">
        <fgColor rgb="FF002FF7"/>
        <bgColor indexed="64"/>
      </patternFill>
    </fill>
    <fill>
      <patternFill patternType="solid">
        <fgColor rgb="FF002FF8"/>
        <bgColor indexed="64"/>
      </patternFill>
    </fill>
    <fill>
      <patternFill patternType="solid">
        <fgColor rgb="FF002FF9"/>
        <bgColor indexed="64"/>
      </patternFill>
    </fill>
    <fill>
      <patternFill patternType="solid">
        <fgColor rgb="FF002FFA"/>
        <bgColor indexed="64"/>
      </patternFill>
    </fill>
    <fill>
      <patternFill patternType="solid">
        <fgColor rgb="FF002FFB"/>
        <bgColor indexed="64"/>
      </patternFill>
    </fill>
    <fill>
      <patternFill patternType="solid">
        <fgColor rgb="FF002FFC"/>
        <bgColor indexed="64"/>
      </patternFill>
    </fill>
    <fill>
      <patternFill patternType="solid">
        <fgColor rgb="FF002FFD"/>
        <bgColor indexed="64"/>
      </patternFill>
    </fill>
    <fill>
      <patternFill patternType="solid">
        <fgColor rgb="FF002FFE"/>
        <bgColor indexed="64"/>
      </patternFill>
    </fill>
    <fill>
      <patternFill patternType="solid">
        <fgColor rgb="FF002FFF"/>
        <bgColor indexed="64"/>
      </patternFill>
    </fill>
    <fill>
      <patternFill patternType="solid">
        <fgColor rgb="FF003000"/>
        <bgColor indexed="64"/>
      </patternFill>
    </fill>
    <fill>
      <patternFill patternType="solid">
        <fgColor rgb="FF003001"/>
        <bgColor indexed="64"/>
      </patternFill>
    </fill>
    <fill>
      <patternFill patternType="solid">
        <fgColor rgb="FF003002"/>
        <bgColor indexed="64"/>
      </patternFill>
    </fill>
    <fill>
      <patternFill patternType="solid">
        <fgColor rgb="FF003003"/>
        <bgColor indexed="64"/>
      </patternFill>
    </fill>
    <fill>
      <patternFill patternType="solid">
        <fgColor rgb="FF003004"/>
        <bgColor indexed="64"/>
      </patternFill>
    </fill>
    <fill>
      <patternFill patternType="solid">
        <fgColor rgb="FF003005"/>
        <bgColor indexed="64"/>
      </patternFill>
    </fill>
    <fill>
      <patternFill patternType="solid">
        <fgColor rgb="FF003006"/>
        <bgColor indexed="64"/>
      </patternFill>
    </fill>
    <fill>
      <patternFill patternType="solid">
        <fgColor rgb="FF003007"/>
        <bgColor indexed="64"/>
      </patternFill>
    </fill>
    <fill>
      <patternFill patternType="solid">
        <fgColor rgb="FF003008"/>
        <bgColor indexed="64"/>
      </patternFill>
    </fill>
    <fill>
      <patternFill patternType="solid">
        <fgColor rgb="FF003009"/>
        <bgColor indexed="64"/>
      </patternFill>
    </fill>
    <fill>
      <patternFill patternType="solid">
        <fgColor rgb="FF00300A"/>
        <bgColor indexed="64"/>
      </patternFill>
    </fill>
    <fill>
      <patternFill patternType="solid">
        <fgColor rgb="FF00300B"/>
        <bgColor indexed="64"/>
      </patternFill>
    </fill>
    <fill>
      <patternFill patternType="solid">
        <fgColor rgb="FF00300C"/>
        <bgColor indexed="64"/>
      </patternFill>
    </fill>
    <fill>
      <patternFill patternType="solid">
        <fgColor rgb="FF00300D"/>
        <bgColor indexed="64"/>
      </patternFill>
    </fill>
    <fill>
      <patternFill patternType="solid">
        <fgColor rgb="FF00300E"/>
        <bgColor indexed="64"/>
      </patternFill>
    </fill>
    <fill>
      <patternFill patternType="solid">
        <fgColor rgb="FF00300F"/>
        <bgColor indexed="64"/>
      </patternFill>
    </fill>
    <fill>
      <patternFill patternType="solid">
        <fgColor rgb="FF003010"/>
        <bgColor indexed="64"/>
      </patternFill>
    </fill>
    <fill>
      <patternFill patternType="solid">
        <fgColor rgb="FF003011"/>
        <bgColor indexed="64"/>
      </patternFill>
    </fill>
    <fill>
      <patternFill patternType="solid">
        <fgColor rgb="FF003012"/>
        <bgColor indexed="64"/>
      </patternFill>
    </fill>
    <fill>
      <patternFill patternType="solid">
        <fgColor rgb="FF003013"/>
        <bgColor indexed="64"/>
      </patternFill>
    </fill>
    <fill>
      <patternFill patternType="solid">
        <fgColor rgb="FF003014"/>
        <bgColor indexed="64"/>
      </patternFill>
    </fill>
    <fill>
      <patternFill patternType="solid">
        <fgColor rgb="FF003015"/>
        <bgColor indexed="64"/>
      </patternFill>
    </fill>
    <fill>
      <patternFill patternType="solid">
        <fgColor rgb="FF003016"/>
        <bgColor indexed="64"/>
      </patternFill>
    </fill>
    <fill>
      <patternFill patternType="solid">
        <fgColor rgb="FF003017"/>
        <bgColor indexed="64"/>
      </patternFill>
    </fill>
    <fill>
      <patternFill patternType="solid">
        <fgColor rgb="FF003018"/>
        <bgColor indexed="64"/>
      </patternFill>
    </fill>
    <fill>
      <patternFill patternType="solid">
        <fgColor rgb="FF003019"/>
        <bgColor indexed="64"/>
      </patternFill>
    </fill>
    <fill>
      <patternFill patternType="solid">
        <fgColor rgb="FF00301A"/>
        <bgColor indexed="64"/>
      </patternFill>
    </fill>
    <fill>
      <patternFill patternType="solid">
        <fgColor rgb="FF00301B"/>
        <bgColor indexed="64"/>
      </patternFill>
    </fill>
    <fill>
      <patternFill patternType="solid">
        <fgColor rgb="FF00301C"/>
        <bgColor indexed="64"/>
      </patternFill>
    </fill>
    <fill>
      <patternFill patternType="solid">
        <fgColor rgb="FF00301D"/>
        <bgColor indexed="64"/>
      </patternFill>
    </fill>
    <fill>
      <patternFill patternType="solid">
        <fgColor rgb="FF00301E"/>
        <bgColor indexed="64"/>
      </patternFill>
    </fill>
    <fill>
      <patternFill patternType="solid">
        <fgColor rgb="FF00301F"/>
        <bgColor indexed="64"/>
      </patternFill>
    </fill>
    <fill>
      <patternFill patternType="solid">
        <fgColor rgb="FF003020"/>
        <bgColor indexed="64"/>
      </patternFill>
    </fill>
    <fill>
      <patternFill patternType="solid">
        <fgColor rgb="FF003021"/>
        <bgColor indexed="64"/>
      </patternFill>
    </fill>
    <fill>
      <patternFill patternType="solid">
        <fgColor rgb="FF003022"/>
        <bgColor indexed="64"/>
      </patternFill>
    </fill>
    <fill>
      <patternFill patternType="solid">
        <fgColor rgb="FF003023"/>
        <bgColor indexed="64"/>
      </patternFill>
    </fill>
    <fill>
      <patternFill patternType="solid">
        <fgColor rgb="FF003024"/>
        <bgColor indexed="64"/>
      </patternFill>
    </fill>
    <fill>
      <patternFill patternType="solid">
        <fgColor rgb="FF003025"/>
        <bgColor indexed="64"/>
      </patternFill>
    </fill>
    <fill>
      <patternFill patternType="solid">
        <fgColor rgb="FF003026"/>
        <bgColor indexed="64"/>
      </patternFill>
    </fill>
    <fill>
      <patternFill patternType="solid">
        <fgColor rgb="FF003027"/>
        <bgColor indexed="64"/>
      </patternFill>
    </fill>
    <fill>
      <patternFill patternType="solid">
        <fgColor rgb="FF003028"/>
        <bgColor indexed="64"/>
      </patternFill>
    </fill>
    <fill>
      <patternFill patternType="solid">
        <fgColor rgb="FF003029"/>
        <bgColor indexed="64"/>
      </patternFill>
    </fill>
    <fill>
      <patternFill patternType="solid">
        <fgColor rgb="FF00302A"/>
        <bgColor indexed="64"/>
      </patternFill>
    </fill>
    <fill>
      <patternFill patternType="solid">
        <fgColor rgb="FF00302B"/>
        <bgColor indexed="64"/>
      </patternFill>
    </fill>
    <fill>
      <patternFill patternType="solid">
        <fgColor rgb="FF00302C"/>
        <bgColor indexed="64"/>
      </patternFill>
    </fill>
    <fill>
      <patternFill patternType="solid">
        <fgColor rgb="FF00302D"/>
        <bgColor indexed="64"/>
      </patternFill>
    </fill>
    <fill>
      <patternFill patternType="solid">
        <fgColor rgb="FF00302E"/>
        <bgColor indexed="64"/>
      </patternFill>
    </fill>
    <fill>
      <patternFill patternType="solid">
        <fgColor rgb="FF00302F"/>
        <bgColor indexed="64"/>
      </patternFill>
    </fill>
    <fill>
      <patternFill patternType="solid">
        <fgColor rgb="FF003030"/>
        <bgColor indexed="64"/>
      </patternFill>
    </fill>
    <fill>
      <patternFill patternType="solid">
        <fgColor rgb="FF003031"/>
        <bgColor indexed="64"/>
      </patternFill>
    </fill>
    <fill>
      <patternFill patternType="solid">
        <fgColor rgb="FF003032"/>
        <bgColor indexed="64"/>
      </patternFill>
    </fill>
    <fill>
      <patternFill patternType="solid">
        <fgColor rgb="FF003033"/>
        <bgColor indexed="64"/>
      </patternFill>
    </fill>
    <fill>
      <patternFill patternType="solid">
        <fgColor rgb="FF003034"/>
        <bgColor indexed="64"/>
      </patternFill>
    </fill>
    <fill>
      <patternFill patternType="solid">
        <fgColor rgb="FF003035"/>
        <bgColor indexed="64"/>
      </patternFill>
    </fill>
    <fill>
      <patternFill patternType="solid">
        <fgColor rgb="FF003036"/>
        <bgColor indexed="64"/>
      </patternFill>
    </fill>
    <fill>
      <patternFill patternType="solid">
        <fgColor rgb="FF003037"/>
        <bgColor indexed="64"/>
      </patternFill>
    </fill>
    <fill>
      <patternFill patternType="solid">
        <fgColor rgb="FF003038"/>
        <bgColor indexed="64"/>
      </patternFill>
    </fill>
    <fill>
      <patternFill patternType="solid">
        <fgColor rgb="FF003039"/>
        <bgColor indexed="64"/>
      </patternFill>
    </fill>
    <fill>
      <patternFill patternType="solid">
        <fgColor rgb="FF00303A"/>
        <bgColor indexed="64"/>
      </patternFill>
    </fill>
    <fill>
      <patternFill patternType="solid">
        <fgColor rgb="FF00303B"/>
        <bgColor indexed="64"/>
      </patternFill>
    </fill>
    <fill>
      <patternFill patternType="solid">
        <fgColor rgb="FF00303C"/>
        <bgColor indexed="64"/>
      </patternFill>
    </fill>
    <fill>
      <patternFill patternType="solid">
        <fgColor rgb="FF00303D"/>
        <bgColor indexed="64"/>
      </patternFill>
    </fill>
    <fill>
      <patternFill patternType="solid">
        <fgColor rgb="FF00303E"/>
        <bgColor indexed="64"/>
      </patternFill>
    </fill>
    <fill>
      <patternFill patternType="solid">
        <fgColor rgb="FF00303F"/>
        <bgColor indexed="64"/>
      </patternFill>
    </fill>
    <fill>
      <patternFill patternType="solid">
        <fgColor rgb="FF003040"/>
        <bgColor indexed="64"/>
      </patternFill>
    </fill>
    <fill>
      <patternFill patternType="solid">
        <fgColor rgb="FF003041"/>
        <bgColor indexed="64"/>
      </patternFill>
    </fill>
    <fill>
      <patternFill patternType="solid">
        <fgColor rgb="FF003042"/>
        <bgColor indexed="64"/>
      </patternFill>
    </fill>
    <fill>
      <patternFill patternType="solid">
        <fgColor rgb="FF003043"/>
        <bgColor indexed="64"/>
      </patternFill>
    </fill>
    <fill>
      <patternFill patternType="solid">
        <fgColor rgb="FF003044"/>
        <bgColor indexed="64"/>
      </patternFill>
    </fill>
    <fill>
      <patternFill patternType="solid">
        <fgColor rgb="FF003045"/>
        <bgColor indexed="64"/>
      </patternFill>
    </fill>
    <fill>
      <patternFill patternType="solid">
        <fgColor rgb="FF003046"/>
        <bgColor indexed="64"/>
      </patternFill>
    </fill>
    <fill>
      <patternFill patternType="solid">
        <fgColor rgb="FF003047"/>
        <bgColor indexed="64"/>
      </patternFill>
    </fill>
    <fill>
      <patternFill patternType="solid">
        <fgColor rgb="FF003048"/>
        <bgColor indexed="64"/>
      </patternFill>
    </fill>
    <fill>
      <patternFill patternType="solid">
        <fgColor rgb="FF003049"/>
        <bgColor indexed="64"/>
      </patternFill>
    </fill>
    <fill>
      <patternFill patternType="solid">
        <fgColor rgb="FF00304A"/>
        <bgColor indexed="64"/>
      </patternFill>
    </fill>
    <fill>
      <patternFill patternType="solid">
        <fgColor rgb="FF00304B"/>
        <bgColor indexed="64"/>
      </patternFill>
    </fill>
    <fill>
      <patternFill patternType="solid">
        <fgColor rgb="FF00304C"/>
        <bgColor indexed="64"/>
      </patternFill>
    </fill>
    <fill>
      <patternFill patternType="solid">
        <fgColor rgb="FF00304D"/>
        <bgColor indexed="64"/>
      </patternFill>
    </fill>
    <fill>
      <patternFill patternType="solid">
        <fgColor rgb="FF00304E"/>
        <bgColor indexed="64"/>
      </patternFill>
    </fill>
    <fill>
      <patternFill patternType="solid">
        <fgColor rgb="FF00304F"/>
        <bgColor indexed="64"/>
      </patternFill>
    </fill>
    <fill>
      <patternFill patternType="solid">
        <fgColor rgb="FF003050"/>
        <bgColor indexed="64"/>
      </patternFill>
    </fill>
    <fill>
      <patternFill patternType="solid">
        <fgColor rgb="FF003051"/>
        <bgColor indexed="64"/>
      </patternFill>
    </fill>
    <fill>
      <patternFill patternType="solid">
        <fgColor rgb="FF003052"/>
        <bgColor indexed="64"/>
      </patternFill>
    </fill>
    <fill>
      <patternFill patternType="solid">
        <fgColor rgb="FF003053"/>
        <bgColor indexed="64"/>
      </patternFill>
    </fill>
    <fill>
      <patternFill patternType="solid">
        <fgColor rgb="FF003054"/>
        <bgColor indexed="64"/>
      </patternFill>
    </fill>
    <fill>
      <patternFill patternType="solid">
        <fgColor rgb="FF003055"/>
        <bgColor indexed="64"/>
      </patternFill>
    </fill>
    <fill>
      <patternFill patternType="solid">
        <fgColor rgb="FF003056"/>
        <bgColor indexed="64"/>
      </patternFill>
    </fill>
    <fill>
      <patternFill patternType="solid">
        <fgColor rgb="FF003057"/>
        <bgColor indexed="64"/>
      </patternFill>
    </fill>
    <fill>
      <patternFill patternType="solid">
        <fgColor rgb="FF003058"/>
        <bgColor indexed="64"/>
      </patternFill>
    </fill>
    <fill>
      <patternFill patternType="solid">
        <fgColor rgb="FF003059"/>
        <bgColor indexed="64"/>
      </patternFill>
    </fill>
    <fill>
      <patternFill patternType="solid">
        <fgColor rgb="FF00305A"/>
        <bgColor indexed="64"/>
      </patternFill>
    </fill>
    <fill>
      <patternFill patternType="solid">
        <fgColor rgb="FF00305B"/>
        <bgColor indexed="64"/>
      </patternFill>
    </fill>
    <fill>
      <patternFill patternType="solid">
        <fgColor rgb="FF00305C"/>
        <bgColor indexed="64"/>
      </patternFill>
    </fill>
    <fill>
      <patternFill patternType="solid">
        <fgColor rgb="FF00305D"/>
        <bgColor indexed="64"/>
      </patternFill>
    </fill>
    <fill>
      <patternFill patternType="solid">
        <fgColor rgb="FF00305E"/>
        <bgColor indexed="64"/>
      </patternFill>
    </fill>
    <fill>
      <patternFill patternType="solid">
        <fgColor rgb="FF00305F"/>
        <bgColor indexed="64"/>
      </patternFill>
    </fill>
    <fill>
      <patternFill patternType="solid">
        <fgColor rgb="FF003060"/>
        <bgColor indexed="64"/>
      </patternFill>
    </fill>
    <fill>
      <patternFill patternType="solid">
        <fgColor rgb="FF003061"/>
        <bgColor indexed="64"/>
      </patternFill>
    </fill>
    <fill>
      <patternFill patternType="solid">
        <fgColor rgb="FF003062"/>
        <bgColor indexed="64"/>
      </patternFill>
    </fill>
    <fill>
      <patternFill patternType="solid">
        <fgColor rgb="FF003063"/>
        <bgColor indexed="64"/>
      </patternFill>
    </fill>
    <fill>
      <patternFill patternType="solid">
        <fgColor rgb="FF003064"/>
        <bgColor indexed="64"/>
      </patternFill>
    </fill>
    <fill>
      <patternFill patternType="solid">
        <fgColor rgb="FF003065"/>
        <bgColor indexed="64"/>
      </patternFill>
    </fill>
    <fill>
      <patternFill patternType="solid">
        <fgColor rgb="FF003066"/>
        <bgColor indexed="64"/>
      </patternFill>
    </fill>
    <fill>
      <patternFill patternType="solid">
        <fgColor rgb="FF003067"/>
        <bgColor indexed="64"/>
      </patternFill>
    </fill>
    <fill>
      <patternFill patternType="solid">
        <fgColor rgb="FF003068"/>
        <bgColor indexed="64"/>
      </patternFill>
    </fill>
    <fill>
      <patternFill patternType="solid">
        <fgColor rgb="FF003069"/>
        <bgColor indexed="64"/>
      </patternFill>
    </fill>
    <fill>
      <patternFill patternType="solid">
        <fgColor rgb="FF00306A"/>
        <bgColor indexed="64"/>
      </patternFill>
    </fill>
    <fill>
      <patternFill patternType="solid">
        <fgColor rgb="FF00306B"/>
        <bgColor indexed="64"/>
      </patternFill>
    </fill>
    <fill>
      <patternFill patternType="solid">
        <fgColor rgb="FF00306C"/>
        <bgColor indexed="64"/>
      </patternFill>
    </fill>
    <fill>
      <patternFill patternType="solid">
        <fgColor rgb="FF00306D"/>
        <bgColor indexed="64"/>
      </patternFill>
    </fill>
    <fill>
      <patternFill patternType="solid">
        <fgColor rgb="FF00306E"/>
        <bgColor indexed="64"/>
      </patternFill>
    </fill>
    <fill>
      <patternFill patternType="solid">
        <fgColor rgb="FF00306F"/>
        <bgColor indexed="64"/>
      </patternFill>
    </fill>
    <fill>
      <patternFill patternType="solid">
        <fgColor rgb="FF003070"/>
        <bgColor indexed="64"/>
      </patternFill>
    </fill>
    <fill>
      <patternFill patternType="solid">
        <fgColor rgb="FF003071"/>
        <bgColor indexed="64"/>
      </patternFill>
    </fill>
    <fill>
      <patternFill patternType="solid">
        <fgColor rgb="FF003072"/>
        <bgColor indexed="64"/>
      </patternFill>
    </fill>
    <fill>
      <patternFill patternType="solid">
        <fgColor rgb="FF003073"/>
        <bgColor indexed="64"/>
      </patternFill>
    </fill>
    <fill>
      <patternFill patternType="solid">
        <fgColor rgb="FF003074"/>
        <bgColor indexed="64"/>
      </patternFill>
    </fill>
    <fill>
      <patternFill patternType="solid">
        <fgColor rgb="FF003075"/>
        <bgColor indexed="64"/>
      </patternFill>
    </fill>
    <fill>
      <patternFill patternType="solid">
        <fgColor rgb="FF003076"/>
        <bgColor indexed="64"/>
      </patternFill>
    </fill>
    <fill>
      <patternFill patternType="solid">
        <fgColor rgb="FF003077"/>
        <bgColor indexed="64"/>
      </patternFill>
    </fill>
    <fill>
      <patternFill patternType="solid">
        <fgColor rgb="FF003078"/>
        <bgColor indexed="64"/>
      </patternFill>
    </fill>
    <fill>
      <patternFill patternType="solid">
        <fgColor rgb="FF003079"/>
        <bgColor indexed="64"/>
      </patternFill>
    </fill>
    <fill>
      <patternFill patternType="solid">
        <fgColor rgb="FF00307A"/>
        <bgColor indexed="64"/>
      </patternFill>
    </fill>
    <fill>
      <patternFill patternType="solid">
        <fgColor rgb="FF00307B"/>
        <bgColor indexed="64"/>
      </patternFill>
    </fill>
    <fill>
      <patternFill patternType="solid">
        <fgColor rgb="FF00307C"/>
        <bgColor indexed="64"/>
      </patternFill>
    </fill>
    <fill>
      <patternFill patternType="solid">
        <fgColor rgb="FF00307D"/>
        <bgColor indexed="64"/>
      </patternFill>
    </fill>
    <fill>
      <patternFill patternType="solid">
        <fgColor rgb="FF00307E"/>
        <bgColor indexed="64"/>
      </patternFill>
    </fill>
    <fill>
      <patternFill patternType="solid">
        <fgColor rgb="FF00307F"/>
        <bgColor indexed="64"/>
      </patternFill>
    </fill>
    <fill>
      <patternFill patternType="solid">
        <fgColor rgb="FF003080"/>
        <bgColor indexed="64"/>
      </patternFill>
    </fill>
    <fill>
      <patternFill patternType="solid">
        <fgColor rgb="FF003081"/>
        <bgColor indexed="64"/>
      </patternFill>
    </fill>
    <fill>
      <patternFill patternType="solid">
        <fgColor rgb="FF003082"/>
        <bgColor indexed="64"/>
      </patternFill>
    </fill>
    <fill>
      <patternFill patternType="solid">
        <fgColor rgb="FF003083"/>
        <bgColor indexed="64"/>
      </patternFill>
    </fill>
    <fill>
      <patternFill patternType="solid">
        <fgColor rgb="FF003084"/>
        <bgColor indexed="64"/>
      </patternFill>
    </fill>
    <fill>
      <patternFill patternType="solid">
        <fgColor rgb="FF003085"/>
        <bgColor indexed="64"/>
      </patternFill>
    </fill>
    <fill>
      <patternFill patternType="solid">
        <fgColor rgb="FF003086"/>
        <bgColor indexed="64"/>
      </patternFill>
    </fill>
    <fill>
      <patternFill patternType="solid">
        <fgColor rgb="FF003087"/>
        <bgColor indexed="64"/>
      </patternFill>
    </fill>
    <fill>
      <patternFill patternType="solid">
        <fgColor rgb="FF003088"/>
        <bgColor indexed="64"/>
      </patternFill>
    </fill>
    <fill>
      <patternFill patternType="solid">
        <fgColor rgb="FF003089"/>
        <bgColor indexed="64"/>
      </patternFill>
    </fill>
    <fill>
      <patternFill patternType="solid">
        <fgColor rgb="FF00308A"/>
        <bgColor indexed="64"/>
      </patternFill>
    </fill>
    <fill>
      <patternFill patternType="solid">
        <fgColor rgb="FF00308B"/>
        <bgColor indexed="64"/>
      </patternFill>
    </fill>
    <fill>
      <patternFill patternType="solid">
        <fgColor rgb="FF00308C"/>
        <bgColor indexed="64"/>
      </patternFill>
    </fill>
    <fill>
      <patternFill patternType="solid">
        <fgColor rgb="FF00308D"/>
        <bgColor indexed="64"/>
      </patternFill>
    </fill>
    <fill>
      <patternFill patternType="solid">
        <fgColor rgb="FF00308E"/>
        <bgColor indexed="64"/>
      </patternFill>
    </fill>
    <fill>
      <patternFill patternType="solid">
        <fgColor rgb="FF00308F"/>
        <bgColor indexed="64"/>
      </patternFill>
    </fill>
    <fill>
      <patternFill patternType="solid">
        <fgColor rgb="FF003090"/>
        <bgColor indexed="64"/>
      </patternFill>
    </fill>
    <fill>
      <patternFill patternType="solid">
        <fgColor rgb="FF003091"/>
        <bgColor indexed="64"/>
      </patternFill>
    </fill>
    <fill>
      <patternFill patternType="solid">
        <fgColor rgb="FF003092"/>
        <bgColor indexed="64"/>
      </patternFill>
    </fill>
    <fill>
      <patternFill patternType="solid">
        <fgColor rgb="FF003093"/>
        <bgColor indexed="64"/>
      </patternFill>
    </fill>
    <fill>
      <patternFill patternType="solid">
        <fgColor rgb="FF003094"/>
        <bgColor indexed="64"/>
      </patternFill>
    </fill>
    <fill>
      <patternFill patternType="solid">
        <fgColor rgb="FF003095"/>
        <bgColor indexed="64"/>
      </patternFill>
    </fill>
    <fill>
      <patternFill patternType="solid">
        <fgColor rgb="FF003096"/>
        <bgColor indexed="64"/>
      </patternFill>
    </fill>
    <fill>
      <patternFill patternType="solid">
        <fgColor rgb="FF003097"/>
        <bgColor indexed="64"/>
      </patternFill>
    </fill>
    <fill>
      <patternFill patternType="solid">
        <fgColor rgb="FF003098"/>
        <bgColor indexed="64"/>
      </patternFill>
    </fill>
    <fill>
      <patternFill patternType="solid">
        <fgColor rgb="FF003099"/>
        <bgColor indexed="64"/>
      </patternFill>
    </fill>
    <fill>
      <patternFill patternType="solid">
        <fgColor rgb="FF00309A"/>
        <bgColor indexed="64"/>
      </patternFill>
    </fill>
    <fill>
      <patternFill patternType="solid">
        <fgColor rgb="FF00309B"/>
        <bgColor indexed="64"/>
      </patternFill>
    </fill>
    <fill>
      <patternFill patternType="solid">
        <fgColor rgb="FF00309C"/>
        <bgColor indexed="64"/>
      </patternFill>
    </fill>
    <fill>
      <patternFill patternType="solid">
        <fgColor rgb="FF00309D"/>
        <bgColor indexed="64"/>
      </patternFill>
    </fill>
    <fill>
      <patternFill patternType="solid">
        <fgColor rgb="FF00309E"/>
        <bgColor indexed="64"/>
      </patternFill>
    </fill>
    <fill>
      <patternFill patternType="solid">
        <fgColor rgb="FF00309F"/>
        <bgColor indexed="64"/>
      </patternFill>
    </fill>
    <fill>
      <patternFill patternType="solid">
        <fgColor rgb="FF0030A0"/>
        <bgColor indexed="64"/>
      </patternFill>
    </fill>
    <fill>
      <patternFill patternType="solid">
        <fgColor rgb="FF0030A1"/>
        <bgColor indexed="64"/>
      </patternFill>
    </fill>
    <fill>
      <patternFill patternType="solid">
        <fgColor rgb="FF0030A2"/>
        <bgColor indexed="64"/>
      </patternFill>
    </fill>
    <fill>
      <patternFill patternType="solid">
        <fgColor rgb="FF0030A3"/>
        <bgColor indexed="64"/>
      </patternFill>
    </fill>
    <fill>
      <patternFill patternType="solid">
        <fgColor rgb="FF0030A4"/>
        <bgColor indexed="64"/>
      </patternFill>
    </fill>
    <fill>
      <patternFill patternType="solid">
        <fgColor rgb="FF0030A5"/>
        <bgColor indexed="64"/>
      </patternFill>
    </fill>
    <fill>
      <patternFill patternType="solid">
        <fgColor rgb="FF0030A6"/>
        <bgColor indexed="64"/>
      </patternFill>
    </fill>
    <fill>
      <patternFill patternType="solid">
        <fgColor rgb="FF0030A7"/>
        <bgColor indexed="64"/>
      </patternFill>
    </fill>
    <fill>
      <patternFill patternType="solid">
        <fgColor rgb="FF0030A8"/>
        <bgColor indexed="64"/>
      </patternFill>
    </fill>
    <fill>
      <patternFill patternType="solid">
        <fgColor rgb="FF0030A9"/>
        <bgColor indexed="64"/>
      </patternFill>
    </fill>
    <fill>
      <patternFill patternType="solid">
        <fgColor rgb="FF0030AA"/>
        <bgColor indexed="64"/>
      </patternFill>
    </fill>
    <fill>
      <patternFill patternType="solid">
        <fgColor rgb="FF0030AB"/>
        <bgColor indexed="64"/>
      </patternFill>
    </fill>
    <fill>
      <patternFill patternType="solid">
        <fgColor rgb="FF0030AC"/>
        <bgColor indexed="64"/>
      </patternFill>
    </fill>
    <fill>
      <patternFill patternType="solid">
        <fgColor rgb="FF0030AD"/>
        <bgColor indexed="64"/>
      </patternFill>
    </fill>
    <fill>
      <patternFill patternType="solid">
        <fgColor rgb="FF0030AE"/>
        <bgColor indexed="64"/>
      </patternFill>
    </fill>
    <fill>
      <patternFill patternType="solid">
        <fgColor rgb="FF0030AF"/>
        <bgColor indexed="64"/>
      </patternFill>
    </fill>
    <fill>
      <patternFill patternType="solid">
        <fgColor rgb="FF0030B0"/>
        <bgColor indexed="64"/>
      </patternFill>
    </fill>
    <fill>
      <patternFill patternType="solid">
        <fgColor rgb="FF0030B1"/>
        <bgColor indexed="64"/>
      </patternFill>
    </fill>
    <fill>
      <patternFill patternType="solid">
        <fgColor rgb="FF0030B2"/>
        <bgColor indexed="64"/>
      </patternFill>
    </fill>
    <fill>
      <patternFill patternType="solid">
        <fgColor rgb="FF0030B3"/>
        <bgColor indexed="64"/>
      </patternFill>
    </fill>
    <fill>
      <patternFill patternType="solid">
        <fgColor rgb="FF0030B4"/>
        <bgColor indexed="64"/>
      </patternFill>
    </fill>
    <fill>
      <patternFill patternType="solid">
        <fgColor rgb="FF0030B5"/>
        <bgColor indexed="64"/>
      </patternFill>
    </fill>
    <fill>
      <patternFill patternType="solid">
        <fgColor rgb="FF0030B6"/>
        <bgColor indexed="64"/>
      </patternFill>
    </fill>
    <fill>
      <patternFill patternType="solid">
        <fgColor rgb="FF0030B7"/>
        <bgColor indexed="64"/>
      </patternFill>
    </fill>
    <fill>
      <patternFill patternType="solid">
        <fgColor rgb="FF0030B8"/>
        <bgColor indexed="64"/>
      </patternFill>
    </fill>
    <fill>
      <patternFill patternType="solid">
        <fgColor rgb="FF0030B9"/>
        <bgColor indexed="64"/>
      </patternFill>
    </fill>
    <fill>
      <patternFill patternType="solid">
        <fgColor rgb="FF0030BA"/>
        <bgColor indexed="64"/>
      </patternFill>
    </fill>
    <fill>
      <patternFill patternType="solid">
        <fgColor rgb="FF0030BB"/>
        <bgColor indexed="64"/>
      </patternFill>
    </fill>
    <fill>
      <patternFill patternType="solid">
        <fgColor rgb="FF0030BC"/>
        <bgColor indexed="64"/>
      </patternFill>
    </fill>
    <fill>
      <patternFill patternType="solid">
        <fgColor rgb="FF0030BD"/>
        <bgColor indexed="64"/>
      </patternFill>
    </fill>
    <fill>
      <patternFill patternType="solid">
        <fgColor rgb="FF0030BE"/>
        <bgColor indexed="64"/>
      </patternFill>
    </fill>
    <fill>
      <patternFill patternType="solid">
        <fgColor rgb="FF0030BF"/>
        <bgColor indexed="64"/>
      </patternFill>
    </fill>
    <fill>
      <patternFill patternType="solid">
        <fgColor rgb="FF0030C0"/>
        <bgColor indexed="64"/>
      </patternFill>
    </fill>
    <fill>
      <patternFill patternType="solid">
        <fgColor rgb="FF0030C1"/>
        <bgColor indexed="64"/>
      </patternFill>
    </fill>
    <fill>
      <patternFill patternType="solid">
        <fgColor rgb="FF0030C2"/>
        <bgColor indexed="64"/>
      </patternFill>
    </fill>
    <fill>
      <patternFill patternType="solid">
        <fgColor rgb="FF0030C3"/>
        <bgColor indexed="64"/>
      </patternFill>
    </fill>
    <fill>
      <patternFill patternType="solid">
        <fgColor rgb="FF0030C4"/>
        <bgColor indexed="64"/>
      </patternFill>
    </fill>
    <fill>
      <patternFill patternType="solid">
        <fgColor rgb="FF0030C5"/>
        <bgColor indexed="64"/>
      </patternFill>
    </fill>
    <fill>
      <patternFill patternType="solid">
        <fgColor rgb="FF0030C6"/>
        <bgColor indexed="64"/>
      </patternFill>
    </fill>
    <fill>
      <patternFill patternType="solid">
        <fgColor rgb="FF0030C7"/>
        <bgColor indexed="64"/>
      </patternFill>
    </fill>
    <fill>
      <patternFill patternType="solid">
        <fgColor rgb="FF0030C8"/>
        <bgColor indexed="64"/>
      </patternFill>
    </fill>
    <fill>
      <patternFill patternType="solid">
        <fgColor rgb="FF0030C9"/>
        <bgColor indexed="64"/>
      </patternFill>
    </fill>
    <fill>
      <patternFill patternType="solid">
        <fgColor rgb="FF0030CA"/>
        <bgColor indexed="64"/>
      </patternFill>
    </fill>
    <fill>
      <patternFill patternType="solid">
        <fgColor rgb="FF0030CB"/>
        <bgColor indexed="64"/>
      </patternFill>
    </fill>
    <fill>
      <patternFill patternType="solid">
        <fgColor rgb="FF0030CC"/>
        <bgColor indexed="64"/>
      </patternFill>
    </fill>
    <fill>
      <patternFill patternType="solid">
        <fgColor rgb="FF0030CD"/>
        <bgColor indexed="64"/>
      </patternFill>
    </fill>
    <fill>
      <patternFill patternType="solid">
        <fgColor rgb="FF0030CE"/>
        <bgColor indexed="64"/>
      </patternFill>
    </fill>
    <fill>
      <patternFill patternType="solid">
        <fgColor rgb="FF0030CF"/>
        <bgColor indexed="64"/>
      </patternFill>
    </fill>
    <fill>
      <patternFill patternType="solid">
        <fgColor rgb="FF0030D0"/>
        <bgColor indexed="64"/>
      </patternFill>
    </fill>
    <fill>
      <patternFill patternType="solid">
        <fgColor rgb="FF0030D1"/>
        <bgColor indexed="64"/>
      </patternFill>
    </fill>
    <fill>
      <patternFill patternType="solid">
        <fgColor rgb="FF0030D2"/>
        <bgColor indexed="64"/>
      </patternFill>
    </fill>
    <fill>
      <patternFill patternType="solid">
        <fgColor rgb="FF0030D3"/>
        <bgColor indexed="64"/>
      </patternFill>
    </fill>
    <fill>
      <patternFill patternType="solid">
        <fgColor rgb="FF0030D4"/>
        <bgColor indexed="64"/>
      </patternFill>
    </fill>
    <fill>
      <patternFill patternType="solid">
        <fgColor rgb="FF0030D5"/>
        <bgColor indexed="64"/>
      </patternFill>
    </fill>
    <fill>
      <patternFill patternType="solid">
        <fgColor rgb="FF0030D6"/>
        <bgColor indexed="64"/>
      </patternFill>
    </fill>
    <fill>
      <patternFill patternType="solid">
        <fgColor rgb="FF0030D7"/>
        <bgColor indexed="64"/>
      </patternFill>
    </fill>
    <fill>
      <patternFill patternType="solid">
        <fgColor rgb="FF0030D8"/>
        <bgColor indexed="64"/>
      </patternFill>
    </fill>
    <fill>
      <patternFill patternType="solid">
        <fgColor rgb="FF0030D9"/>
        <bgColor indexed="64"/>
      </patternFill>
    </fill>
    <fill>
      <patternFill patternType="solid">
        <fgColor rgb="FF0030DA"/>
        <bgColor indexed="64"/>
      </patternFill>
    </fill>
    <fill>
      <patternFill patternType="solid">
        <fgColor rgb="FF0030DB"/>
        <bgColor indexed="64"/>
      </patternFill>
    </fill>
    <fill>
      <patternFill patternType="solid">
        <fgColor rgb="FF0030DC"/>
        <bgColor indexed="64"/>
      </patternFill>
    </fill>
    <fill>
      <patternFill patternType="solid">
        <fgColor rgb="FF0030DD"/>
        <bgColor indexed="64"/>
      </patternFill>
    </fill>
    <fill>
      <patternFill patternType="solid">
        <fgColor rgb="FF0030DE"/>
        <bgColor indexed="64"/>
      </patternFill>
    </fill>
    <fill>
      <patternFill patternType="solid">
        <fgColor rgb="FF0030DF"/>
        <bgColor indexed="64"/>
      </patternFill>
    </fill>
    <fill>
      <patternFill patternType="solid">
        <fgColor rgb="FF0030E0"/>
        <bgColor indexed="64"/>
      </patternFill>
    </fill>
    <fill>
      <patternFill patternType="solid">
        <fgColor rgb="FF0030E1"/>
        <bgColor indexed="64"/>
      </patternFill>
    </fill>
    <fill>
      <patternFill patternType="solid">
        <fgColor rgb="FF0030E2"/>
        <bgColor indexed="64"/>
      </patternFill>
    </fill>
    <fill>
      <patternFill patternType="solid">
        <fgColor rgb="FF0030E3"/>
        <bgColor indexed="64"/>
      </patternFill>
    </fill>
    <fill>
      <patternFill patternType="solid">
        <fgColor rgb="FF0030E4"/>
        <bgColor indexed="64"/>
      </patternFill>
    </fill>
    <fill>
      <patternFill patternType="solid">
        <fgColor rgb="FF0030E5"/>
        <bgColor indexed="64"/>
      </patternFill>
    </fill>
    <fill>
      <patternFill patternType="solid">
        <fgColor rgb="FF0030E6"/>
        <bgColor indexed="64"/>
      </patternFill>
    </fill>
    <fill>
      <patternFill patternType="solid">
        <fgColor rgb="FF0030E7"/>
        <bgColor indexed="64"/>
      </patternFill>
    </fill>
    <fill>
      <patternFill patternType="solid">
        <fgColor rgb="FF0030E8"/>
        <bgColor indexed="64"/>
      </patternFill>
    </fill>
    <fill>
      <patternFill patternType="solid">
        <fgColor rgb="FF0030E9"/>
        <bgColor indexed="64"/>
      </patternFill>
    </fill>
    <fill>
      <patternFill patternType="solid">
        <fgColor rgb="FF0030EA"/>
        <bgColor indexed="64"/>
      </patternFill>
    </fill>
    <fill>
      <patternFill patternType="solid">
        <fgColor rgb="FF0030EB"/>
        <bgColor indexed="64"/>
      </patternFill>
    </fill>
    <fill>
      <patternFill patternType="solid">
        <fgColor rgb="FF0030EC"/>
        <bgColor indexed="64"/>
      </patternFill>
    </fill>
    <fill>
      <patternFill patternType="solid">
        <fgColor rgb="FF0030ED"/>
        <bgColor indexed="64"/>
      </patternFill>
    </fill>
    <fill>
      <patternFill patternType="solid">
        <fgColor rgb="FF0030EE"/>
        <bgColor indexed="64"/>
      </patternFill>
    </fill>
    <fill>
      <patternFill patternType="solid">
        <fgColor rgb="FF0030EF"/>
        <bgColor indexed="64"/>
      </patternFill>
    </fill>
    <fill>
      <patternFill patternType="solid">
        <fgColor rgb="FF0030F0"/>
        <bgColor indexed="64"/>
      </patternFill>
    </fill>
    <fill>
      <patternFill patternType="solid">
        <fgColor rgb="FF0030F1"/>
        <bgColor indexed="64"/>
      </patternFill>
    </fill>
    <fill>
      <patternFill patternType="solid">
        <fgColor rgb="FF0030F2"/>
        <bgColor indexed="64"/>
      </patternFill>
    </fill>
    <fill>
      <patternFill patternType="solid">
        <fgColor rgb="FF0030F3"/>
        <bgColor indexed="64"/>
      </patternFill>
    </fill>
    <fill>
      <patternFill patternType="solid">
        <fgColor rgb="FF0030F4"/>
        <bgColor indexed="64"/>
      </patternFill>
    </fill>
    <fill>
      <patternFill patternType="solid">
        <fgColor rgb="FF0030F5"/>
        <bgColor indexed="64"/>
      </patternFill>
    </fill>
    <fill>
      <patternFill patternType="solid">
        <fgColor rgb="FF0030F6"/>
        <bgColor indexed="64"/>
      </patternFill>
    </fill>
    <fill>
      <patternFill patternType="solid">
        <fgColor rgb="FF0030F7"/>
        <bgColor indexed="64"/>
      </patternFill>
    </fill>
    <fill>
      <patternFill patternType="solid">
        <fgColor rgb="FF0030F8"/>
        <bgColor indexed="64"/>
      </patternFill>
    </fill>
    <fill>
      <patternFill patternType="solid">
        <fgColor rgb="FF0030F9"/>
        <bgColor indexed="64"/>
      </patternFill>
    </fill>
    <fill>
      <patternFill patternType="solid">
        <fgColor rgb="FF0030FA"/>
        <bgColor indexed="64"/>
      </patternFill>
    </fill>
    <fill>
      <patternFill patternType="solid">
        <fgColor rgb="FF0030FB"/>
        <bgColor indexed="64"/>
      </patternFill>
    </fill>
    <fill>
      <patternFill patternType="solid">
        <fgColor rgb="FF0030FC"/>
        <bgColor indexed="64"/>
      </patternFill>
    </fill>
    <fill>
      <patternFill patternType="solid">
        <fgColor rgb="FF0030FD"/>
        <bgColor indexed="64"/>
      </patternFill>
    </fill>
    <fill>
      <patternFill patternType="solid">
        <fgColor rgb="FF0030FE"/>
        <bgColor indexed="64"/>
      </patternFill>
    </fill>
    <fill>
      <patternFill patternType="solid">
        <fgColor rgb="FF0030FF"/>
        <bgColor indexed="64"/>
      </patternFill>
    </fill>
    <fill>
      <patternFill patternType="solid">
        <fgColor rgb="FF003100"/>
        <bgColor indexed="64"/>
      </patternFill>
    </fill>
    <fill>
      <patternFill patternType="solid">
        <fgColor rgb="FF003101"/>
        <bgColor indexed="64"/>
      </patternFill>
    </fill>
    <fill>
      <patternFill patternType="solid">
        <fgColor rgb="FF003102"/>
        <bgColor indexed="64"/>
      </patternFill>
    </fill>
    <fill>
      <patternFill patternType="solid">
        <fgColor rgb="FF003103"/>
        <bgColor indexed="64"/>
      </patternFill>
    </fill>
    <fill>
      <patternFill patternType="solid">
        <fgColor rgb="FF003104"/>
        <bgColor indexed="64"/>
      </patternFill>
    </fill>
    <fill>
      <patternFill patternType="solid">
        <fgColor rgb="FF003105"/>
        <bgColor indexed="64"/>
      </patternFill>
    </fill>
    <fill>
      <patternFill patternType="solid">
        <fgColor rgb="FF003106"/>
        <bgColor indexed="64"/>
      </patternFill>
    </fill>
    <fill>
      <patternFill patternType="solid">
        <fgColor rgb="FF003107"/>
        <bgColor indexed="64"/>
      </patternFill>
    </fill>
    <fill>
      <patternFill patternType="solid">
        <fgColor rgb="FF003108"/>
        <bgColor indexed="64"/>
      </patternFill>
    </fill>
    <fill>
      <patternFill patternType="solid">
        <fgColor rgb="FF003109"/>
        <bgColor indexed="64"/>
      </patternFill>
    </fill>
    <fill>
      <patternFill patternType="solid">
        <fgColor rgb="FF00310A"/>
        <bgColor indexed="64"/>
      </patternFill>
    </fill>
    <fill>
      <patternFill patternType="solid">
        <fgColor rgb="FF00310B"/>
        <bgColor indexed="64"/>
      </patternFill>
    </fill>
    <fill>
      <patternFill patternType="solid">
        <fgColor rgb="FF00310C"/>
        <bgColor indexed="64"/>
      </patternFill>
    </fill>
    <fill>
      <patternFill patternType="solid">
        <fgColor rgb="FF00310D"/>
        <bgColor indexed="64"/>
      </patternFill>
    </fill>
    <fill>
      <patternFill patternType="solid">
        <fgColor rgb="FF00310E"/>
        <bgColor indexed="64"/>
      </patternFill>
    </fill>
    <fill>
      <patternFill patternType="solid">
        <fgColor rgb="FF00310F"/>
        <bgColor indexed="64"/>
      </patternFill>
    </fill>
    <fill>
      <patternFill patternType="solid">
        <fgColor rgb="FF003110"/>
        <bgColor indexed="64"/>
      </patternFill>
    </fill>
    <fill>
      <patternFill patternType="solid">
        <fgColor rgb="FF003111"/>
        <bgColor indexed="64"/>
      </patternFill>
    </fill>
    <fill>
      <patternFill patternType="solid">
        <fgColor rgb="FF003112"/>
        <bgColor indexed="64"/>
      </patternFill>
    </fill>
    <fill>
      <patternFill patternType="solid">
        <fgColor rgb="FF003113"/>
        <bgColor indexed="64"/>
      </patternFill>
    </fill>
    <fill>
      <patternFill patternType="solid">
        <fgColor rgb="FF003114"/>
        <bgColor indexed="64"/>
      </patternFill>
    </fill>
    <fill>
      <patternFill patternType="solid">
        <fgColor rgb="FF003115"/>
        <bgColor indexed="64"/>
      </patternFill>
    </fill>
    <fill>
      <patternFill patternType="solid">
        <fgColor rgb="FF003116"/>
        <bgColor indexed="64"/>
      </patternFill>
    </fill>
    <fill>
      <patternFill patternType="solid">
        <fgColor rgb="FF003117"/>
        <bgColor indexed="64"/>
      </patternFill>
    </fill>
    <fill>
      <patternFill patternType="solid">
        <fgColor rgb="FF003118"/>
        <bgColor indexed="64"/>
      </patternFill>
    </fill>
    <fill>
      <patternFill patternType="solid">
        <fgColor rgb="FF003119"/>
        <bgColor indexed="64"/>
      </patternFill>
    </fill>
    <fill>
      <patternFill patternType="solid">
        <fgColor rgb="FF00311A"/>
        <bgColor indexed="64"/>
      </patternFill>
    </fill>
    <fill>
      <patternFill patternType="solid">
        <fgColor rgb="FF00311B"/>
        <bgColor indexed="64"/>
      </patternFill>
    </fill>
    <fill>
      <patternFill patternType="solid">
        <fgColor rgb="FF00311C"/>
        <bgColor indexed="64"/>
      </patternFill>
    </fill>
    <fill>
      <patternFill patternType="solid">
        <fgColor rgb="FF00311D"/>
        <bgColor indexed="64"/>
      </patternFill>
    </fill>
    <fill>
      <patternFill patternType="solid">
        <fgColor rgb="FF00311E"/>
        <bgColor indexed="64"/>
      </patternFill>
    </fill>
    <fill>
      <patternFill patternType="solid">
        <fgColor rgb="FF00311F"/>
        <bgColor indexed="64"/>
      </patternFill>
    </fill>
    <fill>
      <patternFill patternType="solid">
        <fgColor rgb="FF003120"/>
        <bgColor indexed="64"/>
      </patternFill>
    </fill>
    <fill>
      <patternFill patternType="solid">
        <fgColor rgb="FF003121"/>
        <bgColor indexed="64"/>
      </patternFill>
    </fill>
    <fill>
      <patternFill patternType="solid">
        <fgColor rgb="FF003122"/>
        <bgColor indexed="64"/>
      </patternFill>
    </fill>
    <fill>
      <patternFill patternType="solid">
        <fgColor rgb="FF003123"/>
        <bgColor indexed="64"/>
      </patternFill>
    </fill>
    <fill>
      <patternFill patternType="solid">
        <fgColor rgb="FF003124"/>
        <bgColor indexed="64"/>
      </patternFill>
    </fill>
    <fill>
      <patternFill patternType="solid">
        <fgColor rgb="FF003125"/>
        <bgColor indexed="64"/>
      </patternFill>
    </fill>
    <fill>
      <patternFill patternType="solid">
        <fgColor rgb="FF003126"/>
        <bgColor indexed="64"/>
      </patternFill>
    </fill>
    <fill>
      <patternFill patternType="solid">
        <fgColor rgb="FF003127"/>
        <bgColor indexed="64"/>
      </patternFill>
    </fill>
    <fill>
      <patternFill patternType="solid">
        <fgColor rgb="FF003128"/>
        <bgColor indexed="64"/>
      </patternFill>
    </fill>
    <fill>
      <patternFill patternType="solid">
        <fgColor rgb="FF003129"/>
        <bgColor indexed="64"/>
      </patternFill>
    </fill>
    <fill>
      <patternFill patternType="solid">
        <fgColor rgb="FF00312A"/>
        <bgColor indexed="64"/>
      </patternFill>
    </fill>
    <fill>
      <patternFill patternType="solid">
        <fgColor rgb="FF00312B"/>
        <bgColor indexed="64"/>
      </patternFill>
    </fill>
    <fill>
      <patternFill patternType="solid">
        <fgColor rgb="FF00312C"/>
        <bgColor indexed="64"/>
      </patternFill>
    </fill>
    <fill>
      <patternFill patternType="solid">
        <fgColor rgb="FF00312D"/>
        <bgColor indexed="64"/>
      </patternFill>
    </fill>
    <fill>
      <patternFill patternType="solid">
        <fgColor rgb="FF00312E"/>
        <bgColor indexed="64"/>
      </patternFill>
    </fill>
    <fill>
      <patternFill patternType="solid">
        <fgColor rgb="FF00312F"/>
        <bgColor indexed="64"/>
      </patternFill>
    </fill>
    <fill>
      <patternFill patternType="solid">
        <fgColor rgb="FF003130"/>
        <bgColor indexed="64"/>
      </patternFill>
    </fill>
    <fill>
      <patternFill patternType="solid">
        <fgColor rgb="FF003131"/>
        <bgColor indexed="64"/>
      </patternFill>
    </fill>
    <fill>
      <patternFill patternType="solid">
        <fgColor rgb="FF003132"/>
        <bgColor indexed="64"/>
      </patternFill>
    </fill>
    <fill>
      <patternFill patternType="solid">
        <fgColor rgb="FF003133"/>
        <bgColor indexed="64"/>
      </patternFill>
    </fill>
    <fill>
      <patternFill patternType="solid">
        <fgColor rgb="FF003134"/>
        <bgColor indexed="64"/>
      </patternFill>
    </fill>
    <fill>
      <patternFill patternType="solid">
        <fgColor rgb="FF003135"/>
        <bgColor indexed="64"/>
      </patternFill>
    </fill>
    <fill>
      <patternFill patternType="solid">
        <fgColor rgb="FF003136"/>
        <bgColor indexed="64"/>
      </patternFill>
    </fill>
    <fill>
      <patternFill patternType="solid">
        <fgColor rgb="FF003137"/>
        <bgColor indexed="64"/>
      </patternFill>
    </fill>
    <fill>
      <patternFill patternType="solid">
        <fgColor rgb="FF003138"/>
        <bgColor indexed="64"/>
      </patternFill>
    </fill>
    <fill>
      <patternFill patternType="solid">
        <fgColor rgb="FF003139"/>
        <bgColor indexed="64"/>
      </patternFill>
    </fill>
    <fill>
      <patternFill patternType="solid">
        <fgColor rgb="FF00313A"/>
        <bgColor indexed="64"/>
      </patternFill>
    </fill>
    <fill>
      <patternFill patternType="solid">
        <fgColor rgb="FF00313B"/>
        <bgColor indexed="64"/>
      </patternFill>
    </fill>
    <fill>
      <patternFill patternType="solid">
        <fgColor rgb="FF00313C"/>
        <bgColor indexed="64"/>
      </patternFill>
    </fill>
    <fill>
      <patternFill patternType="solid">
        <fgColor rgb="FF00313D"/>
        <bgColor indexed="64"/>
      </patternFill>
    </fill>
    <fill>
      <patternFill patternType="solid">
        <fgColor rgb="FF00313E"/>
        <bgColor indexed="64"/>
      </patternFill>
    </fill>
    <fill>
      <patternFill patternType="solid">
        <fgColor rgb="FF00313F"/>
        <bgColor indexed="64"/>
      </patternFill>
    </fill>
    <fill>
      <patternFill patternType="solid">
        <fgColor rgb="FF003140"/>
        <bgColor indexed="64"/>
      </patternFill>
    </fill>
    <fill>
      <patternFill patternType="solid">
        <fgColor rgb="FF003141"/>
        <bgColor indexed="64"/>
      </patternFill>
    </fill>
    <fill>
      <patternFill patternType="solid">
        <fgColor rgb="FF003142"/>
        <bgColor indexed="64"/>
      </patternFill>
    </fill>
    <fill>
      <patternFill patternType="solid">
        <fgColor rgb="FF003143"/>
        <bgColor indexed="64"/>
      </patternFill>
    </fill>
    <fill>
      <patternFill patternType="solid">
        <fgColor rgb="FF003144"/>
        <bgColor indexed="64"/>
      </patternFill>
    </fill>
    <fill>
      <patternFill patternType="solid">
        <fgColor rgb="FF003145"/>
        <bgColor indexed="64"/>
      </patternFill>
    </fill>
    <fill>
      <patternFill patternType="solid">
        <fgColor rgb="FF003146"/>
        <bgColor indexed="64"/>
      </patternFill>
    </fill>
    <fill>
      <patternFill patternType="solid">
        <fgColor rgb="FF003147"/>
        <bgColor indexed="64"/>
      </patternFill>
    </fill>
    <fill>
      <patternFill patternType="solid">
        <fgColor rgb="FF003148"/>
        <bgColor indexed="64"/>
      </patternFill>
    </fill>
    <fill>
      <patternFill patternType="solid">
        <fgColor rgb="FF003149"/>
        <bgColor indexed="64"/>
      </patternFill>
    </fill>
    <fill>
      <patternFill patternType="solid">
        <fgColor rgb="FF00314A"/>
        <bgColor indexed="64"/>
      </patternFill>
    </fill>
    <fill>
      <patternFill patternType="solid">
        <fgColor rgb="FF00314B"/>
        <bgColor indexed="64"/>
      </patternFill>
    </fill>
    <fill>
      <patternFill patternType="solid">
        <fgColor rgb="FF00314C"/>
        <bgColor indexed="64"/>
      </patternFill>
    </fill>
    <fill>
      <patternFill patternType="solid">
        <fgColor rgb="FF00314D"/>
        <bgColor indexed="64"/>
      </patternFill>
    </fill>
    <fill>
      <patternFill patternType="solid">
        <fgColor rgb="FF00314E"/>
        <bgColor indexed="64"/>
      </patternFill>
    </fill>
    <fill>
      <patternFill patternType="solid">
        <fgColor rgb="FF00314F"/>
        <bgColor indexed="64"/>
      </patternFill>
    </fill>
    <fill>
      <patternFill patternType="solid">
        <fgColor rgb="FF003150"/>
        <bgColor indexed="64"/>
      </patternFill>
    </fill>
    <fill>
      <patternFill patternType="solid">
        <fgColor rgb="FF003151"/>
        <bgColor indexed="64"/>
      </patternFill>
    </fill>
    <fill>
      <patternFill patternType="solid">
        <fgColor rgb="FF003152"/>
        <bgColor indexed="64"/>
      </patternFill>
    </fill>
    <fill>
      <patternFill patternType="solid">
        <fgColor rgb="FF003153"/>
        <bgColor indexed="64"/>
      </patternFill>
    </fill>
    <fill>
      <patternFill patternType="solid">
        <fgColor rgb="FF003154"/>
        <bgColor indexed="64"/>
      </patternFill>
    </fill>
    <fill>
      <patternFill patternType="solid">
        <fgColor rgb="FF003155"/>
        <bgColor indexed="64"/>
      </patternFill>
    </fill>
    <fill>
      <patternFill patternType="solid">
        <fgColor rgb="FF003156"/>
        <bgColor indexed="64"/>
      </patternFill>
    </fill>
    <fill>
      <patternFill patternType="solid">
        <fgColor rgb="FF003157"/>
        <bgColor indexed="64"/>
      </patternFill>
    </fill>
    <fill>
      <patternFill patternType="solid">
        <fgColor rgb="FF003158"/>
        <bgColor indexed="64"/>
      </patternFill>
    </fill>
    <fill>
      <patternFill patternType="solid">
        <fgColor rgb="FF003159"/>
        <bgColor indexed="64"/>
      </patternFill>
    </fill>
    <fill>
      <patternFill patternType="solid">
        <fgColor rgb="FF00315A"/>
        <bgColor indexed="64"/>
      </patternFill>
    </fill>
    <fill>
      <patternFill patternType="solid">
        <fgColor rgb="FF00315B"/>
        <bgColor indexed="64"/>
      </patternFill>
    </fill>
    <fill>
      <patternFill patternType="solid">
        <fgColor rgb="FF00315C"/>
        <bgColor indexed="64"/>
      </patternFill>
    </fill>
    <fill>
      <patternFill patternType="solid">
        <fgColor rgb="FF00315D"/>
        <bgColor indexed="64"/>
      </patternFill>
    </fill>
    <fill>
      <patternFill patternType="solid">
        <fgColor rgb="FF00315E"/>
        <bgColor indexed="64"/>
      </patternFill>
    </fill>
    <fill>
      <patternFill patternType="solid">
        <fgColor rgb="FF00315F"/>
        <bgColor indexed="64"/>
      </patternFill>
    </fill>
    <fill>
      <patternFill patternType="solid">
        <fgColor rgb="FF003160"/>
        <bgColor indexed="64"/>
      </patternFill>
    </fill>
    <fill>
      <patternFill patternType="solid">
        <fgColor rgb="FF003161"/>
        <bgColor indexed="64"/>
      </patternFill>
    </fill>
    <fill>
      <patternFill patternType="solid">
        <fgColor rgb="FF003162"/>
        <bgColor indexed="64"/>
      </patternFill>
    </fill>
    <fill>
      <patternFill patternType="solid">
        <fgColor rgb="FF003163"/>
        <bgColor indexed="64"/>
      </patternFill>
    </fill>
    <fill>
      <patternFill patternType="solid">
        <fgColor rgb="FF003164"/>
        <bgColor indexed="64"/>
      </patternFill>
    </fill>
    <fill>
      <patternFill patternType="solid">
        <fgColor rgb="FF003165"/>
        <bgColor indexed="64"/>
      </patternFill>
    </fill>
    <fill>
      <patternFill patternType="solid">
        <fgColor rgb="FF003166"/>
        <bgColor indexed="64"/>
      </patternFill>
    </fill>
    <fill>
      <patternFill patternType="solid">
        <fgColor rgb="FF003167"/>
        <bgColor indexed="64"/>
      </patternFill>
    </fill>
    <fill>
      <patternFill patternType="solid">
        <fgColor rgb="FF003168"/>
        <bgColor indexed="64"/>
      </patternFill>
    </fill>
    <fill>
      <patternFill patternType="solid">
        <fgColor rgb="FF003169"/>
        <bgColor indexed="64"/>
      </patternFill>
    </fill>
    <fill>
      <patternFill patternType="solid">
        <fgColor rgb="FF00316A"/>
        <bgColor indexed="64"/>
      </patternFill>
    </fill>
    <fill>
      <patternFill patternType="solid">
        <fgColor rgb="FF00316B"/>
        <bgColor indexed="64"/>
      </patternFill>
    </fill>
    <fill>
      <patternFill patternType="solid">
        <fgColor rgb="FF00316C"/>
        <bgColor indexed="64"/>
      </patternFill>
    </fill>
    <fill>
      <patternFill patternType="solid">
        <fgColor rgb="FF00316D"/>
        <bgColor indexed="64"/>
      </patternFill>
    </fill>
    <fill>
      <patternFill patternType="solid">
        <fgColor rgb="FF00316E"/>
        <bgColor indexed="64"/>
      </patternFill>
    </fill>
    <fill>
      <patternFill patternType="solid">
        <fgColor rgb="FF00316F"/>
        <bgColor indexed="64"/>
      </patternFill>
    </fill>
    <fill>
      <patternFill patternType="solid">
        <fgColor rgb="FF003170"/>
        <bgColor indexed="64"/>
      </patternFill>
    </fill>
    <fill>
      <patternFill patternType="solid">
        <fgColor rgb="FF003171"/>
        <bgColor indexed="64"/>
      </patternFill>
    </fill>
    <fill>
      <patternFill patternType="solid">
        <fgColor rgb="FF003172"/>
        <bgColor indexed="64"/>
      </patternFill>
    </fill>
    <fill>
      <patternFill patternType="solid">
        <fgColor rgb="FF003173"/>
        <bgColor indexed="64"/>
      </patternFill>
    </fill>
    <fill>
      <patternFill patternType="solid">
        <fgColor rgb="FF003174"/>
        <bgColor indexed="64"/>
      </patternFill>
    </fill>
    <fill>
      <patternFill patternType="solid">
        <fgColor rgb="FF003175"/>
        <bgColor indexed="64"/>
      </patternFill>
    </fill>
    <fill>
      <patternFill patternType="solid">
        <fgColor rgb="FF003176"/>
        <bgColor indexed="64"/>
      </patternFill>
    </fill>
    <fill>
      <patternFill patternType="solid">
        <fgColor rgb="FF003177"/>
        <bgColor indexed="64"/>
      </patternFill>
    </fill>
    <fill>
      <patternFill patternType="solid">
        <fgColor rgb="FF003178"/>
        <bgColor indexed="64"/>
      </patternFill>
    </fill>
    <fill>
      <patternFill patternType="solid">
        <fgColor rgb="FF003179"/>
        <bgColor indexed="64"/>
      </patternFill>
    </fill>
    <fill>
      <patternFill patternType="solid">
        <fgColor rgb="FF00317A"/>
        <bgColor indexed="64"/>
      </patternFill>
    </fill>
    <fill>
      <patternFill patternType="solid">
        <fgColor rgb="FF00317B"/>
        <bgColor indexed="64"/>
      </patternFill>
    </fill>
    <fill>
      <patternFill patternType="solid">
        <fgColor rgb="FF00317C"/>
        <bgColor indexed="64"/>
      </patternFill>
    </fill>
    <fill>
      <patternFill patternType="solid">
        <fgColor rgb="FF00317D"/>
        <bgColor indexed="64"/>
      </patternFill>
    </fill>
    <fill>
      <patternFill patternType="solid">
        <fgColor rgb="FF00317E"/>
        <bgColor indexed="64"/>
      </patternFill>
    </fill>
    <fill>
      <patternFill patternType="solid">
        <fgColor rgb="FF00317F"/>
        <bgColor indexed="64"/>
      </patternFill>
    </fill>
    <fill>
      <patternFill patternType="solid">
        <fgColor rgb="FF003180"/>
        <bgColor indexed="64"/>
      </patternFill>
    </fill>
    <fill>
      <patternFill patternType="solid">
        <fgColor rgb="FF003181"/>
        <bgColor indexed="64"/>
      </patternFill>
    </fill>
    <fill>
      <patternFill patternType="solid">
        <fgColor rgb="FF003182"/>
        <bgColor indexed="64"/>
      </patternFill>
    </fill>
    <fill>
      <patternFill patternType="solid">
        <fgColor rgb="FF003183"/>
        <bgColor indexed="64"/>
      </patternFill>
    </fill>
    <fill>
      <patternFill patternType="solid">
        <fgColor rgb="FF003184"/>
        <bgColor indexed="64"/>
      </patternFill>
    </fill>
    <fill>
      <patternFill patternType="solid">
        <fgColor rgb="FF003185"/>
        <bgColor indexed="64"/>
      </patternFill>
    </fill>
    <fill>
      <patternFill patternType="solid">
        <fgColor rgb="FF003186"/>
        <bgColor indexed="64"/>
      </patternFill>
    </fill>
    <fill>
      <patternFill patternType="solid">
        <fgColor rgb="FF003187"/>
        <bgColor indexed="64"/>
      </patternFill>
    </fill>
    <fill>
      <patternFill patternType="solid">
        <fgColor rgb="FF003188"/>
        <bgColor indexed="64"/>
      </patternFill>
    </fill>
    <fill>
      <patternFill patternType="solid">
        <fgColor rgb="FF003189"/>
        <bgColor indexed="64"/>
      </patternFill>
    </fill>
    <fill>
      <patternFill patternType="solid">
        <fgColor rgb="FF00318A"/>
        <bgColor indexed="64"/>
      </patternFill>
    </fill>
    <fill>
      <patternFill patternType="solid">
        <fgColor rgb="FF00318B"/>
        <bgColor indexed="64"/>
      </patternFill>
    </fill>
    <fill>
      <patternFill patternType="solid">
        <fgColor rgb="FF00318C"/>
        <bgColor indexed="64"/>
      </patternFill>
    </fill>
    <fill>
      <patternFill patternType="solid">
        <fgColor rgb="FF00318D"/>
        <bgColor indexed="64"/>
      </patternFill>
    </fill>
    <fill>
      <patternFill patternType="solid">
        <fgColor rgb="FF00318E"/>
        <bgColor indexed="64"/>
      </patternFill>
    </fill>
    <fill>
      <patternFill patternType="solid">
        <fgColor rgb="FF00318F"/>
        <bgColor indexed="64"/>
      </patternFill>
    </fill>
    <fill>
      <patternFill patternType="solid">
        <fgColor rgb="FF003190"/>
        <bgColor indexed="64"/>
      </patternFill>
    </fill>
    <fill>
      <patternFill patternType="solid">
        <fgColor rgb="FF003191"/>
        <bgColor indexed="64"/>
      </patternFill>
    </fill>
    <fill>
      <patternFill patternType="solid">
        <fgColor rgb="FF003192"/>
        <bgColor indexed="64"/>
      </patternFill>
    </fill>
    <fill>
      <patternFill patternType="solid">
        <fgColor rgb="FF003193"/>
        <bgColor indexed="64"/>
      </patternFill>
    </fill>
    <fill>
      <patternFill patternType="solid">
        <fgColor rgb="FF003194"/>
        <bgColor indexed="64"/>
      </patternFill>
    </fill>
    <fill>
      <patternFill patternType="solid">
        <fgColor rgb="FF003195"/>
        <bgColor indexed="64"/>
      </patternFill>
    </fill>
    <fill>
      <patternFill patternType="solid">
        <fgColor rgb="FF003196"/>
        <bgColor indexed="64"/>
      </patternFill>
    </fill>
    <fill>
      <patternFill patternType="solid">
        <fgColor rgb="FF003197"/>
        <bgColor indexed="64"/>
      </patternFill>
    </fill>
    <fill>
      <patternFill patternType="solid">
        <fgColor rgb="FF003198"/>
        <bgColor indexed="64"/>
      </patternFill>
    </fill>
    <fill>
      <patternFill patternType="solid">
        <fgColor rgb="FF003199"/>
        <bgColor indexed="64"/>
      </patternFill>
    </fill>
    <fill>
      <patternFill patternType="solid">
        <fgColor rgb="FF00319A"/>
        <bgColor indexed="64"/>
      </patternFill>
    </fill>
    <fill>
      <patternFill patternType="solid">
        <fgColor rgb="FF00319B"/>
        <bgColor indexed="64"/>
      </patternFill>
    </fill>
    <fill>
      <patternFill patternType="solid">
        <fgColor rgb="FF00319C"/>
        <bgColor indexed="64"/>
      </patternFill>
    </fill>
    <fill>
      <patternFill patternType="solid">
        <fgColor rgb="FF00319D"/>
        <bgColor indexed="64"/>
      </patternFill>
    </fill>
    <fill>
      <patternFill patternType="solid">
        <fgColor rgb="FF00319E"/>
        <bgColor indexed="64"/>
      </patternFill>
    </fill>
    <fill>
      <patternFill patternType="solid">
        <fgColor rgb="FF00319F"/>
        <bgColor indexed="64"/>
      </patternFill>
    </fill>
    <fill>
      <patternFill patternType="solid">
        <fgColor rgb="FF0031A0"/>
        <bgColor indexed="64"/>
      </patternFill>
    </fill>
    <fill>
      <patternFill patternType="solid">
        <fgColor rgb="FF0031A1"/>
        <bgColor indexed="64"/>
      </patternFill>
    </fill>
    <fill>
      <patternFill patternType="solid">
        <fgColor rgb="FF0031A2"/>
        <bgColor indexed="64"/>
      </patternFill>
    </fill>
    <fill>
      <patternFill patternType="solid">
        <fgColor rgb="FF0031A3"/>
        <bgColor indexed="64"/>
      </patternFill>
    </fill>
    <fill>
      <patternFill patternType="solid">
        <fgColor rgb="FF0031A4"/>
        <bgColor indexed="64"/>
      </patternFill>
    </fill>
    <fill>
      <patternFill patternType="solid">
        <fgColor rgb="FF0031A5"/>
        <bgColor indexed="64"/>
      </patternFill>
    </fill>
    <fill>
      <patternFill patternType="solid">
        <fgColor rgb="FF0031A6"/>
        <bgColor indexed="64"/>
      </patternFill>
    </fill>
    <fill>
      <patternFill patternType="solid">
        <fgColor rgb="FF0031A7"/>
        <bgColor indexed="64"/>
      </patternFill>
    </fill>
    <fill>
      <patternFill patternType="solid">
        <fgColor rgb="FF0031A8"/>
        <bgColor indexed="64"/>
      </patternFill>
    </fill>
    <fill>
      <patternFill patternType="solid">
        <fgColor rgb="FF0031A9"/>
        <bgColor indexed="64"/>
      </patternFill>
    </fill>
    <fill>
      <patternFill patternType="solid">
        <fgColor rgb="FF0031AA"/>
        <bgColor indexed="64"/>
      </patternFill>
    </fill>
    <fill>
      <patternFill patternType="solid">
        <fgColor rgb="FF0031AB"/>
        <bgColor indexed="64"/>
      </patternFill>
    </fill>
    <fill>
      <patternFill patternType="solid">
        <fgColor rgb="FF0031AC"/>
        <bgColor indexed="64"/>
      </patternFill>
    </fill>
    <fill>
      <patternFill patternType="solid">
        <fgColor rgb="FF0031AD"/>
        <bgColor indexed="64"/>
      </patternFill>
    </fill>
    <fill>
      <patternFill patternType="solid">
        <fgColor rgb="FF0031AE"/>
        <bgColor indexed="64"/>
      </patternFill>
    </fill>
    <fill>
      <patternFill patternType="solid">
        <fgColor rgb="FF0031AF"/>
        <bgColor indexed="64"/>
      </patternFill>
    </fill>
    <fill>
      <patternFill patternType="solid">
        <fgColor rgb="FF0031B0"/>
        <bgColor indexed="64"/>
      </patternFill>
    </fill>
    <fill>
      <patternFill patternType="solid">
        <fgColor rgb="FF0031B1"/>
        <bgColor indexed="64"/>
      </patternFill>
    </fill>
    <fill>
      <patternFill patternType="solid">
        <fgColor rgb="FF0031B2"/>
        <bgColor indexed="64"/>
      </patternFill>
    </fill>
    <fill>
      <patternFill patternType="solid">
        <fgColor rgb="FF0031B3"/>
        <bgColor indexed="64"/>
      </patternFill>
    </fill>
    <fill>
      <patternFill patternType="solid">
        <fgColor rgb="FF0031B4"/>
        <bgColor indexed="64"/>
      </patternFill>
    </fill>
    <fill>
      <patternFill patternType="solid">
        <fgColor rgb="FF0031B5"/>
        <bgColor indexed="64"/>
      </patternFill>
    </fill>
    <fill>
      <patternFill patternType="solid">
        <fgColor rgb="FF0031B6"/>
        <bgColor indexed="64"/>
      </patternFill>
    </fill>
    <fill>
      <patternFill patternType="solid">
        <fgColor rgb="FF0031B7"/>
        <bgColor indexed="64"/>
      </patternFill>
    </fill>
    <fill>
      <patternFill patternType="solid">
        <fgColor rgb="FF0031B8"/>
        <bgColor indexed="64"/>
      </patternFill>
    </fill>
    <fill>
      <patternFill patternType="solid">
        <fgColor rgb="FF0031B9"/>
        <bgColor indexed="64"/>
      </patternFill>
    </fill>
    <fill>
      <patternFill patternType="solid">
        <fgColor rgb="FF0031BA"/>
        <bgColor indexed="64"/>
      </patternFill>
    </fill>
    <fill>
      <patternFill patternType="solid">
        <fgColor rgb="FF0031BB"/>
        <bgColor indexed="64"/>
      </patternFill>
    </fill>
    <fill>
      <patternFill patternType="solid">
        <fgColor rgb="FF0031BC"/>
        <bgColor indexed="64"/>
      </patternFill>
    </fill>
    <fill>
      <patternFill patternType="solid">
        <fgColor rgb="FF0031BD"/>
        <bgColor indexed="64"/>
      </patternFill>
    </fill>
    <fill>
      <patternFill patternType="solid">
        <fgColor rgb="FF0031BE"/>
        <bgColor indexed="64"/>
      </patternFill>
    </fill>
    <fill>
      <patternFill patternType="solid">
        <fgColor rgb="FF0031BF"/>
        <bgColor indexed="64"/>
      </patternFill>
    </fill>
    <fill>
      <patternFill patternType="solid">
        <fgColor rgb="FF0031C0"/>
        <bgColor indexed="64"/>
      </patternFill>
    </fill>
    <fill>
      <patternFill patternType="solid">
        <fgColor rgb="FF0031C1"/>
        <bgColor indexed="64"/>
      </patternFill>
    </fill>
    <fill>
      <patternFill patternType="solid">
        <fgColor rgb="FF0031C2"/>
        <bgColor indexed="64"/>
      </patternFill>
    </fill>
    <fill>
      <patternFill patternType="solid">
        <fgColor rgb="FF0031C3"/>
        <bgColor indexed="64"/>
      </patternFill>
    </fill>
    <fill>
      <patternFill patternType="solid">
        <fgColor rgb="FF0031C4"/>
        <bgColor indexed="64"/>
      </patternFill>
    </fill>
    <fill>
      <patternFill patternType="solid">
        <fgColor rgb="FF0031C5"/>
        <bgColor indexed="64"/>
      </patternFill>
    </fill>
    <fill>
      <patternFill patternType="solid">
        <fgColor rgb="FF0031C6"/>
        <bgColor indexed="64"/>
      </patternFill>
    </fill>
    <fill>
      <patternFill patternType="solid">
        <fgColor rgb="FF0031C7"/>
        <bgColor indexed="64"/>
      </patternFill>
    </fill>
    <fill>
      <patternFill patternType="solid">
        <fgColor rgb="FF0031C8"/>
        <bgColor indexed="64"/>
      </patternFill>
    </fill>
    <fill>
      <patternFill patternType="solid">
        <fgColor rgb="FF0031C9"/>
        <bgColor indexed="64"/>
      </patternFill>
    </fill>
    <fill>
      <patternFill patternType="solid">
        <fgColor rgb="FF0031CA"/>
        <bgColor indexed="64"/>
      </patternFill>
    </fill>
    <fill>
      <patternFill patternType="solid">
        <fgColor rgb="FF0031CB"/>
        <bgColor indexed="64"/>
      </patternFill>
    </fill>
    <fill>
      <patternFill patternType="solid">
        <fgColor rgb="FF0031CC"/>
        <bgColor indexed="64"/>
      </patternFill>
    </fill>
    <fill>
      <patternFill patternType="solid">
        <fgColor rgb="FF0031CD"/>
        <bgColor indexed="64"/>
      </patternFill>
    </fill>
    <fill>
      <patternFill patternType="solid">
        <fgColor rgb="FF0031CE"/>
        <bgColor indexed="64"/>
      </patternFill>
    </fill>
    <fill>
      <patternFill patternType="solid">
        <fgColor rgb="FF0031CF"/>
        <bgColor indexed="64"/>
      </patternFill>
    </fill>
    <fill>
      <patternFill patternType="solid">
        <fgColor rgb="FF0031D0"/>
        <bgColor indexed="64"/>
      </patternFill>
    </fill>
    <fill>
      <patternFill patternType="solid">
        <fgColor rgb="FF0031D1"/>
        <bgColor indexed="64"/>
      </patternFill>
    </fill>
    <fill>
      <patternFill patternType="solid">
        <fgColor rgb="FF0031D2"/>
        <bgColor indexed="64"/>
      </patternFill>
    </fill>
    <fill>
      <patternFill patternType="solid">
        <fgColor rgb="FF0031D3"/>
        <bgColor indexed="64"/>
      </patternFill>
    </fill>
    <fill>
      <patternFill patternType="solid">
        <fgColor rgb="FF0031D4"/>
        <bgColor indexed="64"/>
      </patternFill>
    </fill>
    <fill>
      <patternFill patternType="solid">
        <fgColor rgb="FF0031D5"/>
        <bgColor indexed="64"/>
      </patternFill>
    </fill>
    <fill>
      <patternFill patternType="solid">
        <fgColor rgb="FF0031D6"/>
        <bgColor indexed="64"/>
      </patternFill>
    </fill>
    <fill>
      <patternFill patternType="solid">
        <fgColor rgb="FF0031D7"/>
        <bgColor indexed="64"/>
      </patternFill>
    </fill>
    <fill>
      <patternFill patternType="solid">
        <fgColor rgb="FF0031D8"/>
        <bgColor indexed="64"/>
      </patternFill>
    </fill>
    <fill>
      <patternFill patternType="solid">
        <fgColor rgb="FF0031D9"/>
        <bgColor indexed="64"/>
      </patternFill>
    </fill>
    <fill>
      <patternFill patternType="solid">
        <fgColor rgb="FF0031DA"/>
        <bgColor indexed="64"/>
      </patternFill>
    </fill>
    <fill>
      <patternFill patternType="solid">
        <fgColor rgb="FF0031DB"/>
        <bgColor indexed="64"/>
      </patternFill>
    </fill>
    <fill>
      <patternFill patternType="solid">
        <fgColor rgb="FF0031DC"/>
        <bgColor indexed="64"/>
      </patternFill>
    </fill>
    <fill>
      <patternFill patternType="solid">
        <fgColor rgb="FF0031DD"/>
        <bgColor indexed="64"/>
      </patternFill>
    </fill>
    <fill>
      <patternFill patternType="solid">
        <fgColor rgb="FF0031DE"/>
        <bgColor indexed="64"/>
      </patternFill>
    </fill>
    <fill>
      <patternFill patternType="solid">
        <fgColor rgb="FF0031DF"/>
        <bgColor indexed="64"/>
      </patternFill>
    </fill>
    <fill>
      <patternFill patternType="solid">
        <fgColor rgb="FF0031E0"/>
        <bgColor indexed="64"/>
      </patternFill>
    </fill>
    <fill>
      <patternFill patternType="solid">
        <fgColor rgb="FF0031E1"/>
        <bgColor indexed="64"/>
      </patternFill>
    </fill>
    <fill>
      <patternFill patternType="solid">
        <fgColor rgb="FF0031E2"/>
        <bgColor indexed="64"/>
      </patternFill>
    </fill>
    <fill>
      <patternFill patternType="solid">
        <fgColor rgb="FF0031E3"/>
        <bgColor indexed="64"/>
      </patternFill>
    </fill>
    <fill>
      <patternFill patternType="solid">
        <fgColor rgb="FF0031E4"/>
        <bgColor indexed="64"/>
      </patternFill>
    </fill>
    <fill>
      <patternFill patternType="solid">
        <fgColor rgb="FF0031E5"/>
        <bgColor indexed="64"/>
      </patternFill>
    </fill>
    <fill>
      <patternFill patternType="solid">
        <fgColor rgb="FF0031E6"/>
        <bgColor indexed="64"/>
      </patternFill>
    </fill>
    <fill>
      <patternFill patternType="solid">
        <fgColor rgb="FF0031E7"/>
        <bgColor indexed="64"/>
      </patternFill>
    </fill>
    <fill>
      <patternFill patternType="solid">
        <fgColor rgb="FF0031E8"/>
        <bgColor indexed="64"/>
      </patternFill>
    </fill>
    <fill>
      <patternFill patternType="solid">
        <fgColor rgb="FF0031E9"/>
        <bgColor indexed="64"/>
      </patternFill>
    </fill>
    <fill>
      <patternFill patternType="solid">
        <fgColor rgb="FF0031EA"/>
        <bgColor indexed="64"/>
      </patternFill>
    </fill>
    <fill>
      <patternFill patternType="solid">
        <fgColor rgb="FF0031EB"/>
        <bgColor indexed="64"/>
      </patternFill>
    </fill>
    <fill>
      <patternFill patternType="solid">
        <fgColor rgb="FF0031EC"/>
        <bgColor indexed="64"/>
      </patternFill>
    </fill>
    <fill>
      <patternFill patternType="solid">
        <fgColor rgb="FF0031ED"/>
        <bgColor indexed="64"/>
      </patternFill>
    </fill>
    <fill>
      <patternFill patternType="solid">
        <fgColor rgb="FF0031EE"/>
        <bgColor indexed="64"/>
      </patternFill>
    </fill>
    <fill>
      <patternFill patternType="solid">
        <fgColor rgb="FF0031EF"/>
        <bgColor indexed="64"/>
      </patternFill>
    </fill>
    <fill>
      <patternFill patternType="solid">
        <fgColor rgb="FF0031F0"/>
        <bgColor indexed="64"/>
      </patternFill>
    </fill>
    <fill>
      <patternFill patternType="solid">
        <fgColor rgb="FF0031F1"/>
        <bgColor indexed="64"/>
      </patternFill>
    </fill>
    <fill>
      <patternFill patternType="solid">
        <fgColor rgb="FF0031F2"/>
        <bgColor indexed="64"/>
      </patternFill>
    </fill>
    <fill>
      <patternFill patternType="solid">
        <fgColor rgb="FF0031F3"/>
        <bgColor indexed="64"/>
      </patternFill>
    </fill>
    <fill>
      <patternFill patternType="solid">
        <fgColor rgb="FF0031F4"/>
        <bgColor indexed="64"/>
      </patternFill>
    </fill>
    <fill>
      <patternFill patternType="solid">
        <fgColor rgb="FF0031F5"/>
        <bgColor indexed="64"/>
      </patternFill>
    </fill>
    <fill>
      <patternFill patternType="solid">
        <fgColor rgb="FF0031F6"/>
        <bgColor indexed="64"/>
      </patternFill>
    </fill>
    <fill>
      <patternFill patternType="solid">
        <fgColor rgb="FF0031F7"/>
        <bgColor indexed="64"/>
      </patternFill>
    </fill>
    <fill>
      <patternFill patternType="solid">
        <fgColor rgb="FF0031F8"/>
        <bgColor indexed="64"/>
      </patternFill>
    </fill>
    <fill>
      <patternFill patternType="solid">
        <fgColor rgb="FF0031F9"/>
        <bgColor indexed="64"/>
      </patternFill>
    </fill>
    <fill>
      <patternFill patternType="solid">
        <fgColor rgb="FF0031FA"/>
        <bgColor indexed="64"/>
      </patternFill>
    </fill>
    <fill>
      <patternFill patternType="solid">
        <fgColor rgb="FF0031FB"/>
        <bgColor indexed="64"/>
      </patternFill>
    </fill>
    <fill>
      <patternFill patternType="solid">
        <fgColor rgb="FF0031FC"/>
        <bgColor indexed="64"/>
      </patternFill>
    </fill>
    <fill>
      <patternFill patternType="solid">
        <fgColor rgb="FF0031FD"/>
        <bgColor indexed="64"/>
      </patternFill>
    </fill>
    <fill>
      <patternFill patternType="solid">
        <fgColor rgb="FF0031FE"/>
        <bgColor indexed="64"/>
      </patternFill>
    </fill>
    <fill>
      <patternFill patternType="solid">
        <fgColor rgb="FF0031FF"/>
        <bgColor indexed="64"/>
      </patternFill>
    </fill>
    <fill>
      <patternFill patternType="solid">
        <fgColor rgb="FF003200"/>
        <bgColor indexed="64"/>
      </patternFill>
    </fill>
    <fill>
      <patternFill patternType="solid">
        <fgColor rgb="FF003201"/>
        <bgColor indexed="64"/>
      </patternFill>
    </fill>
    <fill>
      <patternFill patternType="solid">
        <fgColor rgb="FF003202"/>
        <bgColor indexed="64"/>
      </patternFill>
    </fill>
    <fill>
      <patternFill patternType="solid">
        <fgColor rgb="FF003203"/>
        <bgColor indexed="64"/>
      </patternFill>
    </fill>
    <fill>
      <patternFill patternType="solid">
        <fgColor rgb="FF003204"/>
        <bgColor indexed="64"/>
      </patternFill>
    </fill>
    <fill>
      <patternFill patternType="solid">
        <fgColor rgb="FF003205"/>
        <bgColor indexed="64"/>
      </patternFill>
    </fill>
    <fill>
      <patternFill patternType="solid">
        <fgColor rgb="FF003206"/>
        <bgColor indexed="64"/>
      </patternFill>
    </fill>
    <fill>
      <patternFill patternType="solid">
        <fgColor rgb="FF003207"/>
        <bgColor indexed="64"/>
      </patternFill>
    </fill>
    <fill>
      <patternFill patternType="solid">
        <fgColor rgb="FF003208"/>
        <bgColor indexed="64"/>
      </patternFill>
    </fill>
    <fill>
      <patternFill patternType="solid">
        <fgColor rgb="FF003209"/>
        <bgColor indexed="64"/>
      </patternFill>
    </fill>
    <fill>
      <patternFill patternType="solid">
        <fgColor rgb="FF00320A"/>
        <bgColor indexed="64"/>
      </patternFill>
    </fill>
    <fill>
      <patternFill patternType="solid">
        <fgColor rgb="FF00320B"/>
        <bgColor indexed="64"/>
      </patternFill>
    </fill>
    <fill>
      <patternFill patternType="solid">
        <fgColor rgb="FF00320C"/>
        <bgColor indexed="64"/>
      </patternFill>
    </fill>
    <fill>
      <patternFill patternType="solid">
        <fgColor rgb="FF00320D"/>
        <bgColor indexed="64"/>
      </patternFill>
    </fill>
    <fill>
      <patternFill patternType="solid">
        <fgColor rgb="FF00320E"/>
        <bgColor indexed="64"/>
      </patternFill>
    </fill>
    <fill>
      <patternFill patternType="solid">
        <fgColor rgb="FF00320F"/>
        <bgColor indexed="64"/>
      </patternFill>
    </fill>
    <fill>
      <patternFill patternType="solid">
        <fgColor rgb="FF003210"/>
        <bgColor indexed="64"/>
      </patternFill>
    </fill>
    <fill>
      <patternFill patternType="solid">
        <fgColor rgb="FF003211"/>
        <bgColor indexed="64"/>
      </patternFill>
    </fill>
    <fill>
      <patternFill patternType="solid">
        <fgColor rgb="FF003212"/>
        <bgColor indexed="64"/>
      </patternFill>
    </fill>
    <fill>
      <patternFill patternType="solid">
        <fgColor rgb="FF003213"/>
        <bgColor indexed="64"/>
      </patternFill>
    </fill>
    <fill>
      <patternFill patternType="solid">
        <fgColor rgb="FF003214"/>
        <bgColor indexed="64"/>
      </patternFill>
    </fill>
    <fill>
      <patternFill patternType="solid">
        <fgColor rgb="FF003215"/>
        <bgColor indexed="64"/>
      </patternFill>
    </fill>
    <fill>
      <patternFill patternType="solid">
        <fgColor rgb="FF003216"/>
        <bgColor indexed="64"/>
      </patternFill>
    </fill>
    <fill>
      <patternFill patternType="solid">
        <fgColor rgb="FF003217"/>
        <bgColor indexed="64"/>
      </patternFill>
    </fill>
    <fill>
      <patternFill patternType="solid">
        <fgColor rgb="FF003218"/>
        <bgColor indexed="64"/>
      </patternFill>
    </fill>
    <fill>
      <patternFill patternType="solid">
        <fgColor rgb="FF003219"/>
        <bgColor indexed="64"/>
      </patternFill>
    </fill>
    <fill>
      <patternFill patternType="solid">
        <fgColor rgb="FF00321A"/>
        <bgColor indexed="64"/>
      </patternFill>
    </fill>
    <fill>
      <patternFill patternType="solid">
        <fgColor rgb="FF00321B"/>
        <bgColor indexed="64"/>
      </patternFill>
    </fill>
    <fill>
      <patternFill patternType="solid">
        <fgColor rgb="FF00321C"/>
        <bgColor indexed="64"/>
      </patternFill>
    </fill>
    <fill>
      <patternFill patternType="solid">
        <fgColor rgb="FF00321D"/>
        <bgColor indexed="64"/>
      </patternFill>
    </fill>
    <fill>
      <patternFill patternType="solid">
        <fgColor rgb="FF00321E"/>
        <bgColor indexed="64"/>
      </patternFill>
    </fill>
    <fill>
      <patternFill patternType="solid">
        <fgColor rgb="FF00321F"/>
        <bgColor indexed="64"/>
      </patternFill>
    </fill>
    <fill>
      <patternFill patternType="solid">
        <fgColor rgb="FF003220"/>
        <bgColor indexed="64"/>
      </patternFill>
    </fill>
    <fill>
      <patternFill patternType="solid">
        <fgColor rgb="FF003221"/>
        <bgColor indexed="64"/>
      </patternFill>
    </fill>
    <fill>
      <patternFill patternType="solid">
        <fgColor rgb="FF003222"/>
        <bgColor indexed="64"/>
      </patternFill>
    </fill>
    <fill>
      <patternFill patternType="solid">
        <fgColor rgb="FF003223"/>
        <bgColor indexed="64"/>
      </patternFill>
    </fill>
    <fill>
      <patternFill patternType="solid">
        <fgColor rgb="FF003224"/>
        <bgColor indexed="64"/>
      </patternFill>
    </fill>
    <fill>
      <patternFill patternType="solid">
        <fgColor rgb="FF003225"/>
        <bgColor indexed="64"/>
      </patternFill>
    </fill>
    <fill>
      <patternFill patternType="solid">
        <fgColor rgb="FF003226"/>
        <bgColor indexed="64"/>
      </patternFill>
    </fill>
    <fill>
      <patternFill patternType="solid">
        <fgColor rgb="FF003227"/>
        <bgColor indexed="64"/>
      </patternFill>
    </fill>
    <fill>
      <patternFill patternType="solid">
        <fgColor rgb="FF003228"/>
        <bgColor indexed="64"/>
      </patternFill>
    </fill>
    <fill>
      <patternFill patternType="solid">
        <fgColor rgb="FF003229"/>
        <bgColor indexed="64"/>
      </patternFill>
    </fill>
    <fill>
      <patternFill patternType="solid">
        <fgColor rgb="FF00322A"/>
        <bgColor indexed="64"/>
      </patternFill>
    </fill>
    <fill>
      <patternFill patternType="solid">
        <fgColor rgb="FF00322B"/>
        <bgColor indexed="64"/>
      </patternFill>
    </fill>
    <fill>
      <patternFill patternType="solid">
        <fgColor rgb="FF00322C"/>
        <bgColor indexed="64"/>
      </patternFill>
    </fill>
    <fill>
      <patternFill patternType="solid">
        <fgColor rgb="FF00322D"/>
        <bgColor indexed="64"/>
      </patternFill>
    </fill>
    <fill>
      <patternFill patternType="solid">
        <fgColor rgb="FF00322E"/>
        <bgColor indexed="64"/>
      </patternFill>
    </fill>
    <fill>
      <patternFill patternType="solid">
        <fgColor rgb="FF00322F"/>
        <bgColor indexed="64"/>
      </patternFill>
    </fill>
    <fill>
      <patternFill patternType="solid">
        <fgColor rgb="FF003230"/>
        <bgColor indexed="64"/>
      </patternFill>
    </fill>
    <fill>
      <patternFill patternType="solid">
        <fgColor rgb="FF003231"/>
        <bgColor indexed="64"/>
      </patternFill>
    </fill>
    <fill>
      <patternFill patternType="solid">
        <fgColor rgb="FF003232"/>
        <bgColor indexed="64"/>
      </patternFill>
    </fill>
    <fill>
      <patternFill patternType="solid">
        <fgColor rgb="FF003233"/>
        <bgColor indexed="64"/>
      </patternFill>
    </fill>
    <fill>
      <patternFill patternType="solid">
        <fgColor rgb="FF003234"/>
        <bgColor indexed="64"/>
      </patternFill>
    </fill>
    <fill>
      <patternFill patternType="solid">
        <fgColor rgb="FF003235"/>
        <bgColor indexed="64"/>
      </patternFill>
    </fill>
    <fill>
      <patternFill patternType="solid">
        <fgColor rgb="FF003236"/>
        <bgColor indexed="64"/>
      </patternFill>
    </fill>
    <fill>
      <patternFill patternType="solid">
        <fgColor rgb="FF003237"/>
        <bgColor indexed="64"/>
      </patternFill>
    </fill>
    <fill>
      <patternFill patternType="solid">
        <fgColor rgb="FF003238"/>
        <bgColor indexed="64"/>
      </patternFill>
    </fill>
    <fill>
      <patternFill patternType="solid">
        <fgColor rgb="FF003239"/>
        <bgColor indexed="64"/>
      </patternFill>
    </fill>
    <fill>
      <patternFill patternType="solid">
        <fgColor rgb="FF00323A"/>
        <bgColor indexed="64"/>
      </patternFill>
    </fill>
    <fill>
      <patternFill patternType="solid">
        <fgColor rgb="FF00323B"/>
        <bgColor indexed="64"/>
      </patternFill>
    </fill>
    <fill>
      <patternFill patternType="solid">
        <fgColor rgb="FF00323C"/>
        <bgColor indexed="64"/>
      </patternFill>
    </fill>
    <fill>
      <patternFill patternType="solid">
        <fgColor rgb="FF00323D"/>
        <bgColor indexed="64"/>
      </patternFill>
    </fill>
    <fill>
      <patternFill patternType="solid">
        <fgColor rgb="FF00323E"/>
        <bgColor indexed="64"/>
      </patternFill>
    </fill>
    <fill>
      <patternFill patternType="solid">
        <fgColor rgb="FF00323F"/>
        <bgColor indexed="64"/>
      </patternFill>
    </fill>
    <fill>
      <patternFill patternType="solid">
        <fgColor rgb="FF003240"/>
        <bgColor indexed="64"/>
      </patternFill>
    </fill>
    <fill>
      <patternFill patternType="solid">
        <fgColor rgb="FF003241"/>
        <bgColor indexed="64"/>
      </patternFill>
    </fill>
    <fill>
      <patternFill patternType="solid">
        <fgColor rgb="FF003242"/>
        <bgColor indexed="64"/>
      </patternFill>
    </fill>
    <fill>
      <patternFill patternType="solid">
        <fgColor rgb="FF003243"/>
        <bgColor indexed="64"/>
      </patternFill>
    </fill>
    <fill>
      <patternFill patternType="solid">
        <fgColor rgb="FF003244"/>
        <bgColor indexed="64"/>
      </patternFill>
    </fill>
    <fill>
      <patternFill patternType="solid">
        <fgColor rgb="FF003245"/>
        <bgColor indexed="64"/>
      </patternFill>
    </fill>
    <fill>
      <patternFill patternType="solid">
        <fgColor rgb="FF003246"/>
        <bgColor indexed="64"/>
      </patternFill>
    </fill>
    <fill>
      <patternFill patternType="solid">
        <fgColor rgb="FF003247"/>
        <bgColor indexed="64"/>
      </patternFill>
    </fill>
    <fill>
      <patternFill patternType="solid">
        <fgColor rgb="FF003248"/>
        <bgColor indexed="64"/>
      </patternFill>
    </fill>
    <fill>
      <patternFill patternType="solid">
        <fgColor rgb="FF003249"/>
        <bgColor indexed="64"/>
      </patternFill>
    </fill>
    <fill>
      <patternFill patternType="solid">
        <fgColor rgb="FF00324A"/>
        <bgColor indexed="64"/>
      </patternFill>
    </fill>
    <fill>
      <patternFill patternType="solid">
        <fgColor rgb="FF00324B"/>
        <bgColor indexed="64"/>
      </patternFill>
    </fill>
    <fill>
      <patternFill patternType="solid">
        <fgColor rgb="FF00324C"/>
        <bgColor indexed="64"/>
      </patternFill>
    </fill>
    <fill>
      <patternFill patternType="solid">
        <fgColor rgb="FF00324D"/>
        <bgColor indexed="64"/>
      </patternFill>
    </fill>
    <fill>
      <patternFill patternType="solid">
        <fgColor rgb="FF00324E"/>
        <bgColor indexed="64"/>
      </patternFill>
    </fill>
    <fill>
      <patternFill patternType="solid">
        <fgColor rgb="FF00324F"/>
        <bgColor indexed="64"/>
      </patternFill>
    </fill>
    <fill>
      <patternFill patternType="solid">
        <fgColor rgb="FF003250"/>
        <bgColor indexed="64"/>
      </patternFill>
    </fill>
    <fill>
      <patternFill patternType="solid">
        <fgColor rgb="FF003251"/>
        <bgColor indexed="64"/>
      </patternFill>
    </fill>
    <fill>
      <patternFill patternType="solid">
        <fgColor rgb="FF003252"/>
        <bgColor indexed="64"/>
      </patternFill>
    </fill>
    <fill>
      <patternFill patternType="solid">
        <fgColor rgb="FF003253"/>
        <bgColor indexed="64"/>
      </patternFill>
    </fill>
    <fill>
      <patternFill patternType="solid">
        <fgColor rgb="FF003254"/>
        <bgColor indexed="64"/>
      </patternFill>
    </fill>
    <fill>
      <patternFill patternType="solid">
        <fgColor rgb="FF003255"/>
        <bgColor indexed="64"/>
      </patternFill>
    </fill>
    <fill>
      <patternFill patternType="solid">
        <fgColor rgb="FF003256"/>
        <bgColor indexed="64"/>
      </patternFill>
    </fill>
    <fill>
      <patternFill patternType="solid">
        <fgColor rgb="FF003257"/>
        <bgColor indexed="64"/>
      </patternFill>
    </fill>
    <fill>
      <patternFill patternType="solid">
        <fgColor rgb="FF003258"/>
        <bgColor indexed="64"/>
      </patternFill>
    </fill>
    <fill>
      <patternFill patternType="solid">
        <fgColor rgb="FF003259"/>
        <bgColor indexed="64"/>
      </patternFill>
    </fill>
    <fill>
      <patternFill patternType="solid">
        <fgColor rgb="FF00325A"/>
        <bgColor indexed="64"/>
      </patternFill>
    </fill>
    <fill>
      <patternFill patternType="solid">
        <fgColor rgb="FF00325B"/>
        <bgColor indexed="64"/>
      </patternFill>
    </fill>
    <fill>
      <patternFill patternType="solid">
        <fgColor rgb="FF00325C"/>
        <bgColor indexed="64"/>
      </patternFill>
    </fill>
    <fill>
      <patternFill patternType="solid">
        <fgColor rgb="FF00325D"/>
        <bgColor indexed="64"/>
      </patternFill>
    </fill>
    <fill>
      <patternFill patternType="solid">
        <fgColor rgb="FF00325E"/>
        <bgColor indexed="64"/>
      </patternFill>
    </fill>
    <fill>
      <patternFill patternType="solid">
        <fgColor rgb="FF00325F"/>
        <bgColor indexed="64"/>
      </patternFill>
    </fill>
    <fill>
      <patternFill patternType="solid">
        <fgColor rgb="FF003260"/>
        <bgColor indexed="64"/>
      </patternFill>
    </fill>
    <fill>
      <patternFill patternType="solid">
        <fgColor rgb="FF003261"/>
        <bgColor indexed="64"/>
      </patternFill>
    </fill>
    <fill>
      <patternFill patternType="solid">
        <fgColor rgb="FF003262"/>
        <bgColor indexed="64"/>
      </patternFill>
    </fill>
    <fill>
      <patternFill patternType="solid">
        <fgColor rgb="FF003263"/>
        <bgColor indexed="64"/>
      </patternFill>
    </fill>
    <fill>
      <patternFill patternType="solid">
        <fgColor rgb="FF003264"/>
        <bgColor indexed="64"/>
      </patternFill>
    </fill>
    <fill>
      <patternFill patternType="solid">
        <fgColor rgb="FF003265"/>
        <bgColor indexed="64"/>
      </patternFill>
    </fill>
    <fill>
      <patternFill patternType="solid">
        <fgColor rgb="FF003266"/>
        <bgColor indexed="64"/>
      </patternFill>
    </fill>
    <fill>
      <patternFill patternType="solid">
        <fgColor rgb="FF003267"/>
        <bgColor indexed="64"/>
      </patternFill>
    </fill>
    <fill>
      <patternFill patternType="solid">
        <fgColor rgb="FF003268"/>
        <bgColor indexed="64"/>
      </patternFill>
    </fill>
    <fill>
      <patternFill patternType="solid">
        <fgColor rgb="FF003269"/>
        <bgColor indexed="64"/>
      </patternFill>
    </fill>
    <fill>
      <patternFill patternType="solid">
        <fgColor rgb="FF00326A"/>
        <bgColor indexed="64"/>
      </patternFill>
    </fill>
    <fill>
      <patternFill patternType="solid">
        <fgColor rgb="FF00326B"/>
        <bgColor indexed="64"/>
      </patternFill>
    </fill>
    <fill>
      <patternFill patternType="solid">
        <fgColor rgb="FF00326C"/>
        <bgColor indexed="64"/>
      </patternFill>
    </fill>
    <fill>
      <patternFill patternType="solid">
        <fgColor rgb="FF00326D"/>
        <bgColor indexed="64"/>
      </patternFill>
    </fill>
    <fill>
      <patternFill patternType="solid">
        <fgColor rgb="FF00326E"/>
        <bgColor indexed="64"/>
      </patternFill>
    </fill>
    <fill>
      <patternFill patternType="solid">
        <fgColor rgb="FF00326F"/>
        <bgColor indexed="64"/>
      </patternFill>
    </fill>
    <fill>
      <patternFill patternType="solid">
        <fgColor rgb="FF003270"/>
        <bgColor indexed="64"/>
      </patternFill>
    </fill>
    <fill>
      <patternFill patternType="solid">
        <fgColor rgb="FF003271"/>
        <bgColor indexed="64"/>
      </patternFill>
    </fill>
    <fill>
      <patternFill patternType="solid">
        <fgColor rgb="FF003272"/>
        <bgColor indexed="64"/>
      </patternFill>
    </fill>
    <fill>
      <patternFill patternType="solid">
        <fgColor rgb="FF003273"/>
        <bgColor indexed="64"/>
      </patternFill>
    </fill>
    <fill>
      <patternFill patternType="solid">
        <fgColor rgb="FF003274"/>
        <bgColor indexed="64"/>
      </patternFill>
    </fill>
    <fill>
      <patternFill patternType="solid">
        <fgColor rgb="FF003275"/>
        <bgColor indexed="64"/>
      </patternFill>
    </fill>
    <fill>
      <patternFill patternType="solid">
        <fgColor rgb="FF003276"/>
        <bgColor indexed="64"/>
      </patternFill>
    </fill>
    <fill>
      <patternFill patternType="solid">
        <fgColor rgb="FF003277"/>
        <bgColor indexed="64"/>
      </patternFill>
    </fill>
    <fill>
      <patternFill patternType="solid">
        <fgColor rgb="FF003278"/>
        <bgColor indexed="64"/>
      </patternFill>
    </fill>
    <fill>
      <patternFill patternType="solid">
        <fgColor rgb="FF003279"/>
        <bgColor indexed="64"/>
      </patternFill>
    </fill>
    <fill>
      <patternFill patternType="solid">
        <fgColor rgb="FF00327A"/>
        <bgColor indexed="64"/>
      </patternFill>
    </fill>
    <fill>
      <patternFill patternType="solid">
        <fgColor rgb="FF00327B"/>
        <bgColor indexed="64"/>
      </patternFill>
    </fill>
    <fill>
      <patternFill patternType="solid">
        <fgColor rgb="FF00327C"/>
        <bgColor indexed="64"/>
      </patternFill>
    </fill>
    <fill>
      <patternFill patternType="solid">
        <fgColor rgb="FF00327D"/>
        <bgColor indexed="64"/>
      </patternFill>
    </fill>
    <fill>
      <patternFill patternType="solid">
        <fgColor rgb="FF00327E"/>
        <bgColor indexed="64"/>
      </patternFill>
    </fill>
    <fill>
      <patternFill patternType="solid">
        <fgColor rgb="FF00327F"/>
        <bgColor indexed="64"/>
      </patternFill>
    </fill>
    <fill>
      <patternFill patternType="solid">
        <fgColor rgb="FF003280"/>
        <bgColor indexed="64"/>
      </patternFill>
    </fill>
    <fill>
      <patternFill patternType="solid">
        <fgColor rgb="FF003281"/>
        <bgColor indexed="64"/>
      </patternFill>
    </fill>
    <fill>
      <patternFill patternType="solid">
        <fgColor rgb="FF003282"/>
        <bgColor indexed="64"/>
      </patternFill>
    </fill>
    <fill>
      <patternFill patternType="solid">
        <fgColor rgb="FF003283"/>
        <bgColor indexed="64"/>
      </patternFill>
    </fill>
    <fill>
      <patternFill patternType="solid">
        <fgColor rgb="FF003284"/>
        <bgColor indexed="64"/>
      </patternFill>
    </fill>
    <fill>
      <patternFill patternType="solid">
        <fgColor rgb="FF003285"/>
        <bgColor indexed="64"/>
      </patternFill>
    </fill>
    <fill>
      <patternFill patternType="solid">
        <fgColor rgb="FF003286"/>
        <bgColor indexed="64"/>
      </patternFill>
    </fill>
    <fill>
      <patternFill patternType="solid">
        <fgColor rgb="FF003287"/>
        <bgColor indexed="64"/>
      </patternFill>
    </fill>
    <fill>
      <patternFill patternType="solid">
        <fgColor rgb="FF003288"/>
        <bgColor indexed="64"/>
      </patternFill>
    </fill>
    <fill>
      <patternFill patternType="solid">
        <fgColor rgb="FF003289"/>
        <bgColor indexed="64"/>
      </patternFill>
    </fill>
    <fill>
      <patternFill patternType="solid">
        <fgColor rgb="FF00328A"/>
        <bgColor indexed="64"/>
      </patternFill>
    </fill>
    <fill>
      <patternFill patternType="solid">
        <fgColor rgb="FF00328B"/>
        <bgColor indexed="64"/>
      </patternFill>
    </fill>
    <fill>
      <patternFill patternType="solid">
        <fgColor rgb="FF00328C"/>
        <bgColor indexed="64"/>
      </patternFill>
    </fill>
    <fill>
      <patternFill patternType="solid">
        <fgColor rgb="FF00328D"/>
        <bgColor indexed="64"/>
      </patternFill>
    </fill>
    <fill>
      <patternFill patternType="solid">
        <fgColor rgb="FF00328E"/>
        <bgColor indexed="64"/>
      </patternFill>
    </fill>
    <fill>
      <patternFill patternType="solid">
        <fgColor rgb="FF00328F"/>
        <bgColor indexed="64"/>
      </patternFill>
    </fill>
    <fill>
      <patternFill patternType="solid">
        <fgColor rgb="FF003290"/>
        <bgColor indexed="64"/>
      </patternFill>
    </fill>
    <fill>
      <patternFill patternType="solid">
        <fgColor rgb="FF003291"/>
        <bgColor indexed="64"/>
      </patternFill>
    </fill>
    <fill>
      <patternFill patternType="solid">
        <fgColor rgb="FF003292"/>
        <bgColor indexed="64"/>
      </patternFill>
    </fill>
    <fill>
      <patternFill patternType="solid">
        <fgColor rgb="FF003293"/>
        <bgColor indexed="64"/>
      </patternFill>
    </fill>
    <fill>
      <patternFill patternType="solid">
        <fgColor rgb="FF003294"/>
        <bgColor indexed="64"/>
      </patternFill>
    </fill>
    <fill>
      <patternFill patternType="solid">
        <fgColor rgb="FF003295"/>
        <bgColor indexed="64"/>
      </patternFill>
    </fill>
    <fill>
      <patternFill patternType="solid">
        <fgColor rgb="FF003296"/>
        <bgColor indexed="64"/>
      </patternFill>
    </fill>
    <fill>
      <patternFill patternType="solid">
        <fgColor rgb="FF003297"/>
        <bgColor indexed="64"/>
      </patternFill>
    </fill>
    <fill>
      <patternFill patternType="solid">
        <fgColor rgb="FF003298"/>
        <bgColor indexed="64"/>
      </patternFill>
    </fill>
    <fill>
      <patternFill patternType="solid">
        <fgColor rgb="FF003299"/>
        <bgColor indexed="64"/>
      </patternFill>
    </fill>
    <fill>
      <patternFill patternType="solid">
        <fgColor rgb="FF00329A"/>
        <bgColor indexed="64"/>
      </patternFill>
    </fill>
    <fill>
      <patternFill patternType="solid">
        <fgColor rgb="FF00329B"/>
        <bgColor indexed="64"/>
      </patternFill>
    </fill>
    <fill>
      <patternFill patternType="solid">
        <fgColor rgb="FF00329C"/>
        <bgColor indexed="64"/>
      </patternFill>
    </fill>
    <fill>
      <patternFill patternType="solid">
        <fgColor rgb="FF00329D"/>
        <bgColor indexed="64"/>
      </patternFill>
    </fill>
    <fill>
      <patternFill patternType="solid">
        <fgColor rgb="FF00329E"/>
        <bgColor indexed="64"/>
      </patternFill>
    </fill>
    <fill>
      <patternFill patternType="solid">
        <fgColor rgb="FF00329F"/>
        <bgColor indexed="64"/>
      </patternFill>
    </fill>
    <fill>
      <patternFill patternType="solid">
        <fgColor rgb="FF0032A0"/>
        <bgColor indexed="64"/>
      </patternFill>
    </fill>
    <fill>
      <patternFill patternType="solid">
        <fgColor rgb="FF0032A1"/>
        <bgColor indexed="64"/>
      </patternFill>
    </fill>
    <fill>
      <patternFill patternType="solid">
        <fgColor rgb="FF0032A2"/>
        <bgColor indexed="64"/>
      </patternFill>
    </fill>
    <fill>
      <patternFill patternType="solid">
        <fgColor rgb="FF0032A3"/>
        <bgColor indexed="64"/>
      </patternFill>
    </fill>
    <fill>
      <patternFill patternType="solid">
        <fgColor rgb="FF0032A4"/>
        <bgColor indexed="64"/>
      </patternFill>
    </fill>
    <fill>
      <patternFill patternType="solid">
        <fgColor rgb="FF0032A5"/>
        <bgColor indexed="64"/>
      </patternFill>
    </fill>
    <fill>
      <patternFill patternType="solid">
        <fgColor rgb="FF0032A6"/>
        <bgColor indexed="64"/>
      </patternFill>
    </fill>
    <fill>
      <patternFill patternType="solid">
        <fgColor rgb="FF0032A7"/>
        <bgColor indexed="64"/>
      </patternFill>
    </fill>
    <fill>
      <patternFill patternType="solid">
        <fgColor rgb="FF0032A8"/>
        <bgColor indexed="64"/>
      </patternFill>
    </fill>
    <fill>
      <patternFill patternType="solid">
        <fgColor rgb="FF0032A9"/>
        <bgColor indexed="64"/>
      </patternFill>
    </fill>
    <fill>
      <patternFill patternType="solid">
        <fgColor rgb="FF0032AA"/>
        <bgColor indexed="64"/>
      </patternFill>
    </fill>
    <fill>
      <patternFill patternType="solid">
        <fgColor rgb="FF0032AB"/>
        <bgColor indexed="64"/>
      </patternFill>
    </fill>
    <fill>
      <patternFill patternType="solid">
        <fgColor rgb="FF0032AC"/>
        <bgColor indexed="64"/>
      </patternFill>
    </fill>
    <fill>
      <patternFill patternType="solid">
        <fgColor rgb="FF0032AD"/>
        <bgColor indexed="64"/>
      </patternFill>
    </fill>
    <fill>
      <patternFill patternType="solid">
        <fgColor rgb="FF0032AE"/>
        <bgColor indexed="64"/>
      </patternFill>
    </fill>
    <fill>
      <patternFill patternType="solid">
        <fgColor rgb="FF0032AF"/>
        <bgColor indexed="64"/>
      </patternFill>
    </fill>
    <fill>
      <patternFill patternType="solid">
        <fgColor rgb="FF0032B0"/>
        <bgColor indexed="64"/>
      </patternFill>
    </fill>
    <fill>
      <patternFill patternType="solid">
        <fgColor rgb="FF0032B1"/>
        <bgColor indexed="64"/>
      </patternFill>
    </fill>
    <fill>
      <patternFill patternType="solid">
        <fgColor rgb="FF0032B2"/>
        <bgColor indexed="64"/>
      </patternFill>
    </fill>
    <fill>
      <patternFill patternType="solid">
        <fgColor rgb="FF0032B3"/>
        <bgColor indexed="64"/>
      </patternFill>
    </fill>
    <fill>
      <patternFill patternType="solid">
        <fgColor rgb="FF0032B4"/>
        <bgColor indexed="64"/>
      </patternFill>
    </fill>
    <fill>
      <patternFill patternType="solid">
        <fgColor rgb="FF0032B5"/>
        <bgColor indexed="64"/>
      </patternFill>
    </fill>
    <fill>
      <patternFill patternType="solid">
        <fgColor rgb="FF0032B6"/>
        <bgColor indexed="64"/>
      </patternFill>
    </fill>
    <fill>
      <patternFill patternType="solid">
        <fgColor rgb="FF0032B7"/>
        <bgColor indexed="64"/>
      </patternFill>
    </fill>
    <fill>
      <patternFill patternType="solid">
        <fgColor rgb="FF0032B8"/>
        <bgColor indexed="64"/>
      </patternFill>
    </fill>
    <fill>
      <patternFill patternType="solid">
        <fgColor rgb="FF0032B9"/>
        <bgColor indexed="64"/>
      </patternFill>
    </fill>
    <fill>
      <patternFill patternType="solid">
        <fgColor rgb="FF0032BA"/>
        <bgColor indexed="64"/>
      </patternFill>
    </fill>
    <fill>
      <patternFill patternType="solid">
        <fgColor rgb="FF0032BB"/>
        <bgColor indexed="64"/>
      </patternFill>
    </fill>
    <fill>
      <patternFill patternType="solid">
        <fgColor rgb="FF0032BC"/>
        <bgColor indexed="64"/>
      </patternFill>
    </fill>
    <fill>
      <patternFill patternType="solid">
        <fgColor rgb="FF0032BD"/>
        <bgColor indexed="64"/>
      </patternFill>
    </fill>
    <fill>
      <patternFill patternType="solid">
        <fgColor rgb="FF0032BE"/>
        <bgColor indexed="64"/>
      </patternFill>
    </fill>
    <fill>
      <patternFill patternType="solid">
        <fgColor rgb="FF0032BF"/>
        <bgColor indexed="64"/>
      </patternFill>
    </fill>
    <fill>
      <patternFill patternType="solid">
        <fgColor rgb="FF0032C0"/>
        <bgColor indexed="64"/>
      </patternFill>
    </fill>
    <fill>
      <patternFill patternType="solid">
        <fgColor rgb="FF0032C1"/>
        <bgColor indexed="64"/>
      </patternFill>
    </fill>
    <fill>
      <patternFill patternType="solid">
        <fgColor rgb="FF0032C2"/>
        <bgColor indexed="64"/>
      </patternFill>
    </fill>
    <fill>
      <patternFill patternType="solid">
        <fgColor rgb="FF0032C3"/>
        <bgColor indexed="64"/>
      </patternFill>
    </fill>
    <fill>
      <patternFill patternType="solid">
        <fgColor rgb="FF0032C4"/>
        <bgColor indexed="64"/>
      </patternFill>
    </fill>
    <fill>
      <patternFill patternType="solid">
        <fgColor rgb="FF0032C5"/>
        <bgColor indexed="64"/>
      </patternFill>
    </fill>
    <fill>
      <patternFill patternType="solid">
        <fgColor rgb="FF0032C6"/>
        <bgColor indexed="64"/>
      </patternFill>
    </fill>
    <fill>
      <patternFill patternType="solid">
        <fgColor rgb="FF0032C7"/>
        <bgColor indexed="64"/>
      </patternFill>
    </fill>
    <fill>
      <patternFill patternType="solid">
        <fgColor rgb="FF0032C8"/>
        <bgColor indexed="64"/>
      </patternFill>
    </fill>
    <fill>
      <patternFill patternType="solid">
        <fgColor rgb="FF0032C9"/>
        <bgColor indexed="64"/>
      </patternFill>
    </fill>
    <fill>
      <patternFill patternType="solid">
        <fgColor rgb="FF0032CA"/>
        <bgColor indexed="64"/>
      </patternFill>
    </fill>
    <fill>
      <patternFill patternType="solid">
        <fgColor rgb="FF0032CB"/>
        <bgColor indexed="64"/>
      </patternFill>
    </fill>
    <fill>
      <patternFill patternType="solid">
        <fgColor rgb="FF0032CC"/>
        <bgColor indexed="64"/>
      </patternFill>
    </fill>
    <fill>
      <patternFill patternType="solid">
        <fgColor rgb="FF0032CD"/>
        <bgColor indexed="64"/>
      </patternFill>
    </fill>
    <fill>
      <patternFill patternType="solid">
        <fgColor rgb="FF0032CE"/>
        <bgColor indexed="64"/>
      </patternFill>
    </fill>
    <fill>
      <patternFill patternType="solid">
        <fgColor rgb="FF0032CF"/>
        <bgColor indexed="64"/>
      </patternFill>
    </fill>
    <fill>
      <patternFill patternType="solid">
        <fgColor rgb="FF0032D0"/>
        <bgColor indexed="64"/>
      </patternFill>
    </fill>
    <fill>
      <patternFill patternType="solid">
        <fgColor rgb="FF0032D1"/>
        <bgColor indexed="64"/>
      </patternFill>
    </fill>
    <fill>
      <patternFill patternType="solid">
        <fgColor rgb="FF0032D2"/>
        <bgColor indexed="64"/>
      </patternFill>
    </fill>
    <fill>
      <patternFill patternType="solid">
        <fgColor rgb="FF0032D3"/>
        <bgColor indexed="64"/>
      </patternFill>
    </fill>
    <fill>
      <patternFill patternType="solid">
        <fgColor rgb="FF0032D4"/>
        <bgColor indexed="64"/>
      </patternFill>
    </fill>
    <fill>
      <patternFill patternType="solid">
        <fgColor rgb="FF0032D5"/>
        <bgColor indexed="64"/>
      </patternFill>
    </fill>
    <fill>
      <patternFill patternType="solid">
        <fgColor rgb="FF0032D6"/>
        <bgColor indexed="64"/>
      </patternFill>
    </fill>
    <fill>
      <patternFill patternType="solid">
        <fgColor rgb="FF0032D7"/>
        <bgColor indexed="64"/>
      </patternFill>
    </fill>
    <fill>
      <patternFill patternType="solid">
        <fgColor rgb="FF0032D8"/>
        <bgColor indexed="64"/>
      </patternFill>
    </fill>
    <fill>
      <patternFill patternType="solid">
        <fgColor rgb="FF0032D9"/>
        <bgColor indexed="64"/>
      </patternFill>
    </fill>
    <fill>
      <patternFill patternType="solid">
        <fgColor rgb="FF0032DA"/>
        <bgColor indexed="64"/>
      </patternFill>
    </fill>
    <fill>
      <patternFill patternType="solid">
        <fgColor rgb="FF0032DB"/>
        <bgColor indexed="64"/>
      </patternFill>
    </fill>
    <fill>
      <patternFill patternType="solid">
        <fgColor rgb="FF0032DC"/>
        <bgColor indexed="64"/>
      </patternFill>
    </fill>
    <fill>
      <patternFill patternType="solid">
        <fgColor rgb="FF0032DD"/>
        <bgColor indexed="64"/>
      </patternFill>
    </fill>
    <fill>
      <patternFill patternType="solid">
        <fgColor rgb="FF0032DE"/>
        <bgColor indexed="64"/>
      </patternFill>
    </fill>
    <fill>
      <patternFill patternType="solid">
        <fgColor rgb="FF0032DF"/>
        <bgColor indexed="64"/>
      </patternFill>
    </fill>
    <fill>
      <patternFill patternType="solid">
        <fgColor rgb="FF0032E0"/>
        <bgColor indexed="64"/>
      </patternFill>
    </fill>
    <fill>
      <patternFill patternType="solid">
        <fgColor rgb="FF0032E1"/>
        <bgColor indexed="64"/>
      </patternFill>
    </fill>
    <fill>
      <patternFill patternType="solid">
        <fgColor rgb="FF0032E2"/>
        <bgColor indexed="64"/>
      </patternFill>
    </fill>
    <fill>
      <patternFill patternType="solid">
        <fgColor rgb="FF0032E3"/>
        <bgColor indexed="64"/>
      </patternFill>
    </fill>
    <fill>
      <patternFill patternType="solid">
        <fgColor rgb="FF0032E4"/>
        <bgColor indexed="64"/>
      </patternFill>
    </fill>
    <fill>
      <patternFill patternType="solid">
        <fgColor rgb="FF0032E5"/>
        <bgColor indexed="64"/>
      </patternFill>
    </fill>
    <fill>
      <patternFill patternType="solid">
        <fgColor rgb="FF0032E6"/>
        <bgColor indexed="64"/>
      </patternFill>
    </fill>
    <fill>
      <patternFill patternType="solid">
        <fgColor rgb="FF0032E7"/>
        <bgColor indexed="64"/>
      </patternFill>
    </fill>
    <fill>
      <patternFill patternType="solid">
        <fgColor rgb="FF0032E8"/>
        <bgColor indexed="64"/>
      </patternFill>
    </fill>
    <fill>
      <patternFill patternType="solid">
        <fgColor rgb="FF0032E9"/>
        <bgColor indexed="64"/>
      </patternFill>
    </fill>
    <fill>
      <patternFill patternType="solid">
        <fgColor rgb="FF0032EA"/>
        <bgColor indexed="64"/>
      </patternFill>
    </fill>
    <fill>
      <patternFill patternType="solid">
        <fgColor rgb="FF0032EB"/>
        <bgColor indexed="64"/>
      </patternFill>
    </fill>
    <fill>
      <patternFill patternType="solid">
        <fgColor rgb="FF0032EC"/>
        <bgColor indexed="64"/>
      </patternFill>
    </fill>
    <fill>
      <patternFill patternType="solid">
        <fgColor rgb="FF0032ED"/>
        <bgColor indexed="64"/>
      </patternFill>
    </fill>
    <fill>
      <patternFill patternType="solid">
        <fgColor rgb="FF0032EE"/>
        <bgColor indexed="64"/>
      </patternFill>
    </fill>
    <fill>
      <patternFill patternType="solid">
        <fgColor rgb="FF0032EF"/>
        <bgColor indexed="64"/>
      </patternFill>
    </fill>
    <fill>
      <patternFill patternType="solid">
        <fgColor rgb="FF0032F0"/>
        <bgColor indexed="64"/>
      </patternFill>
    </fill>
    <fill>
      <patternFill patternType="solid">
        <fgColor rgb="FF0032F1"/>
        <bgColor indexed="64"/>
      </patternFill>
    </fill>
    <fill>
      <patternFill patternType="solid">
        <fgColor rgb="FF0032F2"/>
        <bgColor indexed="64"/>
      </patternFill>
    </fill>
    <fill>
      <patternFill patternType="solid">
        <fgColor rgb="FF0032F3"/>
        <bgColor indexed="64"/>
      </patternFill>
    </fill>
    <fill>
      <patternFill patternType="solid">
        <fgColor rgb="FF0032F4"/>
        <bgColor indexed="64"/>
      </patternFill>
    </fill>
    <fill>
      <patternFill patternType="solid">
        <fgColor rgb="FF0032F5"/>
        <bgColor indexed="64"/>
      </patternFill>
    </fill>
    <fill>
      <patternFill patternType="solid">
        <fgColor rgb="FF0032F6"/>
        <bgColor indexed="64"/>
      </patternFill>
    </fill>
    <fill>
      <patternFill patternType="solid">
        <fgColor rgb="FF0032F7"/>
        <bgColor indexed="64"/>
      </patternFill>
    </fill>
    <fill>
      <patternFill patternType="solid">
        <fgColor rgb="FF0032F8"/>
        <bgColor indexed="64"/>
      </patternFill>
    </fill>
    <fill>
      <patternFill patternType="solid">
        <fgColor rgb="FF0032F9"/>
        <bgColor indexed="64"/>
      </patternFill>
    </fill>
    <fill>
      <patternFill patternType="solid">
        <fgColor rgb="FF0032FA"/>
        <bgColor indexed="64"/>
      </patternFill>
    </fill>
    <fill>
      <patternFill patternType="solid">
        <fgColor rgb="FF0032FB"/>
        <bgColor indexed="64"/>
      </patternFill>
    </fill>
    <fill>
      <patternFill patternType="solid">
        <fgColor rgb="FF0032FC"/>
        <bgColor indexed="64"/>
      </patternFill>
    </fill>
    <fill>
      <patternFill patternType="solid">
        <fgColor rgb="FF0032FD"/>
        <bgColor indexed="64"/>
      </patternFill>
    </fill>
    <fill>
      <patternFill patternType="solid">
        <fgColor rgb="FF0032FE"/>
        <bgColor indexed="64"/>
      </patternFill>
    </fill>
    <fill>
      <patternFill patternType="solid">
        <fgColor rgb="FF0032FF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rgb="FF003301"/>
        <bgColor indexed="64"/>
      </patternFill>
    </fill>
    <fill>
      <patternFill patternType="solid">
        <fgColor rgb="FF003302"/>
        <bgColor indexed="64"/>
      </patternFill>
    </fill>
    <fill>
      <patternFill patternType="solid">
        <fgColor rgb="FF003303"/>
        <bgColor indexed="64"/>
      </patternFill>
    </fill>
    <fill>
      <patternFill patternType="solid">
        <fgColor rgb="FF003304"/>
        <bgColor indexed="64"/>
      </patternFill>
    </fill>
    <fill>
      <patternFill patternType="solid">
        <fgColor rgb="FF003305"/>
        <bgColor indexed="64"/>
      </patternFill>
    </fill>
    <fill>
      <patternFill patternType="solid">
        <fgColor rgb="FF003306"/>
        <bgColor indexed="64"/>
      </patternFill>
    </fill>
    <fill>
      <patternFill patternType="solid">
        <fgColor rgb="FF003307"/>
        <bgColor indexed="64"/>
      </patternFill>
    </fill>
    <fill>
      <patternFill patternType="solid">
        <fgColor rgb="FF003308"/>
        <bgColor indexed="64"/>
      </patternFill>
    </fill>
    <fill>
      <patternFill patternType="solid">
        <fgColor rgb="FF003309"/>
        <bgColor indexed="64"/>
      </patternFill>
    </fill>
    <fill>
      <patternFill patternType="solid">
        <fgColor rgb="FF00330A"/>
        <bgColor indexed="64"/>
      </patternFill>
    </fill>
    <fill>
      <patternFill patternType="solid">
        <fgColor rgb="FF00330B"/>
        <bgColor indexed="64"/>
      </patternFill>
    </fill>
    <fill>
      <patternFill patternType="solid">
        <fgColor rgb="FF00330C"/>
        <bgColor indexed="64"/>
      </patternFill>
    </fill>
    <fill>
      <patternFill patternType="solid">
        <fgColor rgb="FF00330D"/>
        <bgColor indexed="64"/>
      </patternFill>
    </fill>
    <fill>
      <patternFill patternType="solid">
        <fgColor rgb="FF00330E"/>
        <bgColor indexed="64"/>
      </patternFill>
    </fill>
    <fill>
      <patternFill patternType="solid">
        <fgColor rgb="FF00330F"/>
        <bgColor indexed="64"/>
      </patternFill>
    </fill>
    <fill>
      <patternFill patternType="solid">
        <fgColor rgb="FF003310"/>
        <bgColor indexed="64"/>
      </patternFill>
    </fill>
    <fill>
      <patternFill patternType="solid">
        <fgColor rgb="FF003311"/>
        <bgColor indexed="64"/>
      </patternFill>
    </fill>
    <fill>
      <patternFill patternType="solid">
        <fgColor rgb="FF003312"/>
        <bgColor indexed="64"/>
      </patternFill>
    </fill>
    <fill>
      <patternFill patternType="solid">
        <fgColor rgb="FF003313"/>
        <bgColor indexed="64"/>
      </patternFill>
    </fill>
    <fill>
      <patternFill patternType="solid">
        <fgColor rgb="FF003314"/>
        <bgColor indexed="64"/>
      </patternFill>
    </fill>
    <fill>
      <patternFill patternType="solid">
        <fgColor rgb="FF003315"/>
        <bgColor indexed="64"/>
      </patternFill>
    </fill>
    <fill>
      <patternFill patternType="solid">
        <fgColor rgb="FF003316"/>
        <bgColor indexed="64"/>
      </patternFill>
    </fill>
    <fill>
      <patternFill patternType="solid">
        <fgColor rgb="FF003317"/>
        <bgColor indexed="64"/>
      </patternFill>
    </fill>
    <fill>
      <patternFill patternType="solid">
        <fgColor rgb="FF003318"/>
        <bgColor indexed="64"/>
      </patternFill>
    </fill>
    <fill>
      <patternFill patternType="solid">
        <fgColor rgb="FF003319"/>
        <bgColor indexed="64"/>
      </patternFill>
    </fill>
    <fill>
      <patternFill patternType="solid">
        <fgColor rgb="FF00331A"/>
        <bgColor indexed="64"/>
      </patternFill>
    </fill>
    <fill>
      <patternFill patternType="solid">
        <fgColor rgb="FF00331B"/>
        <bgColor indexed="64"/>
      </patternFill>
    </fill>
    <fill>
      <patternFill patternType="solid">
        <fgColor rgb="FF00331C"/>
        <bgColor indexed="64"/>
      </patternFill>
    </fill>
    <fill>
      <patternFill patternType="solid">
        <fgColor rgb="FF00331D"/>
        <bgColor indexed="64"/>
      </patternFill>
    </fill>
    <fill>
      <patternFill patternType="solid">
        <fgColor rgb="FF00331E"/>
        <bgColor indexed="64"/>
      </patternFill>
    </fill>
    <fill>
      <patternFill patternType="solid">
        <fgColor rgb="FF00331F"/>
        <bgColor indexed="64"/>
      </patternFill>
    </fill>
    <fill>
      <patternFill patternType="solid">
        <fgColor rgb="FF003320"/>
        <bgColor indexed="64"/>
      </patternFill>
    </fill>
    <fill>
      <patternFill patternType="solid">
        <fgColor rgb="FF003321"/>
        <bgColor indexed="64"/>
      </patternFill>
    </fill>
    <fill>
      <patternFill patternType="solid">
        <fgColor rgb="FF003322"/>
        <bgColor indexed="64"/>
      </patternFill>
    </fill>
    <fill>
      <patternFill patternType="solid">
        <fgColor rgb="FF003323"/>
        <bgColor indexed="64"/>
      </patternFill>
    </fill>
    <fill>
      <patternFill patternType="solid">
        <fgColor rgb="FF003324"/>
        <bgColor indexed="64"/>
      </patternFill>
    </fill>
    <fill>
      <patternFill patternType="solid">
        <fgColor rgb="FF003325"/>
        <bgColor indexed="64"/>
      </patternFill>
    </fill>
    <fill>
      <patternFill patternType="solid">
        <fgColor rgb="FF003326"/>
        <bgColor indexed="64"/>
      </patternFill>
    </fill>
    <fill>
      <patternFill patternType="solid">
        <fgColor rgb="FF003327"/>
        <bgColor indexed="64"/>
      </patternFill>
    </fill>
    <fill>
      <patternFill patternType="solid">
        <fgColor rgb="FF003328"/>
        <bgColor indexed="64"/>
      </patternFill>
    </fill>
    <fill>
      <patternFill patternType="solid">
        <fgColor rgb="FF003329"/>
        <bgColor indexed="64"/>
      </patternFill>
    </fill>
    <fill>
      <patternFill patternType="solid">
        <fgColor rgb="FF00332A"/>
        <bgColor indexed="64"/>
      </patternFill>
    </fill>
    <fill>
      <patternFill patternType="solid">
        <fgColor rgb="FF00332B"/>
        <bgColor indexed="64"/>
      </patternFill>
    </fill>
    <fill>
      <patternFill patternType="solid">
        <fgColor rgb="FF00332C"/>
        <bgColor indexed="64"/>
      </patternFill>
    </fill>
    <fill>
      <patternFill patternType="solid">
        <fgColor rgb="FF00332D"/>
        <bgColor indexed="64"/>
      </patternFill>
    </fill>
    <fill>
      <patternFill patternType="solid">
        <fgColor rgb="FF00332E"/>
        <bgColor indexed="64"/>
      </patternFill>
    </fill>
    <fill>
      <patternFill patternType="solid">
        <fgColor rgb="FF00332F"/>
        <bgColor indexed="64"/>
      </patternFill>
    </fill>
    <fill>
      <patternFill patternType="solid">
        <fgColor rgb="FF003330"/>
        <bgColor indexed="64"/>
      </patternFill>
    </fill>
    <fill>
      <patternFill patternType="solid">
        <fgColor rgb="FF003331"/>
        <bgColor indexed="64"/>
      </patternFill>
    </fill>
    <fill>
      <patternFill patternType="solid">
        <fgColor rgb="FF003332"/>
        <bgColor indexed="64"/>
      </patternFill>
    </fill>
    <fill>
      <patternFill patternType="solid">
        <fgColor rgb="FF003333"/>
        <bgColor indexed="64"/>
      </patternFill>
    </fill>
    <fill>
      <patternFill patternType="solid">
        <fgColor rgb="FF003334"/>
        <bgColor indexed="64"/>
      </patternFill>
    </fill>
    <fill>
      <patternFill patternType="solid">
        <fgColor rgb="FF003335"/>
        <bgColor indexed="64"/>
      </patternFill>
    </fill>
    <fill>
      <patternFill patternType="solid">
        <fgColor rgb="FF003336"/>
        <bgColor indexed="64"/>
      </patternFill>
    </fill>
    <fill>
      <patternFill patternType="solid">
        <fgColor rgb="FF003337"/>
        <bgColor indexed="64"/>
      </patternFill>
    </fill>
    <fill>
      <patternFill patternType="solid">
        <fgColor rgb="FF003338"/>
        <bgColor indexed="64"/>
      </patternFill>
    </fill>
    <fill>
      <patternFill patternType="solid">
        <fgColor rgb="FF003339"/>
        <bgColor indexed="64"/>
      </patternFill>
    </fill>
    <fill>
      <patternFill patternType="solid">
        <fgColor rgb="FF00333A"/>
        <bgColor indexed="64"/>
      </patternFill>
    </fill>
    <fill>
      <patternFill patternType="solid">
        <fgColor rgb="FF00333B"/>
        <bgColor indexed="64"/>
      </patternFill>
    </fill>
    <fill>
      <patternFill patternType="solid">
        <fgColor rgb="FF00333C"/>
        <bgColor indexed="64"/>
      </patternFill>
    </fill>
    <fill>
      <patternFill patternType="solid">
        <fgColor rgb="FF00333D"/>
        <bgColor indexed="64"/>
      </patternFill>
    </fill>
    <fill>
      <patternFill patternType="solid">
        <fgColor rgb="FF00333E"/>
        <bgColor indexed="64"/>
      </patternFill>
    </fill>
    <fill>
      <patternFill patternType="solid">
        <fgColor rgb="FF00333F"/>
        <bgColor indexed="64"/>
      </patternFill>
    </fill>
    <fill>
      <patternFill patternType="solid">
        <fgColor rgb="FF003340"/>
        <bgColor indexed="64"/>
      </patternFill>
    </fill>
    <fill>
      <patternFill patternType="solid">
        <fgColor rgb="FF003341"/>
        <bgColor indexed="64"/>
      </patternFill>
    </fill>
    <fill>
      <patternFill patternType="solid">
        <fgColor rgb="FF003342"/>
        <bgColor indexed="64"/>
      </patternFill>
    </fill>
    <fill>
      <patternFill patternType="solid">
        <fgColor rgb="FF003343"/>
        <bgColor indexed="64"/>
      </patternFill>
    </fill>
    <fill>
      <patternFill patternType="solid">
        <fgColor rgb="FF003344"/>
        <bgColor indexed="64"/>
      </patternFill>
    </fill>
    <fill>
      <patternFill patternType="solid">
        <fgColor rgb="FF003345"/>
        <bgColor indexed="64"/>
      </patternFill>
    </fill>
    <fill>
      <patternFill patternType="solid">
        <fgColor rgb="FF003346"/>
        <bgColor indexed="64"/>
      </patternFill>
    </fill>
    <fill>
      <patternFill patternType="solid">
        <fgColor rgb="FF003347"/>
        <bgColor indexed="64"/>
      </patternFill>
    </fill>
    <fill>
      <patternFill patternType="solid">
        <fgColor rgb="FF003348"/>
        <bgColor indexed="64"/>
      </patternFill>
    </fill>
    <fill>
      <patternFill patternType="solid">
        <fgColor rgb="FF003349"/>
        <bgColor indexed="64"/>
      </patternFill>
    </fill>
    <fill>
      <patternFill patternType="solid">
        <fgColor rgb="FF00334A"/>
        <bgColor indexed="64"/>
      </patternFill>
    </fill>
    <fill>
      <patternFill patternType="solid">
        <fgColor rgb="FF00334B"/>
        <bgColor indexed="64"/>
      </patternFill>
    </fill>
    <fill>
      <patternFill patternType="solid">
        <fgColor rgb="FF00334C"/>
        <bgColor indexed="64"/>
      </patternFill>
    </fill>
    <fill>
      <patternFill patternType="solid">
        <fgColor rgb="FF00334D"/>
        <bgColor indexed="64"/>
      </patternFill>
    </fill>
    <fill>
      <patternFill patternType="solid">
        <fgColor rgb="FF00334E"/>
        <bgColor indexed="64"/>
      </patternFill>
    </fill>
    <fill>
      <patternFill patternType="solid">
        <fgColor rgb="FF00334F"/>
        <bgColor indexed="64"/>
      </patternFill>
    </fill>
    <fill>
      <patternFill patternType="solid">
        <fgColor rgb="FF003350"/>
        <bgColor indexed="64"/>
      </patternFill>
    </fill>
    <fill>
      <patternFill patternType="solid">
        <fgColor rgb="FF003351"/>
        <bgColor indexed="64"/>
      </patternFill>
    </fill>
    <fill>
      <patternFill patternType="solid">
        <fgColor rgb="FF003352"/>
        <bgColor indexed="64"/>
      </patternFill>
    </fill>
    <fill>
      <patternFill patternType="solid">
        <fgColor rgb="FF003353"/>
        <bgColor indexed="64"/>
      </patternFill>
    </fill>
    <fill>
      <patternFill patternType="solid">
        <fgColor rgb="FF003354"/>
        <bgColor indexed="64"/>
      </patternFill>
    </fill>
    <fill>
      <patternFill patternType="solid">
        <fgColor rgb="FF003355"/>
        <bgColor indexed="64"/>
      </patternFill>
    </fill>
    <fill>
      <patternFill patternType="solid">
        <fgColor rgb="FF003356"/>
        <bgColor indexed="64"/>
      </patternFill>
    </fill>
    <fill>
      <patternFill patternType="solid">
        <fgColor rgb="FF003357"/>
        <bgColor indexed="64"/>
      </patternFill>
    </fill>
    <fill>
      <patternFill patternType="solid">
        <fgColor rgb="FF003358"/>
        <bgColor indexed="64"/>
      </patternFill>
    </fill>
    <fill>
      <patternFill patternType="solid">
        <fgColor rgb="FF003359"/>
        <bgColor indexed="64"/>
      </patternFill>
    </fill>
    <fill>
      <patternFill patternType="solid">
        <fgColor rgb="FF00335A"/>
        <bgColor indexed="64"/>
      </patternFill>
    </fill>
    <fill>
      <patternFill patternType="solid">
        <fgColor rgb="FF00335B"/>
        <bgColor indexed="64"/>
      </patternFill>
    </fill>
    <fill>
      <patternFill patternType="solid">
        <fgColor rgb="FF00335C"/>
        <bgColor indexed="64"/>
      </patternFill>
    </fill>
    <fill>
      <patternFill patternType="solid">
        <fgColor rgb="FF00335D"/>
        <bgColor indexed="64"/>
      </patternFill>
    </fill>
    <fill>
      <patternFill patternType="solid">
        <fgColor rgb="FF00335E"/>
        <bgColor indexed="64"/>
      </patternFill>
    </fill>
    <fill>
      <patternFill patternType="solid">
        <fgColor rgb="FF00335F"/>
        <bgColor indexed="64"/>
      </patternFill>
    </fill>
    <fill>
      <patternFill patternType="solid">
        <fgColor rgb="FF003360"/>
        <bgColor indexed="64"/>
      </patternFill>
    </fill>
    <fill>
      <patternFill patternType="solid">
        <fgColor rgb="FF003361"/>
        <bgColor indexed="64"/>
      </patternFill>
    </fill>
    <fill>
      <patternFill patternType="solid">
        <fgColor rgb="FF003362"/>
        <bgColor indexed="64"/>
      </patternFill>
    </fill>
    <fill>
      <patternFill patternType="solid">
        <fgColor rgb="FF003363"/>
        <bgColor indexed="64"/>
      </patternFill>
    </fill>
    <fill>
      <patternFill patternType="solid">
        <fgColor rgb="FF003364"/>
        <bgColor indexed="64"/>
      </patternFill>
    </fill>
    <fill>
      <patternFill patternType="solid">
        <fgColor rgb="FF003365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03367"/>
        <bgColor indexed="64"/>
      </patternFill>
    </fill>
    <fill>
      <patternFill patternType="solid">
        <fgColor rgb="FF003368"/>
        <bgColor indexed="64"/>
      </patternFill>
    </fill>
    <fill>
      <patternFill patternType="solid">
        <fgColor rgb="FF003369"/>
        <bgColor indexed="64"/>
      </patternFill>
    </fill>
    <fill>
      <patternFill patternType="solid">
        <fgColor rgb="FF00336A"/>
        <bgColor indexed="64"/>
      </patternFill>
    </fill>
    <fill>
      <patternFill patternType="solid">
        <fgColor rgb="FF00336B"/>
        <bgColor indexed="64"/>
      </patternFill>
    </fill>
    <fill>
      <patternFill patternType="solid">
        <fgColor rgb="FF00336C"/>
        <bgColor indexed="64"/>
      </patternFill>
    </fill>
    <fill>
      <patternFill patternType="solid">
        <fgColor rgb="FF00336D"/>
        <bgColor indexed="64"/>
      </patternFill>
    </fill>
    <fill>
      <patternFill patternType="solid">
        <fgColor rgb="FF00336E"/>
        <bgColor indexed="64"/>
      </patternFill>
    </fill>
    <fill>
      <patternFill patternType="solid">
        <fgColor rgb="FF00336F"/>
        <bgColor indexed="64"/>
      </patternFill>
    </fill>
    <fill>
      <patternFill patternType="solid">
        <fgColor rgb="FF003370"/>
        <bgColor indexed="64"/>
      </patternFill>
    </fill>
    <fill>
      <patternFill patternType="solid">
        <fgColor rgb="FF003371"/>
        <bgColor indexed="64"/>
      </patternFill>
    </fill>
    <fill>
      <patternFill patternType="solid">
        <fgColor rgb="FF003372"/>
        <bgColor indexed="64"/>
      </patternFill>
    </fill>
    <fill>
      <patternFill patternType="solid">
        <fgColor rgb="FF003373"/>
        <bgColor indexed="64"/>
      </patternFill>
    </fill>
    <fill>
      <patternFill patternType="solid">
        <fgColor rgb="FF003374"/>
        <bgColor indexed="64"/>
      </patternFill>
    </fill>
    <fill>
      <patternFill patternType="solid">
        <fgColor rgb="FF003375"/>
        <bgColor indexed="64"/>
      </patternFill>
    </fill>
    <fill>
      <patternFill patternType="solid">
        <fgColor rgb="FF003376"/>
        <bgColor indexed="64"/>
      </patternFill>
    </fill>
    <fill>
      <patternFill patternType="solid">
        <fgColor rgb="FF003377"/>
        <bgColor indexed="64"/>
      </patternFill>
    </fill>
    <fill>
      <patternFill patternType="solid">
        <fgColor rgb="FF003378"/>
        <bgColor indexed="64"/>
      </patternFill>
    </fill>
    <fill>
      <patternFill patternType="solid">
        <fgColor rgb="FF003379"/>
        <bgColor indexed="64"/>
      </patternFill>
    </fill>
    <fill>
      <patternFill patternType="solid">
        <fgColor rgb="FF00337A"/>
        <bgColor indexed="64"/>
      </patternFill>
    </fill>
    <fill>
      <patternFill patternType="solid">
        <fgColor rgb="FF00337B"/>
        <bgColor indexed="64"/>
      </patternFill>
    </fill>
    <fill>
      <patternFill patternType="solid">
        <fgColor rgb="FF00337C"/>
        <bgColor indexed="64"/>
      </patternFill>
    </fill>
    <fill>
      <patternFill patternType="solid">
        <fgColor rgb="FF00337D"/>
        <bgColor indexed="64"/>
      </patternFill>
    </fill>
    <fill>
      <patternFill patternType="solid">
        <fgColor rgb="FF00337E"/>
        <bgColor indexed="64"/>
      </patternFill>
    </fill>
    <fill>
      <patternFill patternType="solid">
        <fgColor rgb="FF00337F"/>
        <bgColor indexed="64"/>
      </patternFill>
    </fill>
    <fill>
      <patternFill patternType="solid">
        <fgColor rgb="FF003380"/>
        <bgColor indexed="64"/>
      </patternFill>
    </fill>
    <fill>
      <patternFill patternType="solid">
        <fgColor rgb="FF003381"/>
        <bgColor indexed="64"/>
      </patternFill>
    </fill>
    <fill>
      <patternFill patternType="solid">
        <fgColor rgb="FF003382"/>
        <bgColor indexed="64"/>
      </patternFill>
    </fill>
    <fill>
      <patternFill patternType="solid">
        <fgColor rgb="FF003383"/>
        <bgColor indexed="64"/>
      </patternFill>
    </fill>
    <fill>
      <patternFill patternType="solid">
        <fgColor rgb="FF003384"/>
        <bgColor indexed="64"/>
      </patternFill>
    </fill>
    <fill>
      <patternFill patternType="solid">
        <fgColor rgb="FF003385"/>
        <bgColor indexed="64"/>
      </patternFill>
    </fill>
    <fill>
      <patternFill patternType="solid">
        <fgColor rgb="FF003386"/>
        <bgColor indexed="64"/>
      </patternFill>
    </fill>
    <fill>
      <patternFill patternType="solid">
        <fgColor rgb="FF003387"/>
        <bgColor indexed="64"/>
      </patternFill>
    </fill>
    <fill>
      <patternFill patternType="solid">
        <fgColor rgb="FF003388"/>
        <bgColor indexed="64"/>
      </patternFill>
    </fill>
    <fill>
      <patternFill patternType="solid">
        <fgColor rgb="FF003389"/>
        <bgColor indexed="64"/>
      </patternFill>
    </fill>
    <fill>
      <patternFill patternType="solid">
        <fgColor rgb="FF00338A"/>
        <bgColor indexed="64"/>
      </patternFill>
    </fill>
    <fill>
      <patternFill patternType="solid">
        <fgColor rgb="FF00338B"/>
        <bgColor indexed="64"/>
      </patternFill>
    </fill>
    <fill>
      <patternFill patternType="solid">
        <fgColor rgb="FF00338C"/>
        <bgColor indexed="64"/>
      </patternFill>
    </fill>
    <fill>
      <patternFill patternType="solid">
        <fgColor rgb="FF00338D"/>
        <bgColor indexed="64"/>
      </patternFill>
    </fill>
    <fill>
      <patternFill patternType="solid">
        <fgColor rgb="FF00338E"/>
        <bgColor indexed="64"/>
      </patternFill>
    </fill>
    <fill>
      <patternFill patternType="solid">
        <fgColor rgb="FF00338F"/>
        <bgColor indexed="64"/>
      </patternFill>
    </fill>
    <fill>
      <patternFill patternType="solid">
        <fgColor rgb="FF003390"/>
        <bgColor indexed="64"/>
      </patternFill>
    </fill>
    <fill>
      <patternFill patternType="solid">
        <fgColor rgb="FF003391"/>
        <bgColor indexed="64"/>
      </patternFill>
    </fill>
    <fill>
      <patternFill patternType="solid">
        <fgColor rgb="FF003392"/>
        <bgColor indexed="64"/>
      </patternFill>
    </fill>
    <fill>
      <patternFill patternType="solid">
        <fgColor rgb="FF003393"/>
        <bgColor indexed="64"/>
      </patternFill>
    </fill>
    <fill>
      <patternFill patternType="solid">
        <fgColor rgb="FF003394"/>
        <bgColor indexed="64"/>
      </patternFill>
    </fill>
    <fill>
      <patternFill patternType="solid">
        <fgColor rgb="FF003395"/>
        <bgColor indexed="64"/>
      </patternFill>
    </fill>
    <fill>
      <patternFill patternType="solid">
        <fgColor rgb="FF003396"/>
        <bgColor indexed="64"/>
      </patternFill>
    </fill>
    <fill>
      <patternFill patternType="solid">
        <fgColor rgb="FF003397"/>
        <bgColor indexed="64"/>
      </patternFill>
    </fill>
    <fill>
      <patternFill patternType="solid">
        <fgColor rgb="FF003398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00339A"/>
        <bgColor indexed="64"/>
      </patternFill>
    </fill>
    <fill>
      <patternFill patternType="solid">
        <fgColor rgb="FF00339B"/>
        <bgColor indexed="64"/>
      </patternFill>
    </fill>
    <fill>
      <patternFill patternType="solid">
        <fgColor rgb="FF00339C"/>
        <bgColor indexed="64"/>
      </patternFill>
    </fill>
    <fill>
      <patternFill patternType="solid">
        <fgColor rgb="FF00339D"/>
        <bgColor indexed="64"/>
      </patternFill>
    </fill>
    <fill>
      <patternFill patternType="solid">
        <fgColor rgb="FF00339E"/>
        <bgColor indexed="64"/>
      </patternFill>
    </fill>
    <fill>
      <patternFill patternType="solid">
        <fgColor rgb="FF00339F"/>
        <bgColor indexed="64"/>
      </patternFill>
    </fill>
    <fill>
      <patternFill patternType="solid">
        <fgColor rgb="FF0033A0"/>
        <bgColor indexed="64"/>
      </patternFill>
    </fill>
    <fill>
      <patternFill patternType="solid">
        <fgColor rgb="FF0033A1"/>
        <bgColor indexed="64"/>
      </patternFill>
    </fill>
    <fill>
      <patternFill patternType="solid">
        <fgColor rgb="FF0033A2"/>
        <bgColor indexed="64"/>
      </patternFill>
    </fill>
    <fill>
      <patternFill patternType="solid">
        <fgColor rgb="FF0033A3"/>
        <bgColor indexed="64"/>
      </patternFill>
    </fill>
    <fill>
      <patternFill patternType="solid">
        <fgColor rgb="FF0033A4"/>
        <bgColor indexed="64"/>
      </patternFill>
    </fill>
    <fill>
      <patternFill patternType="solid">
        <fgColor rgb="FF0033A5"/>
        <bgColor indexed="64"/>
      </patternFill>
    </fill>
    <fill>
      <patternFill patternType="solid">
        <fgColor rgb="FF0033A6"/>
        <bgColor indexed="64"/>
      </patternFill>
    </fill>
    <fill>
      <patternFill patternType="solid">
        <fgColor rgb="FF0033A7"/>
        <bgColor indexed="64"/>
      </patternFill>
    </fill>
    <fill>
      <patternFill patternType="solid">
        <fgColor rgb="FF0033A8"/>
        <bgColor indexed="64"/>
      </patternFill>
    </fill>
    <fill>
      <patternFill patternType="solid">
        <fgColor rgb="FF0033A9"/>
        <bgColor indexed="64"/>
      </patternFill>
    </fill>
    <fill>
      <patternFill patternType="solid">
        <fgColor rgb="FF0033AA"/>
        <bgColor indexed="64"/>
      </patternFill>
    </fill>
    <fill>
      <patternFill patternType="solid">
        <fgColor rgb="FF0033AB"/>
        <bgColor indexed="64"/>
      </patternFill>
    </fill>
    <fill>
      <patternFill patternType="solid">
        <fgColor rgb="FF0033AC"/>
        <bgColor indexed="64"/>
      </patternFill>
    </fill>
    <fill>
      <patternFill patternType="solid">
        <fgColor rgb="FF0033AD"/>
        <bgColor indexed="64"/>
      </patternFill>
    </fill>
    <fill>
      <patternFill patternType="solid">
        <fgColor rgb="FF0033AE"/>
        <bgColor indexed="64"/>
      </patternFill>
    </fill>
    <fill>
      <patternFill patternType="solid">
        <fgColor rgb="FF0033AF"/>
        <bgColor indexed="64"/>
      </patternFill>
    </fill>
    <fill>
      <patternFill patternType="solid">
        <fgColor rgb="FF0033B0"/>
        <bgColor indexed="64"/>
      </patternFill>
    </fill>
    <fill>
      <patternFill patternType="solid">
        <fgColor rgb="FF0033B1"/>
        <bgColor indexed="64"/>
      </patternFill>
    </fill>
    <fill>
      <patternFill patternType="solid">
        <fgColor rgb="FF0033B2"/>
        <bgColor indexed="64"/>
      </patternFill>
    </fill>
    <fill>
      <patternFill patternType="solid">
        <fgColor rgb="FF0033B3"/>
        <bgColor indexed="64"/>
      </patternFill>
    </fill>
    <fill>
      <patternFill patternType="solid">
        <fgColor rgb="FF0033B4"/>
        <bgColor indexed="64"/>
      </patternFill>
    </fill>
    <fill>
      <patternFill patternType="solid">
        <fgColor rgb="FF0033B5"/>
        <bgColor indexed="64"/>
      </patternFill>
    </fill>
    <fill>
      <patternFill patternType="solid">
        <fgColor rgb="FF0033B6"/>
        <bgColor indexed="64"/>
      </patternFill>
    </fill>
    <fill>
      <patternFill patternType="solid">
        <fgColor rgb="FF0033B7"/>
        <bgColor indexed="64"/>
      </patternFill>
    </fill>
    <fill>
      <patternFill patternType="solid">
        <fgColor rgb="FF0033B8"/>
        <bgColor indexed="64"/>
      </patternFill>
    </fill>
    <fill>
      <patternFill patternType="solid">
        <fgColor rgb="FF0033B9"/>
        <bgColor indexed="64"/>
      </patternFill>
    </fill>
    <fill>
      <patternFill patternType="solid">
        <fgColor rgb="FF0033BA"/>
        <bgColor indexed="64"/>
      </patternFill>
    </fill>
    <fill>
      <patternFill patternType="solid">
        <fgColor rgb="FF0033BB"/>
        <bgColor indexed="64"/>
      </patternFill>
    </fill>
    <fill>
      <patternFill patternType="solid">
        <fgColor rgb="FF0033BC"/>
        <bgColor indexed="64"/>
      </patternFill>
    </fill>
    <fill>
      <patternFill patternType="solid">
        <fgColor rgb="FF0033BD"/>
        <bgColor indexed="64"/>
      </patternFill>
    </fill>
    <fill>
      <patternFill patternType="solid">
        <fgColor rgb="FF0033BE"/>
        <bgColor indexed="64"/>
      </patternFill>
    </fill>
    <fill>
      <patternFill patternType="solid">
        <fgColor rgb="FF0033BF"/>
        <bgColor indexed="64"/>
      </patternFill>
    </fill>
    <fill>
      <patternFill patternType="solid">
        <fgColor rgb="FF0033C0"/>
        <bgColor indexed="64"/>
      </patternFill>
    </fill>
    <fill>
      <patternFill patternType="solid">
        <fgColor rgb="FF0033C1"/>
        <bgColor indexed="64"/>
      </patternFill>
    </fill>
    <fill>
      <patternFill patternType="solid">
        <fgColor rgb="FF0033C2"/>
        <bgColor indexed="64"/>
      </patternFill>
    </fill>
    <fill>
      <patternFill patternType="solid">
        <fgColor rgb="FF0033C3"/>
        <bgColor indexed="64"/>
      </patternFill>
    </fill>
    <fill>
      <patternFill patternType="solid">
        <fgColor rgb="FF0033C4"/>
        <bgColor indexed="64"/>
      </patternFill>
    </fill>
    <fill>
      <patternFill patternType="solid">
        <fgColor rgb="FF0033C5"/>
        <bgColor indexed="64"/>
      </patternFill>
    </fill>
    <fill>
      <patternFill patternType="solid">
        <fgColor rgb="FF0033C6"/>
        <bgColor indexed="64"/>
      </patternFill>
    </fill>
    <fill>
      <patternFill patternType="solid">
        <fgColor rgb="FF0033C7"/>
        <bgColor indexed="64"/>
      </patternFill>
    </fill>
    <fill>
      <patternFill patternType="solid">
        <fgColor rgb="FF0033C8"/>
        <bgColor indexed="64"/>
      </patternFill>
    </fill>
    <fill>
      <patternFill patternType="solid">
        <fgColor rgb="FF0033C9"/>
        <bgColor indexed="64"/>
      </patternFill>
    </fill>
    <fill>
      <patternFill patternType="solid">
        <fgColor rgb="FF0033CA"/>
        <bgColor indexed="64"/>
      </patternFill>
    </fill>
    <fill>
      <patternFill patternType="solid">
        <fgColor rgb="FF0033CB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rgb="FF0033CD"/>
        <bgColor indexed="64"/>
      </patternFill>
    </fill>
    <fill>
      <patternFill patternType="solid">
        <fgColor rgb="FF0033CE"/>
        <bgColor indexed="64"/>
      </patternFill>
    </fill>
    <fill>
      <patternFill patternType="solid">
        <fgColor rgb="FF0033CF"/>
        <bgColor indexed="64"/>
      </patternFill>
    </fill>
    <fill>
      <patternFill patternType="solid">
        <fgColor rgb="FF0033D0"/>
        <bgColor indexed="64"/>
      </patternFill>
    </fill>
    <fill>
      <patternFill patternType="solid">
        <fgColor rgb="FF0033D1"/>
        <bgColor indexed="64"/>
      </patternFill>
    </fill>
    <fill>
      <patternFill patternType="solid">
        <fgColor rgb="FF0033D2"/>
        <bgColor indexed="64"/>
      </patternFill>
    </fill>
    <fill>
      <patternFill patternType="solid">
        <fgColor rgb="FF0033D3"/>
        <bgColor indexed="64"/>
      </patternFill>
    </fill>
    <fill>
      <patternFill patternType="solid">
        <fgColor rgb="FF0033D4"/>
        <bgColor indexed="64"/>
      </patternFill>
    </fill>
    <fill>
      <patternFill patternType="solid">
        <fgColor rgb="FF0033D5"/>
        <bgColor indexed="64"/>
      </patternFill>
    </fill>
    <fill>
      <patternFill patternType="solid">
        <fgColor rgb="FF0033D6"/>
        <bgColor indexed="64"/>
      </patternFill>
    </fill>
    <fill>
      <patternFill patternType="solid">
        <fgColor rgb="FF0033D7"/>
        <bgColor indexed="64"/>
      </patternFill>
    </fill>
    <fill>
      <patternFill patternType="solid">
        <fgColor rgb="FF0033D8"/>
        <bgColor indexed="64"/>
      </patternFill>
    </fill>
    <fill>
      <patternFill patternType="solid">
        <fgColor rgb="FF0033D9"/>
        <bgColor indexed="64"/>
      </patternFill>
    </fill>
    <fill>
      <patternFill patternType="solid">
        <fgColor rgb="FF0033DA"/>
        <bgColor indexed="64"/>
      </patternFill>
    </fill>
    <fill>
      <patternFill patternType="solid">
        <fgColor rgb="FF0033DB"/>
        <bgColor indexed="64"/>
      </patternFill>
    </fill>
    <fill>
      <patternFill patternType="solid">
        <fgColor rgb="FF0033DC"/>
        <bgColor indexed="64"/>
      </patternFill>
    </fill>
    <fill>
      <patternFill patternType="solid">
        <fgColor rgb="FF0033DD"/>
        <bgColor indexed="64"/>
      </patternFill>
    </fill>
    <fill>
      <patternFill patternType="solid">
        <fgColor rgb="FF0033DE"/>
        <bgColor indexed="64"/>
      </patternFill>
    </fill>
    <fill>
      <patternFill patternType="solid">
        <fgColor rgb="FF0033DF"/>
        <bgColor indexed="64"/>
      </patternFill>
    </fill>
    <fill>
      <patternFill patternType="solid">
        <fgColor rgb="FF0033E0"/>
        <bgColor indexed="64"/>
      </patternFill>
    </fill>
    <fill>
      <patternFill patternType="solid">
        <fgColor rgb="FF0033E1"/>
        <bgColor indexed="64"/>
      </patternFill>
    </fill>
    <fill>
      <patternFill patternType="solid">
        <fgColor rgb="FF0033E2"/>
        <bgColor indexed="64"/>
      </patternFill>
    </fill>
    <fill>
      <patternFill patternType="solid">
        <fgColor rgb="FF0033E3"/>
        <bgColor indexed="64"/>
      </patternFill>
    </fill>
    <fill>
      <patternFill patternType="solid">
        <fgColor rgb="FF0033E4"/>
        <bgColor indexed="64"/>
      </patternFill>
    </fill>
    <fill>
      <patternFill patternType="solid">
        <fgColor rgb="FF0033E5"/>
        <bgColor indexed="64"/>
      </patternFill>
    </fill>
    <fill>
      <patternFill patternType="solid">
        <fgColor rgb="FF0033E6"/>
        <bgColor indexed="64"/>
      </patternFill>
    </fill>
    <fill>
      <patternFill patternType="solid">
        <fgColor rgb="FF0033E7"/>
        <bgColor indexed="64"/>
      </patternFill>
    </fill>
    <fill>
      <patternFill patternType="solid">
        <fgColor rgb="FF0033E8"/>
        <bgColor indexed="64"/>
      </patternFill>
    </fill>
    <fill>
      <patternFill patternType="solid">
        <fgColor rgb="FF0033E9"/>
        <bgColor indexed="64"/>
      </patternFill>
    </fill>
    <fill>
      <patternFill patternType="solid">
        <fgColor rgb="FF0033EA"/>
        <bgColor indexed="64"/>
      </patternFill>
    </fill>
    <fill>
      <patternFill patternType="solid">
        <fgColor rgb="FF0033EB"/>
        <bgColor indexed="64"/>
      </patternFill>
    </fill>
    <fill>
      <patternFill patternType="solid">
        <fgColor rgb="FF0033EC"/>
        <bgColor indexed="64"/>
      </patternFill>
    </fill>
    <fill>
      <patternFill patternType="solid">
        <fgColor rgb="FF0033ED"/>
        <bgColor indexed="64"/>
      </patternFill>
    </fill>
    <fill>
      <patternFill patternType="solid">
        <fgColor rgb="FF0033EE"/>
        <bgColor indexed="64"/>
      </patternFill>
    </fill>
    <fill>
      <patternFill patternType="solid">
        <fgColor rgb="FF0033EF"/>
        <bgColor indexed="64"/>
      </patternFill>
    </fill>
    <fill>
      <patternFill patternType="solid">
        <fgColor rgb="FF0033F0"/>
        <bgColor indexed="64"/>
      </patternFill>
    </fill>
    <fill>
      <patternFill patternType="solid">
        <fgColor rgb="FF0033F1"/>
        <bgColor indexed="64"/>
      </patternFill>
    </fill>
    <fill>
      <patternFill patternType="solid">
        <fgColor rgb="FF0033F2"/>
        <bgColor indexed="64"/>
      </patternFill>
    </fill>
    <fill>
      <patternFill patternType="solid">
        <fgColor rgb="FF0033F3"/>
        <bgColor indexed="64"/>
      </patternFill>
    </fill>
    <fill>
      <patternFill patternType="solid">
        <fgColor rgb="FF0033F4"/>
        <bgColor indexed="64"/>
      </patternFill>
    </fill>
    <fill>
      <patternFill patternType="solid">
        <fgColor rgb="FF0033F5"/>
        <bgColor indexed="64"/>
      </patternFill>
    </fill>
    <fill>
      <patternFill patternType="solid">
        <fgColor rgb="FF0033F6"/>
        <bgColor indexed="64"/>
      </patternFill>
    </fill>
    <fill>
      <patternFill patternType="solid">
        <fgColor rgb="FF0033F7"/>
        <bgColor indexed="64"/>
      </patternFill>
    </fill>
    <fill>
      <patternFill patternType="solid">
        <fgColor rgb="FF0033F8"/>
        <bgColor indexed="64"/>
      </patternFill>
    </fill>
    <fill>
      <patternFill patternType="solid">
        <fgColor rgb="FF0033F9"/>
        <bgColor indexed="64"/>
      </patternFill>
    </fill>
    <fill>
      <patternFill patternType="solid">
        <fgColor rgb="FF0033FA"/>
        <bgColor indexed="64"/>
      </patternFill>
    </fill>
    <fill>
      <patternFill patternType="solid">
        <fgColor rgb="FF0033FB"/>
        <bgColor indexed="64"/>
      </patternFill>
    </fill>
    <fill>
      <patternFill patternType="solid">
        <fgColor rgb="FF0033FC"/>
        <bgColor indexed="64"/>
      </patternFill>
    </fill>
    <fill>
      <patternFill patternType="solid">
        <fgColor rgb="FF0033FD"/>
        <bgColor indexed="64"/>
      </patternFill>
    </fill>
    <fill>
      <patternFill patternType="solid">
        <fgColor rgb="FF0033FE"/>
        <bgColor indexed="64"/>
      </patternFill>
    </fill>
    <fill>
      <patternFill patternType="solid">
        <fgColor rgb="FF0033FF"/>
        <bgColor indexed="64"/>
      </patternFill>
    </fill>
    <fill>
      <patternFill patternType="solid">
        <fgColor rgb="FF003400"/>
        <bgColor indexed="64"/>
      </patternFill>
    </fill>
    <fill>
      <patternFill patternType="solid">
        <fgColor rgb="FF003401"/>
        <bgColor indexed="64"/>
      </patternFill>
    </fill>
    <fill>
      <patternFill patternType="solid">
        <fgColor rgb="FF003402"/>
        <bgColor indexed="64"/>
      </patternFill>
    </fill>
    <fill>
      <patternFill patternType="solid">
        <fgColor rgb="FF003403"/>
        <bgColor indexed="64"/>
      </patternFill>
    </fill>
    <fill>
      <patternFill patternType="solid">
        <fgColor rgb="FF003404"/>
        <bgColor indexed="64"/>
      </patternFill>
    </fill>
    <fill>
      <patternFill patternType="solid">
        <fgColor rgb="FF003405"/>
        <bgColor indexed="64"/>
      </patternFill>
    </fill>
    <fill>
      <patternFill patternType="solid">
        <fgColor rgb="FF003406"/>
        <bgColor indexed="64"/>
      </patternFill>
    </fill>
    <fill>
      <patternFill patternType="solid">
        <fgColor rgb="FF003407"/>
        <bgColor indexed="64"/>
      </patternFill>
    </fill>
    <fill>
      <patternFill patternType="solid">
        <fgColor rgb="FF003408"/>
        <bgColor indexed="64"/>
      </patternFill>
    </fill>
    <fill>
      <patternFill patternType="solid">
        <fgColor rgb="FF003409"/>
        <bgColor indexed="64"/>
      </patternFill>
    </fill>
    <fill>
      <patternFill patternType="solid">
        <fgColor rgb="FF00340A"/>
        <bgColor indexed="64"/>
      </patternFill>
    </fill>
    <fill>
      <patternFill patternType="solid">
        <fgColor rgb="FF00340B"/>
        <bgColor indexed="64"/>
      </patternFill>
    </fill>
    <fill>
      <patternFill patternType="solid">
        <fgColor rgb="FF00340C"/>
        <bgColor indexed="64"/>
      </patternFill>
    </fill>
    <fill>
      <patternFill patternType="solid">
        <fgColor rgb="FF00340D"/>
        <bgColor indexed="64"/>
      </patternFill>
    </fill>
    <fill>
      <patternFill patternType="solid">
        <fgColor rgb="FF00340E"/>
        <bgColor indexed="64"/>
      </patternFill>
    </fill>
    <fill>
      <patternFill patternType="solid">
        <fgColor rgb="FF00340F"/>
        <bgColor indexed="64"/>
      </patternFill>
    </fill>
    <fill>
      <patternFill patternType="solid">
        <fgColor rgb="FF003410"/>
        <bgColor indexed="64"/>
      </patternFill>
    </fill>
    <fill>
      <patternFill patternType="solid">
        <fgColor rgb="FF003411"/>
        <bgColor indexed="64"/>
      </patternFill>
    </fill>
    <fill>
      <patternFill patternType="solid">
        <fgColor rgb="FF003412"/>
        <bgColor indexed="64"/>
      </patternFill>
    </fill>
    <fill>
      <patternFill patternType="solid">
        <fgColor rgb="FF003413"/>
        <bgColor indexed="64"/>
      </patternFill>
    </fill>
    <fill>
      <patternFill patternType="solid">
        <fgColor rgb="FF003414"/>
        <bgColor indexed="64"/>
      </patternFill>
    </fill>
    <fill>
      <patternFill patternType="solid">
        <fgColor rgb="FF003415"/>
        <bgColor indexed="64"/>
      </patternFill>
    </fill>
    <fill>
      <patternFill patternType="solid">
        <fgColor rgb="FF003416"/>
        <bgColor indexed="64"/>
      </patternFill>
    </fill>
    <fill>
      <patternFill patternType="solid">
        <fgColor rgb="FF003417"/>
        <bgColor indexed="64"/>
      </patternFill>
    </fill>
    <fill>
      <patternFill patternType="solid">
        <fgColor rgb="FF003418"/>
        <bgColor indexed="64"/>
      </patternFill>
    </fill>
    <fill>
      <patternFill patternType="solid">
        <fgColor rgb="FF003419"/>
        <bgColor indexed="64"/>
      </patternFill>
    </fill>
    <fill>
      <patternFill patternType="solid">
        <fgColor rgb="FF00341A"/>
        <bgColor indexed="64"/>
      </patternFill>
    </fill>
    <fill>
      <patternFill patternType="solid">
        <fgColor rgb="FF00341B"/>
        <bgColor indexed="64"/>
      </patternFill>
    </fill>
    <fill>
      <patternFill patternType="solid">
        <fgColor rgb="FF00341C"/>
        <bgColor indexed="64"/>
      </patternFill>
    </fill>
    <fill>
      <patternFill patternType="solid">
        <fgColor rgb="FF00341D"/>
        <bgColor indexed="64"/>
      </patternFill>
    </fill>
    <fill>
      <patternFill patternType="solid">
        <fgColor rgb="FF00341E"/>
        <bgColor indexed="64"/>
      </patternFill>
    </fill>
    <fill>
      <patternFill patternType="solid">
        <fgColor rgb="FF00341F"/>
        <bgColor indexed="64"/>
      </patternFill>
    </fill>
    <fill>
      <patternFill patternType="solid">
        <fgColor rgb="FF003420"/>
        <bgColor indexed="64"/>
      </patternFill>
    </fill>
    <fill>
      <patternFill patternType="solid">
        <fgColor rgb="FF003421"/>
        <bgColor indexed="64"/>
      </patternFill>
    </fill>
    <fill>
      <patternFill patternType="solid">
        <fgColor rgb="FF003422"/>
        <bgColor indexed="64"/>
      </patternFill>
    </fill>
    <fill>
      <patternFill patternType="solid">
        <fgColor rgb="FF003423"/>
        <bgColor indexed="64"/>
      </patternFill>
    </fill>
    <fill>
      <patternFill patternType="solid">
        <fgColor rgb="FF003424"/>
        <bgColor indexed="64"/>
      </patternFill>
    </fill>
    <fill>
      <patternFill patternType="solid">
        <fgColor rgb="FF003425"/>
        <bgColor indexed="64"/>
      </patternFill>
    </fill>
    <fill>
      <patternFill patternType="solid">
        <fgColor rgb="FF003426"/>
        <bgColor indexed="64"/>
      </patternFill>
    </fill>
    <fill>
      <patternFill patternType="solid">
        <fgColor rgb="FF003427"/>
        <bgColor indexed="64"/>
      </patternFill>
    </fill>
    <fill>
      <patternFill patternType="solid">
        <fgColor rgb="FF003428"/>
        <bgColor indexed="64"/>
      </patternFill>
    </fill>
    <fill>
      <patternFill patternType="solid">
        <fgColor rgb="FF003429"/>
        <bgColor indexed="64"/>
      </patternFill>
    </fill>
    <fill>
      <patternFill patternType="solid">
        <fgColor rgb="FF00342A"/>
        <bgColor indexed="64"/>
      </patternFill>
    </fill>
    <fill>
      <patternFill patternType="solid">
        <fgColor rgb="FF00342B"/>
        <bgColor indexed="64"/>
      </patternFill>
    </fill>
    <fill>
      <patternFill patternType="solid">
        <fgColor rgb="FF00342C"/>
        <bgColor indexed="64"/>
      </patternFill>
    </fill>
    <fill>
      <patternFill patternType="solid">
        <fgColor rgb="FF00342D"/>
        <bgColor indexed="64"/>
      </patternFill>
    </fill>
    <fill>
      <patternFill patternType="solid">
        <fgColor rgb="FF00342E"/>
        <bgColor indexed="64"/>
      </patternFill>
    </fill>
    <fill>
      <patternFill patternType="solid">
        <fgColor rgb="FF00342F"/>
        <bgColor indexed="64"/>
      </patternFill>
    </fill>
    <fill>
      <patternFill patternType="solid">
        <fgColor rgb="FF003430"/>
        <bgColor indexed="64"/>
      </patternFill>
    </fill>
    <fill>
      <patternFill patternType="solid">
        <fgColor rgb="FF003431"/>
        <bgColor indexed="64"/>
      </patternFill>
    </fill>
    <fill>
      <patternFill patternType="solid">
        <fgColor rgb="FF003432"/>
        <bgColor indexed="64"/>
      </patternFill>
    </fill>
    <fill>
      <patternFill patternType="solid">
        <fgColor rgb="FF003433"/>
        <bgColor indexed="64"/>
      </patternFill>
    </fill>
    <fill>
      <patternFill patternType="solid">
        <fgColor rgb="FF003434"/>
        <bgColor indexed="64"/>
      </patternFill>
    </fill>
    <fill>
      <patternFill patternType="solid">
        <fgColor rgb="FF003435"/>
        <bgColor indexed="64"/>
      </patternFill>
    </fill>
    <fill>
      <patternFill patternType="solid">
        <fgColor rgb="FF003436"/>
        <bgColor indexed="64"/>
      </patternFill>
    </fill>
    <fill>
      <patternFill patternType="solid">
        <fgColor rgb="FF003437"/>
        <bgColor indexed="64"/>
      </patternFill>
    </fill>
    <fill>
      <patternFill patternType="solid">
        <fgColor rgb="FF003438"/>
        <bgColor indexed="64"/>
      </patternFill>
    </fill>
    <fill>
      <patternFill patternType="solid">
        <fgColor rgb="FF003439"/>
        <bgColor indexed="64"/>
      </patternFill>
    </fill>
    <fill>
      <patternFill patternType="solid">
        <fgColor rgb="FF00343A"/>
        <bgColor indexed="64"/>
      </patternFill>
    </fill>
    <fill>
      <patternFill patternType="solid">
        <fgColor rgb="FF00343B"/>
        <bgColor indexed="64"/>
      </patternFill>
    </fill>
    <fill>
      <patternFill patternType="solid">
        <fgColor rgb="FF00343C"/>
        <bgColor indexed="64"/>
      </patternFill>
    </fill>
    <fill>
      <patternFill patternType="solid">
        <fgColor rgb="FF00343D"/>
        <bgColor indexed="64"/>
      </patternFill>
    </fill>
    <fill>
      <patternFill patternType="solid">
        <fgColor rgb="FF00343E"/>
        <bgColor indexed="64"/>
      </patternFill>
    </fill>
    <fill>
      <patternFill patternType="solid">
        <fgColor rgb="FF00343F"/>
        <bgColor indexed="64"/>
      </patternFill>
    </fill>
    <fill>
      <patternFill patternType="solid">
        <fgColor rgb="FF003440"/>
        <bgColor indexed="64"/>
      </patternFill>
    </fill>
    <fill>
      <patternFill patternType="solid">
        <fgColor rgb="FF003441"/>
        <bgColor indexed="64"/>
      </patternFill>
    </fill>
    <fill>
      <patternFill patternType="solid">
        <fgColor rgb="FF003442"/>
        <bgColor indexed="64"/>
      </patternFill>
    </fill>
    <fill>
      <patternFill patternType="solid">
        <fgColor rgb="FF003443"/>
        <bgColor indexed="64"/>
      </patternFill>
    </fill>
    <fill>
      <patternFill patternType="solid">
        <fgColor rgb="FF003444"/>
        <bgColor indexed="64"/>
      </patternFill>
    </fill>
    <fill>
      <patternFill patternType="solid">
        <fgColor rgb="FF003445"/>
        <bgColor indexed="64"/>
      </patternFill>
    </fill>
    <fill>
      <patternFill patternType="solid">
        <fgColor rgb="FF003446"/>
        <bgColor indexed="64"/>
      </patternFill>
    </fill>
    <fill>
      <patternFill patternType="solid">
        <fgColor rgb="FF003447"/>
        <bgColor indexed="64"/>
      </patternFill>
    </fill>
    <fill>
      <patternFill patternType="solid">
        <fgColor rgb="FF003448"/>
        <bgColor indexed="64"/>
      </patternFill>
    </fill>
    <fill>
      <patternFill patternType="solid">
        <fgColor rgb="FF003449"/>
        <bgColor indexed="64"/>
      </patternFill>
    </fill>
    <fill>
      <patternFill patternType="solid">
        <fgColor rgb="FF00344A"/>
        <bgColor indexed="64"/>
      </patternFill>
    </fill>
    <fill>
      <patternFill patternType="solid">
        <fgColor rgb="FF00344B"/>
        <bgColor indexed="64"/>
      </patternFill>
    </fill>
    <fill>
      <patternFill patternType="solid">
        <fgColor rgb="FF00344C"/>
        <bgColor indexed="64"/>
      </patternFill>
    </fill>
    <fill>
      <patternFill patternType="solid">
        <fgColor rgb="FF00344D"/>
        <bgColor indexed="64"/>
      </patternFill>
    </fill>
    <fill>
      <patternFill patternType="solid">
        <fgColor rgb="FF00344E"/>
        <bgColor indexed="64"/>
      </patternFill>
    </fill>
    <fill>
      <patternFill patternType="solid">
        <fgColor rgb="FF00344F"/>
        <bgColor indexed="64"/>
      </patternFill>
    </fill>
    <fill>
      <patternFill patternType="solid">
        <fgColor rgb="FF003450"/>
        <bgColor indexed="64"/>
      </patternFill>
    </fill>
    <fill>
      <patternFill patternType="solid">
        <fgColor rgb="FF003451"/>
        <bgColor indexed="64"/>
      </patternFill>
    </fill>
    <fill>
      <patternFill patternType="solid">
        <fgColor rgb="FF003452"/>
        <bgColor indexed="64"/>
      </patternFill>
    </fill>
    <fill>
      <patternFill patternType="solid">
        <fgColor rgb="FF003453"/>
        <bgColor indexed="64"/>
      </patternFill>
    </fill>
    <fill>
      <patternFill patternType="solid">
        <fgColor rgb="FF003454"/>
        <bgColor indexed="64"/>
      </patternFill>
    </fill>
    <fill>
      <patternFill patternType="solid">
        <fgColor rgb="FF003455"/>
        <bgColor indexed="64"/>
      </patternFill>
    </fill>
    <fill>
      <patternFill patternType="solid">
        <fgColor rgb="FF003456"/>
        <bgColor indexed="64"/>
      </patternFill>
    </fill>
    <fill>
      <patternFill patternType="solid">
        <fgColor rgb="FF003457"/>
        <bgColor indexed="64"/>
      </patternFill>
    </fill>
    <fill>
      <patternFill patternType="solid">
        <fgColor rgb="FF003458"/>
        <bgColor indexed="64"/>
      </patternFill>
    </fill>
    <fill>
      <patternFill patternType="solid">
        <fgColor rgb="FF003459"/>
        <bgColor indexed="64"/>
      </patternFill>
    </fill>
    <fill>
      <patternFill patternType="solid">
        <fgColor rgb="FF00345A"/>
        <bgColor indexed="64"/>
      </patternFill>
    </fill>
    <fill>
      <patternFill patternType="solid">
        <fgColor rgb="FF00345B"/>
        <bgColor indexed="64"/>
      </patternFill>
    </fill>
    <fill>
      <patternFill patternType="solid">
        <fgColor rgb="FF00345C"/>
        <bgColor indexed="64"/>
      </patternFill>
    </fill>
    <fill>
      <patternFill patternType="solid">
        <fgColor rgb="FF00345D"/>
        <bgColor indexed="64"/>
      </patternFill>
    </fill>
    <fill>
      <patternFill patternType="solid">
        <fgColor rgb="FF00345E"/>
        <bgColor indexed="64"/>
      </patternFill>
    </fill>
    <fill>
      <patternFill patternType="solid">
        <fgColor rgb="FF00345F"/>
        <bgColor indexed="64"/>
      </patternFill>
    </fill>
    <fill>
      <patternFill patternType="solid">
        <fgColor rgb="FF003460"/>
        <bgColor indexed="64"/>
      </patternFill>
    </fill>
    <fill>
      <patternFill patternType="solid">
        <fgColor rgb="FF003461"/>
        <bgColor indexed="64"/>
      </patternFill>
    </fill>
    <fill>
      <patternFill patternType="solid">
        <fgColor rgb="FF003462"/>
        <bgColor indexed="64"/>
      </patternFill>
    </fill>
    <fill>
      <patternFill patternType="solid">
        <fgColor rgb="FF003463"/>
        <bgColor indexed="64"/>
      </patternFill>
    </fill>
    <fill>
      <patternFill patternType="solid">
        <fgColor rgb="FF003464"/>
        <bgColor indexed="64"/>
      </patternFill>
    </fill>
    <fill>
      <patternFill patternType="solid">
        <fgColor rgb="FF003465"/>
        <bgColor indexed="64"/>
      </patternFill>
    </fill>
    <fill>
      <patternFill patternType="solid">
        <fgColor rgb="FF003466"/>
        <bgColor indexed="64"/>
      </patternFill>
    </fill>
    <fill>
      <patternFill patternType="solid">
        <fgColor rgb="FF003467"/>
        <bgColor indexed="64"/>
      </patternFill>
    </fill>
    <fill>
      <patternFill patternType="solid">
        <fgColor rgb="FF003468"/>
        <bgColor indexed="64"/>
      </patternFill>
    </fill>
    <fill>
      <patternFill patternType="solid">
        <fgColor rgb="FF003469"/>
        <bgColor indexed="64"/>
      </patternFill>
    </fill>
    <fill>
      <patternFill patternType="solid">
        <fgColor rgb="FF00346A"/>
        <bgColor indexed="64"/>
      </patternFill>
    </fill>
    <fill>
      <patternFill patternType="solid">
        <fgColor rgb="FF00346B"/>
        <bgColor indexed="64"/>
      </patternFill>
    </fill>
    <fill>
      <patternFill patternType="solid">
        <fgColor rgb="FF00346C"/>
        <bgColor indexed="64"/>
      </patternFill>
    </fill>
    <fill>
      <patternFill patternType="solid">
        <fgColor rgb="FF00346D"/>
        <bgColor indexed="64"/>
      </patternFill>
    </fill>
    <fill>
      <patternFill patternType="solid">
        <fgColor rgb="FF00346E"/>
        <bgColor indexed="64"/>
      </patternFill>
    </fill>
    <fill>
      <patternFill patternType="solid">
        <fgColor rgb="FF00346F"/>
        <bgColor indexed="64"/>
      </patternFill>
    </fill>
    <fill>
      <patternFill patternType="solid">
        <fgColor rgb="FF003470"/>
        <bgColor indexed="64"/>
      </patternFill>
    </fill>
    <fill>
      <patternFill patternType="solid">
        <fgColor rgb="FF003471"/>
        <bgColor indexed="64"/>
      </patternFill>
    </fill>
    <fill>
      <patternFill patternType="solid">
        <fgColor rgb="FF003472"/>
        <bgColor indexed="64"/>
      </patternFill>
    </fill>
    <fill>
      <patternFill patternType="solid">
        <fgColor rgb="FF003473"/>
        <bgColor indexed="64"/>
      </patternFill>
    </fill>
    <fill>
      <patternFill patternType="solid">
        <fgColor rgb="FF003474"/>
        <bgColor indexed="64"/>
      </patternFill>
    </fill>
    <fill>
      <patternFill patternType="solid">
        <fgColor rgb="FF003475"/>
        <bgColor indexed="64"/>
      </patternFill>
    </fill>
    <fill>
      <patternFill patternType="solid">
        <fgColor rgb="FF003476"/>
        <bgColor indexed="64"/>
      </patternFill>
    </fill>
    <fill>
      <patternFill patternType="solid">
        <fgColor rgb="FF003477"/>
        <bgColor indexed="64"/>
      </patternFill>
    </fill>
    <fill>
      <patternFill patternType="solid">
        <fgColor rgb="FF003478"/>
        <bgColor indexed="64"/>
      </patternFill>
    </fill>
    <fill>
      <patternFill patternType="solid">
        <fgColor rgb="FF003479"/>
        <bgColor indexed="64"/>
      </patternFill>
    </fill>
    <fill>
      <patternFill patternType="solid">
        <fgColor rgb="FF00347A"/>
        <bgColor indexed="64"/>
      </patternFill>
    </fill>
    <fill>
      <patternFill patternType="solid">
        <fgColor rgb="FF00347B"/>
        <bgColor indexed="64"/>
      </patternFill>
    </fill>
    <fill>
      <patternFill patternType="solid">
        <fgColor rgb="FF00347C"/>
        <bgColor indexed="64"/>
      </patternFill>
    </fill>
    <fill>
      <patternFill patternType="solid">
        <fgColor rgb="FF00347D"/>
        <bgColor indexed="64"/>
      </patternFill>
    </fill>
    <fill>
      <patternFill patternType="solid">
        <fgColor rgb="FF00347E"/>
        <bgColor indexed="64"/>
      </patternFill>
    </fill>
    <fill>
      <patternFill patternType="solid">
        <fgColor rgb="FF00347F"/>
        <bgColor indexed="64"/>
      </patternFill>
    </fill>
    <fill>
      <patternFill patternType="solid">
        <fgColor rgb="FF003480"/>
        <bgColor indexed="64"/>
      </patternFill>
    </fill>
    <fill>
      <patternFill patternType="solid">
        <fgColor rgb="FF003481"/>
        <bgColor indexed="64"/>
      </patternFill>
    </fill>
    <fill>
      <patternFill patternType="solid">
        <fgColor rgb="FF003482"/>
        <bgColor indexed="64"/>
      </patternFill>
    </fill>
    <fill>
      <patternFill patternType="solid">
        <fgColor rgb="FF003483"/>
        <bgColor indexed="64"/>
      </patternFill>
    </fill>
    <fill>
      <patternFill patternType="solid">
        <fgColor rgb="FF003484"/>
        <bgColor indexed="64"/>
      </patternFill>
    </fill>
    <fill>
      <patternFill patternType="solid">
        <fgColor rgb="FF003485"/>
        <bgColor indexed="64"/>
      </patternFill>
    </fill>
    <fill>
      <patternFill patternType="solid">
        <fgColor rgb="FF003486"/>
        <bgColor indexed="64"/>
      </patternFill>
    </fill>
    <fill>
      <patternFill patternType="solid">
        <fgColor rgb="FF003487"/>
        <bgColor indexed="64"/>
      </patternFill>
    </fill>
    <fill>
      <patternFill patternType="solid">
        <fgColor rgb="FF003488"/>
        <bgColor indexed="64"/>
      </patternFill>
    </fill>
    <fill>
      <patternFill patternType="solid">
        <fgColor rgb="FF003489"/>
        <bgColor indexed="64"/>
      </patternFill>
    </fill>
    <fill>
      <patternFill patternType="solid">
        <fgColor rgb="FF00348A"/>
        <bgColor indexed="64"/>
      </patternFill>
    </fill>
    <fill>
      <patternFill patternType="solid">
        <fgColor rgb="FF00348B"/>
        <bgColor indexed="64"/>
      </patternFill>
    </fill>
    <fill>
      <patternFill patternType="solid">
        <fgColor rgb="FF00348C"/>
        <bgColor indexed="64"/>
      </patternFill>
    </fill>
    <fill>
      <patternFill patternType="solid">
        <fgColor rgb="FF00348D"/>
        <bgColor indexed="64"/>
      </patternFill>
    </fill>
    <fill>
      <patternFill patternType="solid">
        <fgColor rgb="FF00348E"/>
        <bgColor indexed="64"/>
      </patternFill>
    </fill>
    <fill>
      <patternFill patternType="solid">
        <fgColor rgb="FF00348F"/>
        <bgColor indexed="64"/>
      </patternFill>
    </fill>
    <fill>
      <patternFill patternType="solid">
        <fgColor rgb="FF003490"/>
        <bgColor indexed="64"/>
      </patternFill>
    </fill>
    <fill>
      <patternFill patternType="solid">
        <fgColor rgb="FF003491"/>
        <bgColor indexed="64"/>
      </patternFill>
    </fill>
    <fill>
      <patternFill patternType="solid">
        <fgColor rgb="FF003492"/>
        <bgColor indexed="64"/>
      </patternFill>
    </fill>
    <fill>
      <patternFill patternType="solid">
        <fgColor rgb="FF003493"/>
        <bgColor indexed="64"/>
      </patternFill>
    </fill>
    <fill>
      <patternFill patternType="solid">
        <fgColor rgb="FF003494"/>
        <bgColor indexed="64"/>
      </patternFill>
    </fill>
    <fill>
      <patternFill patternType="solid">
        <fgColor rgb="FF003495"/>
        <bgColor indexed="64"/>
      </patternFill>
    </fill>
    <fill>
      <patternFill patternType="solid">
        <fgColor rgb="FF003496"/>
        <bgColor indexed="64"/>
      </patternFill>
    </fill>
    <fill>
      <patternFill patternType="solid">
        <fgColor rgb="FF003497"/>
        <bgColor indexed="64"/>
      </patternFill>
    </fill>
    <fill>
      <patternFill patternType="solid">
        <fgColor rgb="FF003498"/>
        <bgColor indexed="64"/>
      </patternFill>
    </fill>
    <fill>
      <patternFill patternType="solid">
        <fgColor rgb="FF003499"/>
        <bgColor indexed="64"/>
      </patternFill>
    </fill>
    <fill>
      <patternFill patternType="solid">
        <fgColor rgb="FF00349A"/>
        <bgColor indexed="64"/>
      </patternFill>
    </fill>
    <fill>
      <patternFill patternType="solid">
        <fgColor rgb="FF00349B"/>
        <bgColor indexed="64"/>
      </patternFill>
    </fill>
    <fill>
      <patternFill patternType="solid">
        <fgColor rgb="FF00349C"/>
        <bgColor indexed="64"/>
      </patternFill>
    </fill>
    <fill>
      <patternFill patternType="solid">
        <fgColor rgb="FF00349D"/>
        <bgColor indexed="64"/>
      </patternFill>
    </fill>
    <fill>
      <patternFill patternType="solid">
        <fgColor rgb="FF00349E"/>
        <bgColor indexed="64"/>
      </patternFill>
    </fill>
    <fill>
      <patternFill patternType="solid">
        <fgColor rgb="FF00349F"/>
        <bgColor indexed="64"/>
      </patternFill>
    </fill>
    <fill>
      <patternFill patternType="solid">
        <fgColor rgb="FF0034A0"/>
        <bgColor indexed="64"/>
      </patternFill>
    </fill>
    <fill>
      <patternFill patternType="solid">
        <fgColor rgb="FF0034A1"/>
        <bgColor indexed="64"/>
      </patternFill>
    </fill>
    <fill>
      <patternFill patternType="solid">
        <fgColor rgb="FF0034A2"/>
        <bgColor indexed="64"/>
      </patternFill>
    </fill>
    <fill>
      <patternFill patternType="solid">
        <fgColor rgb="FF0034A3"/>
        <bgColor indexed="64"/>
      </patternFill>
    </fill>
    <fill>
      <patternFill patternType="solid">
        <fgColor rgb="FF0034A4"/>
        <bgColor indexed="64"/>
      </patternFill>
    </fill>
    <fill>
      <patternFill patternType="solid">
        <fgColor rgb="FF0034A5"/>
        <bgColor indexed="64"/>
      </patternFill>
    </fill>
    <fill>
      <patternFill patternType="solid">
        <fgColor rgb="FF0034A6"/>
        <bgColor indexed="64"/>
      </patternFill>
    </fill>
    <fill>
      <patternFill patternType="solid">
        <fgColor rgb="FF0034A7"/>
        <bgColor indexed="64"/>
      </patternFill>
    </fill>
    <fill>
      <patternFill patternType="solid">
        <fgColor rgb="FF0034A8"/>
        <bgColor indexed="64"/>
      </patternFill>
    </fill>
    <fill>
      <patternFill patternType="solid">
        <fgColor rgb="FF0034A9"/>
        <bgColor indexed="64"/>
      </patternFill>
    </fill>
    <fill>
      <patternFill patternType="solid">
        <fgColor rgb="FF0034AA"/>
        <bgColor indexed="64"/>
      </patternFill>
    </fill>
    <fill>
      <patternFill patternType="solid">
        <fgColor rgb="FF0034AB"/>
        <bgColor indexed="64"/>
      </patternFill>
    </fill>
    <fill>
      <patternFill patternType="solid">
        <fgColor rgb="FF0034AC"/>
        <bgColor indexed="64"/>
      </patternFill>
    </fill>
    <fill>
      <patternFill patternType="solid">
        <fgColor rgb="FF0034AD"/>
        <bgColor indexed="64"/>
      </patternFill>
    </fill>
    <fill>
      <patternFill patternType="solid">
        <fgColor rgb="FF0034AE"/>
        <bgColor indexed="64"/>
      </patternFill>
    </fill>
    <fill>
      <patternFill patternType="solid">
        <fgColor rgb="FF0034AF"/>
        <bgColor indexed="64"/>
      </patternFill>
    </fill>
    <fill>
      <patternFill patternType="solid">
        <fgColor rgb="FF0034B0"/>
        <bgColor indexed="64"/>
      </patternFill>
    </fill>
    <fill>
      <patternFill patternType="solid">
        <fgColor rgb="FF0034B1"/>
        <bgColor indexed="64"/>
      </patternFill>
    </fill>
    <fill>
      <patternFill patternType="solid">
        <fgColor rgb="FF0034B2"/>
        <bgColor indexed="64"/>
      </patternFill>
    </fill>
    <fill>
      <patternFill patternType="solid">
        <fgColor rgb="FF0034B3"/>
        <bgColor indexed="64"/>
      </patternFill>
    </fill>
    <fill>
      <patternFill patternType="solid">
        <fgColor rgb="FF0034B4"/>
        <bgColor indexed="64"/>
      </patternFill>
    </fill>
    <fill>
      <patternFill patternType="solid">
        <fgColor rgb="FF0034B5"/>
        <bgColor indexed="64"/>
      </patternFill>
    </fill>
    <fill>
      <patternFill patternType="solid">
        <fgColor rgb="FF0034B6"/>
        <bgColor indexed="64"/>
      </patternFill>
    </fill>
    <fill>
      <patternFill patternType="solid">
        <fgColor rgb="FF0034B7"/>
        <bgColor indexed="64"/>
      </patternFill>
    </fill>
    <fill>
      <patternFill patternType="solid">
        <fgColor rgb="FF0034B8"/>
        <bgColor indexed="64"/>
      </patternFill>
    </fill>
    <fill>
      <patternFill patternType="solid">
        <fgColor rgb="FF0034B9"/>
        <bgColor indexed="64"/>
      </patternFill>
    </fill>
    <fill>
      <patternFill patternType="solid">
        <fgColor rgb="FF0034BA"/>
        <bgColor indexed="64"/>
      </patternFill>
    </fill>
    <fill>
      <patternFill patternType="solid">
        <fgColor rgb="FF0034BB"/>
        <bgColor indexed="64"/>
      </patternFill>
    </fill>
    <fill>
      <patternFill patternType="solid">
        <fgColor rgb="FF0034BC"/>
        <bgColor indexed="64"/>
      </patternFill>
    </fill>
    <fill>
      <patternFill patternType="solid">
        <fgColor rgb="FF0034BD"/>
        <bgColor indexed="64"/>
      </patternFill>
    </fill>
    <fill>
      <patternFill patternType="solid">
        <fgColor rgb="FF0034BE"/>
        <bgColor indexed="64"/>
      </patternFill>
    </fill>
    <fill>
      <patternFill patternType="solid">
        <fgColor rgb="FF0034BF"/>
        <bgColor indexed="64"/>
      </patternFill>
    </fill>
    <fill>
      <patternFill patternType="solid">
        <fgColor rgb="FF0034C0"/>
        <bgColor indexed="64"/>
      </patternFill>
    </fill>
    <fill>
      <patternFill patternType="solid">
        <fgColor rgb="FF0034C1"/>
        <bgColor indexed="64"/>
      </patternFill>
    </fill>
    <fill>
      <patternFill patternType="solid">
        <fgColor rgb="FF0034C2"/>
        <bgColor indexed="64"/>
      </patternFill>
    </fill>
    <fill>
      <patternFill patternType="solid">
        <fgColor rgb="FF0034C3"/>
        <bgColor indexed="64"/>
      </patternFill>
    </fill>
    <fill>
      <patternFill patternType="solid">
        <fgColor rgb="FF0034C4"/>
        <bgColor indexed="64"/>
      </patternFill>
    </fill>
    <fill>
      <patternFill patternType="solid">
        <fgColor rgb="FF0034C5"/>
        <bgColor indexed="64"/>
      </patternFill>
    </fill>
    <fill>
      <patternFill patternType="solid">
        <fgColor rgb="FF0034C6"/>
        <bgColor indexed="64"/>
      </patternFill>
    </fill>
    <fill>
      <patternFill patternType="solid">
        <fgColor rgb="FF0034C7"/>
        <bgColor indexed="64"/>
      </patternFill>
    </fill>
    <fill>
      <patternFill patternType="solid">
        <fgColor rgb="FF0034C8"/>
        <bgColor indexed="64"/>
      </patternFill>
    </fill>
    <fill>
      <patternFill patternType="solid">
        <fgColor rgb="FF0034C9"/>
        <bgColor indexed="64"/>
      </patternFill>
    </fill>
    <fill>
      <patternFill patternType="solid">
        <fgColor rgb="FF0034CA"/>
        <bgColor indexed="64"/>
      </patternFill>
    </fill>
    <fill>
      <patternFill patternType="solid">
        <fgColor rgb="FF0034CB"/>
        <bgColor indexed="64"/>
      </patternFill>
    </fill>
    <fill>
      <patternFill patternType="solid">
        <fgColor rgb="FF0034CC"/>
        <bgColor indexed="64"/>
      </patternFill>
    </fill>
    <fill>
      <patternFill patternType="solid">
        <fgColor rgb="FF0034CD"/>
        <bgColor indexed="64"/>
      </patternFill>
    </fill>
    <fill>
      <patternFill patternType="solid">
        <fgColor rgb="FF0034CE"/>
        <bgColor indexed="64"/>
      </patternFill>
    </fill>
    <fill>
      <patternFill patternType="solid">
        <fgColor rgb="FF0034CF"/>
        <bgColor indexed="64"/>
      </patternFill>
    </fill>
    <fill>
      <patternFill patternType="solid">
        <fgColor rgb="FF0034D0"/>
        <bgColor indexed="64"/>
      </patternFill>
    </fill>
    <fill>
      <patternFill patternType="solid">
        <fgColor rgb="FF0034D1"/>
        <bgColor indexed="64"/>
      </patternFill>
    </fill>
    <fill>
      <patternFill patternType="solid">
        <fgColor rgb="FF0034D2"/>
        <bgColor indexed="64"/>
      </patternFill>
    </fill>
    <fill>
      <patternFill patternType="solid">
        <fgColor rgb="FF0034D3"/>
        <bgColor indexed="64"/>
      </patternFill>
    </fill>
    <fill>
      <patternFill patternType="solid">
        <fgColor rgb="FF0034D4"/>
        <bgColor indexed="64"/>
      </patternFill>
    </fill>
    <fill>
      <patternFill patternType="solid">
        <fgColor rgb="FF0034D5"/>
        <bgColor indexed="64"/>
      </patternFill>
    </fill>
    <fill>
      <patternFill patternType="solid">
        <fgColor rgb="FF0034D6"/>
        <bgColor indexed="64"/>
      </patternFill>
    </fill>
    <fill>
      <patternFill patternType="solid">
        <fgColor rgb="FF0034D7"/>
        <bgColor indexed="64"/>
      </patternFill>
    </fill>
    <fill>
      <patternFill patternType="solid">
        <fgColor rgb="FF0034D8"/>
        <bgColor indexed="64"/>
      </patternFill>
    </fill>
    <fill>
      <patternFill patternType="solid">
        <fgColor rgb="FF0034D9"/>
        <bgColor indexed="64"/>
      </patternFill>
    </fill>
    <fill>
      <patternFill patternType="solid">
        <fgColor rgb="FF0034DA"/>
        <bgColor indexed="64"/>
      </patternFill>
    </fill>
    <fill>
      <patternFill patternType="solid">
        <fgColor rgb="FF0034DB"/>
        <bgColor indexed="64"/>
      </patternFill>
    </fill>
    <fill>
      <patternFill patternType="solid">
        <fgColor rgb="FF0034DC"/>
        <bgColor indexed="64"/>
      </patternFill>
    </fill>
    <fill>
      <patternFill patternType="solid">
        <fgColor rgb="FF0034DD"/>
        <bgColor indexed="64"/>
      </patternFill>
    </fill>
    <fill>
      <patternFill patternType="solid">
        <fgColor rgb="FF0034DE"/>
        <bgColor indexed="64"/>
      </patternFill>
    </fill>
    <fill>
      <patternFill patternType="solid">
        <fgColor rgb="FF0034DF"/>
        <bgColor indexed="64"/>
      </patternFill>
    </fill>
    <fill>
      <patternFill patternType="solid">
        <fgColor rgb="FF0034E0"/>
        <bgColor indexed="64"/>
      </patternFill>
    </fill>
    <fill>
      <patternFill patternType="solid">
        <fgColor rgb="FF0034E1"/>
        <bgColor indexed="64"/>
      </patternFill>
    </fill>
    <fill>
      <patternFill patternType="solid">
        <fgColor rgb="FF0034E2"/>
        <bgColor indexed="64"/>
      </patternFill>
    </fill>
    <fill>
      <patternFill patternType="solid">
        <fgColor rgb="FF0034E3"/>
        <bgColor indexed="64"/>
      </patternFill>
    </fill>
    <fill>
      <patternFill patternType="solid">
        <fgColor rgb="FF0034E4"/>
        <bgColor indexed="64"/>
      </patternFill>
    </fill>
    <fill>
      <patternFill patternType="solid">
        <fgColor rgb="FF0034E5"/>
        <bgColor indexed="64"/>
      </patternFill>
    </fill>
    <fill>
      <patternFill patternType="solid">
        <fgColor rgb="FF0034E6"/>
        <bgColor indexed="64"/>
      </patternFill>
    </fill>
    <fill>
      <patternFill patternType="solid">
        <fgColor rgb="FF0034E7"/>
        <bgColor indexed="64"/>
      </patternFill>
    </fill>
    <fill>
      <patternFill patternType="solid">
        <fgColor rgb="FF0034E8"/>
        <bgColor indexed="64"/>
      </patternFill>
    </fill>
    <fill>
      <patternFill patternType="solid">
        <fgColor rgb="FF0034E9"/>
        <bgColor indexed="64"/>
      </patternFill>
    </fill>
    <fill>
      <patternFill patternType="solid">
        <fgColor rgb="FF0034EA"/>
        <bgColor indexed="64"/>
      </patternFill>
    </fill>
    <fill>
      <patternFill patternType="solid">
        <fgColor rgb="FF0034EB"/>
        <bgColor indexed="64"/>
      </patternFill>
    </fill>
    <fill>
      <patternFill patternType="solid">
        <fgColor rgb="FF0034EC"/>
        <bgColor indexed="64"/>
      </patternFill>
    </fill>
    <fill>
      <patternFill patternType="solid">
        <fgColor rgb="FF0034ED"/>
        <bgColor indexed="64"/>
      </patternFill>
    </fill>
    <fill>
      <patternFill patternType="solid">
        <fgColor rgb="FF0034EE"/>
        <bgColor indexed="64"/>
      </patternFill>
    </fill>
    <fill>
      <patternFill patternType="solid">
        <fgColor rgb="FF0034EF"/>
        <bgColor indexed="64"/>
      </patternFill>
    </fill>
    <fill>
      <patternFill patternType="solid">
        <fgColor rgb="FF0034F0"/>
        <bgColor indexed="64"/>
      </patternFill>
    </fill>
    <fill>
      <patternFill patternType="solid">
        <fgColor rgb="FF0034F1"/>
        <bgColor indexed="64"/>
      </patternFill>
    </fill>
    <fill>
      <patternFill patternType="solid">
        <fgColor rgb="FF0034F2"/>
        <bgColor indexed="64"/>
      </patternFill>
    </fill>
    <fill>
      <patternFill patternType="solid">
        <fgColor rgb="FF0034F3"/>
        <bgColor indexed="64"/>
      </patternFill>
    </fill>
    <fill>
      <patternFill patternType="solid">
        <fgColor rgb="FF0034F4"/>
        <bgColor indexed="64"/>
      </patternFill>
    </fill>
    <fill>
      <patternFill patternType="solid">
        <fgColor rgb="FF0034F5"/>
        <bgColor indexed="64"/>
      </patternFill>
    </fill>
    <fill>
      <patternFill patternType="solid">
        <fgColor rgb="FF0034F6"/>
        <bgColor indexed="64"/>
      </patternFill>
    </fill>
    <fill>
      <patternFill patternType="solid">
        <fgColor rgb="FF0034F7"/>
        <bgColor indexed="64"/>
      </patternFill>
    </fill>
    <fill>
      <patternFill patternType="solid">
        <fgColor rgb="FF0034F8"/>
        <bgColor indexed="64"/>
      </patternFill>
    </fill>
    <fill>
      <patternFill patternType="solid">
        <fgColor rgb="FF0034F9"/>
        <bgColor indexed="64"/>
      </patternFill>
    </fill>
    <fill>
      <patternFill patternType="solid">
        <fgColor rgb="FF0034FA"/>
        <bgColor indexed="64"/>
      </patternFill>
    </fill>
    <fill>
      <patternFill patternType="solid">
        <fgColor rgb="FF0034FB"/>
        <bgColor indexed="64"/>
      </patternFill>
    </fill>
    <fill>
      <patternFill patternType="solid">
        <fgColor rgb="FF0034FC"/>
        <bgColor indexed="64"/>
      </patternFill>
    </fill>
    <fill>
      <patternFill patternType="solid">
        <fgColor rgb="FF0034FD"/>
        <bgColor indexed="64"/>
      </patternFill>
    </fill>
    <fill>
      <patternFill patternType="solid">
        <fgColor rgb="FF0034FE"/>
        <bgColor indexed="64"/>
      </patternFill>
    </fill>
    <fill>
      <patternFill patternType="solid">
        <fgColor rgb="FF0034FF"/>
        <bgColor indexed="64"/>
      </patternFill>
    </fill>
    <fill>
      <patternFill patternType="solid">
        <fgColor rgb="FF003500"/>
        <bgColor indexed="64"/>
      </patternFill>
    </fill>
    <fill>
      <patternFill patternType="solid">
        <fgColor rgb="FF003501"/>
        <bgColor indexed="64"/>
      </patternFill>
    </fill>
    <fill>
      <patternFill patternType="solid">
        <fgColor rgb="FF003502"/>
        <bgColor indexed="64"/>
      </patternFill>
    </fill>
    <fill>
      <patternFill patternType="solid">
        <fgColor rgb="FF003503"/>
        <bgColor indexed="64"/>
      </patternFill>
    </fill>
    <fill>
      <patternFill patternType="solid">
        <fgColor rgb="FF003504"/>
        <bgColor indexed="64"/>
      </patternFill>
    </fill>
    <fill>
      <patternFill patternType="solid">
        <fgColor rgb="FF003505"/>
        <bgColor indexed="64"/>
      </patternFill>
    </fill>
    <fill>
      <patternFill patternType="solid">
        <fgColor rgb="FF003506"/>
        <bgColor indexed="64"/>
      </patternFill>
    </fill>
    <fill>
      <patternFill patternType="solid">
        <fgColor rgb="FF003507"/>
        <bgColor indexed="64"/>
      </patternFill>
    </fill>
    <fill>
      <patternFill patternType="solid">
        <fgColor rgb="FF003508"/>
        <bgColor indexed="64"/>
      </patternFill>
    </fill>
    <fill>
      <patternFill patternType="solid">
        <fgColor rgb="FF003509"/>
        <bgColor indexed="64"/>
      </patternFill>
    </fill>
    <fill>
      <patternFill patternType="solid">
        <fgColor rgb="FF00350A"/>
        <bgColor indexed="64"/>
      </patternFill>
    </fill>
    <fill>
      <patternFill patternType="solid">
        <fgColor rgb="FF00350B"/>
        <bgColor indexed="64"/>
      </patternFill>
    </fill>
    <fill>
      <patternFill patternType="solid">
        <fgColor rgb="FF00350C"/>
        <bgColor indexed="64"/>
      </patternFill>
    </fill>
    <fill>
      <patternFill patternType="solid">
        <fgColor rgb="FF00350D"/>
        <bgColor indexed="64"/>
      </patternFill>
    </fill>
    <fill>
      <patternFill patternType="solid">
        <fgColor rgb="FF00350E"/>
        <bgColor indexed="64"/>
      </patternFill>
    </fill>
    <fill>
      <patternFill patternType="solid">
        <fgColor rgb="FF00350F"/>
        <bgColor indexed="64"/>
      </patternFill>
    </fill>
    <fill>
      <patternFill patternType="solid">
        <fgColor rgb="FF003510"/>
        <bgColor indexed="64"/>
      </patternFill>
    </fill>
    <fill>
      <patternFill patternType="solid">
        <fgColor rgb="FF003511"/>
        <bgColor indexed="64"/>
      </patternFill>
    </fill>
    <fill>
      <patternFill patternType="solid">
        <fgColor rgb="FF003512"/>
        <bgColor indexed="64"/>
      </patternFill>
    </fill>
    <fill>
      <patternFill patternType="solid">
        <fgColor rgb="FF003513"/>
        <bgColor indexed="64"/>
      </patternFill>
    </fill>
    <fill>
      <patternFill patternType="solid">
        <fgColor rgb="FF003514"/>
        <bgColor indexed="64"/>
      </patternFill>
    </fill>
    <fill>
      <patternFill patternType="solid">
        <fgColor rgb="FF003515"/>
        <bgColor indexed="64"/>
      </patternFill>
    </fill>
    <fill>
      <patternFill patternType="solid">
        <fgColor rgb="FF003516"/>
        <bgColor indexed="64"/>
      </patternFill>
    </fill>
    <fill>
      <patternFill patternType="solid">
        <fgColor rgb="FF003517"/>
        <bgColor indexed="64"/>
      </patternFill>
    </fill>
    <fill>
      <patternFill patternType="solid">
        <fgColor rgb="FF003518"/>
        <bgColor indexed="64"/>
      </patternFill>
    </fill>
    <fill>
      <patternFill patternType="solid">
        <fgColor rgb="FF003519"/>
        <bgColor indexed="64"/>
      </patternFill>
    </fill>
    <fill>
      <patternFill patternType="solid">
        <fgColor rgb="FF00351A"/>
        <bgColor indexed="64"/>
      </patternFill>
    </fill>
    <fill>
      <patternFill patternType="solid">
        <fgColor rgb="FF00351B"/>
        <bgColor indexed="64"/>
      </patternFill>
    </fill>
    <fill>
      <patternFill patternType="solid">
        <fgColor rgb="FF00351C"/>
        <bgColor indexed="64"/>
      </patternFill>
    </fill>
    <fill>
      <patternFill patternType="solid">
        <fgColor rgb="FF00351D"/>
        <bgColor indexed="64"/>
      </patternFill>
    </fill>
    <fill>
      <patternFill patternType="solid">
        <fgColor rgb="FF00351E"/>
        <bgColor indexed="64"/>
      </patternFill>
    </fill>
    <fill>
      <patternFill patternType="solid">
        <fgColor rgb="FF00351F"/>
        <bgColor indexed="64"/>
      </patternFill>
    </fill>
    <fill>
      <patternFill patternType="solid">
        <fgColor rgb="FF003520"/>
        <bgColor indexed="64"/>
      </patternFill>
    </fill>
    <fill>
      <patternFill patternType="solid">
        <fgColor rgb="FF003521"/>
        <bgColor indexed="64"/>
      </patternFill>
    </fill>
    <fill>
      <patternFill patternType="solid">
        <fgColor rgb="FF003522"/>
        <bgColor indexed="64"/>
      </patternFill>
    </fill>
    <fill>
      <patternFill patternType="solid">
        <fgColor rgb="FF003523"/>
        <bgColor indexed="64"/>
      </patternFill>
    </fill>
    <fill>
      <patternFill patternType="solid">
        <fgColor rgb="FF003524"/>
        <bgColor indexed="64"/>
      </patternFill>
    </fill>
    <fill>
      <patternFill patternType="solid">
        <fgColor rgb="FF003525"/>
        <bgColor indexed="64"/>
      </patternFill>
    </fill>
    <fill>
      <patternFill patternType="solid">
        <fgColor rgb="FF003526"/>
        <bgColor indexed="64"/>
      </patternFill>
    </fill>
    <fill>
      <patternFill patternType="solid">
        <fgColor rgb="FF003527"/>
        <bgColor indexed="64"/>
      </patternFill>
    </fill>
    <fill>
      <patternFill patternType="solid">
        <fgColor rgb="FF003528"/>
        <bgColor indexed="64"/>
      </patternFill>
    </fill>
    <fill>
      <patternFill patternType="solid">
        <fgColor rgb="FF003529"/>
        <bgColor indexed="64"/>
      </patternFill>
    </fill>
    <fill>
      <patternFill patternType="solid">
        <fgColor rgb="FF00352A"/>
        <bgColor indexed="64"/>
      </patternFill>
    </fill>
    <fill>
      <patternFill patternType="solid">
        <fgColor rgb="FF00352B"/>
        <bgColor indexed="64"/>
      </patternFill>
    </fill>
    <fill>
      <patternFill patternType="solid">
        <fgColor rgb="FF00352C"/>
        <bgColor indexed="64"/>
      </patternFill>
    </fill>
    <fill>
      <patternFill patternType="solid">
        <fgColor rgb="FF00352D"/>
        <bgColor indexed="64"/>
      </patternFill>
    </fill>
    <fill>
      <patternFill patternType="solid">
        <fgColor rgb="FF00352E"/>
        <bgColor indexed="64"/>
      </patternFill>
    </fill>
    <fill>
      <patternFill patternType="solid">
        <fgColor rgb="FF00352F"/>
        <bgColor indexed="64"/>
      </patternFill>
    </fill>
    <fill>
      <patternFill patternType="solid">
        <fgColor rgb="FF003530"/>
        <bgColor indexed="64"/>
      </patternFill>
    </fill>
    <fill>
      <patternFill patternType="solid">
        <fgColor rgb="FF003531"/>
        <bgColor indexed="64"/>
      </patternFill>
    </fill>
    <fill>
      <patternFill patternType="solid">
        <fgColor rgb="FF003532"/>
        <bgColor indexed="64"/>
      </patternFill>
    </fill>
    <fill>
      <patternFill patternType="solid">
        <fgColor rgb="FF003533"/>
        <bgColor indexed="64"/>
      </patternFill>
    </fill>
    <fill>
      <patternFill patternType="solid">
        <fgColor rgb="FF003534"/>
        <bgColor indexed="64"/>
      </patternFill>
    </fill>
    <fill>
      <patternFill patternType="solid">
        <fgColor rgb="FF003535"/>
        <bgColor indexed="64"/>
      </patternFill>
    </fill>
    <fill>
      <patternFill patternType="solid">
        <fgColor rgb="FF003536"/>
        <bgColor indexed="64"/>
      </patternFill>
    </fill>
    <fill>
      <patternFill patternType="solid">
        <fgColor rgb="FF003537"/>
        <bgColor indexed="64"/>
      </patternFill>
    </fill>
    <fill>
      <patternFill patternType="solid">
        <fgColor rgb="FF003538"/>
        <bgColor indexed="64"/>
      </patternFill>
    </fill>
    <fill>
      <patternFill patternType="solid">
        <fgColor rgb="FF003539"/>
        <bgColor indexed="64"/>
      </patternFill>
    </fill>
    <fill>
      <patternFill patternType="solid">
        <fgColor rgb="FF00353A"/>
        <bgColor indexed="64"/>
      </patternFill>
    </fill>
    <fill>
      <patternFill patternType="solid">
        <fgColor rgb="FF00353B"/>
        <bgColor indexed="64"/>
      </patternFill>
    </fill>
    <fill>
      <patternFill patternType="solid">
        <fgColor rgb="FF00353C"/>
        <bgColor indexed="64"/>
      </patternFill>
    </fill>
    <fill>
      <patternFill patternType="solid">
        <fgColor rgb="FF00353D"/>
        <bgColor indexed="64"/>
      </patternFill>
    </fill>
    <fill>
      <patternFill patternType="solid">
        <fgColor rgb="FF00353E"/>
        <bgColor indexed="64"/>
      </patternFill>
    </fill>
    <fill>
      <patternFill patternType="solid">
        <fgColor rgb="FF00353F"/>
        <bgColor indexed="64"/>
      </patternFill>
    </fill>
    <fill>
      <patternFill patternType="solid">
        <fgColor rgb="FF003540"/>
        <bgColor indexed="64"/>
      </patternFill>
    </fill>
    <fill>
      <patternFill patternType="solid">
        <fgColor rgb="FF003541"/>
        <bgColor indexed="64"/>
      </patternFill>
    </fill>
    <fill>
      <patternFill patternType="solid">
        <fgColor rgb="FF003542"/>
        <bgColor indexed="64"/>
      </patternFill>
    </fill>
    <fill>
      <patternFill patternType="solid">
        <fgColor rgb="FF003543"/>
        <bgColor indexed="64"/>
      </patternFill>
    </fill>
    <fill>
      <patternFill patternType="solid">
        <fgColor rgb="FF003544"/>
        <bgColor indexed="64"/>
      </patternFill>
    </fill>
    <fill>
      <patternFill patternType="solid">
        <fgColor rgb="FF003545"/>
        <bgColor indexed="64"/>
      </patternFill>
    </fill>
    <fill>
      <patternFill patternType="solid">
        <fgColor rgb="FF003546"/>
        <bgColor indexed="64"/>
      </patternFill>
    </fill>
    <fill>
      <patternFill patternType="solid">
        <fgColor rgb="FF003547"/>
        <bgColor indexed="64"/>
      </patternFill>
    </fill>
    <fill>
      <patternFill patternType="solid">
        <fgColor rgb="FF003548"/>
        <bgColor indexed="64"/>
      </patternFill>
    </fill>
    <fill>
      <patternFill patternType="solid">
        <fgColor rgb="FF003549"/>
        <bgColor indexed="64"/>
      </patternFill>
    </fill>
    <fill>
      <patternFill patternType="solid">
        <fgColor rgb="FF00354A"/>
        <bgColor indexed="64"/>
      </patternFill>
    </fill>
    <fill>
      <patternFill patternType="solid">
        <fgColor rgb="FF00354B"/>
        <bgColor indexed="64"/>
      </patternFill>
    </fill>
    <fill>
      <patternFill patternType="solid">
        <fgColor rgb="FF00354C"/>
        <bgColor indexed="64"/>
      </patternFill>
    </fill>
    <fill>
      <patternFill patternType="solid">
        <fgColor rgb="FF00354D"/>
        <bgColor indexed="64"/>
      </patternFill>
    </fill>
    <fill>
      <patternFill patternType="solid">
        <fgColor rgb="FF00354E"/>
        <bgColor indexed="64"/>
      </patternFill>
    </fill>
    <fill>
      <patternFill patternType="solid">
        <fgColor rgb="FF00354F"/>
        <bgColor indexed="64"/>
      </patternFill>
    </fill>
    <fill>
      <patternFill patternType="solid">
        <fgColor rgb="FF003550"/>
        <bgColor indexed="64"/>
      </patternFill>
    </fill>
    <fill>
      <patternFill patternType="solid">
        <fgColor rgb="FF003551"/>
        <bgColor indexed="64"/>
      </patternFill>
    </fill>
    <fill>
      <patternFill patternType="solid">
        <fgColor rgb="FF003552"/>
        <bgColor indexed="64"/>
      </patternFill>
    </fill>
    <fill>
      <patternFill patternType="solid">
        <fgColor rgb="FF003553"/>
        <bgColor indexed="64"/>
      </patternFill>
    </fill>
    <fill>
      <patternFill patternType="solid">
        <fgColor rgb="FF003554"/>
        <bgColor indexed="64"/>
      </patternFill>
    </fill>
    <fill>
      <patternFill patternType="solid">
        <fgColor rgb="FF003555"/>
        <bgColor indexed="64"/>
      </patternFill>
    </fill>
    <fill>
      <patternFill patternType="solid">
        <fgColor rgb="FF003556"/>
        <bgColor indexed="64"/>
      </patternFill>
    </fill>
    <fill>
      <patternFill patternType="solid">
        <fgColor rgb="FF003557"/>
        <bgColor indexed="64"/>
      </patternFill>
    </fill>
    <fill>
      <patternFill patternType="solid">
        <fgColor rgb="FF003558"/>
        <bgColor indexed="64"/>
      </patternFill>
    </fill>
    <fill>
      <patternFill patternType="solid">
        <fgColor rgb="FF003559"/>
        <bgColor indexed="64"/>
      </patternFill>
    </fill>
    <fill>
      <patternFill patternType="solid">
        <fgColor rgb="FF00355A"/>
        <bgColor indexed="64"/>
      </patternFill>
    </fill>
    <fill>
      <patternFill patternType="solid">
        <fgColor rgb="FF00355B"/>
        <bgColor indexed="64"/>
      </patternFill>
    </fill>
    <fill>
      <patternFill patternType="solid">
        <fgColor rgb="FF00355C"/>
        <bgColor indexed="64"/>
      </patternFill>
    </fill>
    <fill>
      <patternFill patternType="solid">
        <fgColor rgb="FF00355D"/>
        <bgColor indexed="64"/>
      </patternFill>
    </fill>
    <fill>
      <patternFill patternType="solid">
        <fgColor rgb="FF00355E"/>
        <bgColor indexed="64"/>
      </patternFill>
    </fill>
    <fill>
      <patternFill patternType="solid">
        <fgColor rgb="FF00355F"/>
        <bgColor indexed="64"/>
      </patternFill>
    </fill>
    <fill>
      <patternFill patternType="solid">
        <fgColor rgb="FF003560"/>
        <bgColor indexed="64"/>
      </patternFill>
    </fill>
    <fill>
      <patternFill patternType="solid">
        <fgColor rgb="FF003561"/>
        <bgColor indexed="64"/>
      </patternFill>
    </fill>
    <fill>
      <patternFill patternType="solid">
        <fgColor rgb="FF003562"/>
        <bgColor indexed="64"/>
      </patternFill>
    </fill>
    <fill>
      <patternFill patternType="solid">
        <fgColor rgb="FF003563"/>
        <bgColor indexed="64"/>
      </patternFill>
    </fill>
    <fill>
      <patternFill patternType="solid">
        <fgColor rgb="FF003564"/>
        <bgColor indexed="64"/>
      </patternFill>
    </fill>
    <fill>
      <patternFill patternType="solid">
        <fgColor rgb="FF003565"/>
        <bgColor indexed="64"/>
      </patternFill>
    </fill>
    <fill>
      <patternFill patternType="solid">
        <fgColor rgb="FF003566"/>
        <bgColor indexed="64"/>
      </patternFill>
    </fill>
    <fill>
      <patternFill patternType="solid">
        <fgColor rgb="FF003567"/>
        <bgColor indexed="64"/>
      </patternFill>
    </fill>
    <fill>
      <patternFill patternType="solid">
        <fgColor rgb="FF003568"/>
        <bgColor indexed="64"/>
      </patternFill>
    </fill>
    <fill>
      <patternFill patternType="solid">
        <fgColor rgb="FF003569"/>
        <bgColor indexed="64"/>
      </patternFill>
    </fill>
    <fill>
      <patternFill patternType="solid">
        <fgColor rgb="FF00356A"/>
        <bgColor indexed="64"/>
      </patternFill>
    </fill>
    <fill>
      <patternFill patternType="solid">
        <fgColor rgb="FF00356B"/>
        <bgColor indexed="64"/>
      </patternFill>
    </fill>
    <fill>
      <patternFill patternType="solid">
        <fgColor rgb="FF00356C"/>
        <bgColor indexed="64"/>
      </patternFill>
    </fill>
    <fill>
      <patternFill patternType="solid">
        <fgColor rgb="FF00356D"/>
        <bgColor indexed="64"/>
      </patternFill>
    </fill>
    <fill>
      <patternFill patternType="solid">
        <fgColor rgb="FF00356E"/>
        <bgColor indexed="64"/>
      </patternFill>
    </fill>
    <fill>
      <patternFill patternType="solid">
        <fgColor rgb="FF00356F"/>
        <bgColor indexed="64"/>
      </patternFill>
    </fill>
    <fill>
      <patternFill patternType="solid">
        <fgColor rgb="FF003570"/>
        <bgColor indexed="64"/>
      </patternFill>
    </fill>
    <fill>
      <patternFill patternType="solid">
        <fgColor rgb="FF003571"/>
        <bgColor indexed="64"/>
      </patternFill>
    </fill>
    <fill>
      <patternFill patternType="solid">
        <fgColor rgb="FF003572"/>
        <bgColor indexed="64"/>
      </patternFill>
    </fill>
    <fill>
      <patternFill patternType="solid">
        <fgColor rgb="FF003573"/>
        <bgColor indexed="64"/>
      </patternFill>
    </fill>
    <fill>
      <patternFill patternType="solid">
        <fgColor rgb="FF003574"/>
        <bgColor indexed="64"/>
      </patternFill>
    </fill>
    <fill>
      <patternFill patternType="solid">
        <fgColor rgb="FF003575"/>
        <bgColor indexed="64"/>
      </patternFill>
    </fill>
    <fill>
      <patternFill patternType="solid">
        <fgColor rgb="FF003576"/>
        <bgColor indexed="64"/>
      </patternFill>
    </fill>
    <fill>
      <patternFill patternType="solid">
        <fgColor rgb="FF003577"/>
        <bgColor indexed="64"/>
      </patternFill>
    </fill>
    <fill>
      <patternFill patternType="solid">
        <fgColor rgb="FF003578"/>
        <bgColor indexed="64"/>
      </patternFill>
    </fill>
    <fill>
      <patternFill patternType="solid">
        <fgColor rgb="FF003579"/>
        <bgColor indexed="64"/>
      </patternFill>
    </fill>
    <fill>
      <patternFill patternType="solid">
        <fgColor rgb="FF00357A"/>
        <bgColor indexed="64"/>
      </patternFill>
    </fill>
    <fill>
      <patternFill patternType="solid">
        <fgColor rgb="FF00357B"/>
        <bgColor indexed="64"/>
      </patternFill>
    </fill>
    <fill>
      <patternFill patternType="solid">
        <fgColor rgb="FF00357C"/>
        <bgColor indexed="64"/>
      </patternFill>
    </fill>
    <fill>
      <patternFill patternType="solid">
        <fgColor rgb="FF00357D"/>
        <bgColor indexed="64"/>
      </patternFill>
    </fill>
    <fill>
      <patternFill patternType="solid">
        <fgColor rgb="FF00357E"/>
        <bgColor indexed="64"/>
      </patternFill>
    </fill>
    <fill>
      <patternFill patternType="solid">
        <fgColor rgb="FF00357F"/>
        <bgColor indexed="64"/>
      </patternFill>
    </fill>
    <fill>
      <patternFill patternType="solid">
        <fgColor rgb="FF003580"/>
        <bgColor indexed="64"/>
      </patternFill>
    </fill>
    <fill>
      <patternFill patternType="solid">
        <fgColor rgb="FF003581"/>
        <bgColor indexed="64"/>
      </patternFill>
    </fill>
    <fill>
      <patternFill patternType="solid">
        <fgColor rgb="FF003582"/>
        <bgColor indexed="64"/>
      </patternFill>
    </fill>
    <fill>
      <patternFill patternType="solid">
        <fgColor rgb="FF003583"/>
        <bgColor indexed="64"/>
      </patternFill>
    </fill>
    <fill>
      <patternFill patternType="solid">
        <fgColor rgb="FF003584"/>
        <bgColor indexed="64"/>
      </patternFill>
    </fill>
    <fill>
      <patternFill patternType="solid">
        <fgColor rgb="FF003585"/>
        <bgColor indexed="64"/>
      </patternFill>
    </fill>
    <fill>
      <patternFill patternType="solid">
        <fgColor rgb="FF003586"/>
        <bgColor indexed="64"/>
      </patternFill>
    </fill>
    <fill>
      <patternFill patternType="solid">
        <fgColor rgb="FF003587"/>
        <bgColor indexed="64"/>
      </patternFill>
    </fill>
    <fill>
      <patternFill patternType="solid">
        <fgColor rgb="FF003588"/>
        <bgColor indexed="64"/>
      </patternFill>
    </fill>
    <fill>
      <patternFill patternType="solid">
        <fgColor rgb="FF003589"/>
        <bgColor indexed="64"/>
      </patternFill>
    </fill>
    <fill>
      <patternFill patternType="solid">
        <fgColor rgb="FF00358A"/>
        <bgColor indexed="64"/>
      </patternFill>
    </fill>
    <fill>
      <patternFill patternType="solid">
        <fgColor rgb="FF00358B"/>
        <bgColor indexed="64"/>
      </patternFill>
    </fill>
    <fill>
      <patternFill patternType="solid">
        <fgColor rgb="FF00358C"/>
        <bgColor indexed="64"/>
      </patternFill>
    </fill>
    <fill>
      <patternFill patternType="solid">
        <fgColor rgb="FF00358D"/>
        <bgColor indexed="64"/>
      </patternFill>
    </fill>
    <fill>
      <patternFill patternType="solid">
        <fgColor rgb="FF00358E"/>
        <bgColor indexed="64"/>
      </patternFill>
    </fill>
    <fill>
      <patternFill patternType="solid">
        <fgColor rgb="FF00358F"/>
        <bgColor indexed="64"/>
      </patternFill>
    </fill>
    <fill>
      <patternFill patternType="solid">
        <fgColor rgb="FF003590"/>
        <bgColor indexed="64"/>
      </patternFill>
    </fill>
    <fill>
      <patternFill patternType="solid">
        <fgColor rgb="FF003591"/>
        <bgColor indexed="64"/>
      </patternFill>
    </fill>
    <fill>
      <patternFill patternType="solid">
        <fgColor rgb="FF003592"/>
        <bgColor indexed="64"/>
      </patternFill>
    </fill>
    <fill>
      <patternFill patternType="solid">
        <fgColor rgb="FF003593"/>
        <bgColor indexed="64"/>
      </patternFill>
    </fill>
    <fill>
      <patternFill patternType="solid">
        <fgColor rgb="FF003594"/>
        <bgColor indexed="64"/>
      </patternFill>
    </fill>
    <fill>
      <patternFill patternType="solid">
        <fgColor rgb="FF003595"/>
        <bgColor indexed="64"/>
      </patternFill>
    </fill>
    <fill>
      <patternFill patternType="solid">
        <fgColor rgb="FF003596"/>
        <bgColor indexed="64"/>
      </patternFill>
    </fill>
    <fill>
      <patternFill patternType="solid">
        <fgColor rgb="FF003597"/>
        <bgColor indexed="64"/>
      </patternFill>
    </fill>
    <fill>
      <patternFill patternType="solid">
        <fgColor rgb="FF003598"/>
        <bgColor indexed="64"/>
      </patternFill>
    </fill>
    <fill>
      <patternFill patternType="solid">
        <fgColor rgb="FF003599"/>
        <bgColor indexed="64"/>
      </patternFill>
    </fill>
    <fill>
      <patternFill patternType="solid">
        <fgColor rgb="FF00359A"/>
        <bgColor indexed="64"/>
      </patternFill>
    </fill>
    <fill>
      <patternFill patternType="solid">
        <fgColor rgb="FF00359B"/>
        <bgColor indexed="64"/>
      </patternFill>
    </fill>
    <fill>
      <patternFill patternType="solid">
        <fgColor rgb="FF00359C"/>
        <bgColor indexed="64"/>
      </patternFill>
    </fill>
    <fill>
      <patternFill patternType="solid">
        <fgColor rgb="FF00359D"/>
        <bgColor indexed="64"/>
      </patternFill>
    </fill>
    <fill>
      <patternFill patternType="solid">
        <fgColor rgb="FF00359E"/>
        <bgColor indexed="64"/>
      </patternFill>
    </fill>
    <fill>
      <patternFill patternType="solid">
        <fgColor rgb="FF00359F"/>
        <bgColor indexed="64"/>
      </patternFill>
    </fill>
    <fill>
      <patternFill patternType="solid">
        <fgColor rgb="FF0035A0"/>
        <bgColor indexed="64"/>
      </patternFill>
    </fill>
    <fill>
      <patternFill patternType="solid">
        <fgColor rgb="FF0035A1"/>
        <bgColor indexed="64"/>
      </patternFill>
    </fill>
    <fill>
      <patternFill patternType="solid">
        <fgColor rgb="FF0035A2"/>
        <bgColor indexed="64"/>
      </patternFill>
    </fill>
    <fill>
      <patternFill patternType="solid">
        <fgColor rgb="FF0035A3"/>
        <bgColor indexed="64"/>
      </patternFill>
    </fill>
    <fill>
      <patternFill patternType="solid">
        <fgColor rgb="FF0035A4"/>
        <bgColor indexed="64"/>
      </patternFill>
    </fill>
    <fill>
      <patternFill patternType="solid">
        <fgColor rgb="FF0035A5"/>
        <bgColor indexed="64"/>
      </patternFill>
    </fill>
    <fill>
      <patternFill patternType="solid">
        <fgColor rgb="FF0035A6"/>
        <bgColor indexed="64"/>
      </patternFill>
    </fill>
    <fill>
      <patternFill patternType="solid">
        <fgColor rgb="FF0035A7"/>
        <bgColor indexed="64"/>
      </patternFill>
    </fill>
    <fill>
      <patternFill patternType="solid">
        <fgColor rgb="FF0035A8"/>
        <bgColor indexed="64"/>
      </patternFill>
    </fill>
    <fill>
      <patternFill patternType="solid">
        <fgColor rgb="FF0035A9"/>
        <bgColor indexed="64"/>
      </patternFill>
    </fill>
    <fill>
      <patternFill patternType="solid">
        <fgColor rgb="FF0035AA"/>
        <bgColor indexed="64"/>
      </patternFill>
    </fill>
    <fill>
      <patternFill patternType="solid">
        <fgColor rgb="FF0035AB"/>
        <bgColor indexed="64"/>
      </patternFill>
    </fill>
    <fill>
      <patternFill patternType="solid">
        <fgColor rgb="FF0035AC"/>
        <bgColor indexed="64"/>
      </patternFill>
    </fill>
    <fill>
      <patternFill patternType="solid">
        <fgColor rgb="FF0035AD"/>
        <bgColor indexed="64"/>
      </patternFill>
    </fill>
    <fill>
      <patternFill patternType="solid">
        <fgColor rgb="FF0035AE"/>
        <bgColor indexed="64"/>
      </patternFill>
    </fill>
    <fill>
      <patternFill patternType="solid">
        <fgColor rgb="FF0035AF"/>
        <bgColor indexed="64"/>
      </patternFill>
    </fill>
    <fill>
      <patternFill patternType="solid">
        <fgColor rgb="FF0035B0"/>
        <bgColor indexed="64"/>
      </patternFill>
    </fill>
    <fill>
      <patternFill patternType="solid">
        <fgColor rgb="FF0035B1"/>
        <bgColor indexed="64"/>
      </patternFill>
    </fill>
    <fill>
      <patternFill patternType="solid">
        <fgColor rgb="FF0035B2"/>
        <bgColor indexed="64"/>
      </patternFill>
    </fill>
    <fill>
      <patternFill patternType="solid">
        <fgColor rgb="FF0035B3"/>
        <bgColor indexed="64"/>
      </patternFill>
    </fill>
    <fill>
      <patternFill patternType="solid">
        <fgColor rgb="FF0035B4"/>
        <bgColor indexed="64"/>
      </patternFill>
    </fill>
    <fill>
      <patternFill patternType="solid">
        <fgColor rgb="FF0035B5"/>
        <bgColor indexed="64"/>
      </patternFill>
    </fill>
    <fill>
      <patternFill patternType="solid">
        <fgColor rgb="FF0035B6"/>
        <bgColor indexed="64"/>
      </patternFill>
    </fill>
    <fill>
      <patternFill patternType="solid">
        <fgColor rgb="FF0035B7"/>
        <bgColor indexed="64"/>
      </patternFill>
    </fill>
    <fill>
      <patternFill patternType="solid">
        <fgColor rgb="FF0035B8"/>
        <bgColor indexed="64"/>
      </patternFill>
    </fill>
    <fill>
      <patternFill patternType="solid">
        <fgColor rgb="FF0035B9"/>
        <bgColor indexed="64"/>
      </patternFill>
    </fill>
    <fill>
      <patternFill patternType="solid">
        <fgColor rgb="FF0035BA"/>
        <bgColor indexed="64"/>
      </patternFill>
    </fill>
    <fill>
      <patternFill patternType="solid">
        <fgColor rgb="FF0035BB"/>
        <bgColor indexed="64"/>
      </patternFill>
    </fill>
    <fill>
      <patternFill patternType="solid">
        <fgColor rgb="FF0035BC"/>
        <bgColor indexed="64"/>
      </patternFill>
    </fill>
    <fill>
      <patternFill patternType="solid">
        <fgColor rgb="FF0035BD"/>
        <bgColor indexed="64"/>
      </patternFill>
    </fill>
    <fill>
      <patternFill patternType="solid">
        <fgColor rgb="FF0035BE"/>
        <bgColor indexed="64"/>
      </patternFill>
    </fill>
    <fill>
      <patternFill patternType="solid">
        <fgColor rgb="FF0035BF"/>
        <bgColor indexed="64"/>
      </patternFill>
    </fill>
    <fill>
      <patternFill patternType="solid">
        <fgColor rgb="FF0035C0"/>
        <bgColor indexed="64"/>
      </patternFill>
    </fill>
    <fill>
      <patternFill patternType="solid">
        <fgColor rgb="FF0035C1"/>
        <bgColor indexed="64"/>
      </patternFill>
    </fill>
    <fill>
      <patternFill patternType="solid">
        <fgColor rgb="FF0035C2"/>
        <bgColor indexed="64"/>
      </patternFill>
    </fill>
    <fill>
      <patternFill patternType="solid">
        <fgColor rgb="FF0035C3"/>
        <bgColor indexed="64"/>
      </patternFill>
    </fill>
    <fill>
      <patternFill patternType="solid">
        <fgColor rgb="FF0035C4"/>
        <bgColor indexed="64"/>
      </patternFill>
    </fill>
    <fill>
      <patternFill patternType="solid">
        <fgColor rgb="FF0035C5"/>
        <bgColor indexed="64"/>
      </patternFill>
    </fill>
    <fill>
      <patternFill patternType="solid">
        <fgColor rgb="FF0035C6"/>
        <bgColor indexed="64"/>
      </patternFill>
    </fill>
    <fill>
      <patternFill patternType="solid">
        <fgColor rgb="FF0035C7"/>
        <bgColor indexed="64"/>
      </patternFill>
    </fill>
    <fill>
      <patternFill patternType="solid">
        <fgColor rgb="FF0035C8"/>
        <bgColor indexed="64"/>
      </patternFill>
    </fill>
    <fill>
      <patternFill patternType="solid">
        <fgColor rgb="FF0035C9"/>
        <bgColor indexed="64"/>
      </patternFill>
    </fill>
    <fill>
      <patternFill patternType="solid">
        <fgColor rgb="FF0035CA"/>
        <bgColor indexed="64"/>
      </patternFill>
    </fill>
    <fill>
      <patternFill patternType="solid">
        <fgColor rgb="FF0035CB"/>
        <bgColor indexed="64"/>
      </patternFill>
    </fill>
    <fill>
      <patternFill patternType="solid">
        <fgColor rgb="FF0035CC"/>
        <bgColor indexed="64"/>
      </patternFill>
    </fill>
    <fill>
      <patternFill patternType="solid">
        <fgColor rgb="FF0035CD"/>
        <bgColor indexed="64"/>
      </patternFill>
    </fill>
    <fill>
      <patternFill patternType="solid">
        <fgColor rgb="FF0035CE"/>
        <bgColor indexed="64"/>
      </patternFill>
    </fill>
    <fill>
      <patternFill patternType="solid">
        <fgColor rgb="FF0035CF"/>
        <bgColor indexed="64"/>
      </patternFill>
    </fill>
    <fill>
      <patternFill patternType="solid">
        <fgColor rgb="FF0035D0"/>
        <bgColor indexed="64"/>
      </patternFill>
    </fill>
    <fill>
      <patternFill patternType="solid">
        <fgColor rgb="FF0035D1"/>
        <bgColor indexed="64"/>
      </patternFill>
    </fill>
    <fill>
      <patternFill patternType="solid">
        <fgColor rgb="FF0035D2"/>
        <bgColor indexed="64"/>
      </patternFill>
    </fill>
    <fill>
      <patternFill patternType="solid">
        <fgColor rgb="FF0035D3"/>
        <bgColor indexed="64"/>
      </patternFill>
    </fill>
    <fill>
      <patternFill patternType="solid">
        <fgColor rgb="FF0035D4"/>
        <bgColor indexed="64"/>
      </patternFill>
    </fill>
    <fill>
      <patternFill patternType="solid">
        <fgColor rgb="FF0035D5"/>
        <bgColor indexed="64"/>
      </patternFill>
    </fill>
    <fill>
      <patternFill patternType="solid">
        <fgColor rgb="FF0035D6"/>
        <bgColor indexed="64"/>
      </patternFill>
    </fill>
    <fill>
      <patternFill patternType="solid">
        <fgColor rgb="FF0035D7"/>
        <bgColor indexed="64"/>
      </patternFill>
    </fill>
    <fill>
      <patternFill patternType="solid">
        <fgColor rgb="FF0035D8"/>
        <bgColor indexed="64"/>
      </patternFill>
    </fill>
    <fill>
      <patternFill patternType="solid">
        <fgColor rgb="FF0035D9"/>
        <bgColor indexed="64"/>
      </patternFill>
    </fill>
    <fill>
      <patternFill patternType="solid">
        <fgColor rgb="FF0035DA"/>
        <bgColor indexed="64"/>
      </patternFill>
    </fill>
    <fill>
      <patternFill patternType="solid">
        <fgColor rgb="FF0035DB"/>
        <bgColor indexed="64"/>
      </patternFill>
    </fill>
    <fill>
      <patternFill patternType="solid">
        <fgColor rgb="FF0035DC"/>
        <bgColor indexed="64"/>
      </patternFill>
    </fill>
    <fill>
      <patternFill patternType="solid">
        <fgColor rgb="FF0035DD"/>
        <bgColor indexed="64"/>
      </patternFill>
    </fill>
    <fill>
      <patternFill patternType="solid">
        <fgColor rgb="FF0035DE"/>
        <bgColor indexed="64"/>
      </patternFill>
    </fill>
    <fill>
      <patternFill patternType="solid">
        <fgColor rgb="FF0035DF"/>
        <bgColor indexed="64"/>
      </patternFill>
    </fill>
    <fill>
      <patternFill patternType="solid">
        <fgColor rgb="FF0035E0"/>
        <bgColor indexed="64"/>
      </patternFill>
    </fill>
    <fill>
      <patternFill patternType="solid">
        <fgColor rgb="FF0035E1"/>
        <bgColor indexed="64"/>
      </patternFill>
    </fill>
    <fill>
      <patternFill patternType="solid">
        <fgColor rgb="FF0035E2"/>
        <bgColor indexed="64"/>
      </patternFill>
    </fill>
    <fill>
      <patternFill patternType="solid">
        <fgColor rgb="FF0035E3"/>
        <bgColor indexed="64"/>
      </patternFill>
    </fill>
    <fill>
      <patternFill patternType="solid">
        <fgColor rgb="FF0035E4"/>
        <bgColor indexed="64"/>
      </patternFill>
    </fill>
    <fill>
      <patternFill patternType="solid">
        <fgColor rgb="FF0035E5"/>
        <bgColor indexed="64"/>
      </patternFill>
    </fill>
    <fill>
      <patternFill patternType="solid">
        <fgColor rgb="FF0035E6"/>
        <bgColor indexed="64"/>
      </patternFill>
    </fill>
    <fill>
      <patternFill patternType="solid">
        <fgColor rgb="FF0035E7"/>
        <bgColor indexed="64"/>
      </patternFill>
    </fill>
    <fill>
      <patternFill patternType="solid">
        <fgColor rgb="FF0035E8"/>
        <bgColor indexed="64"/>
      </patternFill>
    </fill>
    <fill>
      <patternFill patternType="solid">
        <fgColor rgb="FF0035E9"/>
        <bgColor indexed="64"/>
      </patternFill>
    </fill>
    <fill>
      <patternFill patternType="solid">
        <fgColor rgb="FF0035EA"/>
        <bgColor indexed="64"/>
      </patternFill>
    </fill>
    <fill>
      <patternFill patternType="solid">
        <fgColor rgb="FF0035EB"/>
        <bgColor indexed="64"/>
      </patternFill>
    </fill>
    <fill>
      <patternFill patternType="solid">
        <fgColor rgb="FF0035EC"/>
        <bgColor indexed="64"/>
      </patternFill>
    </fill>
    <fill>
      <patternFill patternType="solid">
        <fgColor rgb="FF0035ED"/>
        <bgColor indexed="64"/>
      </patternFill>
    </fill>
    <fill>
      <patternFill patternType="solid">
        <fgColor rgb="FF0035EE"/>
        <bgColor indexed="64"/>
      </patternFill>
    </fill>
    <fill>
      <patternFill patternType="solid">
        <fgColor rgb="FF0035EF"/>
        <bgColor indexed="64"/>
      </patternFill>
    </fill>
    <fill>
      <patternFill patternType="solid">
        <fgColor rgb="FF0035F0"/>
        <bgColor indexed="64"/>
      </patternFill>
    </fill>
    <fill>
      <patternFill patternType="solid">
        <fgColor rgb="FF0035F1"/>
        <bgColor indexed="64"/>
      </patternFill>
    </fill>
    <fill>
      <patternFill patternType="solid">
        <fgColor rgb="FF0035F2"/>
        <bgColor indexed="64"/>
      </patternFill>
    </fill>
    <fill>
      <patternFill patternType="solid">
        <fgColor rgb="FF0035F3"/>
        <bgColor indexed="64"/>
      </patternFill>
    </fill>
    <fill>
      <patternFill patternType="solid">
        <fgColor rgb="FF0035F4"/>
        <bgColor indexed="64"/>
      </patternFill>
    </fill>
    <fill>
      <patternFill patternType="solid">
        <fgColor rgb="FF0035F5"/>
        <bgColor indexed="64"/>
      </patternFill>
    </fill>
    <fill>
      <patternFill patternType="solid">
        <fgColor rgb="FF0035F6"/>
        <bgColor indexed="64"/>
      </patternFill>
    </fill>
    <fill>
      <patternFill patternType="solid">
        <fgColor rgb="FF0035F7"/>
        <bgColor indexed="64"/>
      </patternFill>
    </fill>
    <fill>
      <patternFill patternType="solid">
        <fgColor rgb="FF0035F8"/>
        <bgColor indexed="64"/>
      </patternFill>
    </fill>
    <fill>
      <patternFill patternType="solid">
        <fgColor rgb="FF0035F9"/>
        <bgColor indexed="64"/>
      </patternFill>
    </fill>
    <fill>
      <patternFill patternType="solid">
        <fgColor rgb="FF0035FA"/>
        <bgColor indexed="64"/>
      </patternFill>
    </fill>
    <fill>
      <patternFill patternType="solid">
        <fgColor rgb="FF0035FB"/>
        <bgColor indexed="64"/>
      </patternFill>
    </fill>
    <fill>
      <patternFill patternType="solid">
        <fgColor rgb="FF0035FC"/>
        <bgColor indexed="64"/>
      </patternFill>
    </fill>
    <fill>
      <patternFill patternType="solid">
        <fgColor rgb="FF0035FD"/>
        <bgColor indexed="64"/>
      </patternFill>
    </fill>
    <fill>
      <patternFill patternType="solid">
        <fgColor rgb="FF0035FE"/>
        <bgColor indexed="64"/>
      </patternFill>
    </fill>
    <fill>
      <patternFill patternType="solid">
        <fgColor rgb="FF0035FF"/>
        <bgColor indexed="64"/>
      </patternFill>
    </fill>
    <fill>
      <patternFill patternType="solid">
        <fgColor rgb="FF003600"/>
        <bgColor indexed="64"/>
      </patternFill>
    </fill>
    <fill>
      <patternFill patternType="solid">
        <fgColor rgb="FF003601"/>
        <bgColor indexed="64"/>
      </patternFill>
    </fill>
    <fill>
      <patternFill patternType="solid">
        <fgColor rgb="FF003602"/>
        <bgColor indexed="64"/>
      </patternFill>
    </fill>
    <fill>
      <patternFill patternType="solid">
        <fgColor rgb="FF003603"/>
        <bgColor indexed="64"/>
      </patternFill>
    </fill>
    <fill>
      <patternFill patternType="solid">
        <fgColor rgb="FF003604"/>
        <bgColor indexed="64"/>
      </patternFill>
    </fill>
    <fill>
      <patternFill patternType="solid">
        <fgColor rgb="FF003605"/>
        <bgColor indexed="64"/>
      </patternFill>
    </fill>
    <fill>
      <patternFill patternType="solid">
        <fgColor rgb="FF003606"/>
        <bgColor indexed="64"/>
      </patternFill>
    </fill>
    <fill>
      <patternFill patternType="solid">
        <fgColor rgb="FF003607"/>
        <bgColor indexed="64"/>
      </patternFill>
    </fill>
    <fill>
      <patternFill patternType="solid">
        <fgColor rgb="FF003608"/>
        <bgColor indexed="64"/>
      </patternFill>
    </fill>
    <fill>
      <patternFill patternType="solid">
        <fgColor rgb="FF003609"/>
        <bgColor indexed="64"/>
      </patternFill>
    </fill>
    <fill>
      <patternFill patternType="solid">
        <fgColor rgb="FF00360A"/>
        <bgColor indexed="64"/>
      </patternFill>
    </fill>
    <fill>
      <patternFill patternType="solid">
        <fgColor rgb="FF00360B"/>
        <bgColor indexed="64"/>
      </patternFill>
    </fill>
    <fill>
      <patternFill patternType="solid">
        <fgColor rgb="FF00360C"/>
        <bgColor indexed="64"/>
      </patternFill>
    </fill>
    <fill>
      <patternFill patternType="solid">
        <fgColor rgb="FF00360D"/>
        <bgColor indexed="64"/>
      </patternFill>
    </fill>
    <fill>
      <patternFill patternType="solid">
        <fgColor rgb="FF00360E"/>
        <bgColor indexed="64"/>
      </patternFill>
    </fill>
    <fill>
      <patternFill patternType="solid">
        <fgColor rgb="FF00360F"/>
        <bgColor indexed="64"/>
      </patternFill>
    </fill>
    <fill>
      <patternFill patternType="solid">
        <fgColor rgb="FF003610"/>
        <bgColor indexed="64"/>
      </patternFill>
    </fill>
    <fill>
      <patternFill patternType="solid">
        <fgColor rgb="FF003611"/>
        <bgColor indexed="64"/>
      </patternFill>
    </fill>
    <fill>
      <patternFill patternType="solid">
        <fgColor rgb="FF003612"/>
        <bgColor indexed="64"/>
      </patternFill>
    </fill>
    <fill>
      <patternFill patternType="solid">
        <fgColor rgb="FF003613"/>
        <bgColor indexed="64"/>
      </patternFill>
    </fill>
    <fill>
      <patternFill patternType="solid">
        <fgColor rgb="FF003614"/>
        <bgColor indexed="64"/>
      </patternFill>
    </fill>
    <fill>
      <patternFill patternType="solid">
        <fgColor rgb="FF003615"/>
        <bgColor indexed="64"/>
      </patternFill>
    </fill>
    <fill>
      <patternFill patternType="solid">
        <fgColor rgb="FF003616"/>
        <bgColor indexed="64"/>
      </patternFill>
    </fill>
    <fill>
      <patternFill patternType="solid">
        <fgColor rgb="FF003617"/>
        <bgColor indexed="64"/>
      </patternFill>
    </fill>
    <fill>
      <patternFill patternType="solid">
        <fgColor rgb="FF003618"/>
        <bgColor indexed="64"/>
      </patternFill>
    </fill>
    <fill>
      <patternFill patternType="solid">
        <fgColor rgb="FF003619"/>
        <bgColor indexed="64"/>
      </patternFill>
    </fill>
    <fill>
      <patternFill patternType="solid">
        <fgColor rgb="FF00361A"/>
        <bgColor indexed="64"/>
      </patternFill>
    </fill>
    <fill>
      <patternFill patternType="solid">
        <fgColor rgb="FF00361B"/>
        <bgColor indexed="64"/>
      </patternFill>
    </fill>
    <fill>
      <patternFill patternType="solid">
        <fgColor rgb="FF00361C"/>
        <bgColor indexed="64"/>
      </patternFill>
    </fill>
    <fill>
      <patternFill patternType="solid">
        <fgColor rgb="FF00361D"/>
        <bgColor indexed="64"/>
      </patternFill>
    </fill>
    <fill>
      <patternFill patternType="solid">
        <fgColor rgb="FF00361E"/>
        <bgColor indexed="64"/>
      </patternFill>
    </fill>
    <fill>
      <patternFill patternType="solid">
        <fgColor rgb="FF00361F"/>
        <bgColor indexed="64"/>
      </patternFill>
    </fill>
    <fill>
      <patternFill patternType="solid">
        <fgColor rgb="FF003620"/>
        <bgColor indexed="64"/>
      </patternFill>
    </fill>
    <fill>
      <patternFill patternType="solid">
        <fgColor rgb="FF003621"/>
        <bgColor indexed="64"/>
      </patternFill>
    </fill>
    <fill>
      <patternFill patternType="solid">
        <fgColor rgb="FF003622"/>
        <bgColor indexed="64"/>
      </patternFill>
    </fill>
    <fill>
      <patternFill patternType="solid">
        <fgColor rgb="FF003623"/>
        <bgColor indexed="64"/>
      </patternFill>
    </fill>
    <fill>
      <patternFill patternType="solid">
        <fgColor rgb="FF003624"/>
        <bgColor indexed="64"/>
      </patternFill>
    </fill>
    <fill>
      <patternFill patternType="solid">
        <fgColor rgb="FF003625"/>
        <bgColor indexed="64"/>
      </patternFill>
    </fill>
    <fill>
      <patternFill patternType="solid">
        <fgColor rgb="FF003626"/>
        <bgColor indexed="64"/>
      </patternFill>
    </fill>
    <fill>
      <patternFill patternType="solid">
        <fgColor rgb="FF003627"/>
        <bgColor indexed="64"/>
      </patternFill>
    </fill>
    <fill>
      <patternFill patternType="solid">
        <fgColor rgb="FF003628"/>
        <bgColor indexed="64"/>
      </patternFill>
    </fill>
    <fill>
      <patternFill patternType="solid">
        <fgColor rgb="FF003629"/>
        <bgColor indexed="64"/>
      </patternFill>
    </fill>
    <fill>
      <patternFill patternType="solid">
        <fgColor rgb="FF00362A"/>
        <bgColor indexed="64"/>
      </patternFill>
    </fill>
    <fill>
      <patternFill patternType="solid">
        <fgColor rgb="FF00362B"/>
        <bgColor indexed="64"/>
      </patternFill>
    </fill>
    <fill>
      <patternFill patternType="solid">
        <fgColor rgb="FF00362C"/>
        <bgColor indexed="64"/>
      </patternFill>
    </fill>
    <fill>
      <patternFill patternType="solid">
        <fgColor rgb="FF00362D"/>
        <bgColor indexed="64"/>
      </patternFill>
    </fill>
    <fill>
      <patternFill patternType="solid">
        <fgColor rgb="FF00362E"/>
        <bgColor indexed="64"/>
      </patternFill>
    </fill>
    <fill>
      <patternFill patternType="solid">
        <fgColor rgb="FF00362F"/>
        <bgColor indexed="64"/>
      </patternFill>
    </fill>
    <fill>
      <patternFill patternType="solid">
        <fgColor rgb="FF003630"/>
        <bgColor indexed="64"/>
      </patternFill>
    </fill>
    <fill>
      <patternFill patternType="solid">
        <fgColor rgb="FF003631"/>
        <bgColor indexed="64"/>
      </patternFill>
    </fill>
    <fill>
      <patternFill patternType="solid">
        <fgColor rgb="FF003632"/>
        <bgColor indexed="64"/>
      </patternFill>
    </fill>
    <fill>
      <patternFill patternType="solid">
        <fgColor rgb="FF003633"/>
        <bgColor indexed="64"/>
      </patternFill>
    </fill>
    <fill>
      <patternFill patternType="solid">
        <fgColor rgb="FF003634"/>
        <bgColor indexed="64"/>
      </patternFill>
    </fill>
    <fill>
      <patternFill patternType="solid">
        <fgColor rgb="FF003635"/>
        <bgColor indexed="64"/>
      </patternFill>
    </fill>
    <fill>
      <patternFill patternType="solid">
        <fgColor rgb="FF003636"/>
        <bgColor indexed="64"/>
      </patternFill>
    </fill>
    <fill>
      <patternFill patternType="solid">
        <fgColor rgb="FF003637"/>
        <bgColor indexed="64"/>
      </patternFill>
    </fill>
    <fill>
      <patternFill patternType="solid">
        <fgColor rgb="FF003638"/>
        <bgColor indexed="64"/>
      </patternFill>
    </fill>
    <fill>
      <patternFill patternType="solid">
        <fgColor rgb="FF003639"/>
        <bgColor indexed="64"/>
      </patternFill>
    </fill>
    <fill>
      <patternFill patternType="solid">
        <fgColor rgb="FF00363A"/>
        <bgColor indexed="64"/>
      </patternFill>
    </fill>
    <fill>
      <patternFill patternType="solid">
        <fgColor rgb="FF00363B"/>
        <bgColor indexed="64"/>
      </patternFill>
    </fill>
    <fill>
      <patternFill patternType="solid">
        <fgColor rgb="FF00363C"/>
        <bgColor indexed="64"/>
      </patternFill>
    </fill>
    <fill>
      <patternFill patternType="solid">
        <fgColor rgb="FF00363D"/>
        <bgColor indexed="64"/>
      </patternFill>
    </fill>
    <fill>
      <patternFill patternType="solid">
        <fgColor rgb="FF00363E"/>
        <bgColor indexed="64"/>
      </patternFill>
    </fill>
    <fill>
      <patternFill patternType="solid">
        <fgColor rgb="FF00363F"/>
        <bgColor indexed="64"/>
      </patternFill>
    </fill>
    <fill>
      <patternFill patternType="solid">
        <fgColor rgb="FF003640"/>
        <bgColor indexed="64"/>
      </patternFill>
    </fill>
    <fill>
      <patternFill patternType="solid">
        <fgColor rgb="FF003641"/>
        <bgColor indexed="64"/>
      </patternFill>
    </fill>
    <fill>
      <patternFill patternType="solid">
        <fgColor rgb="FF003642"/>
        <bgColor indexed="64"/>
      </patternFill>
    </fill>
    <fill>
      <patternFill patternType="solid">
        <fgColor rgb="FF003643"/>
        <bgColor indexed="64"/>
      </patternFill>
    </fill>
    <fill>
      <patternFill patternType="solid">
        <fgColor rgb="FF003644"/>
        <bgColor indexed="64"/>
      </patternFill>
    </fill>
    <fill>
      <patternFill patternType="solid">
        <fgColor rgb="FF003645"/>
        <bgColor indexed="64"/>
      </patternFill>
    </fill>
    <fill>
      <patternFill patternType="solid">
        <fgColor rgb="FF003646"/>
        <bgColor indexed="64"/>
      </patternFill>
    </fill>
    <fill>
      <patternFill patternType="solid">
        <fgColor rgb="FF003647"/>
        <bgColor indexed="64"/>
      </patternFill>
    </fill>
    <fill>
      <patternFill patternType="solid">
        <fgColor rgb="FF003648"/>
        <bgColor indexed="64"/>
      </patternFill>
    </fill>
    <fill>
      <patternFill patternType="solid">
        <fgColor rgb="FF003649"/>
        <bgColor indexed="64"/>
      </patternFill>
    </fill>
    <fill>
      <patternFill patternType="solid">
        <fgColor rgb="FF00364A"/>
        <bgColor indexed="64"/>
      </patternFill>
    </fill>
    <fill>
      <patternFill patternType="solid">
        <fgColor rgb="FF00364B"/>
        <bgColor indexed="64"/>
      </patternFill>
    </fill>
    <fill>
      <patternFill patternType="solid">
        <fgColor rgb="FF00364C"/>
        <bgColor indexed="64"/>
      </patternFill>
    </fill>
    <fill>
      <patternFill patternType="solid">
        <fgColor rgb="FF00364D"/>
        <bgColor indexed="64"/>
      </patternFill>
    </fill>
    <fill>
      <patternFill patternType="solid">
        <fgColor rgb="FF00364E"/>
        <bgColor indexed="64"/>
      </patternFill>
    </fill>
    <fill>
      <patternFill patternType="solid">
        <fgColor rgb="FF00364F"/>
        <bgColor indexed="64"/>
      </patternFill>
    </fill>
    <fill>
      <patternFill patternType="solid">
        <fgColor rgb="FF003650"/>
        <bgColor indexed="64"/>
      </patternFill>
    </fill>
    <fill>
      <patternFill patternType="solid">
        <fgColor rgb="FF003651"/>
        <bgColor indexed="64"/>
      </patternFill>
    </fill>
    <fill>
      <patternFill patternType="solid">
        <fgColor rgb="FF003652"/>
        <bgColor indexed="64"/>
      </patternFill>
    </fill>
    <fill>
      <patternFill patternType="solid">
        <fgColor rgb="FF003653"/>
        <bgColor indexed="64"/>
      </patternFill>
    </fill>
    <fill>
      <patternFill patternType="solid">
        <fgColor rgb="FF003654"/>
        <bgColor indexed="64"/>
      </patternFill>
    </fill>
    <fill>
      <patternFill patternType="solid">
        <fgColor rgb="FF003655"/>
        <bgColor indexed="64"/>
      </patternFill>
    </fill>
    <fill>
      <patternFill patternType="solid">
        <fgColor rgb="FF003656"/>
        <bgColor indexed="64"/>
      </patternFill>
    </fill>
    <fill>
      <patternFill patternType="solid">
        <fgColor rgb="FF003657"/>
        <bgColor indexed="64"/>
      </patternFill>
    </fill>
    <fill>
      <patternFill patternType="solid">
        <fgColor rgb="FF003658"/>
        <bgColor indexed="64"/>
      </patternFill>
    </fill>
    <fill>
      <patternFill patternType="solid">
        <fgColor rgb="FF003659"/>
        <bgColor indexed="64"/>
      </patternFill>
    </fill>
    <fill>
      <patternFill patternType="solid">
        <fgColor rgb="FF00365A"/>
        <bgColor indexed="64"/>
      </patternFill>
    </fill>
    <fill>
      <patternFill patternType="solid">
        <fgColor rgb="FF00365B"/>
        <bgColor indexed="64"/>
      </patternFill>
    </fill>
    <fill>
      <patternFill patternType="solid">
        <fgColor rgb="FF00365C"/>
        <bgColor indexed="64"/>
      </patternFill>
    </fill>
    <fill>
      <patternFill patternType="solid">
        <fgColor rgb="FF00365D"/>
        <bgColor indexed="64"/>
      </patternFill>
    </fill>
    <fill>
      <patternFill patternType="solid">
        <fgColor rgb="FF00365E"/>
        <bgColor indexed="64"/>
      </patternFill>
    </fill>
    <fill>
      <patternFill patternType="solid">
        <fgColor rgb="FF00365F"/>
        <bgColor indexed="64"/>
      </patternFill>
    </fill>
    <fill>
      <patternFill patternType="solid">
        <fgColor rgb="FF003660"/>
        <bgColor indexed="64"/>
      </patternFill>
    </fill>
    <fill>
      <patternFill patternType="solid">
        <fgColor rgb="FF003661"/>
        <bgColor indexed="64"/>
      </patternFill>
    </fill>
    <fill>
      <patternFill patternType="solid">
        <fgColor rgb="FF003662"/>
        <bgColor indexed="64"/>
      </patternFill>
    </fill>
    <fill>
      <patternFill patternType="solid">
        <fgColor rgb="FF003663"/>
        <bgColor indexed="64"/>
      </patternFill>
    </fill>
    <fill>
      <patternFill patternType="solid">
        <fgColor rgb="FF003664"/>
        <bgColor indexed="64"/>
      </patternFill>
    </fill>
    <fill>
      <patternFill patternType="solid">
        <fgColor rgb="FF003665"/>
        <bgColor indexed="64"/>
      </patternFill>
    </fill>
    <fill>
      <patternFill patternType="solid">
        <fgColor rgb="FF003666"/>
        <bgColor indexed="64"/>
      </patternFill>
    </fill>
    <fill>
      <patternFill patternType="solid">
        <fgColor rgb="FF003667"/>
        <bgColor indexed="64"/>
      </patternFill>
    </fill>
    <fill>
      <patternFill patternType="solid">
        <fgColor rgb="FF003668"/>
        <bgColor indexed="64"/>
      </patternFill>
    </fill>
    <fill>
      <patternFill patternType="solid">
        <fgColor rgb="FF003669"/>
        <bgColor indexed="64"/>
      </patternFill>
    </fill>
    <fill>
      <patternFill patternType="solid">
        <fgColor rgb="FF00366A"/>
        <bgColor indexed="64"/>
      </patternFill>
    </fill>
    <fill>
      <patternFill patternType="solid">
        <fgColor rgb="FF00366B"/>
        <bgColor indexed="64"/>
      </patternFill>
    </fill>
    <fill>
      <patternFill patternType="solid">
        <fgColor rgb="FF00366C"/>
        <bgColor indexed="64"/>
      </patternFill>
    </fill>
    <fill>
      <patternFill patternType="solid">
        <fgColor rgb="FF00366D"/>
        <bgColor indexed="64"/>
      </patternFill>
    </fill>
    <fill>
      <patternFill patternType="solid">
        <fgColor rgb="FF00366E"/>
        <bgColor indexed="64"/>
      </patternFill>
    </fill>
    <fill>
      <patternFill patternType="solid">
        <fgColor rgb="FF00366F"/>
        <bgColor indexed="64"/>
      </patternFill>
    </fill>
    <fill>
      <patternFill patternType="solid">
        <fgColor rgb="FF003670"/>
        <bgColor indexed="64"/>
      </patternFill>
    </fill>
    <fill>
      <patternFill patternType="solid">
        <fgColor rgb="FF003671"/>
        <bgColor indexed="64"/>
      </patternFill>
    </fill>
    <fill>
      <patternFill patternType="solid">
        <fgColor rgb="FF003672"/>
        <bgColor indexed="64"/>
      </patternFill>
    </fill>
    <fill>
      <patternFill patternType="solid">
        <fgColor rgb="FF003673"/>
        <bgColor indexed="64"/>
      </patternFill>
    </fill>
    <fill>
      <patternFill patternType="solid">
        <fgColor rgb="FF003674"/>
        <bgColor indexed="64"/>
      </patternFill>
    </fill>
    <fill>
      <patternFill patternType="solid">
        <fgColor rgb="FF003675"/>
        <bgColor indexed="64"/>
      </patternFill>
    </fill>
    <fill>
      <patternFill patternType="solid">
        <fgColor rgb="FF003676"/>
        <bgColor indexed="64"/>
      </patternFill>
    </fill>
    <fill>
      <patternFill patternType="solid">
        <fgColor rgb="FF003677"/>
        <bgColor indexed="64"/>
      </patternFill>
    </fill>
    <fill>
      <patternFill patternType="solid">
        <fgColor rgb="FF003678"/>
        <bgColor indexed="64"/>
      </patternFill>
    </fill>
    <fill>
      <patternFill patternType="solid">
        <fgColor rgb="FF003679"/>
        <bgColor indexed="64"/>
      </patternFill>
    </fill>
    <fill>
      <patternFill patternType="solid">
        <fgColor rgb="FF00367A"/>
        <bgColor indexed="64"/>
      </patternFill>
    </fill>
    <fill>
      <patternFill patternType="solid">
        <fgColor rgb="FF00367B"/>
        <bgColor indexed="64"/>
      </patternFill>
    </fill>
    <fill>
      <patternFill patternType="solid">
        <fgColor rgb="FF00367C"/>
        <bgColor indexed="64"/>
      </patternFill>
    </fill>
    <fill>
      <patternFill patternType="solid">
        <fgColor rgb="FF00367D"/>
        <bgColor indexed="64"/>
      </patternFill>
    </fill>
    <fill>
      <patternFill patternType="solid">
        <fgColor rgb="FF00367E"/>
        <bgColor indexed="64"/>
      </patternFill>
    </fill>
    <fill>
      <patternFill patternType="solid">
        <fgColor rgb="FF00367F"/>
        <bgColor indexed="64"/>
      </patternFill>
    </fill>
    <fill>
      <patternFill patternType="solid">
        <fgColor rgb="FF003680"/>
        <bgColor indexed="64"/>
      </patternFill>
    </fill>
    <fill>
      <patternFill patternType="solid">
        <fgColor rgb="FF003681"/>
        <bgColor indexed="64"/>
      </patternFill>
    </fill>
    <fill>
      <patternFill patternType="solid">
        <fgColor rgb="FF003682"/>
        <bgColor indexed="64"/>
      </patternFill>
    </fill>
    <fill>
      <patternFill patternType="solid">
        <fgColor rgb="FF003683"/>
        <bgColor indexed="64"/>
      </patternFill>
    </fill>
    <fill>
      <patternFill patternType="solid">
        <fgColor rgb="FF003684"/>
        <bgColor indexed="64"/>
      </patternFill>
    </fill>
    <fill>
      <patternFill patternType="solid">
        <fgColor rgb="FF003685"/>
        <bgColor indexed="64"/>
      </patternFill>
    </fill>
    <fill>
      <patternFill patternType="solid">
        <fgColor rgb="FF003686"/>
        <bgColor indexed="64"/>
      </patternFill>
    </fill>
    <fill>
      <patternFill patternType="solid">
        <fgColor rgb="FF003687"/>
        <bgColor indexed="64"/>
      </patternFill>
    </fill>
    <fill>
      <patternFill patternType="solid">
        <fgColor rgb="FF003688"/>
        <bgColor indexed="64"/>
      </patternFill>
    </fill>
    <fill>
      <patternFill patternType="solid">
        <fgColor rgb="FF003689"/>
        <bgColor indexed="64"/>
      </patternFill>
    </fill>
    <fill>
      <patternFill patternType="solid">
        <fgColor rgb="FF00368A"/>
        <bgColor indexed="64"/>
      </patternFill>
    </fill>
    <fill>
      <patternFill patternType="solid">
        <fgColor rgb="FF00368B"/>
        <bgColor indexed="64"/>
      </patternFill>
    </fill>
    <fill>
      <patternFill patternType="solid">
        <fgColor rgb="FF00368C"/>
        <bgColor indexed="64"/>
      </patternFill>
    </fill>
    <fill>
      <patternFill patternType="solid">
        <fgColor rgb="FF00368D"/>
        <bgColor indexed="64"/>
      </patternFill>
    </fill>
    <fill>
      <patternFill patternType="solid">
        <fgColor rgb="FF00368E"/>
        <bgColor indexed="64"/>
      </patternFill>
    </fill>
    <fill>
      <patternFill patternType="solid">
        <fgColor rgb="FF00368F"/>
        <bgColor indexed="64"/>
      </patternFill>
    </fill>
    <fill>
      <patternFill patternType="solid">
        <fgColor rgb="FF003690"/>
        <bgColor indexed="64"/>
      </patternFill>
    </fill>
    <fill>
      <patternFill patternType="solid">
        <fgColor rgb="FF003691"/>
        <bgColor indexed="64"/>
      </patternFill>
    </fill>
    <fill>
      <patternFill patternType="solid">
        <fgColor rgb="FF003692"/>
        <bgColor indexed="64"/>
      </patternFill>
    </fill>
    <fill>
      <patternFill patternType="solid">
        <fgColor rgb="FF003693"/>
        <bgColor indexed="64"/>
      </patternFill>
    </fill>
    <fill>
      <patternFill patternType="solid">
        <fgColor rgb="FF003694"/>
        <bgColor indexed="64"/>
      </patternFill>
    </fill>
    <fill>
      <patternFill patternType="solid">
        <fgColor rgb="FF003695"/>
        <bgColor indexed="64"/>
      </patternFill>
    </fill>
    <fill>
      <patternFill patternType="solid">
        <fgColor rgb="FF003696"/>
        <bgColor indexed="64"/>
      </patternFill>
    </fill>
    <fill>
      <patternFill patternType="solid">
        <fgColor rgb="FF003697"/>
        <bgColor indexed="64"/>
      </patternFill>
    </fill>
    <fill>
      <patternFill patternType="solid">
        <fgColor rgb="FF003698"/>
        <bgColor indexed="64"/>
      </patternFill>
    </fill>
    <fill>
      <patternFill patternType="solid">
        <fgColor rgb="FF003699"/>
        <bgColor indexed="64"/>
      </patternFill>
    </fill>
    <fill>
      <patternFill patternType="solid">
        <fgColor rgb="FF00369A"/>
        <bgColor indexed="64"/>
      </patternFill>
    </fill>
    <fill>
      <patternFill patternType="solid">
        <fgColor rgb="FF00369B"/>
        <bgColor indexed="64"/>
      </patternFill>
    </fill>
    <fill>
      <patternFill patternType="solid">
        <fgColor rgb="FF00369C"/>
        <bgColor indexed="64"/>
      </patternFill>
    </fill>
    <fill>
      <patternFill patternType="solid">
        <fgColor rgb="FF00369D"/>
        <bgColor indexed="64"/>
      </patternFill>
    </fill>
    <fill>
      <patternFill patternType="solid">
        <fgColor rgb="FF00369E"/>
        <bgColor indexed="64"/>
      </patternFill>
    </fill>
    <fill>
      <patternFill patternType="solid">
        <fgColor rgb="FF00369F"/>
        <bgColor indexed="64"/>
      </patternFill>
    </fill>
    <fill>
      <patternFill patternType="solid">
        <fgColor rgb="FF0036A0"/>
        <bgColor indexed="64"/>
      </patternFill>
    </fill>
    <fill>
      <patternFill patternType="solid">
        <fgColor rgb="FF0036A1"/>
        <bgColor indexed="64"/>
      </patternFill>
    </fill>
    <fill>
      <patternFill patternType="solid">
        <fgColor rgb="FF0036A2"/>
        <bgColor indexed="64"/>
      </patternFill>
    </fill>
    <fill>
      <patternFill patternType="solid">
        <fgColor rgb="FF0036A3"/>
        <bgColor indexed="64"/>
      </patternFill>
    </fill>
    <fill>
      <patternFill patternType="solid">
        <fgColor rgb="FF0036A4"/>
        <bgColor indexed="64"/>
      </patternFill>
    </fill>
    <fill>
      <patternFill patternType="solid">
        <fgColor rgb="FF0036A5"/>
        <bgColor indexed="64"/>
      </patternFill>
    </fill>
    <fill>
      <patternFill patternType="solid">
        <fgColor rgb="FF0036A6"/>
        <bgColor indexed="64"/>
      </patternFill>
    </fill>
    <fill>
      <patternFill patternType="solid">
        <fgColor rgb="FF0036A7"/>
        <bgColor indexed="64"/>
      </patternFill>
    </fill>
    <fill>
      <patternFill patternType="solid">
        <fgColor rgb="FF0036A8"/>
        <bgColor indexed="64"/>
      </patternFill>
    </fill>
    <fill>
      <patternFill patternType="solid">
        <fgColor rgb="FF0036A9"/>
        <bgColor indexed="64"/>
      </patternFill>
    </fill>
    <fill>
      <patternFill patternType="solid">
        <fgColor rgb="FF0036AA"/>
        <bgColor indexed="64"/>
      </patternFill>
    </fill>
    <fill>
      <patternFill patternType="solid">
        <fgColor rgb="FF0036AB"/>
        <bgColor indexed="64"/>
      </patternFill>
    </fill>
    <fill>
      <patternFill patternType="solid">
        <fgColor rgb="FF0036AC"/>
        <bgColor indexed="64"/>
      </patternFill>
    </fill>
    <fill>
      <patternFill patternType="solid">
        <fgColor rgb="FF0036AD"/>
        <bgColor indexed="64"/>
      </patternFill>
    </fill>
    <fill>
      <patternFill patternType="solid">
        <fgColor rgb="FF0036AE"/>
        <bgColor indexed="64"/>
      </patternFill>
    </fill>
    <fill>
      <patternFill patternType="solid">
        <fgColor rgb="FF0036AF"/>
        <bgColor indexed="64"/>
      </patternFill>
    </fill>
    <fill>
      <patternFill patternType="solid">
        <fgColor rgb="FF0036B0"/>
        <bgColor indexed="64"/>
      </patternFill>
    </fill>
    <fill>
      <patternFill patternType="solid">
        <fgColor rgb="FF0036B1"/>
        <bgColor indexed="64"/>
      </patternFill>
    </fill>
    <fill>
      <patternFill patternType="solid">
        <fgColor rgb="FF0036B2"/>
        <bgColor indexed="64"/>
      </patternFill>
    </fill>
    <fill>
      <patternFill patternType="solid">
        <fgColor rgb="FF0036B3"/>
        <bgColor indexed="64"/>
      </patternFill>
    </fill>
    <fill>
      <patternFill patternType="solid">
        <fgColor rgb="FF0036B4"/>
        <bgColor indexed="64"/>
      </patternFill>
    </fill>
    <fill>
      <patternFill patternType="solid">
        <fgColor rgb="FF0036B5"/>
        <bgColor indexed="64"/>
      </patternFill>
    </fill>
    <fill>
      <patternFill patternType="solid">
        <fgColor rgb="FF0036B6"/>
        <bgColor indexed="64"/>
      </patternFill>
    </fill>
    <fill>
      <patternFill patternType="solid">
        <fgColor rgb="FF0036B7"/>
        <bgColor indexed="64"/>
      </patternFill>
    </fill>
    <fill>
      <patternFill patternType="solid">
        <fgColor rgb="FF0036B8"/>
        <bgColor indexed="64"/>
      </patternFill>
    </fill>
    <fill>
      <patternFill patternType="solid">
        <fgColor rgb="FF0036B9"/>
        <bgColor indexed="64"/>
      </patternFill>
    </fill>
    <fill>
      <patternFill patternType="solid">
        <fgColor rgb="FF0036BA"/>
        <bgColor indexed="64"/>
      </patternFill>
    </fill>
    <fill>
      <patternFill patternType="solid">
        <fgColor rgb="FF0036BB"/>
        <bgColor indexed="64"/>
      </patternFill>
    </fill>
    <fill>
      <patternFill patternType="solid">
        <fgColor rgb="FF0036BC"/>
        <bgColor indexed="64"/>
      </patternFill>
    </fill>
    <fill>
      <patternFill patternType="solid">
        <fgColor rgb="FF0036BD"/>
        <bgColor indexed="64"/>
      </patternFill>
    </fill>
    <fill>
      <patternFill patternType="solid">
        <fgColor rgb="FF0036BE"/>
        <bgColor indexed="64"/>
      </patternFill>
    </fill>
    <fill>
      <patternFill patternType="solid">
        <fgColor rgb="FF0036BF"/>
        <bgColor indexed="64"/>
      </patternFill>
    </fill>
    <fill>
      <patternFill patternType="solid">
        <fgColor rgb="FF0036C0"/>
        <bgColor indexed="64"/>
      </patternFill>
    </fill>
    <fill>
      <patternFill patternType="solid">
        <fgColor rgb="FF0036C1"/>
        <bgColor indexed="64"/>
      </patternFill>
    </fill>
    <fill>
      <patternFill patternType="solid">
        <fgColor rgb="FF0036C2"/>
        <bgColor indexed="64"/>
      </patternFill>
    </fill>
    <fill>
      <patternFill patternType="solid">
        <fgColor rgb="FF0036C3"/>
        <bgColor indexed="64"/>
      </patternFill>
    </fill>
    <fill>
      <patternFill patternType="solid">
        <fgColor rgb="FF0036C4"/>
        <bgColor indexed="64"/>
      </patternFill>
    </fill>
    <fill>
      <patternFill patternType="solid">
        <fgColor rgb="FF0036C5"/>
        <bgColor indexed="64"/>
      </patternFill>
    </fill>
    <fill>
      <patternFill patternType="solid">
        <fgColor rgb="FF0036C6"/>
        <bgColor indexed="64"/>
      </patternFill>
    </fill>
    <fill>
      <patternFill patternType="solid">
        <fgColor rgb="FF0036C7"/>
        <bgColor indexed="64"/>
      </patternFill>
    </fill>
    <fill>
      <patternFill patternType="solid">
        <fgColor rgb="FF0036C8"/>
        <bgColor indexed="64"/>
      </patternFill>
    </fill>
    <fill>
      <patternFill patternType="solid">
        <fgColor rgb="FF0036C9"/>
        <bgColor indexed="64"/>
      </patternFill>
    </fill>
    <fill>
      <patternFill patternType="solid">
        <fgColor rgb="FF0036CA"/>
        <bgColor indexed="64"/>
      </patternFill>
    </fill>
    <fill>
      <patternFill patternType="solid">
        <fgColor rgb="FF0036CB"/>
        <bgColor indexed="64"/>
      </patternFill>
    </fill>
    <fill>
      <patternFill patternType="solid">
        <fgColor rgb="FF0036CC"/>
        <bgColor indexed="64"/>
      </patternFill>
    </fill>
    <fill>
      <patternFill patternType="solid">
        <fgColor rgb="FF0036CD"/>
        <bgColor indexed="64"/>
      </patternFill>
    </fill>
    <fill>
      <patternFill patternType="solid">
        <fgColor rgb="FF0036CE"/>
        <bgColor indexed="64"/>
      </patternFill>
    </fill>
    <fill>
      <patternFill patternType="solid">
        <fgColor rgb="FF0036CF"/>
        <bgColor indexed="64"/>
      </patternFill>
    </fill>
    <fill>
      <patternFill patternType="solid">
        <fgColor rgb="FF0036D0"/>
        <bgColor indexed="64"/>
      </patternFill>
    </fill>
    <fill>
      <patternFill patternType="solid">
        <fgColor rgb="FF0036D1"/>
        <bgColor indexed="64"/>
      </patternFill>
    </fill>
    <fill>
      <patternFill patternType="solid">
        <fgColor rgb="FF0036D2"/>
        <bgColor indexed="64"/>
      </patternFill>
    </fill>
    <fill>
      <patternFill patternType="solid">
        <fgColor rgb="FF0036D3"/>
        <bgColor indexed="64"/>
      </patternFill>
    </fill>
    <fill>
      <patternFill patternType="solid">
        <fgColor rgb="FF0036D4"/>
        <bgColor indexed="64"/>
      </patternFill>
    </fill>
    <fill>
      <patternFill patternType="solid">
        <fgColor rgb="FF0036D5"/>
        <bgColor indexed="64"/>
      </patternFill>
    </fill>
    <fill>
      <patternFill patternType="solid">
        <fgColor rgb="FF0036D6"/>
        <bgColor indexed="64"/>
      </patternFill>
    </fill>
    <fill>
      <patternFill patternType="solid">
        <fgColor rgb="FF0036D7"/>
        <bgColor indexed="64"/>
      </patternFill>
    </fill>
    <fill>
      <patternFill patternType="solid">
        <fgColor rgb="FF0036D8"/>
        <bgColor indexed="64"/>
      </patternFill>
    </fill>
    <fill>
      <patternFill patternType="solid">
        <fgColor rgb="FF0036D9"/>
        <bgColor indexed="64"/>
      </patternFill>
    </fill>
    <fill>
      <patternFill patternType="solid">
        <fgColor rgb="FF0036DA"/>
        <bgColor indexed="64"/>
      </patternFill>
    </fill>
    <fill>
      <patternFill patternType="solid">
        <fgColor rgb="FF0036DB"/>
        <bgColor indexed="64"/>
      </patternFill>
    </fill>
    <fill>
      <patternFill patternType="solid">
        <fgColor rgb="FF0036DC"/>
        <bgColor indexed="64"/>
      </patternFill>
    </fill>
    <fill>
      <patternFill patternType="solid">
        <fgColor rgb="FF0036DD"/>
        <bgColor indexed="64"/>
      </patternFill>
    </fill>
    <fill>
      <patternFill patternType="solid">
        <fgColor rgb="FF0036DE"/>
        <bgColor indexed="64"/>
      </patternFill>
    </fill>
    <fill>
      <patternFill patternType="solid">
        <fgColor rgb="FF0036DF"/>
        <bgColor indexed="64"/>
      </patternFill>
    </fill>
    <fill>
      <patternFill patternType="solid">
        <fgColor rgb="FF0036E0"/>
        <bgColor indexed="64"/>
      </patternFill>
    </fill>
    <fill>
      <patternFill patternType="solid">
        <fgColor rgb="FF0036E1"/>
        <bgColor indexed="64"/>
      </patternFill>
    </fill>
    <fill>
      <patternFill patternType="solid">
        <fgColor rgb="FF0036E2"/>
        <bgColor indexed="64"/>
      </patternFill>
    </fill>
    <fill>
      <patternFill patternType="solid">
        <fgColor rgb="FF0036E3"/>
        <bgColor indexed="64"/>
      </patternFill>
    </fill>
    <fill>
      <patternFill patternType="solid">
        <fgColor rgb="FF0036E4"/>
        <bgColor indexed="64"/>
      </patternFill>
    </fill>
    <fill>
      <patternFill patternType="solid">
        <fgColor rgb="FF0036E5"/>
        <bgColor indexed="64"/>
      </patternFill>
    </fill>
    <fill>
      <patternFill patternType="solid">
        <fgColor rgb="FF0036E6"/>
        <bgColor indexed="64"/>
      </patternFill>
    </fill>
    <fill>
      <patternFill patternType="solid">
        <fgColor rgb="FF0036E7"/>
        <bgColor indexed="64"/>
      </patternFill>
    </fill>
    <fill>
      <patternFill patternType="solid">
        <fgColor rgb="FF0036E8"/>
        <bgColor indexed="64"/>
      </patternFill>
    </fill>
    <fill>
      <patternFill patternType="solid">
        <fgColor rgb="FF0036E9"/>
        <bgColor indexed="64"/>
      </patternFill>
    </fill>
    <fill>
      <patternFill patternType="solid">
        <fgColor rgb="FF0036EA"/>
        <bgColor indexed="64"/>
      </patternFill>
    </fill>
    <fill>
      <patternFill patternType="solid">
        <fgColor rgb="FF0036EB"/>
        <bgColor indexed="64"/>
      </patternFill>
    </fill>
    <fill>
      <patternFill patternType="solid">
        <fgColor rgb="FF0036EC"/>
        <bgColor indexed="64"/>
      </patternFill>
    </fill>
    <fill>
      <patternFill patternType="solid">
        <fgColor rgb="FF0036ED"/>
        <bgColor indexed="64"/>
      </patternFill>
    </fill>
    <fill>
      <patternFill patternType="solid">
        <fgColor rgb="FF0036EE"/>
        <bgColor indexed="64"/>
      </patternFill>
    </fill>
    <fill>
      <patternFill patternType="solid">
        <fgColor rgb="FF0036EF"/>
        <bgColor indexed="64"/>
      </patternFill>
    </fill>
    <fill>
      <patternFill patternType="solid">
        <fgColor rgb="FF0036F0"/>
        <bgColor indexed="64"/>
      </patternFill>
    </fill>
    <fill>
      <patternFill patternType="solid">
        <fgColor rgb="FF0036F1"/>
        <bgColor indexed="64"/>
      </patternFill>
    </fill>
    <fill>
      <patternFill patternType="solid">
        <fgColor rgb="FF0036F2"/>
        <bgColor indexed="64"/>
      </patternFill>
    </fill>
    <fill>
      <patternFill patternType="solid">
        <fgColor rgb="FF0036F3"/>
        <bgColor indexed="64"/>
      </patternFill>
    </fill>
    <fill>
      <patternFill patternType="solid">
        <fgColor rgb="FF0036F4"/>
        <bgColor indexed="64"/>
      </patternFill>
    </fill>
    <fill>
      <patternFill patternType="solid">
        <fgColor rgb="FF0036F5"/>
        <bgColor indexed="64"/>
      </patternFill>
    </fill>
    <fill>
      <patternFill patternType="solid">
        <fgColor rgb="FF0036F6"/>
        <bgColor indexed="64"/>
      </patternFill>
    </fill>
    <fill>
      <patternFill patternType="solid">
        <fgColor rgb="FF0036F7"/>
        <bgColor indexed="64"/>
      </patternFill>
    </fill>
    <fill>
      <patternFill patternType="solid">
        <fgColor rgb="FF0036F8"/>
        <bgColor indexed="64"/>
      </patternFill>
    </fill>
    <fill>
      <patternFill patternType="solid">
        <fgColor rgb="FF0036F9"/>
        <bgColor indexed="64"/>
      </patternFill>
    </fill>
    <fill>
      <patternFill patternType="solid">
        <fgColor rgb="FF0036FA"/>
        <bgColor indexed="64"/>
      </patternFill>
    </fill>
    <fill>
      <patternFill patternType="solid">
        <fgColor rgb="FF0036FB"/>
        <bgColor indexed="64"/>
      </patternFill>
    </fill>
    <fill>
      <patternFill patternType="solid">
        <fgColor rgb="FF0036FC"/>
        <bgColor indexed="64"/>
      </patternFill>
    </fill>
    <fill>
      <patternFill patternType="solid">
        <fgColor rgb="FF0036FD"/>
        <bgColor indexed="64"/>
      </patternFill>
    </fill>
    <fill>
      <patternFill patternType="solid">
        <fgColor rgb="FF0036FE"/>
        <bgColor indexed="64"/>
      </patternFill>
    </fill>
    <fill>
      <patternFill patternType="solid">
        <fgColor rgb="FF0036FF"/>
        <bgColor indexed="64"/>
      </patternFill>
    </fill>
    <fill>
      <patternFill patternType="solid">
        <fgColor rgb="FF003700"/>
        <bgColor indexed="64"/>
      </patternFill>
    </fill>
    <fill>
      <patternFill patternType="solid">
        <fgColor rgb="FF003701"/>
        <bgColor indexed="64"/>
      </patternFill>
    </fill>
    <fill>
      <patternFill patternType="solid">
        <fgColor rgb="FF003702"/>
        <bgColor indexed="64"/>
      </patternFill>
    </fill>
    <fill>
      <patternFill patternType="solid">
        <fgColor rgb="FF003703"/>
        <bgColor indexed="64"/>
      </patternFill>
    </fill>
    <fill>
      <patternFill patternType="solid">
        <fgColor rgb="FF003704"/>
        <bgColor indexed="64"/>
      </patternFill>
    </fill>
    <fill>
      <patternFill patternType="solid">
        <fgColor rgb="FF003705"/>
        <bgColor indexed="64"/>
      </patternFill>
    </fill>
    <fill>
      <patternFill patternType="solid">
        <fgColor rgb="FF003706"/>
        <bgColor indexed="64"/>
      </patternFill>
    </fill>
    <fill>
      <patternFill patternType="solid">
        <fgColor rgb="FF003707"/>
        <bgColor indexed="64"/>
      </patternFill>
    </fill>
    <fill>
      <patternFill patternType="solid">
        <fgColor rgb="FF003708"/>
        <bgColor indexed="64"/>
      </patternFill>
    </fill>
    <fill>
      <patternFill patternType="solid">
        <fgColor rgb="FF003709"/>
        <bgColor indexed="64"/>
      </patternFill>
    </fill>
    <fill>
      <patternFill patternType="solid">
        <fgColor rgb="FF00370A"/>
        <bgColor indexed="64"/>
      </patternFill>
    </fill>
    <fill>
      <patternFill patternType="solid">
        <fgColor rgb="FF00370B"/>
        <bgColor indexed="64"/>
      </patternFill>
    </fill>
    <fill>
      <patternFill patternType="solid">
        <fgColor rgb="FF00370C"/>
        <bgColor indexed="64"/>
      </patternFill>
    </fill>
    <fill>
      <patternFill patternType="solid">
        <fgColor rgb="FF00370D"/>
        <bgColor indexed="64"/>
      </patternFill>
    </fill>
    <fill>
      <patternFill patternType="solid">
        <fgColor rgb="FF00370E"/>
        <bgColor indexed="64"/>
      </patternFill>
    </fill>
    <fill>
      <patternFill patternType="solid">
        <fgColor rgb="FF00370F"/>
        <bgColor indexed="64"/>
      </patternFill>
    </fill>
    <fill>
      <patternFill patternType="solid">
        <fgColor rgb="FF003710"/>
        <bgColor indexed="64"/>
      </patternFill>
    </fill>
    <fill>
      <patternFill patternType="solid">
        <fgColor rgb="FF003711"/>
        <bgColor indexed="64"/>
      </patternFill>
    </fill>
    <fill>
      <patternFill patternType="solid">
        <fgColor rgb="FF003712"/>
        <bgColor indexed="64"/>
      </patternFill>
    </fill>
    <fill>
      <patternFill patternType="solid">
        <fgColor rgb="FF003713"/>
        <bgColor indexed="64"/>
      </patternFill>
    </fill>
    <fill>
      <patternFill patternType="solid">
        <fgColor rgb="FF003714"/>
        <bgColor indexed="64"/>
      </patternFill>
    </fill>
    <fill>
      <patternFill patternType="solid">
        <fgColor rgb="FF003715"/>
        <bgColor indexed="64"/>
      </patternFill>
    </fill>
    <fill>
      <patternFill patternType="solid">
        <fgColor rgb="FF003716"/>
        <bgColor indexed="64"/>
      </patternFill>
    </fill>
    <fill>
      <patternFill patternType="solid">
        <fgColor rgb="FF003717"/>
        <bgColor indexed="64"/>
      </patternFill>
    </fill>
    <fill>
      <patternFill patternType="solid">
        <fgColor rgb="FF003718"/>
        <bgColor indexed="64"/>
      </patternFill>
    </fill>
    <fill>
      <patternFill patternType="solid">
        <fgColor rgb="FF003719"/>
        <bgColor indexed="64"/>
      </patternFill>
    </fill>
    <fill>
      <patternFill patternType="solid">
        <fgColor rgb="FF00371A"/>
        <bgColor indexed="64"/>
      </patternFill>
    </fill>
    <fill>
      <patternFill patternType="solid">
        <fgColor rgb="FF00371B"/>
        <bgColor indexed="64"/>
      </patternFill>
    </fill>
    <fill>
      <patternFill patternType="solid">
        <fgColor rgb="FF00371C"/>
        <bgColor indexed="64"/>
      </patternFill>
    </fill>
    <fill>
      <patternFill patternType="solid">
        <fgColor rgb="FF00371D"/>
        <bgColor indexed="64"/>
      </patternFill>
    </fill>
    <fill>
      <patternFill patternType="solid">
        <fgColor rgb="FF00371E"/>
        <bgColor indexed="64"/>
      </patternFill>
    </fill>
    <fill>
      <patternFill patternType="solid">
        <fgColor rgb="FF00371F"/>
        <bgColor indexed="64"/>
      </patternFill>
    </fill>
    <fill>
      <patternFill patternType="solid">
        <fgColor rgb="FF003720"/>
        <bgColor indexed="64"/>
      </patternFill>
    </fill>
    <fill>
      <patternFill patternType="solid">
        <fgColor rgb="FF003721"/>
        <bgColor indexed="64"/>
      </patternFill>
    </fill>
    <fill>
      <patternFill patternType="solid">
        <fgColor rgb="FF003722"/>
        <bgColor indexed="64"/>
      </patternFill>
    </fill>
    <fill>
      <patternFill patternType="solid">
        <fgColor rgb="FF003723"/>
        <bgColor indexed="64"/>
      </patternFill>
    </fill>
    <fill>
      <patternFill patternType="solid">
        <fgColor rgb="FF003724"/>
        <bgColor indexed="64"/>
      </patternFill>
    </fill>
    <fill>
      <patternFill patternType="solid">
        <fgColor rgb="FF003725"/>
        <bgColor indexed="64"/>
      </patternFill>
    </fill>
    <fill>
      <patternFill patternType="solid">
        <fgColor rgb="FF003726"/>
        <bgColor indexed="64"/>
      </patternFill>
    </fill>
    <fill>
      <patternFill patternType="solid">
        <fgColor rgb="FF003727"/>
        <bgColor indexed="64"/>
      </patternFill>
    </fill>
    <fill>
      <patternFill patternType="solid">
        <fgColor rgb="FF003728"/>
        <bgColor indexed="64"/>
      </patternFill>
    </fill>
    <fill>
      <patternFill patternType="solid">
        <fgColor rgb="FF003729"/>
        <bgColor indexed="64"/>
      </patternFill>
    </fill>
    <fill>
      <patternFill patternType="solid">
        <fgColor rgb="FF00372A"/>
        <bgColor indexed="64"/>
      </patternFill>
    </fill>
    <fill>
      <patternFill patternType="solid">
        <fgColor rgb="FF00372B"/>
        <bgColor indexed="64"/>
      </patternFill>
    </fill>
    <fill>
      <patternFill patternType="solid">
        <fgColor rgb="FF00372C"/>
        <bgColor indexed="64"/>
      </patternFill>
    </fill>
    <fill>
      <patternFill patternType="solid">
        <fgColor rgb="FF00372D"/>
        <bgColor indexed="64"/>
      </patternFill>
    </fill>
    <fill>
      <patternFill patternType="solid">
        <fgColor rgb="FF00372E"/>
        <bgColor indexed="64"/>
      </patternFill>
    </fill>
    <fill>
      <patternFill patternType="solid">
        <fgColor rgb="FF00372F"/>
        <bgColor indexed="64"/>
      </patternFill>
    </fill>
    <fill>
      <patternFill patternType="solid">
        <fgColor rgb="FF003730"/>
        <bgColor indexed="64"/>
      </patternFill>
    </fill>
    <fill>
      <patternFill patternType="solid">
        <fgColor rgb="FF003731"/>
        <bgColor indexed="64"/>
      </patternFill>
    </fill>
    <fill>
      <patternFill patternType="solid">
        <fgColor rgb="FF003732"/>
        <bgColor indexed="64"/>
      </patternFill>
    </fill>
    <fill>
      <patternFill patternType="solid">
        <fgColor rgb="FF003733"/>
        <bgColor indexed="64"/>
      </patternFill>
    </fill>
    <fill>
      <patternFill patternType="solid">
        <fgColor rgb="FF003734"/>
        <bgColor indexed="64"/>
      </patternFill>
    </fill>
    <fill>
      <patternFill patternType="solid">
        <fgColor rgb="FF003735"/>
        <bgColor indexed="64"/>
      </patternFill>
    </fill>
    <fill>
      <patternFill patternType="solid">
        <fgColor rgb="FF003736"/>
        <bgColor indexed="64"/>
      </patternFill>
    </fill>
    <fill>
      <patternFill patternType="solid">
        <fgColor rgb="FF003737"/>
        <bgColor indexed="64"/>
      </patternFill>
    </fill>
    <fill>
      <patternFill patternType="solid">
        <fgColor rgb="FF003738"/>
        <bgColor indexed="64"/>
      </patternFill>
    </fill>
    <fill>
      <patternFill patternType="solid">
        <fgColor rgb="FF003739"/>
        <bgColor indexed="64"/>
      </patternFill>
    </fill>
    <fill>
      <patternFill patternType="solid">
        <fgColor rgb="FF00373A"/>
        <bgColor indexed="64"/>
      </patternFill>
    </fill>
    <fill>
      <patternFill patternType="solid">
        <fgColor rgb="FF00373B"/>
        <bgColor indexed="64"/>
      </patternFill>
    </fill>
    <fill>
      <patternFill patternType="solid">
        <fgColor rgb="FF00373C"/>
        <bgColor indexed="64"/>
      </patternFill>
    </fill>
    <fill>
      <patternFill patternType="solid">
        <fgColor rgb="FF00373D"/>
        <bgColor indexed="64"/>
      </patternFill>
    </fill>
    <fill>
      <patternFill patternType="solid">
        <fgColor rgb="FF00373E"/>
        <bgColor indexed="64"/>
      </patternFill>
    </fill>
    <fill>
      <patternFill patternType="solid">
        <fgColor rgb="FF00373F"/>
        <bgColor indexed="64"/>
      </patternFill>
    </fill>
    <fill>
      <patternFill patternType="solid">
        <fgColor rgb="FF003740"/>
        <bgColor indexed="64"/>
      </patternFill>
    </fill>
    <fill>
      <patternFill patternType="solid">
        <fgColor rgb="FF003741"/>
        <bgColor indexed="64"/>
      </patternFill>
    </fill>
    <fill>
      <patternFill patternType="solid">
        <fgColor rgb="FF003742"/>
        <bgColor indexed="64"/>
      </patternFill>
    </fill>
    <fill>
      <patternFill patternType="solid">
        <fgColor rgb="FF003743"/>
        <bgColor indexed="64"/>
      </patternFill>
    </fill>
    <fill>
      <patternFill patternType="solid">
        <fgColor rgb="FF003744"/>
        <bgColor indexed="64"/>
      </patternFill>
    </fill>
    <fill>
      <patternFill patternType="solid">
        <fgColor rgb="FF003745"/>
        <bgColor indexed="64"/>
      </patternFill>
    </fill>
    <fill>
      <patternFill patternType="solid">
        <fgColor rgb="FF003746"/>
        <bgColor indexed="64"/>
      </patternFill>
    </fill>
    <fill>
      <patternFill patternType="solid">
        <fgColor rgb="FF003747"/>
        <bgColor indexed="64"/>
      </patternFill>
    </fill>
    <fill>
      <patternFill patternType="solid">
        <fgColor rgb="FF003748"/>
        <bgColor indexed="64"/>
      </patternFill>
    </fill>
    <fill>
      <patternFill patternType="solid">
        <fgColor rgb="FF003749"/>
        <bgColor indexed="64"/>
      </patternFill>
    </fill>
    <fill>
      <patternFill patternType="solid">
        <fgColor rgb="FF00374A"/>
        <bgColor indexed="64"/>
      </patternFill>
    </fill>
    <fill>
      <patternFill patternType="solid">
        <fgColor rgb="FF00374B"/>
        <bgColor indexed="64"/>
      </patternFill>
    </fill>
    <fill>
      <patternFill patternType="solid">
        <fgColor rgb="FF00374C"/>
        <bgColor indexed="64"/>
      </patternFill>
    </fill>
    <fill>
      <patternFill patternType="solid">
        <fgColor rgb="FF00374D"/>
        <bgColor indexed="64"/>
      </patternFill>
    </fill>
    <fill>
      <patternFill patternType="solid">
        <fgColor rgb="FF00374E"/>
        <bgColor indexed="64"/>
      </patternFill>
    </fill>
    <fill>
      <patternFill patternType="solid">
        <fgColor rgb="FF00374F"/>
        <bgColor indexed="64"/>
      </patternFill>
    </fill>
    <fill>
      <patternFill patternType="solid">
        <fgColor rgb="FF003750"/>
        <bgColor indexed="64"/>
      </patternFill>
    </fill>
    <fill>
      <patternFill patternType="solid">
        <fgColor rgb="FF003751"/>
        <bgColor indexed="64"/>
      </patternFill>
    </fill>
    <fill>
      <patternFill patternType="solid">
        <fgColor rgb="FF003752"/>
        <bgColor indexed="64"/>
      </patternFill>
    </fill>
    <fill>
      <patternFill patternType="solid">
        <fgColor rgb="FF003753"/>
        <bgColor indexed="64"/>
      </patternFill>
    </fill>
    <fill>
      <patternFill patternType="solid">
        <fgColor rgb="FF003754"/>
        <bgColor indexed="64"/>
      </patternFill>
    </fill>
    <fill>
      <patternFill patternType="solid">
        <fgColor rgb="FF003755"/>
        <bgColor indexed="64"/>
      </patternFill>
    </fill>
    <fill>
      <patternFill patternType="solid">
        <fgColor rgb="FF003756"/>
        <bgColor indexed="64"/>
      </patternFill>
    </fill>
    <fill>
      <patternFill patternType="solid">
        <fgColor rgb="FF003757"/>
        <bgColor indexed="64"/>
      </patternFill>
    </fill>
    <fill>
      <patternFill patternType="solid">
        <fgColor rgb="FF003758"/>
        <bgColor indexed="64"/>
      </patternFill>
    </fill>
    <fill>
      <patternFill patternType="solid">
        <fgColor rgb="FF003759"/>
        <bgColor indexed="64"/>
      </patternFill>
    </fill>
    <fill>
      <patternFill patternType="solid">
        <fgColor rgb="FF00375A"/>
        <bgColor indexed="64"/>
      </patternFill>
    </fill>
    <fill>
      <patternFill patternType="solid">
        <fgColor rgb="FF00375B"/>
        <bgColor indexed="64"/>
      </patternFill>
    </fill>
    <fill>
      <patternFill patternType="solid">
        <fgColor rgb="FF00375C"/>
        <bgColor indexed="64"/>
      </patternFill>
    </fill>
    <fill>
      <patternFill patternType="solid">
        <fgColor rgb="FF00375D"/>
        <bgColor indexed="64"/>
      </patternFill>
    </fill>
    <fill>
      <patternFill patternType="solid">
        <fgColor rgb="FF00375E"/>
        <bgColor indexed="64"/>
      </patternFill>
    </fill>
    <fill>
      <patternFill patternType="solid">
        <fgColor rgb="FF00375F"/>
        <bgColor indexed="64"/>
      </patternFill>
    </fill>
    <fill>
      <patternFill patternType="solid">
        <fgColor rgb="FF003760"/>
        <bgColor indexed="64"/>
      </patternFill>
    </fill>
    <fill>
      <patternFill patternType="solid">
        <fgColor rgb="FF003761"/>
        <bgColor indexed="64"/>
      </patternFill>
    </fill>
    <fill>
      <patternFill patternType="solid">
        <fgColor rgb="FF003762"/>
        <bgColor indexed="64"/>
      </patternFill>
    </fill>
    <fill>
      <patternFill patternType="solid">
        <fgColor rgb="FF003763"/>
        <bgColor indexed="64"/>
      </patternFill>
    </fill>
    <fill>
      <patternFill patternType="solid">
        <fgColor rgb="FF003764"/>
        <bgColor indexed="64"/>
      </patternFill>
    </fill>
    <fill>
      <patternFill patternType="solid">
        <fgColor rgb="FF003765"/>
        <bgColor indexed="64"/>
      </patternFill>
    </fill>
    <fill>
      <patternFill patternType="solid">
        <fgColor rgb="FF003766"/>
        <bgColor indexed="64"/>
      </patternFill>
    </fill>
    <fill>
      <patternFill patternType="solid">
        <fgColor rgb="FF003767"/>
        <bgColor indexed="64"/>
      </patternFill>
    </fill>
    <fill>
      <patternFill patternType="solid">
        <fgColor rgb="FF003768"/>
        <bgColor indexed="64"/>
      </patternFill>
    </fill>
    <fill>
      <patternFill patternType="solid">
        <fgColor rgb="FF003769"/>
        <bgColor indexed="64"/>
      </patternFill>
    </fill>
    <fill>
      <patternFill patternType="solid">
        <fgColor rgb="FF00376A"/>
        <bgColor indexed="64"/>
      </patternFill>
    </fill>
    <fill>
      <patternFill patternType="solid">
        <fgColor rgb="FF00376B"/>
        <bgColor indexed="64"/>
      </patternFill>
    </fill>
    <fill>
      <patternFill patternType="solid">
        <fgColor rgb="FF00376C"/>
        <bgColor indexed="64"/>
      </patternFill>
    </fill>
    <fill>
      <patternFill patternType="solid">
        <fgColor rgb="FF00376D"/>
        <bgColor indexed="64"/>
      </patternFill>
    </fill>
    <fill>
      <patternFill patternType="solid">
        <fgColor rgb="FF00376E"/>
        <bgColor indexed="64"/>
      </patternFill>
    </fill>
    <fill>
      <patternFill patternType="solid">
        <fgColor rgb="FF00376F"/>
        <bgColor indexed="64"/>
      </patternFill>
    </fill>
    <fill>
      <patternFill patternType="solid">
        <fgColor rgb="FF003770"/>
        <bgColor indexed="64"/>
      </patternFill>
    </fill>
    <fill>
      <patternFill patternType="solid">
        <fgColor rgb="FF003771"/>
        <bgColor indexed="64"/>
      </patternFill>
    </fill>
    <fill>
      <patternFill patternType="solid">
        <fgColor rgb="FF003772"/>
        <bgColor indexed="64"/>
      </patternFill>
    </fill>
    <fill>
      <patternFill patternType="solid">
        <fgColor rgb="FF003773"/>
        <bgColor indexed="64"/>
      </patternFill>
    </fill>
    <fill>
      <patternFill patternType="solid">
        <fgColor rgb="FF003774"/>
        <bgColor indexed="64"/>
      </patternFill>
    </fill>
    <fill>
      <patternFill patternType="solid">
        <fgColor rgb="FF003775"/>
        <bgColor indexed="64"/>
      </patternFill>
    </fill>
    <fill>
      <patternFill patternType="solid">
        <fgColor rgb="FF003776"/>
        <bgColor indexed="64"/>
      </patternFill>
    </fill>
    <fill>
      <patternFill patternType="solid">
        <fgColor rgb="FF003777"/>
        <bgColor indexed="64"/>
      </patternFill>
    </fill>
    <fill>
      <patternFill patternType="solid">
        <fgColor rgb="FF003778"/>
        <bgColor indexed="64"/>
      </patternFill>
    </fill>
    <fill>
      <patternFill patternType="solid">
        <fgColor rgb="FF003779"/>
        <bgColor indexed="64"/>
      </patternFill>
    </fill>
    <fill>
      <patternFill patternType="solid">
        <fgColor rgb="FF00377A"/>
        <bgColor indexed="64"/>
      </patternFill>
    </fill>
    <fill>
      <patternFill patternType="solid">
        <fgColor rgb="FF00377B"/>
        <bgColor indexed="64"/>
      </patternFill>
    </fill>
    <fill>
      <patternFill patternType="solid">
        <fgColor rgb="FF00377C"/>
        <bgColor indexed="64"/>
      </patternFill>
    </fill>
    <fill>
      <patternFill patternType="solid">
        <fgColor rgb="FF00377D"/>
        <bgColor indexed="64"/>
      </patternFill>
    </fill>
    <fill>
      <patternFill patternType="solid">
        <fgColor rgb="FF00377E"/>
        <bgColor indexed="64"/>
      </patternFill>
    </fill>
    <fill>
      <patternFill patternType="solid">
        <fgColor rgb="FF00377F"/>
        <bgColor indexed="64"/>
      </patternFill>
    </fill>
    <fill>
      <patternFill patternType="solid">
        <fgColor rgb="FF003780"/>
        <bgColor indexed="64"/>
      </patternFill>
    </fill>
    <fill>
      <patternFill patternType="solid">
        <fgColor rgb="FF003781"/>
        <bgColor indexed="64"/>
      </patternFill>
    </fill>
    <fill>
      <patternFill patternType="solid">
        <fgColor rgb="FF003782"/>
        <bgColor indexed="64"/>
      </patternFill>
    </fill>
    <fill>
      <patternFill patternType="solid">
        <fgColor rgb="FF003783"/>
        <bgColor indexed="64"/>
      </patternFill>
    </fill>
    <fill>
      <patternFill patternType="solid">
        <fgColor rgb="FF003784"/>
        <bgColor indexed="64"/>
      </patternFill>
    </fill>
    <fill>
      <patternFill patternType="solid">
        <fgColor rgb="FF003785"/>
        <bgColor indexed="64"/>
      </patternFill>
    </fill>
    <fill>
      <patternFill patternType="solid">
        <fgColor rgb="FF003786"/>
        <bgColor indexed="64"/>
      </patternFill>
    </fill>
    <fill>
      <patternFill patternType="solid">
        <fgColor rgb="FF003787"/>
        <bgColor indexed="64"/>
      </patternFill>
    </fill>
    <fill>
      <patternFill patternType="solid">
        <fgColor rgb="FF003788"/>
        <bgColor indexed="64"/>
      </patternFill>
    </fill>
    <fill>
      <patternFill patternType="solid">
        <fgColor rgb="FF003789"/>
        <bgColor indexed="64"/>
      </patternFill>
    </fill>
    <fill>
      <patternFill patternType="solid">
        <fgColor rgb="FF00378A"/>
        <bgColor indexed="64"/>
      </patternFill>
    </fill>
    <fill>
      <patternFill patternType="solid">
        <fgColor rgb="FF00378B"/>
        <bgColor indexed="64"/>
      </patternFill>
    </fill>
    <fill>
      <patternFill patternType="solid">
        <fgColor rgb="FF00378C"/>
        <bgColor indexed="64"/>
      </patternFill>
    </fill>
    <fill>
      <patternFill patternType="solid">
        <fgColor rgb="FF00378D"/>
        <bgColor indexed="64"/>
      </patternFill>
    </fill>
    <fill>
      <patternFill patternType="solid">
        <fgColor rgb="FF00378E"/>
        <bgColor indexed="64"/>
      </patternFill>
    </fill>
    <fill>
      <patternFill patternType="solid">
        <fgColor rgb="FF00378F"/>
        <bgColor indexed="64"/>
      </patternFill>
    </fill>
    <fill>
      <patternFill patternType="solid">
        <fgColor rgb="FF003790"/>
        <bgColor indexed="64"/>
      </patternFill>
    </fill>
    <fill>
      <patternFill patternType="solid">
        <fgColor rgb="FF003791"/>
        <bgColor indexed="64"/>
      </patternFill>
    </fill>
    <fill>
      <patternFill patternType="solid">
        <fgColor rgb="FF003792"/>
        <bgColor indexed="64"/>
      </patternFill>
    </fill>
    <fill>
      <patternFill patternType="solid">
        <fgColor rgb="FF003793"/>
        <bgColor indexed="64"/>
      </patternFill>
    </fill>
    <fill>
      <patternFill patternType="solid">
        <fgColor rgb="FF003794"/>
        <bgColor indexed="64"/>
      </patternFill>
    </fill>
    <fill>
      <patternFill patternType="solid">
        <fgColor rgb="FF003795"/>
        <bgColor indexed="64"/>
      </patternFill>
    </fill>
    <fill>
      <patternFill patternType="solid">
        <fgColor rgb="FF003796"/>
        <bgColor indexed="64"/>
      </patternFill>
    </fill>
    <fill>
      <patternFill patternType="solid">
        <fgColor rgb="FF003797"/>
        <bgColor indexed="64"/>
      </patternFill>
    </fill>
    <fill>
      <patternFill patternType="solid">
        <fgColor rgb="FF003798"/>
        <bgColor indexed="64"/>
      </patternFill>
    </fill>
    <fill>
      <patternFill patternType="solid">
        <fgColor rgb="FF003799"/>
        <bgColor indexed="64"/>
      </patternFill>
    </fill>
    <fill>
      <patternFill patternType="solid">
        <fgColor rgb="FF00379A"/>
        <bgColor indexed="64"/>
      </patternFill>
    </fill>
    <fill>
      <patternFill patternType="solid">
        <fgColor rgb="FF00379B"/>
        <bgColor indexed="64"/>
      </patternFill>
    </fill>
    <fill>
      <patternFill patternType="solid">
        <fgColor rgb="FF00379C"/>
        <bgColor indexed="64"/>
      </patternFill>
    </fill>
    <fill>
      <patternFill patternType="solid">
        <fgColor rgb="FF00379D"/>
        <bgColor indexed="64"/>
      </patternFill>
    </fill>
    <fill>
      <patternFill patternType="solid">
        <fgColor rgb="FF00379E"/>
        <bgColor indexed="64"/>
      </patternFill>
    </fill>
    <fill>
      <patternFill patternType="solid">
        <fgColor rgb="FF00379F"/>
        <bgColor indexed="64"/>
      </patternFill>
    </fill>
    <fill>
      <patternFill patternType="solid">
        <fgColor rgb="FF0037A0"/>
        <bgColor indexed="64"/>
      </patternFill>
    </fill>
    <fill>
      <patternFill patternType="solid">
        <fgColor rgb="FF0037A1"/>
        <bgColor indexed="64"/>
      </patternFill>
    </fill>
    <fill>
      <patternFill patternType="solid">
        <fgColor rgb="FF0037A2"/>
        <bgColor indexed="64"/>
      </patternFill>
    </fill>
    <fill>
      <patternFill patternType="solid">
        <fgColor rgb="FF0037A3"/>
        <bgColor indexed="64"/>
      </patternFill>
    </fill>
    <fill>
      <patternFill patternType="solid">
        <fgColor rgb="FF0037A4"/>
        <bgColor indexed="64"/>
      </patternFill>
    </fill>
    <fill>
      <patternFill patternType="solid">
        <fgColor rgb="FF0037A5"/>
        <bgColor indexed="64"/>
      </patternFill>
    </fill>
    <fill>
      <patternFill patternType="solid">
        <fgColor rgb="FF0037A6"/>
        <bgColor indexed="64"/>
      </patternFill>
    </fill>
    <fill>
      <patternFill patternType="solid">
        <fgColor rgb="FF0037A7"/>
        <bgColor indexed="64"/>
      </patternFill>
    </fill>
    <fill>
      <patternFill patternType="solid">
        <fgColor rgb="FF0037A8"/>
        <bgColor indexed="64"/>
      </patternFill>
    </fill>
    <fill>
      <patternFill patternType="solid">
        <fgColor rgb="FF0037A9"/>
        <bgColor indexed="64"/>
      </patternFill>
    </fill>
    <fill>
      <patternFill patternType="solid">
        <fgColor rgb="FF0037AA"/>
        <bgColor indexed="64"/>
      </patternFill>
    </fill>
    <fill>
      <patternFill patternType="solid">
        <fgColor rgb="FF0037AB"/>
        <bgColor indexed="64"/>
      </patternFill>
    </fill>
    <fill>
      <patternFill patternType="solid">
        <fgColor rgb="FF0037AC"/>
        <bgColor indexed="64"/>
      </patternFill>
    </fill>
    <fill>
      <patternFill patternType="solid">
        <fgColor rgb="FF0037AD"/>
        <bgColor indexed="64"/>
      </patternFill>
    </fill>
    <fill>
      <patternFill patternType="solid">
        <fgColor rgb="FF0037AE"/>
        <bgColor indexed="64"/>
      </patternFill>
    </fill>
    <fill>
      <patternFill patternType="solid">
        <fgColor rgb="FF0037AF"/>
        <bgColor indexed="64"/>
      </patternFill>
    </fill>
    <fill>
      <patternFill patternType="solid">
        <fgColor rgb="FF0037B0"/>
        <bgColor indexed="64"/>
      </patternFill>
    </fill>
    <fill>
      <patternFill patternType="solid">
        <fgColor rgb="FF0037B1"/>
        <bgColor indexed="64"/>
      </patternFill>
    </fill>
    <fill>
      <patternFill patternType="solid">
        <fgColor rgb="FF0037B2"/>
        <bgColor indexed="64"/>
      </patternFill>
    </fill>
    <fill>
      <patternFill patternType="solid">
        <fgColor rgb="FF0037B3"/>
        <bgColor indexed="64"/>
      </patternFill>
    </fill>
    <fill>
      <patternFill patternType="solid">
        <fgColor rgb="FF0037B4"/>
        <bgColor indexed="64"/>
      </patternFill>
    </fill>
    <fill>
      <patternFill patternType="solid">
        <fgColor rgb="FF0037B5"/>
        <bgColor indexed="64"/>
      </patternFill>
    </fill>
    <fill>
      <patternFill patternType="solid">
        <fgColor rgb="FF0037B6"/>
        <bgColor indexed="64"/>
      </patternFill>
    </fill>
    <fill>
      <patternFill patternType="solid">
        <fgColor rgb="FF0037B7"/>
        <bgColor indexed="64"/>
      </patternFill>
    </fill>
    <fill>
      <patternFill patternType="solid">
        <fgColor rgb="FF0037B8"/>
        <bgColor indexed="64"/>
      </patternFill>
    </fill>
    <fill>
      <patternFill patternType="solid">
        <fgColor rgb="FF0037B9"/>
        <bgColor indexed="64"/>
      </patternFill>
    </fill>
    <fill>
      <patternFill patternType="solid">
        <fgColor rgb="FF0037BA"/>
        <bgColor indexed="64"/>
      </patternFill>
    </fill>
    <fill>
      <patternFill patternType="solid">
        <fgColor rgb="FF0037BB"/>
        <bgColor indexed="64"/>
      </patternFill>
    </fill>
    <fill>
      <patternFill patternType="solid">
        <fgColor rgb="FF0037BC"/>
        <bgColor indexed="64"/>
      </patternFill>
    </fill>
    <fill>
      <patternFill patternType="solid">
        <fgColor rgb="FF0037BD"/>
        <bgColor indexed="64"/>
      </patternFill>
    </fill>
    <fill>
      <patternFill patternType="solid">
        <fgColor rgb="FF0037BE"/>
        <bgColor indexed="64"/>
      </patternFill>
    </fill>
    <fill>
      <patternFill patternType="solid">
        <fgColor rgb="FF0037BF"/>
        <bgColor indexed="64"/>
      </patternFill>
    </fill>
    <fill>
      <patternFill patternType="solid">
        <fgColor rgb="FF0037C0"/>
        <bgColor indexed="64"/>
      </patternFill>
    </fill>
    <fill>
      <patternFill patternType="solid">
        <fgColor rgb="FF0037C1"/>
        <bgColor indexed="64"/>
      </patternFill>
    </fill>
    <fill>
      <patternFill patternType="solid">
        <fgColor rgb="FF0037C2"/>
        <bgColor indexed="64"/>
      </patternFill>
    </fill>
    <fill>
      <patternFill patternType="solid">
        <fgColor rgb="FF0037C3"/>
        <bgColor indexed="64"/>
      </patternFill>
    </fill>
    <fill>
      <patternFill patternType="solid">
        <fgColor rgb="FF0037C4"/>
        <bgColor indexed="64"/>
      </patternFill>
    </fill>
    <fill>
      <patternFill patternType="solid">
        <fgColor rgb="FF0037C5"/>
        <bgColor indexed="64"/>
      </patternFill>
    </fill>
    <fill>
      <patternFill patternType="solid">
        <fgColor rgb="FF0037C6"/>
        <bgColor indexed="64"/>
      </patternFill>
    </fill>
    <fill>
      <patternFill patternType="solid">
        <fgColor rgb="FF0037C7"/>
        <bgColor indexed="64"/>
      </patternFill>
    </fill>
    <fill>
      <patternFill patternType="solid">
        <fgColor rgb="FF0037C8"/>
        <bgColor indexed="64"/>
      </patternFill>
    </fill>
    <fill>
      <patternFill patternType="solid">
        <fgColor rgb="FF0037C9"/>
        <bgColor indexed="64"/>
      </patternFill>
    </fill>
    <fill>
      <patternFill patternType="solid">
        <fgColor rgb="FF0037CA"/>
        <bgColor indexed="64"/>
      </patternFill>
    </fill>
    <fill>
      <patternFill patternType="solid">
        <fgColor rgb="FF0037CB"/>
        <bgColor indexed="64"/>
      </patternFill>
    </fill>
    <fill>
      <patternFill patternType="solid">
        <fgColor rgb="FF0037CC"/>
        <bgColor indexed="64"/>
      </patternFill>
    </fill>
    <fill>
      <patternFill patternType="solid">
        <fgColor rgb="FF0037CD"/>
        <bgColor indexed="64"/>
      </patternFill>
    </fill>
    <fill>
      <patternFill patternType="solid">
        <fgColor rgb="FF0037CE"/>
        <bgColor indexed="64"/>
      </patternFill>
    </fill>
    <fill>
      <patternFill patternType="solid">
        <fgColor rgb="FF0037CF"/>
        <bgColor indexed="64"/>
      </patternFill>
    </fill>
    <fill>
      <patternFill patternType="solid">
        <fgColor rgb="FF0037D0"/>
        <bgColor indexed="64"/>
      </patternFill>
    </fill>
    <fill>
      <patternFill patternType="solid">
        <fgColor rgb="FF0037D1"/>
        <bgColor indexed="64"/>
      </patternFill>
    </fill>
    <fill>
      <patternFill patternType="solid">
        <fgColor rgb="FF0037D2"/>
        <bgColor indexed="64"/>
      </patternFill>
    </fill>
    <fill>
      <patternFill patternType="solid">
        <fgColor rgb="FF0037D3"/>
        <bgColor indexed="64"/>
      </patternFill>
    </fill>
    <fill>
      <patternFill patternType="solid">
        <fgColor rgb="FF0037D4"/>
        <bgColor indexed="64"/>
      </patternFill>
    </fill>
    <fill>
      <patternFill patternType="solid">
        <fgColor rgb="FF0037D5"/>
        <bgColor indexed="64"/>
      </patternFill>
    </fill>
    <fill>
      <patternFill patternType="solid">
        <fgColor rgb="FF0037D6"/>
        <bgColor indexed="64"/>
      </patternFill>
    </fill>
    <fill>
      <patternFill patternType="solid">
        <fgColor rgb="FF0037D7"/>
        <bgColor indexed="64"/>
      </patternFill>
    </fill>
    <fill>
      <patternFill patternType="solid">
        <fgColor rgb="FF0037D8"/>
        <bgColor indexed="64"/>
      </patternFill>
    </fill>
    <fill>
      <patternFill patternType="solid">
        <fgColor rgb="FF0037D9"/>
        <bgColor indexed="64"/>
      </patternFill>
    </fill>
    <fill>
      <patternFill patternType="solid">
        <fgColor rgb="FF0037DA"/>
        <bgColor indexed="64"/>
      </patternFill>
    </fill>
    <fill>
      <patternFill patternType="solid">
        <fgColor rgb="FF0037DB"/>
        <bgColor indexed="64"/>
      </patternFill>
    </fill>
    <fill>
      <patternFill patternType="solid">
        <fgColor rgb="FF0037DC"/>
        <bgColor indexed="64"/>
      </patternFill>
    </fill>
    <fill>
      <patternFill patternType="solid">
        <fgColor rgb="FF0037DD"/>
        <bgColor indexed="64"/>
      </patternFill>
    </fill>
    <fill>
      <patternFill patternType="solid">
        <fgColor rgb="FF0037DE"/>
        <bgColor indexed="64"/>
      </patternFill>
    </fill>
    <fill>
      <patternFill patternType="solid">
        <fgColor rgb="FF0037DF"/>
        <bgColor indexed="64"/>
      </patternFill>
    </fill>
    <fill>
      <patternFill patternType="solid">
        <fgColor rgb="FF0037E0"/>
        <bgColor indexed="64"/>
      </patternFill>
    </fill>
    <fill>
      <patternFill patternType="solid">
        <fgColor rgb="FF0037E1"/>
        <bgColor indexed="64"/>
      </patternFill>
    </fill>
    <fill>
      <patternFill patternType="solid">
        <fgColor rgb="FF0037E2"/>
        <bgColor indexed="64"/>
      </patternFill>
    </fill>
    <fill>
      <patternFill patternType="solid">
        <fgColor rgb="FF0037E3"/>
        <bgColor indexed="64"/>
      </patternFill>
    </fill>
    <fill>
      <patternFill patternType="solid">
        <fgColor rgb="FF0037E4"/>
        <bgColor indexed="64"/>
      </patternFill>
    </fill>
    <fill>
      <patternFill patternType="solid">
        <fgColor rgb="FF0037E5"/>
        <bgColor indexed="64"/>
      </patternFill>
    </fill>
    <fill>
      <patternFill patternType="solid">
        <fgColor rgb="FF0037E6"/>
        <bgColor indexed="64"/>
      </patternFill>
    </fill>
    <fill>
      <patternFill patternType="solid">
        <fgColor rgb="FF0037E7"/>
        <bgColor indexed="64"/>
      </patternFill>
    </fill>
    <fill>
      <patternFill patternType="solid">
        <fgColor rgb="FF0037E8"/>
        <bgColor indexed="64"/>
      </patternFill>
    </fill>
    <fill>
      <patternFill patternType="solid">
        <fgColor rgb="FF0037E9"/>
        <bgColor indexed="64"/>
      </patternFill>
    </fill>
    <fill>
      <patternFill patternType="solid">
        <fgColor rgb="FF0037EA"/>
        <bgColor indexed="64"/>
      </patternFill>
    </fill>
    <fill>
      <patternFill patternType="solid">
        <fgColor rgb="FF0037EB"/>
        <bgColor indexed="64"/>
      </patternFill>
    </fill>
    <fill>
      <patternFill patternType="solid">
        <fgColor rgb="FF0037EC"/>
        <bgColor indexed="64"/>
      </patternFill>
    </fill>
    <fill>
      <patternFill patternType="solid">
        <fgColor rgb="FF0037ED"/>
        <bgColor indexed="64"/>
      </patternFill>
    </fill>
    <fill>
      <patternFill patternType="solid">
        <fgColor rgb="FF0037EE"/>
        <bgColor indexed="64"/>
      </patternFill>
    </fill>
    <fill>
      <patternFill patternType="solid">
        <fgColor rgb="FF0037EF"/>
        <bgColor indexed="64"/>
      </patternFill>
    </fill>
    <fill>
      <patternFill patternType="solid">
        <fgColor rgb="FF0037F0"/>
        <bgColor indexed="64"/>
      </patternFill>
    </fill>
    <fill>
      <patternFill patternType="solid">
        <fgColor rgb="FF0037F1"/>
        <bgColor indexed="64"/>
      </patternFill>
    </fill>
    <fill>
      <patternFill patternType="solid">
        <fgColor rgb="FF0037F2"/>
        <bgColor indexed="64"/>
      </patternFill>
    </fill>
    <fill>
      <patternFill patternType="solid">
        <fgColor rgb="FF0037F3"/>
        <bgColor indexed="64"/>
      </patternFill>
    </fill>
    <fill>
      <patternFill patternType="solid">
        <fgColor rgb="FF0037F4"/>
        <bgColor indexed="64"/>
      </patternFill>
    </fill>
    <fill>
      <patternFill patternType="solid">
        <fgColor rgb="FF0037F5"/>
        <bgColor indexed="64"/>
      </patternFill>
    </fill>
    <fill>
      <patternFill patternType="solid">
        <fgColor rgb="FF0037F6"/>
        <bgColor indexed="64"/>
      </patternFill>
    </fill>
    <fill>
      <patternFill patternType="solid">
        <fgColor rgb="FF0037F7"/>
        <bgColor indexed="64"/>
      </patternFill>
    </fill>
    <fill>
      <patternFill patternType="solid">
        <fgColor rgb="FF0037F8"/>
        <bgColor indexed="64"/>
      </patternFill>
    </fill>
    <fill>
      <patternFill patternType="solid">
        <fgColor rgb="FF0037F9"/>
        <bgColor indexed="64"/>
      </patternFill>
    </fill>
    <fill>
      <patternFill patternType="solid">
        <fgColor rgb="FF0037FA"/>
        <bgColor indexed="64"/>
      </patternFill>
    </fill>
    <fill>
      <patternFill patternType="solid">
        <fgColor rgb="FF0037FB"/>
        <bgColor indexed="64"/>
      </patternFill>
    </fill>
    <fill>
      <patternFill patternType="solid">
        <fgColor rgb="FF0037FC"/>
        <bgColor indexed="64"/>
      </patternFill>
    </fill>
    <fill>
      <patternFill patternType="solid">
        <fgColor rgb="FF0037FD"/>
        <bgColor indexed="64"/>
      </patternFill>
    </fill>
    <fill>
      <patternFill patternType="solid">
        <fgColor rgb="FF0037FE"/>
        <bgColor indexed="64"/>
      </patternFill>
    </fill>
    <fill>
      <patternFill patternType="solid">
        <fgColor rgb="FF0037FF"/>
        <bgColor indexed="64"/>
      </patternFill>
    </fill>
    <fill>
      <patternFill patternType="solid">
        <fgColor rgb="FF003800"/>
        <bgColor indexed="64"/>
      </patternFill>
    </fill>
    <fill>
      <patternFill patternType="solid">
        <fgColor rgb="FF003801"/>
        <bgColor indexed="64"/>
      </patternFill>
    </fill>
    <fill>
      <patternFill patternType="solid">
        <fgColor rgb="FF003802"/>
        <bgColor indexed="64"/>
      </patternFill>
    </fill>
    <fill>
      <patternFill patternType="solid">
        <fgColor rgb="FF003803"/>
        <bgColor indexed="64"/>
      </patternFill>
    </fill>
    <fill>
      <patternFill patternType="solid">
        <fgColor rgb="FF003804"/>
        <bgColor indexed="64"/>
      </patternFill>
    </fill>
    <fill>
      <patternFill patternType="solid">
        <fgColor rgb="FF003805"/>
        <bgColor indexed="64"/>
      </patternFill>
    </fill>
    <fill>
      <patternFill patternType="solid">
        <fgColor rgb="FF003806"/>
        <bgColor indexed="64"/>
      </patternFill>
    </fill>
    <fill>
      <patternFill patternType="solid">
        <fgColor rgb="FF003807"/>
        <bgColor indexed="64"/>
      </patternFill>
    </fill>
    <fill>
      <patternFill patternType="solid">
        <fgColor rgb="FF003808"/>
        <bgColor indexed="64"/>
      </patternFill>
    </fill>
    <fill>
      <patternFill patternType="solid">
        <fgColor rgb="FF003809"/>
        <bgColor indexed="64"/>
      </patternFill>
    </fill>
    <fill>
      <patternFill patternType="solid">
        <fgColor rgb="FF00380A"/>
        <bgColor indexed="64"/>
      </patternFill>
    </fill>
    <fill>
      <patternFill patternType="solid">
        <fgColor rgb="FF00380B"/>
        <bgColor indexed="64"/>
      </patternFill>
    </fill>
    <fill>
      <patternFill patternType="solid">
        <fgColor rgb="FF00380C"/>
        <bgColor indexed="64"/>
      </patternFill>
    </fill>
    <fill>
      <patternFill patternType="solid">
        <fgColor rgb="FF00380D"/>
        <bgColor indexed="64"/>
      </patternFill>
    </fill>
    <fill>
      <patternFill patternType="solid">
        <fgColor rgb="FF00380E"/>
        <bgColor indexed="64"/>
      </patternFill>
    </fill>
    <fill>
      <patternFill patternType="solid">
        <fgColor rgb="FF00380F"/>
        <bgColor indexed="64"/>
      </patternFill>
    </fill>
    <fill>
      <patternFill patternType="solid">
        <fgColor rgb="FF003810"/>
        <bgColor indexed="64"/>
      </patternFill>
    </fill>
    <fill>
      <patternFill patternType="solid">
        <fgColor rgb="FF003811"/>
        <bgColor indexed="64"/>
      </patternFill>
    </fill>
    <fill>
      <patternFill patternType="solid">
        <fgColor rgb="FF003812"/>
        <bgColor indexed="64"/>
      </patternFill>
    </fill>
    <fill>
      <patternFill patternType="solid">
        <fgColor rgb="FF003813"/>
        <bgColor indexed="64"/>
      </patternFill>
    </fill>
    <fill>
      <patternFill patternType="solid">
        <fgColor rgb="FF003814"/>
        <bgColor indexed="64"/>
      </patternFill>
    </fill>
    <fill>
      <patternFill patternType="solid">
        <fgColor rgb="FF003815"/>
        <bgColor indexed="64"/>
      </patternFill>
    </fill>
    <fill>
      <patternFill patternType="solid">
        <fgColor rgb="FF003816"/>
        <bgColor indexed="64"/>
      </patternFill>
    </fill>
    <fill>
      <patternFill patternType="solid">
        <fgColor rgb="FF003817"/>
        <bgColor indexed="64"/>
      </patternFill>
    </fill>
    <fill>
      <patternFill patternType="solid">
        <fgColor rgb="FF003818"/>
        <bgColor indexed="64"/>
      </patternFill>
    </fill>
    <fill>
      <patternFill patternType="solid">
        <fgColor rgb="FF003819"/>
        <bgColor indexed="64"/>
      </patternFill>
    </fill>
    <fill>
      <patternFill patternType="solid">
        <fgColor rgb="FF00381A"/>
        <bgColor indexed="64"/>
      </patternFill>
    </fill>
    <fill>
      <patternFill patternType="solid">
        <fgColor rgb="FF00381B"/>
        <bgColor indexed="64"/>
      </patternFill>
    </fill>
    <fill>
      <patternFill patternType="solid">
        <fgColor rgb="FF00381C"/>
        <bgColor indexed="64"/>
      </patternFill>
    </fill>
    <fill>
      <patternFill patternType="solid">
        <fgColor rgb="FF00381D"/>
        <bgColor indexed="64"/>
      </patternFill>
    </fill>
    <fill>
      <patternFill patternType="solid">
        <fgColor rgb="FF00381E"/>
        <bgColor indexed="64"/>
      </patternFill>
    </fill>
    <fill>
      <patternFill patternType="solid">
        <fgColor rgb="FF00381F"/>
        <bgColor indexed="64"/>
      </patternFill>
    </fill>
    <fill>
      <patternFill patternType="solid">
        <fgColor rgb="FF003820"/>
        <bgColor indexed="64"/>
      </patternFill>
    </fill>
    <fill>
      <patternFill patternType="solid">
        <fgColor rgb="FF003821"/>
        <bgColor indexed="64"/>
      </patternFill>
    </fill>
    <fill>
      <patternFill patternType="solid">
        <fgColor rgb="FF003822"/>
        <bgColor indexed="64"/>
      </patternFill>
    </fill>
    <fill>
      <patternFill patternType="solid">
        <fgColor rgb="FF003823"/>
        <bgColor indexed="64"/>
      </patternFill>
    </fill>
    <fill>
      <patternFill patternType="solid">
        <fgColor rgb="FF003824"/>
        <bgColor indexed="64"/>
      </patternFill>
    </fill>
    <fill>
      <patternFill patternType="solid">
        <fgColor rgb="FF003825"/>
        <bgColor indexed="64"/>
      </patternFill>
    </fill>
    <fill>
      <patternFill patternType="solid">
        <fgColor rgb="FF003826"/>
        <bgColor indexed="64"/>
      </patternFill>
    </fill>
    <fill>
      <patternFill patternType="solid">
        <fgColor rgb="FF003827"/>
        <bgColor indexed="64"/>
      </patternFill>
    </fill>
    <fill>
      <patternFill patternType="solid">
        <fgColor rgb="FF003828"/>
        <bgColor indexed="64"/>
      </patternFill>
    </fill>
    <fill>
      <patternFill patternType="solid">
        <fgColor rgb="FF003829"/>
        <bgColor indexed="64"/>
      </patternFill>
    </fill>
    <fill>
      <patternFill patternType="solid">
        <fgColor rgb="FF00382A"/>
        <bgColor indexed="64"/>
      </patternFill>
    </fill>
    <fill>
      <patternFill patternType="solid">
        <fgColor rgb="FF00382B"/>
        <bgColor indexed="64"/>
      </patternFill>
    </fill>
    <fill>
      <patternFill patternType="solid">
        <fgColor rgb="FF00382C"/>
        <bgColor indexed="64"/>
      </patternFill>
    </fill>
    <fill>
      <patternFill patternType="solid">
        <fgColor rgb="FF00382D"/>
        <bgColor indexed="64"/>
      </patternFill>
    </fill>
    <fill>
      <patternFill patternType="solid">
        <fgColor rgb="FF00382E"/>
        <bgColor indexed="64"/>
      </patternFill>
    </fill>
    <fill>
      <patternFill patternType="solid">
        <fgColor rgb="FF00382F"/>
        <bgColor indexed="64"/>
      </patternFill>
    </fill>
    <fill>
      <patternFill patternType="solid">
        <fgColor rgb="FF003830"/>
        <bgColor indexed="64"/>
      </patternFill>
    </fill>
    <fill>
      <patternFill patternType="solid">
        <fgColor rgb="FF003831"/>
        <bgColor indexed="64"/>
      </patternFill>
    </fill>
    <fill>
      <patternFill patternType="solid">
        <fgColor rgb="FF003832"/>
        <bgColor indexed="64"/>
      </patternFill>
    </fill>
    <fill>
      <patternFill patternType="solid">
        <fgColor rgb="FF003833"/>
        <bgColor indexed="64"/>
      </patternFill>
    </fill>
    <fill>
      <patternFill patternType="solid">
        <fgColor rgb="FF003834"/>
        <bgColor indexed="64"/>
      </patternFill>
    </fill>
    <fill>
      <patternFill patternType="solid">
        <fgColor rgb="FF003835"/>
        <bgColor indexed="64"/>
      </patternFill>
    </fill>
    <fill>
      <patternFill patternType="solid">
        <fgColor rgb="FF003836"/>
        <bgColor indexed="64"/>
      </patternFill>
    </fill>
    <fill>
      <patternFill patternType="solid">
        <fgColor rgb="FF003837"/>
        <bgColor indexed="64"/>
      </patternFill>
    </fill>
    <fill>
      <patternFill patternType="solid">
        <fgColor rgb="FF003838"/>
        <bgColor indexed="64"/>
      </patternFill>
    </fill>
    <fill>
      <patternFill patternType="solid">
        <fgColor rgb="FF003839"/>
        <bgColor indexed="64"/>
      </patternFill>
    </fill>
    <fill>
      <patternFill patternType="solid">
        <fgColor rgb="FF00383A"/>
        <bgColor indexed="64"/>
      </patternFill>
    </fill>
    <fill>
      <patternFill patternType="solid">
        <fgColor rgb="FF00383B"/>
        <bgColor indexed="64"/>
      </patternFill>
    </fill>
    <fill>
      <patternFill patternType="solid">
        <fgColor rgb="FF00383C"/>
        <bgColor indexed="64"/>
      </patternFill>
    </fill>
    <fill>
      <patternFill patternType="solid">
        <fgColor rgb="FF00383D"/>
        <bgColor indexed="64"/>
      </patternFill>
    </fill>
    <fill>
      <patternFill patternType="solid">
        <fgColor rgb="FF00383E"/>
        <bgColor indexed="64"/>
      </patternFill>
    </fill>
    <fill>
      <patternFill patternType="solid">
        <fgColor rgb="FF00383F"/>
        <bgColor indexed="64"/>
      </patternFill>
    </fill>
    <fill>
      <patternFill patternType="solid">
        <fgColor rgb="FF003840"/>
        <bgColor indexed="64"/>
      </patternFill>
    </fill>
    <fill>
      <patternFill patternType="solid">
        <fgColor rgb="FF003841"/>
        <bgColor indexed="64"/>
      </patternFill>
    </fill>
    <fill>
      <patternFill patternType="solid">
        <fgColor rgb="FF003842"/>
        <bgColor indexed="64"/>
      </patternFill>
    </fill>
    <fill>
      <patternFill patternType="solid">
        <fgColor rgb="FF003843"/>
        <bgColor indexed="64"/>
      </patternFill>
    </fill>
    <fill>
      <patternFill patternType="solid">
        <fgColor rgb="FF003844"/>
        <bgColor indexed="64"/>
      </patternFill>
    </fill>
    <fill>
      <patternFill patternType="solid">
        <fgColor rgb="FF003845"/>
        <bgColor indexed="64"/>
      </patternFill>
    </fill>
    <fill>
      <patternFill patternType="solid">
        <fgColor rgb="FF003846"/>
        <bgColor indexed="64"/>
      </patternFill>
    </fill>
    <fill>
      <patternFill patternType="solid">
        <fgColor rgb="FF003847"/>
        <bgColor indexed="64"/>
      </patternFill>
    </fill>
    <fill>
      <patternFill patternType="solid">
        <fgColor rgb="FF003848"/>
        <bgColor indexed="64"/>
      </patternFill>
    </fill>
    <fill>
      <patternFill patternType="solid">
        <fgColor rgb="FF003849"/>
        <bgColor indexed="64"/>
      </patternFill>
    </fill>
    <fill>
      <patternFill patternType="solid">
        <fgColor rgb="FF00384A"/>
        <bgColor indexed="64"/>
      </patternFill>
    </fill>
    <fill>
      <patternFill patternType="solid">
        <fgColor rgb="FF00384B"/>
        <bgColor indexed="64"/>
      </patternFill>
    </fill>
    <fill>
      <patternFill patternType="solid">
        <fgColor rgb="FF00384C"/>
        <bgColor indexed="64"/>
      </patternFill>
    </fill>
    <fill>
      <patternFill patternType="solid">
        <fgColor rgb="FF00384D"/>
        <bgColor indexed="64"/>
      </patternFill>
    </fill>
    <fill>
      <patternFill patternType="solid">
        <fgColor rgb="FF00384E"/>
        <bgColor indexed="64"/>
      </patternFill>
    </fill>
    <fill>
      <patternFill patternType="solid">
        <fgColor rgb="FF00384F"/>
        <bgColor indexed="64"/>
      </patternFill>
    </fill>
    <fill>
      <patternFill patternType="solid">
        <fgColor rgb="FF003850"/>
        <bgColor indexed="64"/>
      </patternFill>
    </fill>
    <fill>
      <patternFill patternType="solid">
        <fgColor rgb="FF003851"/>
        <bgColor indexed="64"/>
      </patternFill>
    </fill>
    <fill>
      <patternFill patternType="solid">
        <fgColor rgb="FF003852"/>
        <bgColor indexed="64"/>
      </patternFill>
    </fill>
    <fill>
      <patternFill patternType="solid">
        <fgColor rgb="FF003853"/>
        <bgColor indexed="64"/>
      </patternFill>
    </fill>
    <fill>
      <patternFill patternType="solid">
        <fgColor rgb="FF003854"/>
        <bgColor indexed="64"/>
      </patternFill>
    </fill>
    <fill>
      <patternFill patternType="solid">
        <fgColor rgb="FF003855"/>
        <bgColor indexed="64"/>
      </patternFill>
    </fill>
    <fill>
      <patternFill patternType="solid">
        <fgColor rgb="FF003856"/>
        <bgColor indexed="64"/>
      </patternFill>
    </fill>
    <fill>
      <patternFill patternType="solid">
        <fgColor rgb="FF003857"/>
        <bgColor indexed="64"/>
      </patternFill>
    </fill>
    <fill>
      <patternFill patternType="solid">
        <fgColor rgb="FF003858"/>
        <bgColor indexed="64"/>
      </patternFill>
    </fill>
    <fill>
      <patternFill patternType="solid">
        <fgColor rgb="FF003859"/>
        <bgColor indexed="64"/>
      </patternFill>
    </fill>
    <fill>
      <patternFill patternType="solid">
        <fgColor rgb="FF00385A"/>
        <bgColor indexed="64"/>
      </patternFill>
    </fill>
    <fill>
      <patternFill patternType="solid">
        <fgColor rgb="FF00385B"/>
        <bgColor indexed="64"/>
      </patternFill>
    </fill>
    <fill>
      <patternFill patternType="solid">
        <fgColor rgb="FF00385C"/>
        <bgColor indexed="64"/>
      </patternFill>
    </fill>
    <fill>
      <patternFill patternType="solid">
        <fgColor rgb="FF00385D"/>
        <bgColor indexed="64"/>
      </patternFill>
    </fill>
    <fill>
      <patternFill patternType="solid">
        <fgColor rgb="FF00385E"/>
        <bgColor indexed="64"/>
      </patternFill>
    </fill>
    <fill>
      <patternFill patternType="solid">
        <fgColor rgb="FF00385F"/>
        <bgColor indexed="64"/>
      </patternFill>
    </fill>
    <fill>
      <patternFill patternType="solid">
        <fgColor rgb="FF003860"/>
        <bgColor indexed="64"/>
      </patternFill>
    </fill>
    <fill>
      <patternFill patternType="solid">
        <fgColor rgb="FF003861"/>
        <bgColor indexed="64"/>
      </patternFill>
    </fill>
    <fill>
      <patternFill patternType="solid">
        <fgColor rgb="FF003862"/>
        <bgColor indexed="64"/>
      </patternFill>
    </fill>
    <fill>
      <patternFill patternType="solid">
        <fgColor rgb="FF003863"/>
        <bgColor indexed="64"/>
      </patternFill>
    </fill>
    <fill>
      <patternFill patternType="solid">
        <fgColor rgb="FF003864"/>
        <bgColor indexed="64"/>
      </patternFill>
    </fill>
    <fill>
      <patternFill patternType="solid">
        <fgColor rgb="FF003865"/>
        <bgColor indexed="64"/>
      </patternFill>
    </fill>
    <fill>
      <patternFill patternType="solid">
        <fgColor rgb="FF003866"/>
        <bgColor indexed="64"/>
      </patternFill>
    </fill>
    <fill>
      <patternFill patternType="solid">
        <fgColor rgb="FF003867"/>
        <bgColor indexed="64"/>
      </patternFill>
    </fill>
    <fill>
      <patternFill patternType="solid">
        <fgColor rgb="FF003868"/>
        <bgColor indexed="64"/>
      </patternFill>
    </fill>
    <fill>
      <patternFill patternType="solid">
        <fgColor rgb="FF003869"/>
        <bgColor indexed="64"/>
      </patternFill>
    </fill>
    <fill>
      <patternFill patternType="solid">
        <fgColor rgb="FF00386A"/>
        <bgColor indexed="64"/>
      </patternFill>
    </fill>
    <fill>
      <patternFill patternType="solid">
        <fgColor rgb="FF00386B"/>
        <bgColor indexed="64"/>
      </patternFill>
    </fill>
    <fill>
      <patternFill patternType="solid">
        <fgColor rgb="FF00386C"/>
        <bgColor indexed="64"/>
      </patternFill>
    </fill>
    <fill>
      <patternFill patternType="solid">
        <fgColor rgb="FF00386D"/>
        <bgColor indexed="64"/>
      </patternFill>
    </fill>
    <fill>
      <patternFill patternType="solid">
        <fgColor rgb="FF00386E"/>
        <bgColor indexed="64"/>
      </patternFill>
    </fill>
    <fill>
      <patternFill patternType="solid">
        <fgColor rgb="FF00386F"/>
        <bgColor indexed="64"/>
      </patternFill>
    </fill>
    <fill>
      <patternFill patternType="solid">
        <fgColor rgb="FF003870"/>
        <bgColor indexed="64"/>
      </patternFill>
    </fill>
    <fill>
      <patternFill patternType="solid">
        <fgColor rgb="FF003871"/>
        <bgColor indexed="64"/>
      </patternFill>
    </fill>
    <fill>
      <patternFill patternType="solid">
        <fgColor rgb="FF003872"/>
        <bgColor indexed="64"/>
      </patternFill>
    </fill>
    <fill>
      <patternFill patternType="solid">
        <fgColor rgb="FF003873"/>
        <bgColor indexed="64"/>
      </patternFill>
    </fill>
    <fill>
      <patternFill patternType="solid">
        <fgColor rgb="FF003874"/>
        <bgColor indexed="64"/>
      </patternFill>
    </fill>
    <fill>
      <patternFill patternType="solid">
        <fgColor rgb="FF003875"/>
        <bgColor indexed="64"/>
      </patternFill>
    </fill>
    <fill>
      <patternFill patternType="solid">
        <fgColor rgb="FF003876"/>
        <bgColor indexed="64"/>
      </patternFill>
    </fill>
    <fill>
      <patternFill patternType="solid">
        <fgColor rgb="FF003877"/>
        <bgColor indexed="64"/>
      </patternFill>
    </fill>
    <fill>
      <patternFill patternType="solid">
        <fgColor rgb="FF003878"/>
        <bgColor indexed="64"/>
      </patternFill>
    </fill>
    <fill>
      <patternFill patternType="solid">
        <fgColor rgb="FF003879"/>
        <bgColor indexed="64"/>
      </patternFill>
    </fill>
    <fill>
      <patternFill patternType="solid">
        <fgColor rgb="FF00387A"/>
        <bgColor indexed="64"/>
      </patternFill>
    </fill>
    <fill>
      <patternFill patternType="solid">
        <fgColor rgb="FF00387B"/>
        <bgColor indexed="64"/>
      </patternFill>
    </fill>
    <fill>
      <patternFill patternType="solid">
        <fgColor rgb="FF00387C"/>
        <bgColor indexed="64"/>
      </patternFill>
    </fill>
    <fill>
      <patternFill patternType="solid">
        <fgColor rgb="FF00387D"/>
        <bgColor indexed="64"/>
      </patternFill>
    </fill>
    <fill>
      <patternFill patternType="solid">
        <fgColor rgb="FF00387E"/>
        <bgColor indexed="64"/>
      </patternFill>
    </fill>
    <fill>
      <patternFill patternType="solid">
        <fgColor rgb="FF00387F"/>
        <bgColor indexed="64"/>
      </patternFill>
    </fill>
    <fill>
      <patternFill patternType="solid">
        <fgColor rgb="FF003880"/>
        <bgColor indexed="64"/>
      </patternFill>
    </fill>
    <fill>
      <patternFill patternType="solid">
        <fgColor rgb="FF003881"/>
        <bgColor indexed="64"/>
      </patternFill>
    </fill>
    <fill>
      <patternFill patternType="solid">
        <fgColor rgb="FF003882"/>
        <bgColor indexed="64"/>
      </patternFill>
    </fill>
    <fill>
      <patternFill patternType="solid">
        <fgColor rgb="FF003883"/>
        <bgColor indexed="64"/>
      </patternFill>
    </fill>
    <fill>
      <patternFill patternType="solid">
        <fgColor rgb="FF003884"/>
        <bgColor indexed="64"/>
      </patternFill>
    </fill>
    <fill>
      <patternFill patternType="solid">
        <fgColor rgb="FF003885"/>
        <bgColor indexed="64"/>
      </patternFill>
    </fill>
    <fill>
      <patternFill patternType="solid">
        <fgColor rgb="FF003886"/>
        <bgColor indexed="64"/>
      </patternFill>
    </fill>
    <fill>
      <patternFill patternType="solid">
        <fgColor rgb="FF003887"/>
        <bgColor indexed="64"/>
      </patternFill>
    </fill>
    <fill>
      <patternFill patternType="solid">
        <fgColor rgb="FF003888"/>
        <bgColor indexed="64"/>
      </patternFill>
    </fill>
    <fill>
      <patternFill patternType="solid">
        <fgColor rgb="FF003889"/>
        <bgColor indexed="64"/>
      </patternFill>
    </fill>
    <fill>
      <patternFill patternType="solid">
        <fgColor rgb="FF00388A"/>
        <bgColor indexed="64"/>
      </patternFill>
    </fill>
    <fill>
      <patternFill patternType="solid">
        <fgColor rgb="FF00388B"/>
        <bgColor indexed="64"/>
      </patternFill>
    </fill>
    <fill>
      <patternFill patternType="solid">
        <fgColor rgb="FF00388C"/>
        <bgColor indexed="64"/>
      </patternFill>
    </fill>
    <fill>
      <patternFill patternType="solid">
        <fgColor rgb="FF00388D"/>
        <bgColor indexed="64"/>
      </patternFill>
    </fill>
    <fill>
      <patternFill patternType="solid">
        <fgColor rgb="FF00388E"/>
        <bgColor indexed="64"/>
      </patternFill>
    </fill>
    <fill>
      <patternFill patternType="solid">
        <fgColor rgb="FF00388F"/>
        <bgColor indexed="64"/>
      </patternFill>
    </fill>
    <fill>
      <patternFill patternType="solid">
        <fgColor rgb="FF003890"/>
        <bgColor indexed="64"/>
      </patternFill>
    </fill>
    <fill>
      <patternFill patternType="solid">
        <fgColor rgb="FF003891"/>
        <bgColor indexed="64"/>
      </patternFill>
    </fill>
    <fill>
      <patternFill patternType="solid">
        <fgColor rgb="FF003892"/>
        <bgColor indexed="64"/>
      </patternFill>
    </fill>
    <fill>
      <patternFill patternType="solid">
        <fgColor rgb="FF003893"/>
        <bgColor indexed="64"/>
      </patternFill>
    </fill>
    <fill>
      <patternFill patternType="solid">
        <fgColor rgb="FF003894"/>
        <bgColor indexed="64"/>
      </patternFill>
    </fill>
    <fill>
      <patternFill patternType="solid">
        <fgColor rgb="FF003895"/>
        <bgColor indexed="64"/>
      </patternFill>
    </fill>
    <fill>
      <patternFill patternType="solid">
        <fgColor rgb="FF003896"/>
        <bgColor indexed="64"/>
      </patternFill>
    </fill>
    <fill>
      <patternFill patternType="solid">
        <fgColor rgb="FF003897"/>
        <bgColor indexed="64"/>
      </patternFill>
    </fill>
    <fill>
      <patternFill patternType="solid">
        <fgColor rgb="FF003898"/>
        <bgColor indexed="64"/>
      </patternFill>
    </fill>
    <fill>
      <patternFill patternType="solid">
        <fgColor rgb="FF003899"/>
        <bgColor indexed="64"/>
      </patternFill>
    </fill>
    <fill>
      <patternFill patternType="solid">
        <fgColor rgb="FF00389A"/>
        <bgColor indexed="64"/>
      </patternFill>
    </fill>
    <fill>
      <patternFill patternType="solid">
        <fgColor rgb="FF00389B"/>
        <bgColor indexed="64"/>
      </patternFill>
    </fill>
    <fill>
      <patternFill patternType="solid">
        <fgColor rgb="FF00389C"/>
        <bgColor indexed="64"/>
      </patternFill>
    </fill>
    <fill>
      <patternFill patternType="solid">
        <fgColor rgb="FF00389D"/>
        <bgColor indexed="64"/>
      </patternFill>
    </fill>
    <fill>
      <patternFill patternType="solid">
        <fgColor rgb="FF00389E"/>
        <bgColor indexed="64"/>
      </patternFill>
    </fill>
    <fill>
      <patternFill patternType="solid">
        <fgColor rgb="FF00389F"/>
        <bgColor indexed="64"/>
      </patternFill>
    </fill>
    <fill>
      <patternFill patternType="solid">
        <fgColor rgb="FF0038A0"/>
        <bgColor indexed="64"/>
      </patternFill>
    </fill>
    <fill>
      <patternFill patternType="solid">
        <fgColor rgb="FF0038A1"/>
        <bgColor indexed="64"/>
      </patternFill>
    </fill>
    <fill>
      <patternFill patternType="solid">
        <fgColor rgb="FF0038A2"/>
        <bgColor indexed="64"/>
      </patternFill>
    </fill>
    <fill>
      <patternFill patternType="solid">
        <fgColor rgb="FF0038A3"/>
        <bgColor indexed="64"/>
      </patternFill>
    </fill>
    <fill>
      <patternFill patternType="solid">
        <fgColor rgb="FF0038A4"/>
        <bgColor indexed="64"/>
      </patternFill>
    </fill>
    <fill>
      <patternFill patternType="solid">
        <fgColor rgb="FF0038A5"/>
        <bgColor indexed="64"/>
      </patternFill>
    </fill>
    <fill>
      <patternFill patternType="solid">
        <fgColor rgb="FF0038A6"/>
        <bgColor indexed="64"/>
      </patternFill>
    </fill>
    <fill>
      <patternFill patternType="solid">
        <fgColor rgb="FF0038A7"/>
        <bgColor indexed="64"/>
      </patternFill>
    </fill>
    <fill>
      <patternFill patternType="solid">
        <fgColor rgb="FF0038A8"/>
        <bgColor indexed="64"/>
      </patternFill>
    </fill>
    <fill>
      <patternFill patternType="solid">
        <fgColor rgb="FF0038A9"/>
        <bgColor indexed="64"/>
      </patternFill>
    </fill>
    <fill>
      <patternFill patternType="solid">
        <fgColor rgb="FF0038AA"/>
        <bgColor indexed="64"/>
      </patternFill>
    </fill>
    <fill>
      <patternFill patternType="solid">
        <fgColor rgb="FF0038AB"/>
        <bgColor indexed="64"/>
      </patternFill>
    </fill>
    <fill>
      <patternFill patternType="solid">
        <fgColor rgb="FF0038AC"/>
        <bgColor indexed="64"/>
      </patternFill>
    </fill>
    <fill>
      <patternFill patternType="solid">
        <fgColor rgb="FF0038AD"/>
        <bgColor indexed="64"/>
      </patternFill>
    </fill>
    <fill>
      <patternFill patternType="solid">
        <fgColor rgb="FF0038AE"/>
        <bgColor indexed="64"/>
      </patternFill>
    </fill>
    <fill>
      <patternFill patternType="solid">
        <fgColor rgb="FF0038AF"/>
        <bgColor indexed="64"/>
      </patternFill>
    </fill>
    <fill>
      <patternFill patternType="solid">
        <fgColor rgb="FF0038B0"/>
        <bgColor indexed="64"/>
      </patternFill>
    </fill>
    <fill>
      <patternFill patternType="solid">
        <fgColor rgb="FF0038B1"/>
        <bgColor indexed="64"/>
      </patternFill>
    </fill>
    <fill>
      <patternFill patternType="solid">
        <fgColor rgb="FF0038B2"/>
        <bgColor indexed="64"/>
      </patternFill>
    </fill>
    <fill>
      <patternFill patternType="solid">
        <fgColor rgb="FF0038B3"/>
        <bgColor indexed="64"/>
      </patternFill>
    </fill>
    <fill>
      <patternFill patternType="solid">
        <fgColor rgb="FF0038B4"/>
        <bgColor indexed="64"/>
      </patternFill>
    </fill>
    <fill>
      <patternFill patternType="solid">
        <fgColor rgb="FF0038B5"/>
        <bgColor indexed="64"/>
      </patternFill>
    </fill>
    <fill>
      <patternFill patternType="solid">
        <fgColor rgb="FF0038B6"/>
        <bgColor indexed="64"/>
      </patternFill>
    </fill>
    <fill>
      <patternFill patternType="solid">
        <fgColor rgb="FF0038B7"/>
        <bgColor indexed="64"/>
      </patternFill>
    </fill>
    <fill>
      <patternFill patternType="solid">
        <fgColor rgb="FF0038B8"/>
        <bgColor indexed="64"/>
      </patternFill>
    </fill>
    <fill>
      <patternFill patternType="solid">
        <fgColor rgb="FF0038B9"/>
        <bgColor indexed="64"/>
      </patternFill>
    </fill>
    <fill>
      <patternFill patternType="solid">
        <fgColor rgb="FF0038BA"/>
        <bgColor indexed="64"/>
      </patternFill>
    </fill>
    <fill>
      <patternFill patternType="solid">
        <fgColor rgb="FF0038BB"/>
        <bgColor indexed="64"/>
      </patternFill>
    </fill>
    <fill>
      <patternFill patternType="solid">
        <fgColor rgb="FF0038BC"/>
        <bgColor indexed="64"/>
      </patternFill>
    </fill>
    <fill>
      <patternFill patternType="solid">
        <fgColor rgb="FF0038BD"/>
        <bgColor indexed="64"/>
      </patternFill>
    </fill>
    <fill>
      <patternFill patternType="solid">
        <fgColor rgb="FF0038BE"/>
        <bgColor indexed="64"/>
      </patternFill>
    </fill>
    <fill>
      <patternFill patternType="solid">
        <fgColor rgb="FF0038BF"/>
        <bgColor indexed="64"/>
      </patternFill>
    </fill>
    <fill>
      <patternFill patternType="solid">
        <fgColor rgb="FF0038C0"/>
        <bgColor indexed="64"/>
      </patternFill>
    </fill>
    <fill>
      <patternFill patternType="solid">
        <fgColor rgb="FF0038C1"/>
        <bgColor indexed="64"/>
      </patternFill>
    </fill>
    <fill>
      <patternFill patternType="solid">
        <fgColor rgb="FF0038C2"/>
        <bgColor indexed="64"/>
      </patternFill>
    </fill>
    <fill>
      <patternFill patternType="solid">
        <fgColor rgb="FF0038C3"/>
        <bgColor indexed="64"/>
      </patternFill>
    </fill>
    <fill>
      <patternFill patternType="solid">
        <fgColor rgb="FF0038C4"/>
        <bgColor indexed="64"/>
      </patternFill>
    </fill>
    <fill>
      <patternFill patternType="solid">
        <fgColor rgb="FF0038C5"/>
        <bgColor indexed="64"/>
      </patternFill>
    </fill>
    <fill>
      <patternFill patternType="solid">
        <fgColor rgb="FF0038C6"/>
        <bgColor indexed="64"/>
      </patternFill>
    </fill>
    <fill>
      <patternFill patternType="solid">
        <fgColor rgb="FF0038C7"/>
        <bgColor indexed="64"/>
      </patternFill>
    </fill>
    <fill>
      <patternFill patternType="solid">
        <fgColor rgb="FF0038C8"/>
        <bgColor indexed="64"/>
      </patternFill>
    </fill>
    <fill>
      <patternFill patternType="solid">
        <fgColor rgb="FF0038C9"/>
        <bgColor indexed="64"/>
      </patternFill>
    </fill>
    <fill>
      <patternFill patternType="solid">
        <fgColor rgb="FF0038CA"/>
        <bgColor indexed="64"/>
      </patternFill>
    </fill>
    <fill>
      <patternFill patternType="solid">
        <fgColor rgb="FF0038CB"/>
        <bgColor indexed="64"/>
      </patternFill>
    </fill>
    <fill>
      <patternFill patternType="solid">
        <fgColor rgb="FF0038CC"/>
        <bgColor indexed="64"/>
      </patternFill>
    </fill>
    <fill>
      <patternFill patternType="solid">
        <fgColor rgb="FF0038CD"/>
        <bgColor indexed="64"/>
      </patternFill>
    </fill>
    <fill>
      <patternFill patternType="solid">
        <fgColor rgb="FF0038CE"/>
        <bgColor indexed="64"/>
      </patternFill>
    </fill>
    <fill>
      <patternFill patternType="solid">
        <fgColor rgb="FF0038CF"/>
        <bgColor indexed="64"/>
      </patternFill>
    </fill>
    <fill>
      <patternFill patternType="solid">
        <fgColor rgb="FF0038D0"/>
        <bgColor indexed="64"/>
      </patternFill>
    </fill>
    <fill>
      <patternFill patternType="solid">
        <fgColor rgb="FF0038D1"/>
        <bgColor indexed="64"/>
      </patternFill>
    </fill>
    <fill>
      <patternFill patternType="solid">
        <fgColor rgb="FF0038D2"/>
        <bgColor indexed="64"/>
      </patternFill>
    </fill>
    <fill>
      <patternFill patternType="solid">
        <fgColor rgb="FF0038D3"/>
        <bgColor indexed="64"/>
      </patternFill>
    </fill>
    <fill>
      <patternFill patternType="solid">
        <fgColor rgb="FF0038D4"/>
        <bgColor indexed="64"/>
      </patternFill>
    </fill>
    <fill>
      <patternFill patternType="solid">
        <fgColor rgb="FF0038D5"/>
        <bgColor indexed="64"/>
      </patternFill>
    </fill>
    <fill>
      <patternFill patternType="solid">
        <fgColor rgb="FF0038D6"/>
        <bgColor indexed="64"/>
      </patternFill>
    </fill>
    <fill>
      <patternFill patternType="solid">
        <fgColor rgb="FF0038D7"/>
        <bgColor indexed="64"/>
      </patternFill>
    </fill>
    <fill>
      <patternFill patternType="solid">
        <fgColor rgb="FF0038D8"/>
        <bgColor indexed="64"/>
      </patternFill>
    </fill>
    <fill>
      <patternFill patternType="solid">
        <fgColor rgb="FF0038D9"/>
        <bgColor indexed="64"/>
      </patternFill>
    </fill>
    <fill>
      <patternFill patternType="solid">
        <fgColor rgb="FF0038DA"/>
        <bgColor indexed="64"/>
      </patternFill>
    </fill>
    <fill>
      <patternFill patternType="solid">
        <fgColor rgb="FF0038DB"/>
        <bgColor indexed="64"/>
      </patternFill>
    </fill>
    <fill>
      <patternFill patternType="solid">
        <fgColor rgb="FF0038DC"/>
        <bgColor indexed="64"/>
      </patternFill>
    </fill>
    <fill>
      <patternFill patternType="solid">
        <fgColor rgb="FF0038DD"/>
        <bgColor indexed="64"/>
      </patternFill>
    </fill>
    <fill>
      <patternFill patternType="solid">
        <fgColor rgb="FF0038DE"/>
        <bgColor indexed="64"/>
      </patternFill>
    </fill>
    <fill>
      <patternFill patternType="solid">
        <fgColor rgb="FF0038DF"/>
        <bgColor indexed="64"/>
      </patternFill>
    </fill>
    <fill>
      <patternFill patternType="solid">
        <fgColor rgb="FF0038E0"/>
        <bgColor indexed="64"/>
      </patternFill>
    </fill>
    <fill>
      <patternFill patternType="solid">
        <fgColor rgb="FF0038E1"/>
        <bgColor indexed="64"/>
      </patternFill>
    </fill>
    <fill>
      <patternFill patternType="solid">
        <fgColor rgb="FF0038E2"/>
        <bgColor indexed="64"/>
      </patternFill>
    </fill>
    <fill>
      <patternFill patternType="solid">
        <fgColor rgb="FF0038E3"/>
        <bgColor indexed="64"/>
      </patternFill>
    </fill>
    <fill>
      <patternFill patternType="solid">
        <fgColor rgb="FF0038E4"/>
        <bgColor indexed="64"/>
      </patternFill>
    </fill>
    <fill>
      <patternFill patternType="solid">
        <fgColor rgb="FF0038E5"/>
        <bgColor indexed="64"/>
      </patternFill>
    </fill>
    <fill>
      <patternFill patternType="solid">
        <fgColor rgb="FF0038E6"/>
        <bgColor indexed="64"/>
      </patternFill>
    </fill>
    <fill>
      <patternFill patternType="solid">
        <fgColor rgb="FF0038E7"/>
        <bgColor indexed="64"/>
      </patternFill>
    </fill>
    <fill>
      <patternFill patternType="solid">
        <fgColor rgb="FF0038E8"/>
        <bgColor indexed="64"/>
      </patternFill>
    </fill>
    <fill>
      <patternFill patternType="solid">
        <fgColor rgb="FF0038E9"/>
        <bgColor indexed="64"/>
      </patternFill>
    </fill>
    <fill>
      <patternFill patternType="solid">
        <fgColor rgb="FF0038EA"/>
        <bgColor indexed="64"/>
      </patternFill>
    </fill>
    <fill>
      <patternFill patternType="solid">
        <fgColor rgb="FF0038EB"/>
        <bgColor indexed="64"/>
      </patternFill>
    </fill>
    <fill>
      <patternFill patternType="solid">
        <fgColor rgb="FF0038EC"/>
        <bgColor indexed="64"/>
      </patternFill>
    </fill>
    <fill>
      <patternFill patternType="solid">
        <fgColor rgb="FF0038ED"/>
        <bgColor indexed="64"/>
      </patternFill>
    </fill>
    <fill>
      <patternFill patternType="solid">
        <fgColor rgb="FF0038EE"/>
        <bgColor indexed="64"/>
      </patternFill>
    </fill>
    <fill>
      <patternFill patternType="solid">
        <fgColor rgb="FF0038EF"/>
        <bgColor indexed="64"/>
      </patternFill>
    </fill>
    <fill>
      <patternFill patternType="solid">
        <fgColor rgb="FF0038F0"/>
        <bgColor indexed="64"/>
      </patternFill>
    </fill>
    <fill>
      <patternFill patternType="solid">
        <fgColor rgb="FF0038F1"/>
        <bgColor indexed="64"/>
      </patternFill>
    </fill>
    <fill>
      <patternFill patternType="solid">
        <fgColor rgb="FF0038F2"/>
        <bgColor indexed="64"/>
      </patternFill>
    </fill>
    <fill>
      <patternFill patternType="solid">
        <fgColor rgb="FF0038F3"/>
        <bgColor indexed="64"/>
      </patternFill>
    </fill>
    <fill>
      <patternFill patternType="solid">
        <fgColor rgb="FF0038F4"/>
        <bgColor indexed="64"/>
      </patternFill>
    </fill>
    <fill>
      <patternFill patternType="solid">
        <fgColor rgb="FF0038F5"/>
        <bgColor indexed="64"/>
      </patternFill>
    </fill>
    <fill>
      <patternFill patternType="solid">
        <fgColor rgb="FF0038F6"/>
        <bgColor indexed="64"/>
      </patternFill>
    </fill>
    <fill>
      <patternFill patternType="solid">
        <fgColor rgb="FF0038F7"/>
        <bgColor indexed="64"/>
      </patternFill>
    </fill>
    <fill>
      <patternFill patternType="solid">
        <fgColor rgb="FF0038F8"/>
        <bgColor indexed="64"/>
      </patternFill>
    </fill>
    <fill>
      <patternFill patternType="solid">
        <fgColor rgb="FF0038F9"/>
        <bgColor indexed="64"/>
      </patternFill>
    </fill>
    <fill>
      <patternFill patternType="solid">
        <fgColor rgb="FF0038FA"/>
        <bgColor indexed="64"/>
      </patternFill>
    </fill>
    <fill>
      <patternFill patternType="solid">
        <fgColor rgb="FF0038FB"/>
        <bgColor indexed="64"/>
      </patternFill>
    </fill>
    <fill>
      <patternFill patternType="solid">
        <fgColor rgb="FF0038FC"/>
        <bgColor indexed="64"/>
      </patternFill>
    </fill>
    <fill>
      <patternFill patternType="solid">
        <fgColor rgb="FF0038FD"/>
        <bgColor indexed="64"/>
      </patternFill>
    </fill>
    <fill>
      <patternFill patternType="solid">
        <fgColor rgb="FF0038FE"/>
        <bgColor indexed="64"/>
      </patternFill>
    </fill>
    <fill>
      <patternFill patternType="solid">
        <fgColor rgb="FF0038FF"/>
        <bgColor indexed="64"/>
      </patternFill>
    </fill>
    <fill>
      <patternFill patternType="solid">
        <fgColor rgb="FF003900"/>
        <bgColor indexed="64"/>
      </patternFill>
    </fill>
    <fill>
      <patternFill patternType="solid">
        <fgColor rgb="FF003901"/>
        <bgColor indexed="64"/>
      </patternFill>
    </fill>
    <fill>
      <patternFill patternType="solid">
        <fgColor rgb="FF003902"/>
        <bgColor indexed="64"/>
      </patternFill>
    </fill>
    <fill>
      <patternFill patternType="solid">
        <fgColor rgb="FF003903"/>
        <bgColor indexed="64"/>
      </patternFill>
    </fill>
    <fill>
      <patternFill patternType="solid">
        <fgColor rgb="FF003904"/>
        <bgColor indexed="64"/>
      </patternFill>
    </fill>
    <fill>
      <patternFill patternType="solid">
        <fgColor rgb="FF003905"/>
        <bgColor indexed="64"/>
      </patternFill>
    </fill>
    <fill>
      <patternFill patternType="solid">
        <fgColor rgb="FF003906"/>
        <bgColor indexed="64"/>
      </patternFill>
    </fill>
    <fill>
      <patternFill patternType="solid">
        <fgColor rgb="FF003907"/>
        <bgColor indexed="64"/>
      </patternFill>
    </fill>
    <fill>
      <patternFill patternType="solid">
        <fgColor rgb="FF003908"/>
        <bgColor indexed="64"/>
      </patternFill>
    </fill>
    <fill>
      <patternFill patternType="solid">
        <fgColor rgb="FF003909"/>
        <bgColor indexed="64"/>
      </patternFill>
    </fill>
    <fill>
      <patternFill patternType="solid">
        <fgColor rgb="FF00390A"/>
        <bgColor indexed="64"/>
      </patternFill>
    </fill>
    <fill>
      <patternFill patternType="solid">
        <fgColor rgb="FF00390B"/>
        <bgColor indexed="64"/>
      </patternFill>
    </fill>
    <fill>
      <patternFill patternType="solid">
        <fgColor rgb="FF00390C"/>
        <bgColor indexed="64"/>
      </patternFill>
    </fill>
    <fill>
      <patternFill patternType="solid">
        <fgColor rgb="FF00390D"/>
        <bgColor indexed="64"/>
      </patternFill>
    </fill>
    <fill>
      <patternFill patternType="solid">
        <fgColor rgb="FF00390E"/>
        <bgColor indexed="64"/>
      </patternFill>
    </fill>
    <fill>
      <patternFill patternType="solid">
        <fgColor rgb="FF00390F"/>
        <bgColor indexed="64"/>
      </patternFill>
    </fill>
    <fill>
      <patternFill patternType="solid">
        <fgColor rgb="FF003910"/>
        <bgColor indexed="64"/>
      </patternFill>
    </fill>
    <fill>
      <patternFill patternType="solid">
        <fgColor rgb="FF003911"/>
        <bgColor indexed="64"/>
      </patternFill>
    </fill>
    <fill>
      <patternFill patternType="solid">
        <fgColor rgb="FF003912"/>
        <bgColor indexed="64"/>
      </patternFill>
    </fill>
    <fill>
      <patternFill patternType="solid">
        <fgColor rgb="FF003913"/>
        <bgColor indexed="64"/>
      </patternFill>
    </fill>
    <fill>
      <patternFill patternType="solid">
        <fgColor rgb="FF003914"/>
        <bgColor indexed="64"/>
      </patternFill>
    </fill>
    <fill>
      <patternFill patternType="solid">
        <fgColor rgb="FF003915"/>
        <bgColor indexed="64"/>
      </patternFill>
    </fill>
    <fill>
      <patternFill patternType="solid">
        <fgColor rgb="FF003916"/>
        <bgColor indexed="64"/>
      </patternFill>
    </fill>
    <fill>
      <patternFill patternType="solid">
        <fgColor rgb="FF003917"/>
        <bgColor indexed="64"/>
      </patternFill>
    </fill>
    <fill>
      <patternFill patternType="solid">
        <fgColor rgb="FF003918"/>
        <bgColor indexed="64"/>
      </patternFill>
    </fill>
    <fill>
      <patternFill patternType="solid">
        <fgColor rgb="FF003919"/>
        <bgColor indexed="64"/>
      </patternFill>
    </fill>
    <fill>
      <patternFill patternType="solid">
        <fgColor rgb="FF00391A"/>
        <bgColor indexed="64"/>
      </patternFill>
    </fill>
    <fill>
      <patternFill patternType="solid">
        <fgColor rgb="FF00391B"/>
        <bgColor indexed="64"/>
      </patternFill>
    </fill>
    <fill>
      <patternFill patternType="solid">
        <fgColor rgb="FF00391C"/>
        <bgColor indexed="64"/>
      </patternFill>
    </fill>
    <fill>
      <patternFill patternType="solid">
        <fgColor rgb="FF00391D"/>
        <bgColor indexed="64"/>
      </patternFill>
    </fill>
    <fill>
      <patternFill patternType="solid">
        <fgColor rgb="FF00391E"/>
        <bgColor indexed="64"/>
      </patternFill>
    </fill>
    <fill>
      <patternFill patternType="solid">
        <fgColor rgb="FF00391F"/>
        <bgColor indexed="64"/>
      </patternFill>
    </fill>
    <fill>
      <patternFill patternType="solid">
        <fgColor rgb="FF003920"/>
        <bgColor indexed="64"/>
      </patternFill>
    </fill>
    <fill>
      <patternFill patternType="solid">
        <fgColor rgb="FF003921"/>
        <bgColor indexed="64"/>
      </patternFill>
    </fill>
    <fill>
      <patternFill patternType="solid">
        <fgColor rgb="FF003922"/>
        <bgColor indexed="64"/>
      </patternFill>
    </fill>
    <fill>
      <patternFill patternType="solid">
        <fgColor rgb="FF003923"/>
        <bgColor indexed="64"/>
      </patternFill>
    </fill>
    <fill>
      <patternFill patternType="solid">
        <fgColor rgb="FF003924"/>
        <bgColor indexed="64"/>
      </patternFill>
    </fill>
    <fill>
      <patternFill patternType="solid">
        <fgColor rgb="FF003925"/>
        <bgColor indexed="64"/>
      </patternFill>
    </fill>
    <fill>
      <patternFill patternType="solid">
        <fgColor rgb="FF003926"/>
        <bgColor indexed="64"/>
      </patternFill>
    </fill>
    <fill>
      <patternFill patternType="solid">
        <fgColor rgb="FF003927"/>
        <bgColor indexed="64"/>
      </patternFill>
    </fill>
    <fill>
      <patternFill patternType="solid">
        <fgColor rgb="FF003928"/>
        <bgColor indexed="64"/>
      </patternFill>
    </fill>
    <fill>
      <patternFill patternType="solid">
        <fgColor rgb="FF003929"/>
        <bgColor indexed="64"/>
      </patternFill>
    </fill>
    <fill>
      <patternFill patternType="solid">
        <fgColor rgb="FF00392A"/>
        <bgColor indexed="64"/>
      </patternFill>
    </fill>
    <fill>
      <patternFill patternType="solid">
        <fgColor rgb="FF00392B"/>
        <bgColor indexed="64"/>
      </patternFill>
    </fill>
    <fill>
      <patternFill patternType="solid">
        <fgColor rgb="FF00392C"/>
        <bgColor indexed="64"/>
      </patternFill>
    </fill>
    <fill>
      <patternFill patternType="solid">
        <fgColor rgb="FF00392D"/>
        <bgColor indexed="64"/>
      </patternFill>
    </fill>
    <fill>
      <patternFill patternType="solid">
        <fgColor rgb="FF00392E"/>
        <bgColor indexed="64"/>
      </patternFill>
    </fill>
    <fill>
      <patternFill patternType="solid">
        <fgColor rgb="FF00392F"/>
        <bgColor indexed="64"/>
      </patternFill>
    </fill>
    <fill>
      <patternFill patternType="solid">
        <fgColor rgb="FF003930"/>
        <bgColor indexed="64"/>
      </patternFill>
    </fill>
    <fill>
      <patternFill patternType="solid">
        <fgColor rgb="FF003931"/>
        <bgColor indexed="64"/>
      </patternFill>
    </fill>
    <fill>
      <patternFill patternType="solid">
        <fgColor rgb="FF003932"/>
        <bgColor indexed="64"/>
      </patternFill>
    </fill>
    <fill>
      <patternFill patternType="solid">
        <fgColor rgb="FF003933"/>
        <bgColor indexed="64"/>
      </patternFill>
    </fill>
    <fill>
      <patternFill patternType="solid">
        <fgColor rgb="FF003934"/>
        <bgColor indexed="64"/>
      </patternFill>
    </fill>
    <fill>
      <patternFill patternType="solid">
        <fgColor rgb="FF003935"/>
        <bgColor indexed="64"/>
      </patternFill>
    </fill>
    <fill>
      <patternFill patternType="solid">
        <fgColor rgb="FF003936"/>
        <bgColor indexed="64"/>
      </patternFill>
    </fill>
    <fill>
      <patternFill patternType="solid">
        <fgColor rgb="FF003937"/>
        <bgColor indexed="64"/>
      </patternFill>
    </fill>
    <fill>
      <patternFill patternType="solid">
        <fgColor rgb="FF003938"/>
        <bgColor indexed="64"/>
      </patternFill>
    </fill>
    <fill>
      <patternFill patternType="solid">
        <fgColor rgb="FF003939"/>
        <bgColor indexed="64"/>
      </patternFill>
    </fill>
    <fill>
      <patternFill patternType="solid">
        <fgColor rgb="FF00393A"/>
        <bgColor indexed="64"/>
      </patternFill>
    </fill>
    <fill>
      <patternFill patternType="solid">
        <fgColor rgb="FF00393B"/>
        <bgColor indexed="64"/>
      </patternFill>
    </fill>
    <fill>
      <patternFill patternType="solid">
        <fgColor rgb="FF00393C"/>
        <bgColor indexed="64"/>
      </patternFill>
    </fill>
    <fill>
      <patternFill patternType="solid">
        <fgColor rgb="FF00393D"/>
        <bgColor indexed="64"/>
      </patternFill>
    </fill>
    <fill>
      <patternFill patternType="solid">
        <fgColor rgb="FF00393E"/>
        <bgColor indexed="64"/>
      </patternFill>
    </fill>
    <fill>
      <patternFill patternType="solid">
        <fgColor rgb="FF00393F"/>
        <bgColor indexed="64"/>
      </patternFill>
    </fill>
    <fill>
      <patternFill patternType="solid">
        <fgColor rgb="FF003940"/>
        <bgColor indexed="64"/>
      </patternFill>
    </fill>
    <fill>
      <patternFill patternType="solid">
        <fgColor rgb="FF003941"/>
        <bgColor indexed="64"/>
      </patternFill>
    </fill>
    <fill>
      <patternFill patternType="solid">
        <fgColor rgb="FF003942"/>
        <bgColor indexed="64"/>
      </patternFill>
    </fill>
    <fill>
      <patternFill patternType="solid">
        <fgColor rgb="FF003943"/>
        <bgColor indexed="64"/>
      </patternFill>
    </fill>
    <fill>
      <patternFill patternType="solid">
        <fgColor rgb="FF003944"/>
        <bgColor indexed="64"/>
      </patternFill>
    </fill>
    <fill>
      <patternFill patternType="solid">
        <fgColor rgb="FF003945"/>
        <bgColor indexed="64"/>
      </patternFill>
    </fill>
    <fill>
      <patternFill patternType="solid">
        <fgColor rgb="FF003946"/>
        <bgColor indexed="64"/>
      </patternFill>
    </fill>
    <fill>
      <patternFill patternType="solid">
        <fgColor rgb="FF003947"/>
        <bgColor indexed="64"/>
      </patternFill>
    </fill>
    <fill>
      <patternFill patternType="solid">
        <fgColor rgb="FF003948"/>
        <bgColor indexed="64"/>
      </patternFill>
    </fill>
    <fill>
      <patternFill patternType="solid">
        <fgColor rgb="FF003949"/>
        <bgColor indexed="64"/>
      </patternFill>
    </fill>
    <fill>
      <patternFill patternType="solid">
        <fgColor rgb="FF00394A"/>
        <bgColor indexed="64"/>
      </patternFill>
    </fill>
    <fill>
      <patternFill patternType="solid">
        <fgColor rgb="FF00394B"/>
        <bgColor indexed="64"/>
      </patternFill>
    </fill>
    <fill>
      <patternFill patternType="solid">
        <fgColor rgb="FF00394C"/>
        <bgColor indexed="64"/>
      </patternFill>
    </fill>
    <fill>
      <patternFill patternType="solid">
        <fgColor rgb="FF00394D"/>
        <bgColor indexed="64"/>
      </patternFill>
    </fill>
    <fill>
      <patternFill patternType="solid">
        <fgColor rgb="FF00394E"/>
        <bgColor indexed="64"/>
      </patternFill>
    </fill>
    <fill>
      <patternFill patternType="solid">
        <fgColor rgb="FF00394F"/>
        <bgColor indexed="64"/>
      </patternFill>
    </fill>
    <fill>
      <patternFill patternType="solid">
        <fgColor rgb="FF003950"/>
        <bgColor indexed="64"/>
      </patternFill>
    </fill>
    <fill>
      <patternFill patternType="solid">
        <fgColor rgb="FF003951"/>
        <bgColor indexed="64"/>
      </patternFill>
    </fill>
    <fill>
      <patternFill patternType="solid">
        <fgColor rgb="FF003952"/>
        <bgColor indexed="64"/>
      </patternFill>
    </fill>
    <fill>
      <patternFill patternType="solid">
        <fgColor rgb="FF003953"/>
        <bgColor indexed="64"/>
      </patternFill>
    </fill>
    <fill>
      <patternFill patternType="solid">
        <fgColor rgb="FF003954"/>
        <bgColor indexed="64"/>
      </patternFill>
    </fill>
    <fill>
      <patternFill patternType="solid">
        <fgColor rgb="FF003955"/>
        <bgColor indexed="64"/>
      </patternFill>
    </fill>
    <fill>
      <patternFill patternType="solid">
        <fgColor rgb="FF003956"/>
        <bgColor indexed="64"/>
      </patternFill>
    </fill>
    <fill>
      <patternFill patternType="solid">
        <fgColor rgb="FF003957"/>
        <bgColor indexed="64"/>
      </patternFill>
    </fill>
    <fill>
      <patternFill patternType="solid">
        <fgColor rgb="FF003958"/>
        <bgColor indexed="64"/>
      </patternFill>
    </fill>
    <fill>
      <patternFill patternType="solid">
        <fgColor rgb="FF003959"/>
        <bgColor indexed="64"/>
      </patternFill>
    </fill>
    <fill>
      <patternFill patternType="solid">
        <fgColor rgb="FF00395A"/>
        <bgColor indexed="64"/>
      </patternFill>
    </fill>
    <fill>
      <patternFill patternType="solid">
        <fgColor rgb="FF00395B"/>
        <bgColor indexed="64"/>
      </patternFill>
    </fill>
    <fill>
      <patternFill patternType="solid">
        <fgColor rgb="FF00395C"/>
        <bgColor indexed="64"/>
      </patternFill>
    </fill>
    <fill>
      <patternFill patternType="solid">
        <fgColor rgb="FF00395D"/>
        <bgColor indexed="64"/>
      </patternFill>
    </fill>
    <fill>
      <patternFill patternType="solid">
        <fgColor rgb="FF00395E"/>
        <bgColor indexed="64"/>
      </patternFill>
    </fill>
    <fill>
      <patternFill patternType="solid">
        <fgColor rgb="FF00395F"/>
        <bgColor indexed="64"/>
      </patternFill>
    </fill>
    <fill>
      <patternFill patternType="solid">
        <fgColor rgb="FF003960"/>
        <bgColor indexed="64"/>
      </patternFill>
    </fill>
    <fill>
      <patternFill patternType="solid">
        <fgColor rgb="FF003961"/>
        <bgColor indexed="64"/>
      </patternFill>
    </fill>
    <fill>
      <patternFill patternType="solid">
        <fgColor rgb="FF003962"/>
        <bgColor indexed="64"/>
      </patternFill>
    </fill>
    <fill>
      <patternFill patternType="solid">
        <fgColor rgb="FF003963"/>
        <bgColor indexed="64"/>
      </patternFill>
    </fill>
    <fill>
      <patternFill patternType="solid">
        <fgColor rgb="FF003964"/>
        <bgColor indexed="64"/>
      </patternFill>
    </fill>
    <fill>
      <patternFill patternType="solid">
        <fgColor rgb="FF003965"/>
        <bgColor indexed="64"/>
      </patternFill>
    </fill>
    <fill>
      <patternFill patternType="solid">
        <fgColor rgb="FF003966"/>
        <bgColor indexed="64"/>
      </patternFill>
    </fill>
    <fill>
      <patternFill patternType="solid">
        <fgColor rgb="FF003967"/>
        <bgColor indexed="64"/>
      </patternFill>
    </fill>
    <fill>
      <patternFill patternType="solid">
        <fgColor rgb="FF003968"/>
        <bgColor indexed="64"/>
      </patternFill>
    </fill>
    <fill>
      <patternFill patternType="solid">
        <fgColor rgb="FF003969"/>
        <bgColor indexed="64"/>
      </patternFill>
    </fill>
    <fill>
      <patternFill patternType="solid">
        <fgColor rgb="FF00396A"/>
        <bgColor indexed="64"/>
      </patternFill>
    </fill>
    <fill>
      <patternFill patternType="solid">
        <fgColor rgb="FF00396B"/>
        <bgColor indexed="64"/>
      </patternFill>
    </fill>
    <fill>
      <patternFill patternType="solid">
        <fgColor rgb="FF00396C"/>
        <bgColor indexed="64"/>
      </patternFill>
    </fill>
    <fill>
      <patternFill patternType="solid">
        <fgColor rgb="FF00396D"/>
        <bgColor indexed="64"/>
      </patternFill>
    </fill>
    <fill>
      <patternFill patternType="solid">
        <fgColor rgb="FF00396E"/>
        <bgColor indexed="64"/>
      </patternFill>
    </fill>
    <fill>
      <patternFill patternType="solid">
        <fgColor rgb="FF00396F"/>
        <bgColor indexed="64"/>
      </patternFill>
    </fill>
    <fill>
      <patternFill patternType="solid">
        <fgColor rgb="FF003970"/>
        <bgColor indexed="64"/>
      </patternFill>
    </fill>
    <fill>
      <patternFill patternType="solid">
        <fgColor rgb="FF003971"/>
        <bgColor indexed="64"/>
      </patternFill>
    </fill>
    <fill>
      <patternFill patternType="solid">
        <fgColor rgb="FF003972"/>
        <bgColor indexed="64"/>
      </patternFill>
    </fill>
    <fill>
      <patternFill patternType="solid">
        <fgColor rgb="FF003973"/>
        <bgColor indexed="64"/>
      </patternFill>
    </fill>
    <fill>
      <patternFill patternType="solid">
        <fgColor rgb="FF003974"/>
        <bgColor indexed="64"/>
      </patternFill>
    </fill>
    <fill>
      <patternFill patternType="solid">
        <fgColor rgb="FF003975"/>
        <bgColor indexed="64"/>
      </patternFill>
    </fill>
    <fill>
      <patternFill patternType="solid">
        <fgColor rgb="FF003976"/>
        <bgColor indexed="64"/>
      </patternFill>
    </fill>
    <fill>
      <patternFill patternType="solid">
        <fgColor rgb="FF003977"/>
        <bgColor indexed="64"/>
      </patternFill>
    </fill>
    <fill>
      <patternFill patternType="solid">
        <fgColor rgb="FF003978"/>
        <bgColor indexed="64"/>
      </patternFill>
    </fill>
    <fill>
      <patternFill patternType="solid">
        <fgColor rgb="FF003979"/>
        <bgColor indexed="64"/>
      </patternFill>
    </fill>
    <fill>
      <patternFill patternType="solid">
        <fgColor rgb="FF00397A"/>
        <bgColor indexed="64"/>
      </patternFill>
    </fill>
    <fill>
      <patternFill patternType="solid">
        <fgColor rgb="FF00397B"/>
        <bgColor indexed="64"/>
      </patternFill>
    </fill>
    <fill>
      <patternFill patternType="solid">
        <fgColor rgb="FF00397C"/>
        <bgColor indexed="64"/>
      </patternFill>
    </fill>
    <fill>
      <patternFill patternType="solid">
        <fgColor rgb="FF00397D"/>
        <bgColor indexed="64"/>
      </patternFill>
    </fill>
    <fill>
      <patternFill patternType="solid">
        <fgColor rgb="FF00397E"/>
        <bgColor indexed="64"/>
      </patternFill>
    </fill>
    <fill>
      <patternFill patternType="solid">
        <fgColor rgb="FF00397F"/>
        <bgColor indexed="64"/>
      </patternFill>
    </fill>
    <fill>
      <patternFill patternType="solid">
        <fgColor rgb="FF003980"/>
        <bgColor indexed="64"/>
      </patternFill>
    </fill>
    <fill>
      <patternFill patternType="solid">
        <fgColor rgb="FF003981"/>
        <bgColor indexed="64"/>
      </patternFill>
    </fill>
    <fill>
      <patternFill patternType="solid">
        <fgColor rgb="FF003982"/>
        <bgColor indexed="64"/>
      </patternFill>
    </fill>
    <fill>
      <patternFill patternType="solid">
        <fgColor rgb="FF003983"/>
        <bgColor indexed="64"/>
      </patternFill>
    </fill>
    <fill>
      <patternFill patternType="solid">
        <fgColor rgb="FF003984"/>
        <bgColor indexed="64"/>
      </patternFill>
    </fill>
    <fill>
      <patternFill patternType="solid">
        <fgColor rgb="FF003985"/>
        <bgColor indexed="64"/>
      </patternFill>
    </fill>
    <fill>
      <patternFill patternType="solid">
        <fgColor rgb="FF003986"/>
        <bgColor indexed="64"/>
      </patternFill>
    </fill>
    <fill>
      <patternFill patternType="solid">
        <fgColor rgb="FF003987"/>
        <bgColor indexed="64"/>
      </patternFill>
    </fill>
    <fill>
      <patternFill patternType="solid">
        <fgColor rgb="FF003988"/>
        <bgColor indexed="64"/>
      </patternFill>
    </fill>
    <fill>
      <patternFill patternType="solid">
        <fgColor rgb="FF003989"/>
        <bgColor indexed="64"/>
      </patternFill>
    </fill>
    <fill>
      <patternFill patternType="solid">
        <fgColor rgb="FF00398A"/>
        <bgColor indexed="64"/>
      </patternFill>
    </fill>
    <fill>
      <patternFill patternType="solid">
        <fgColor rgb="FF00398B"/>
        <bgColor indexed="64"/>
      </patternFill>
    </fill>
    <fill>
      <patternFill patternType="solid">
        <fgColor rgb="FF00398C"/>
        <bgColor indexed="64"/>
      </patternFill>
    </fill>
    <fill>
      <patternFill patternType="solid">
        <fgColor rgb="FF00398D"/>
        <bgColor indexed="64"/>
      </patternFill>
    </fill>
    <fill>
      <patternFill patternType="solid">
        <fgColor rgb="FF00398E"/>
        <bgColor indexed="64"/>
      </patternFill>
    </fill>
    <fill>
      <patternFill patternType="solid">
        <fgColor rgb="FF00398F"/>
        <bgColor indexed="64"/>
      </patternFill>
    </fill>
    <fill>
      <patternFill patternType="solid">
        <fgColor rgb="FF003990"/>
        <bgColor indexed="64"/>
      </patternFill>
    </fill>
    <fill>
      <patternFill patternType="solid">
        <fgColor rgb="FF003991"/>
        <bgColor indexed="64"/>
      </patternFill>
    </fill>
    <fill>
      <patternFill patternType="solid">
        <fgColor rgb="FF003992"/>
        <bgColor indexed="64"/>
      </patternFill>
    </fill>
    <fill>
      <patternFill patternType="solid">
        <fgColor rgb="FF003993"/>
        <bgColor indexed="64"/>
      </patternFill>
    </fill>
    <fill>
      <patternFill patternType="solid">
        <fgColor rgb="FF003994"/>
        <bgColor indexed="64"/>
      </patternFill>
    </fill>
    <fill>
      <patternFill patternType="solid">
        <fgColor rgb="FF003995"/>
        <bgColor indexed="64"/>
      </patternFill>
    </fill>
    <fill>
      <patternFill patternType="solid">
        <fgColor rgb="FF003996"/>
        <bgColor indexed="64"/>
      </patternFill>
    </fill>
    <fill>
      <patternFill patternType="solid">
        <fgColor rgb="FF003997"/>
        <bgColor indexed="64"/>
      </patternFill>
    </fill>
    <fill>
      <patternFill patternType="solid">
        <fgColor rgb="FF003998"/>
        <bgColor indexed="64"/>
      </patternFill>
    </fill>
    <fill>
      <patternFill patternType="solid">
        <fgColor rgb="FF003999"/>
        <bgColor indexed="64"/>
      </patternFill>
    </fill>
    <fill>
      <patternFill patternType="solid">
        <fgColor rgb="FF00399A"/>
        <bgColor indexed="64"/>
      </patternFill>
    </fill>
    <fill>
      <patternFill patternType="solid">
        <fgColor rgb="FF00399B"/>
        <bgColor indexed="64"/>
      </patternFill>
    </fill>
    <fill>
      <patternFill patternType="solid">
        <fgColor rgb="FF00399C"/>
        <bgColor indexed="64"/>
      </patternFill>
    </fill>
    <fill>
      <patternFill patternType="solid">
        <fgColor rgb="FF00399D"/>
        <bgColor indexed="64"/>
      </patternFill>
    </fill>
    <fill>
      <patternFill patternType="solid">
        <fgColor rgb="FF00399E"/>
        <bgColor indexed="64"/>
      </patternFill>
    </fill>
    <fill>
      <patternFill patternType="solid">
        <fgColor rgb="FF00399F"/>
        <bgColor indexed="64"/>
      </patternFill>
    </fill>
    <fill>
      <patternFill patternType="solid">
        <fgColor rgb="FF0039A0"/>
        <bgColor indexed="64"/>
      </patternFill>
    </fill>
    <fill>
      <patternFill patternType="solid">
        <fgColor rgb="FF0039A1"/>
        <bgColor indexed="64"/>
      </patternFill>
    </fill>
    <fill>
      <patternFill patternType="solid">
        <fgColor rgb="FF0039A2"/>
        <bgColor indexed="64"/>
      </patternFill>
    </fill>
    <fill>
      <patternFill patternType="solid">
        <fgColor rgb="FF0039A3"/>
        <bgColor indexed="64"/>
      </patternFill>
    </fill>
    <fill>
      <patternFill patternType="solid">
        <fgColor rgb="FF0039A4"/>
        <bgColor indexed="64"/>
      </patternFill>
    </fill>
    <fill>
      <patternFill patternType="solid">
        <fgColor rgb="FF0039A5"/>
        <bgColor indexed="64"/>
      </patternFill>
    </fill>
    <fill>
      <patternFill patternType="solid">
        <fgColor rgb="FF0039A6"/>
        <bgColor indexed="64"/>
      </patternFill>
    </fill>
    <fill>
      <patternFill patternType="solid">
        <fgColor rgb="FF0039A7"/>
        <bgColor indexed="64"/>
      </patternFill>
    </fill>
    <fill>
      <patternFill patternType="solid">
        <fgColor rgb="FF0039A8"/>
        <bgColor indexed="64"/>
      </patternFill>
    </fill>
    <fill>
      <patternFill patternType="solid">
        <fgColor rgb="FF0039A9"/>
        <bgColor indexed="64"/>
      </patternFill>
    </fill>
    <fill>
      <patternFill patternType="solid">
        <fgColor rgb="FF0039AA"/>
        <bgColor indexed="64"/>
      </patternFill>
    </fill>
    <fill>
      <patternFill patternType="solid">
        <fgColor rgb="FF0039AB"/>
        <bgColor indexed="64"/>
      </patternFill>
    </fill>
    <fill>
      <patternFill patternType="solid">
        <fgColor rgb="FF0039AC"/>
        <bgColor indexed="64"/>
      </patternFill>
    </fill>
    <fill>
      <patternFill patternType="solid">
        <fgColor rgb="FF0039AD"/>
        <bgColor indexed="64"/>
      </patternFill>
    </fill>
    <fill>
      <patternFill patternType="solid">
        <fgColor rgb="FF0039AE"/>
        <bgColor indexed="64"/>
      </patternFill>
    </fill>
    <fill>
      <patternFill patternType="solid">
        <fgColor rgb="FF0039AF"/>
        <bgColor indexed="64"/>
      </patternFill>
    </fill>
    <fill>
      <patternFill patternType="solid">
        <fgColor rgb="FF0039B0"/>
        <bgColor indexed="64"/>
      </patternFill>
    </fill>
    <fill>
      <patternFill patternType="solid">
        <fgColor rgb="FF0039B1"/>
        <bgColor indexed="64"/>
      </patternFill>
    </fill>
    <fill>
      <patternFill patternType="solid">
        <fgColor rgb="FF0039B2"/>
        <bgColor indexed="64"/>
      </patternFill>
    </fill>
    <fill>
      <patternFill patternType="solid">
        <fgColor rgb="FF0039B3"/>
        <bgColor indexed="64"/>
      </patternFill>
    </fill>
    <fill>
      <patternFill patternType="solid">
        <fgColor rgb="FF0039B4"/>
        <bgColor indexed="64"/>
      </patternFill>
    </fill>
    <fill>
      <patternFill patternType="solid">
        <fgColor rgb="FF0039B5"/>
        <bgColor indexed="64"/>
      </patternFill>
    </fill>
    <fill>
      <patternFill patternType="solid">
        <fgColor rgb="FF0039B6"/>
        <bgColor indexed="64"/>
      </patternFill>
    </fill>
    <fill>
      <patternFill patternType="solid">
        <fgColor rgb="FF0039B7"/>
        <bgColor indexed="64"/>
      </patternFill>
    </fill>
    <fill>
      <patternFill patternType="solid">
        <fgColor rgb="FF0039B8"/>
        <bgColor indexed="64"/>
      </patternFill>
    </fill>
    <fill>
      <patternFill patternType="solid">
        <fgColor rgb="FF0039B9"/>
        <bgColor indexed="64"/>
      </patternFill>
    </fill>
    <fill>
      <patternFill patternType="solid">
        <fgColor rgb="FF0039BA"/>
        <bgColor indexed="64"/>
      </patternFill>
    </fill>
    <fill>
      <patternFill patternType="solid">
        <fgColor rgb="FF0039BB"/>
        <bgColor indexed="64"/>
      </patternFill>
    </fill>
    <fill>
      <patternFill patternType="solid">
        <fgColor rgb="FF0039BC"/>
        <bgColor indexed="64"/>
      </patternFill>
    </fill>
    <fill>
      <patternFill patternType="solid">
        <fgColor rgb="FF0039BD"/>
        <bgColor indexed="64"/>
      </patternFill>
    </fill>
    <fill>
      <patternFill patternType="solid">
        <fgColor rgb="FF0039BE"/>
        <bgColor indexed="64"/>
      </patternFill>
    </fill>
    <fill>
      <patternFill patternType="solid">
        <fgColor rgb="FF0039BF"/>
        <bgColor indexed="64"/>
      </patternFill>
    </fill>
    <fill>
      <patternFill patternType="solid">
        <fgColor rgb="FF0039C0"/>
        <bgColor indexed="64"/>
      </patternFill>
    </fill>
    <fill>
      <patternFill patternType="solid">
        <fgColor rgb="FF0039C1"/>
        <bgColor indexed="64"/>
      </patternFill>
    </fill>
    <fill>
      <patternFill patternType="solid">
        <fgColor rgb="FF0039C2"/>
        <bgColor indexed="64"/>
      </patternFill>
    </fill>
    <fill>
      <patternFill patternType="solid">
        <fgColor rgb="FF0039C3"/>
        <bgColor indexed="64"/>
      </patternFill>
    </fill>
    <fill>
      <patternFill patternType="solid">
        <fgColor rgb="FF0039C4"/>
        <bgColor indexed="64"/>
      </patternFill>
    </fill>
    <fill>
      <patternFill patternType="solid">
        <fgColor rgb="FF0039C5"/>
        <bgColor indexed="64"/>
      </patternFill>
    </fill>
    <fill>
      <patternFill patternType="solid">
        <fgColor rgb="FF0039C6"/>
        <bgColor indexed="64"/>
      </patternFill>
    </fill>
    <fill>
      <patternFill patternType="solid">
        <fgColor rgb="FF0039C7"/>
        <bgColor indexed="64"/>
      </patternFill>
    </fill>
    <fill>
      <patternFill patternType="solid">
        <fgColor rgb="FF0039C8"/>
        <bgColor indexed="64"/>
      </patternFill>
    </fill>
    <fill>
      <patternFill patternType="solid">
        <fgColor rgb="FF0039C9"/>
        <bgColor indexed="64"/>
      </patternFill>
    </fill>
    <fill>
      <patternFill patternType="solid">
        <fgColor rgb="FF0039CA"/>
        <bgColor indexed="64"/>
      </patternFill>
    </fill>
    <fill>
      <patternFill patternType="solid">
        <fgColor rgb="FF0039CB"/>
        <bgColor indexed="64"/>
      </patternFill>
    </fill>
    <fill>
      <patternFill patternType="solid">
        <fgColor rgb="FF0039CC"/>
        <bgColor indexed="64"/>
      </patternFill>
    </fill>
    <fill>
      <patternFill patternType="solid">
        <fgColor rgb="FF0039CD"/>
        <bgColor indexed="64"/>
      </patternFill>
    </fill>
    <fill>
      <patternFill patternType="solid">
        <fgColor rgb="FF0039CE"/>
        <bgColor indexed="64"/>
      </patternFill>
    </fill>
    <fill>
      <patternFill patternType="solid">
        <fgColor rgb="FF0039CF"/>
        <bgColor indexed="64"/>
      </patternFill>
    </fill>
    <fill>
      <patternFill patternType="solid">
        <fgColor rgb="FF0039D0"/>
        <bgColor indexed="64"/>
      </patternFill>
    </fill>
    <fill>
      <patternFill patternType="solid">
        <fgColor rgb="FF0039D1"/>
        <bgColor indexed="64"/>
      </patternFill>
    </fill>
    <fill>
      <patternFill patternType="solid">
        <fgColor rgb="FF0039D2"/>
        <bgColor indexed="64"/>
      </patternFill>
    </fill>
    <fill>
      <patternFill patternType="solid">
        <fgColor rgb="FF0039D3"/>
        <bgColor indexed="64"/>
      </patternFill>
    </fill>
    <fill>
      <patternFill patternType="solid">
        <fgColor rgb="FF0039D4"/>
        <bgColor indexed="64"/>
      </patternFill>
    </fill>
    <fill>
      <patternFill patternType="solid">
        <fgColor rgb="FF0039D5"/>
        <bgColor indexed="64"/>
      </patternFill>
    </fill>
    <fill>
      <patternFill patternType="solid">
        <fgColor rgb="FF0039D6"/>
        <bgColor indexed="64"/>
      </patternFill>
    </fill>
    <fill>
      <patternFill patternType="solid">
        <fgColor rgb="FF0039D7"/>
        <bgColor indexed="64"/>
      </patternFill>
    </fill>
    <fill>
      <patternFill patternType="solid">
        <fgColor rgb="FF0039D8"/>
        <bgColor indexed="64"/>
      </patternFill>
    </fill>
    <fill>
      <patternFill patternType="solid">
        <fgColor rgb="FF0039D9"/>
        <bgColor indexed="64"/>
      </patternFill>
    </fill>
    <fill>
      <patternFill patternType="solid">
        <fgColor rgb="FF0039DA"/>
        <bgColor indexed="64"/>
      </patternFill>
    </fill>
    <fill>
      <patternFill patternType="solid">
        <fgColor rgb="FF0039DB"/>
        <bgColor indexed="64"/>
      </patternFill>
    </fill>
    <fill>
      <patternFill patternType="solid">
        <fgColor rgb="FF0039DC"/>
        <bgColor indexed="64"/>
      </patternFill>
    </fill>
    <fill>
      <patternFill patternType="solid">
        <fgColor rgb="FF0039DD"/>
        <bgColor indexed="64"/>
      </patternFill>
    </fill>
    <fill>
      <patternFill patternType="solid">
        <fgColor rgb="FF0039DE"/>
        <bgColor indexed="64"/>
      </patternFill>
    </fill>
    <fill>
      <patternFill patternType="solid">
        <fgColor rgb="FF0039DF"/>
        <bgColor indexed="64"/>
      </patternFill>
    </fill>
    <fill>
      <patternFill patternType="solid">
        <fgColor rgb="FF0039E0"/>
        <bgColor indexed="64"/>
      </patternFill>
    </fill>
    <fill>
      <patternFill patternType="solid">
        <fgColor rgb="FF0039E1"/>
        <bgColor indexed="64"/>
      </patternFill>
    </fill>
    <fill>
      <patternFill patternType="solid">
        <fgColor rgb="FF0039E2"/>
        <bgColor indexed="64"/>
      </patternFill>
    </fill>
    <fill>
      <patternFill patternType="solid">
        <fgColor rgb="FF0039E3"/>
        <bgColor indexed="64"/>
      </patternFill>
    </fill>
    <fill>
      <patternFill patternType="solid">
        <fgColor rgb="FF0039E4"/>
        <bgColor indexed="64"/>
      </patternFill>
    </fill>
    <fill>
      <patternFill patternType="solid">
        <fgColor rgb="FF0039E5"/>
        <bgColor indexed="64"/>
      </patternFill>
    </fill>
    <fill>
      <patternFill patternType="solid">
        <fgColor rgb="FF0039E6"/>
        <bgColor indexed="64"/>
      </patternFill>
    </fill>
    <fill>
      <patternFill patternType="solid">
        <fgColor rgb="FF0039E7"/>
        <bgColor indexed="64"/>
      </patternFill>
    </fill>
    <fill>
      <patternFill patternType="solid">
        <fgColor rgb="FF0039E8"/>
        <bgColor indexed="64"/>
      </patternFill>
    </fill>
    <fill>
      <patternFill patternType="solid">
        <fgColor rgb="FF0039E9"/>
        <bgColor indexed="64"/>
      </patternFill>
    </fill>
    <fill>
      <patternFill patternType="solid">
        <fgColor rgb="FF0039EA"/>
        <bgColor indexed="64"/>
      </patternFill>
    </fill>
    <fill>
      <patternFill patternType="solid">
        <fgColor rgb="FF0039EB"/>
        <bgColor indexed="64"/>
      </patternFill>
    </fill>
    <fill>
      <patternFill patternType="solid">
        <fgColor rgb="FF0039EC"/>
        <bgColor indexed="64"/>
      </patternFill>
    </fill>
    <fill>
      <patternFill patternType="solid">
        <fgColor rgb="FF0039ED"/>
        <bgColor indexed="64"/>
      </patternFill>
    </fill>
    <fill>
      <patternFill patternType="solid">
        <fgColor rgb="FF0039EE"/>
        <bgColor indexed="64"/>
      </patternFill>
    </fill>
    <fill>
      <patternFill patternType="solid">
        <fgColor rgb="FF0039EF"/>
        <bgColor indexed="64"/>
      </patternFill>
    </fill>
    <fill>
      <patternFill patternType="solid">
        <fgColor rgb="FF0039F0"/>
        <bgColor indexed="64"/>
      </patternFill>
    </fill>
    <fill>
      <patternFill patternType="solid">
        <fgColor rgb="FF0039F1"/>
        <bgColor indexed="64"/>
      </patternFill>
    </fill>
    <fill>
      <patternFill patternType="solid">
        <fgColor rgb="FF0039F2"/>
        <bgColor indexed="64"/>
      </patternFill>
    </fill>
    <fill>
      <patternFill patternType="solid">
        <fgColor rgb="FF0039F3"/>
        <bgColor indexed="64"/>
      </patternFill>
    </fill>
    <fill>
      <patternFill patternType="solid">
        <fgColor rgb="FF0039F4"/>
        <bgColor indexed="64"/>
      </patternFill>
    </fill>
    <fill>
      <patternFill patternType="solid">
        <fgColor rgb="FF0039F5"/>
        <bgColor indexed="64"/>
      </patternFill>
    </fill>
    <fill>
      <patternFill patternType="solid">
        <fgColor rgb="FF0039F6"/>
        <bgColor indexed="64"/>
      </patternFill>
    </fill>
    <fill>
      <patternFill patternType="solid">
        <fgColor rgb="FF0039F7"/>
        <bgColor indexed="64"/>
      </patternFill>
    </fill>
    <fill>
      <patternFill patternType="solid">
        <fgColor rgb="FF0039F8"/>
        <bgColor indexed="64"/>
      </patternFill>
    </fill>
    <fill>
      <patternFill patternType="solid">
        <fgColor rgb="FF0039F9"/>
        <bgColor indexed="64"/>
      </patternFill>
    </fill>
    <fill>
      <patternFill patternType="solid">
        <fgColor rgb="FF0039FA"/>
        <bgColor indexed="64"/>
      </patternFill>
    </fill>
    <fill>
      <patternFill patternType="solid">
        <fgColor rgb="FF0039FB"/>
        <bgColor indexed="64"/>
      </patternFill>
    </fill>
    <fill>
      <patternFill patternType="solid">
        <fgColor rgb="FF0039FC"/>
        <bgColor indexed="64"/>
      </patternFill>
    </fill>
    <fill>
      <patternFill patternType="solid">
        <fgColor rgb="FF0039FD"/>
        <bgColor indexed="64"/>
      </patternFill>
    </fill>
    <fill>
      <patternFill patternType="solid">
        <fgColor rgb="FF0039FE"/>
        <bgColor indexed="64"/>
      </patternFill>
    </fill>
    <fill>
      <patternFill patternType="solid">
        <fgColor rgb="FF0039FF"/>
        <bgColor indexed="64"/>
      </patternFill>
    </fill>
    <fill>
      <patternFill patternType="solid">
        <fgColor rgb="FF003A00"/>
        <bgColor indexed="64"/>
      </patternFill>
    </fill>
    <fill>
      <patternFill patternType="solid">
        <fgColor rgb="FF003A01"/>
        <bgColor indexed="64"/>
      </patternFill>
    </fill>
    <fill>
      <patternFill patternType="solid">
        <fgColor rgb="FF003A02"/>
        <bgColor indexed="64"/>
      </patternFill>
    </fill>
    <fill>
      <patternFill patternType="solid">
        <fgColor rgb="FF003A03"/>
        <bgColor indexed="64"/>
      </patternFill>
    </fill>
    <fill>
      <patternFill patternType="solid">
        <fgColor rgb="FF003A04"/>
        <bgColor indexed="64"/>
      </patternFill>
    </fill>
    <fill>
      <patternFill patternType="solid">
        <fgColor rgb="FF003A05"/>
        <bgColor indexed="64"/>
      </patternFill>
    </fill>
    <fill>
      <patternFill patternType="solid">
        <fgColor rgb="FF003A06"/>
        <bgColor indexed="64"/>
      </patternFill>
    </fill>
    <fill>
      <patternFill patternType="solid">
        <fgColor rgb="FF003A07"/>
        <bgColor indexed="64"/>
      </patternFill>
    </fill>
    <fill>
      <patternFill patternType="solid">
        <fgColor rgb="FF003A08"/>
        <bgColor indexed="64"/>
      </patternFill>
    </fill>
    <fill>
      <patternFill patternType="solid">
        <fgColor rgb="FF003A09"/>
        <bgColor indexed="64"/>
      </patternFill>
    </fill>
    <fill>
      <patternFill patternType="solid">
        <fgColor rgb="FF003A0A"/>
        <bgColor indexed="64"/>
      </patternFill>
    </fill>
    <fill>
      <patternFill patternType="solid">
        <fgColor rgb="FF003A0B"/>
        <bgColor indexed="64"/>
      </patternFill>
    </fill>
    <fill>
      <patternFill patternType="solid">
        <fgColor rgb="FF003A0C"/>
        <bgColor indexed="64"/>
      </patternFill>
    </fill>
    <fill>
      <patternFill patternType="solid">
        <fgColor rgb="FF003A0D"/>
        <bgColor indexed="64"/>
      </patternFill>
    </fill>
    <fill>
      <patternFill patternType="solid">
        <fgColor rgb="FF003A0E"/>
        <bgColor indexed="64"/>
      </patternFill>
    </fill>
    <fill>
      <patternFill patternType="solid">
        <fgColor rgb="FF003A0F"/>
        <bgColor indexed="64"/>
      </patternFill>
    </fill>
    <fill>
      <patternFill patternType="solid">
        <fgColor rgb="FF003A10"/>
        <bgColor indexed="64"/>
      </patternFill>
    </fill>
    <fill>
      <patternFill patternType="solid">
        <fgColor rgb="FF003A11"/>
        <bgColor indexed="64"/>
      </patternFill>
    </fill>
    <fill>
      <patternFill patternType="solid">
        <fgColor rgb="FF003A12"/>
        <bgColor indexed="64"/>
      </patternFill>
    </fill>
    <fill>
      <patternFill patternType="solid">
        <fgColor rgb="FF003A13"/>
        <bgColor indexed="64"/>
      </patternFill>
    </fill>
    <fill>
      <patternFill patternType="solid">
        <fgColor rgb="FF003A14"/>
        <bgColor indexed="64"/>
      </patternFill>
    </fill>
    <fill>
      <patternFill patternType="solid">
        <fgColor rgb="FF003A15"/>
        <bgColor indexed="64"/>
      </patternFill>
    </fill>
    <fill>
      <patternFill patternType="solid">
        <fgColor rgb="FF003A16"/>
        <bgColor indexed="64"/>
      </patternFill>
    </fill>
    <fill>
      <patternFill patternType="solid">
        <fgColor rgb="FF003A17"/>
        <bgColor indexed="64"/>
      </patternFill>
    </fill>
    <fill>
      <patternFill patternType="solid">
        <fgColor rgb="FF003A18"/>
        <bgColor indexed="64"/>
      </patternFill>
    </fill>
    <fill>
      <patternFill patternType="solid">
        <fgColor rgb="FF003A19"/>
        <bgColor indexed="64"/>
      </patternFill>
    </fill>
    <fill>
      <patternFill patternType="solid">
        <fgColor rgb="FF003A1A"/>
        <bgColor indexed="64"/>
      </patternFill>
    </fill>
    <fill>
      <patternFill patternType="solid">
        <fgColor rgb="FF003A1B"/>
        <bgColor indexed="64"/>
      </patternFill>
    </fill>
    <fill>
      <patternFill patternType="solid">
        <fgColor rgb="FF003A1C"/>
        <bgColor indexed="64"/>
      </patternFill>
    </fill>
    <fill>
      <patternFill patternType="solid">
        <fgColor rgb="FF003A1D"/>
        <bgColor indexed="64"/>
      </patternFill>
    </fill>
    <fill>
      <patternFill patternType="solid">
        <fgColor rgb="FF003A1E"/>
        <bgColor indexed="64"/>
      </patternFill>
    </fill>
    <fill>
      <patternFill patternType="solid">
        <fgColor rgb="FF003A1F"/>
        <bgColor indexed="64"/>
      </patternFill>
    </fill>
    <fill>
      <patternFill patternType="solid">
        <fgColor rgb="FF003A20"/>
        <bgColor indexed="64"/>
      </patternFill>
    </fill>
    <fill>
      <patternFill patternType="solid">
        <fgColor rgb="FF003A21"/>
        <bgColor indexed="64"/>
      </patternFill>
    </fill>
    <fill>
      <patternFill patternType="solid">
        <fgColor rgb="FF003A22"/>
        <bgColor indexed="64"/>
      </patternFill>
    </fill>
    <fill>
      <patternFill patternType="solid">
        <fgColor rgb="FF003A23"/>
        <bgColor indexed="64"/>
      </patternFill>
    </fill>
    <fill>
      <patternFill patternType="solid">
        <fgColor rgb="FF003A24"/>
        <bgColor indexed="64"/>
      </patternFill>
    </fill>
    <fill>
      <patternFill patternType="solid">
        <fgColor rgb="FF003A25"/>
        <bgColor indexed="64"/>
      </patternFill>
    </fill>
    <fill>
      <patternFill patternType="solid">
        <fgColor rgb="FF003A26"/>
        <bgColor indexed="64"/>
      </patternFill>
    </fill>
    <fill>
      <patternFill patternType="solid">
        <fgColor rgb="FF003A27"/>
        <bgColor indexed="64"/>
      </patternFill>
    </fill>
    <fill>
      <patternFill patternType="solid">
        <fgColor rgb="FF003A28"/>
        <bgColor indexed="64"/>
      </patternFill>
    </fill>
    <fill>
      <patternFill patternType="solid">
        <fgColor rgb="FF003A29"/>
        <bgColor indexed="64"/>
      </patternFill>
    </fill>
    <fill>
      <patternFill patternType="solid">
        <fgColor rgb="FF003A2A"/>
        <bgColor indexed="64"/>
      </patternFill>
    </fill>
    <fill>
      <patternFill patternType="solid">
        <fgColor rgb="FF003A2B"/>
        <bgColor indexed="64"/>
      </patternFill>
    </fill>
    <fill>
      <patternFill patternType="solid">
        <fgColor rgb="FF003A2C"/>
        <bgColor indexed="64"/>
      </patternFill>
    </fill>
    <fill>
      <patternFill patternType="solid">
        <fgColor rgb="FF003A2D"/>
        <bgColor indexed="64"/>
      </patternFill>
    </fill>
    <fill>
      <patternFill patternType="solid">
        <fgColor rgb="FF003A2E"/>
        <bgColor indexed="64"/>
      </patternFill>
    </fill>
    <fill>
      <patternFill patternType="solid">
        <fgColor rgb="FF003A2F"/>
        <bgColor indexed="64"/>
      </patternFill>
    </fill>
    <fill>
      <patternFill patternType="solid">
        <fgColor rgb="FF003A30"/>
        <bgColor indexed="64"/>
      </patternFill>
    </fill>
    <fill>
      <patternFill patternType="solid">
        <fgColor rgb="FF003A31"/>
        <bgColor indexed="64"/>
      </patternFill>
    </fill>
    <fill>
      <patternFill patternType="solid">
        <fgColor rgb="FF003A32"/>
        <bgColor indexed="64"/>
      </patternFill>
    </fill>
    <fill>
      <patternFill patternType="solid">
        <fgColor rgb="FF003A33"/>
        <bgColor indexed="64"/>
      </patternFill>
    </fill>
    <fill>
      <patternFill patternType="solid">
        <fgColor rgb="FF003A34"/>
        <bgColor indexed="64"/>
      </patternFill>
    </fill>
    <fill>
      <patternFill patternType="solid">
        <fgColor rgb="FF003A35"/>
        <bgColor indexed="64"/>
      </patternFill>
    </fill>
    <fill>
      <patternFill patternType="solid">
        <fgColor rgb="FF003A36"/>
        <bgColor indexed="64"/>
      </patternFill>
    </fill>
    <fill>
      <patternFill patternType="solid">
        <fgColor rgb="FF003A37"/>
        <bgColor indexed="64"/>
      </patternFill>
    </fill>
    <fill>
      <patternFill patternType="solid">
        <fgColor rgb="FF003A38"/>
        <bgColor indexed="64"/>
      </patternFill>
    </fill>
    <fill>
      <patternFill patternType="solid">
        <fgColor rgb="FF003A39"/>
        <bgColor indexed="64"/>
      </patternFill>
    </fill>
    <fill>
      <patternFill patternType="solid">
        <fgColor rgb="FF003A3A"/>
        <bgColor indexed="64"/>
      </patternFill>
    </fill>
    <fill>
      <patternFill patternType="solid">
        <fgColor rgb="FF003A3B"/>
        <bgColor indexed="64"/>
      </patternFill>
    </fill>
    <fill>
      <patternFill patternType="solid">
        <fgColor rgb="FF003A3C"/>
        <bgColor indexed="64"/>
      </patternFill>
    </fill>
    <fill>
      <patternFill patternType="solid">
        <fgColor rgb="FF003A3D"/>
        <bgColor indexed="64"/>
      </patternFill>
    </fill>
    <fill>
      <patternFill patternType="solid">
        <fgColor rgb="FF003A3E"/>
        <bgColor indexed="64"/>
      </patternFill>
    </fill>
    <fill>
      <patternFill patternType="solid">
        <fgColor rgb="FF003A3F"/>
        <bgColor indexed="64"/>
      </patternFill>
    </fill>
    <fill>
      <patternFill patternType="solid">
        <fgColor rgb="FF003A40"/>
        <bgColor indexed="64"/>
      </patternFill>
    </fill>
    <fill>
      <patternFill patternType="solid">
        <fgColor rgb="FF003A41"/>
        <bgColor indexed="64"/>
      </patternFill>
    </fill>
    <fill>
      <patternFill patternType="solid">
        <fgColor rgb="FF003A42"/>
        <bgColor indexed="64"/>
      </patternFill>
    </fill>
    <fill>
      <patternFill patternType="solid">
        <fgColor rgb="FF003A43"/>
        <bgColor indexed="64"/>
      </patternFill>
    </fill>
    <fill>
      <patternFill patternType="solid">
        <fgColor rgb="FF003A44"/>
        <bgColor indexed="64"/>
      </patternFill>
    </fill>
    <fill>
      <patternFill patternType="solid">
        <fgColor rgb="FF003A45"/>
        <bgColor indexed="64"/>
      </patternFill>
    </fill>
    <fill>
      <patternFill patternType="solid">
        <fgColor rgb="FF003A46"/>
        <bgColor indexed="64"/>
      </patternFill>
    </fill>
    <fill>
      <patternFill patternType="solid">
        <fgColor rgb="FF003A47"/>
        <bgColor indexed="64"/>
      </patternFill>
    </fill>
    <fill>
      <patternFill patternType="solid">
        <fgColor rgb="FF003A48"/>
        <bgColor indexed="64"/>
      </patternFill>
    </fill>
    <fill>
      <patternFill patternType="solid">
        <fgColor rgb="FF003A49"/>
        <bgColor indexed="64"/>
      </patternFill>
    </fill>
    <fill>
      <patternFill patternType="solid">
        <fgColor rgb="FF003A4A"/>
        <bgColor indexed="64"/>
      </patternFill>
    </fill>
    <fill>
      <patternFill patternType="solid">
        <fgColor rgb="FF003A4B"/>
        <bgColor indexed="64"/>
      </patternFill>
    </fill>
    <fill>
      <patternFill patternType="solid">
        <fgColor rgb="FF003A4C"/>
        <bgColor indexed="64"/>
      </patternFill>
    </fill>
    <fill>
      <patternFill patternType="solid">
        <fgColor rgb="FF003A4D"/>
        <bgColor indexed="64"/>
      </patternFill>
    </fill>
    <fill>
      <patternFill patternType="solid">
        <fgColor rgb="FF003A4E"/>
        <bgColor indexed="64"/>
      </patternFill>
    </fill>
    <fill>
      <patternFill patternType="solid">
        <fgColor rgb="FF003A4F"/>
        <bgColor indexed="64"/>
      </patternFill>
    </fill>
    <fill>
      <patternFill patternType="solid">
        <fgColor rgb="FF003A50"/>
        <bgColor indexed="64"/>
      </patternFill>
    </fill>
    <fill>
      <patternFill patternType="solid">
        <fgColor rgb="FF003A51"/>
        <bgColor indexed="64"/>
      </patternFill>
    </fill>
    <fill>
      <patternFill patternType="solid">
        <fgColor rgb="FF003A52"/>
        <bgColor indexed="64"/>
      </patternFill>
    </fill>
    <fill>
      <patternFill patternType="solid">
        <fgColor rgb="FF003A53"/>
        <bgColor indexed="64"/>
      </patternFill>
    </fill>
    <fill>
      <patternFill patternType="solid">
        <fgColor rgb="FF003A54"/>
        <bgColor indexed="64"/>
      </patternFill>
    </fill>
    <fill>
      <patternFill patternType="solid">
        <fgColor rgb="FF003A55"/>
        <bgColor indexed="64"/>
      </patternFill>
    </fill>
    <fill>
      <patternFill patternType="solid">
        <fgColor rgb="FF003A56"/>
        <bgColor indexed="64"/>
      </patternFill>
    </fill>
    <fill>
      <patternFill patternType="solid">
        <fgColor rgb="FF003A57"/>
        <bgColor indexed="64"/>
      </patternFill>
    </fill>
    <fill>
      <patternFill patternType="solid">
        <fgColor rgb="FF003A58"/>
        <bgColor indexed="64"/>
      </patternFill>
    </fill>
    <fill>
      <patternFill patternType="solid">
        <fgColor rgb="FF003A59"/>
        <bgColor indexed="64"/>
      </patternFill>
    </fill>
    <fill>
      <patternFill patternType="solid">
        <fgColor rgb="FF003A5A"/>
        <bgColor indexed="64"/>
      </patternFill>
    </fill>
    <fill>
      <patternFill patternType="solid">
        <fgColor rgb="FF003A5B"/>
        <bgColor indexed="64"/>
      </patternFill>
    </fill>
    <fill>
      <patternFill patternType="solid">
        <fgColor rgb="FF003A5C"/>
        <bgColor indexed="64"/>
      </patternFill>
    </fill>
    <fill>
      <patternFill patternType="solid">
        <fgColor rgb="FF003A5D"/>
        <bgColor indexed="64"/>
      </patternFill>
    </fill>
    <fill>
      <patternFill patternType="solid">
        <fgColor rgb="FF003A5E"/>
        <bgColor indexed="64"/>
      </patternFill>
    </fill>
    <fill>
      <patternFill patternType="solid">
        <fgColor rgb="FF003A5F"/>
        <bgColor indexed="64"/>
      </patternFill>
    </fill>
    <fill>
      <patternFill patternType="solid">
        <fgColor rgb="FF003A60"/>
        <bgColor indexed="64"/>
      </patternFill>
    </fill>
    <fill>
      <patternFill patternType="solid">
        <fgColor rgb="FF003A61"/>
        <bgColor indexed="64"/>
      </patternFill>
    </fill>
    <fill>
      <patternFill patternType="solid">
        <fgColor rgb="FF003A62"/>
        <bgColor indexed="64"/>
      </patternFill>
    </fill>
    <fill>
      <patternFill patternType="solid">
        <fgColor rgb="FF003A63"/>
        <bgColor indexed="64"/>
      </patternFill>
    </fill>
    <fill>
      <patternFill patternType="solid">
        <fgColor rgb="FF003A64"/>
        <bgColor indexed="64"/>
      </patternFill>
    </fill>
    <fill>
      <patternFill patternType="solid">
        <fgColor rgb="FF003A65"/>
        <bgColor indexed="64"/>
      </patternFill>
    </fill>
    <fill>
      <patternFill patternType="solid">
        <fgColor rgb="FF003A66"/>
        <bgColor indexed="64"/>
      </patternFill>
    </fill>
    <fill>
      <patternFill patternType="solid">
        <fgColor rgb="FF003A67"/>
        <bgColor indexed="64"/>
      </patternFill>
    </fill>
    <fill>
      <patternFill patternType="solid">
        <fgColor rgb="FF003A68"/>
        <bgColor indexed="64"/>
      </patternFill>
    </fill>
    <fill>
      <patternFill patternType="solid">
        <fgColor rgb="FF003A69"/>
        <bgColor indexed="64"/>
      </patternFill>
    </fill>
    <fill>
      <patternFill patternType="solid">
        <fgColor rgb="FF003A6A"/>
        <bgColor indexed="64"/>
      </patternFill>
    </fill>
    <fill>
      <patternFill patternType="solid">
        <fgColor rgb="FF003A6B"/>
        <bgColor indexed="64"/>
      </patternFill>
    </fill>
    <fill>
      <patternFill patternType="solid">
        <fgColor rgb="FF003A6C"/>
        <bgColor indexed="64"/>
      </patternFill>
    </fill>
    <fill>
      <patternFill patternType="solid">
        <fgColor rgb="FF003A6D"/>
        <bgColor indexed="64"/>
      </patternFill>
    </fill>
    <fill>
      <patternFill patternType="solid">
        <fgColor rgb="FF003A6E"/>
        <bgColor indexed="64"/>
      </patternFill>
    </fill>
    <fill>
      <patternFill patternType="solid">
        <fgColor rgb="FF003A6F"/>
        <bgColor indexed="64"/>
      </patternFill>
    </fill>
    <fill>
      <patternFill patternType="solid">
        <fgColor rgb="FF003A70"/>
        <bgColor indexed="64"/>
      </patternFill>
    </fill>
    <fill>
      <patternFill patternType="solid">
        <fgColor rgb="FF003A71"/>
        <bgColor indexed="64"/>
      </patternFill>
    </fill>
    <fill>
      <patternFill patternType="solid">
        <fgColor rgb="FF003A72"/>
        <bgColor indexed="64"/>
      </patternFill>
    </fill>
    <fill>
      <patternFill patternType="solid">
        <fgColor rgb="FF003A73"/>
        <bgColor indexed="64"/>
      </patternFill>
    </fill>
    <fill>
      <patternFill patternType="solid">
        <fgColor rgb="FF003A74"/>
        <bgColor indexed="64"/>
      </patternFill>
    </fill>
    <fill>
      <patternFill patternType="solid">
        <fgColor rgb="FF003A75"/>
        <bgColor indexed="64"/>
      </patternFill>
    </fill>
    <fill>
      <patternFill patternType="solid">
        <fgColor rgb="FF003A76"/>
        <bgColor indexed="64"/>
      </patternFill>
    </fill>
    <fill>
      <patternFill patternType="solid">
        <fgColor rgb="FF003A77"/>
        <bgColor indexed="64"/>
      </patternFill>
    </fill>
    <fill>
      <patternFill patternType="solid">
        <fgColor rgb="FF003A78"/>
        <bgColor indexed="64"/>
      </patternFill>
    </fill>
    <fill>
      <patternFill patternType="solid">
        <fgColor rgb="FF003A79"/>
        <bgColor indexed="64"/>
      </patternFill>
    </fill>
    <fill>
      <patternFill patternType="solid">
        <fgColor rgb="FF003A7A"/>
        <bgColor indexed="64"/>
      </patternFill>
    </fill>
    <fill>
      <patternFill patternType="solid">
        <fgColor rgb="FF003A7B"/>
        <bgColor indexed="64"/>
      </patternFill>
    </fill>
    <fill>
      <patternFill patternType="solid">
        <fgColor rgb="FF003A7C"/>
        <bgColor indexed="64"/>
      </patternFill>
    </fill>
    <fill>
      <patternFill patternType="solid">
        <fgColor rgb="FF003A7D"/>
        <bgColor indexed="64"/>
      </patternFill>
    </fill>
    <fill>
      <patternFill patternType="solid">
        <fgColor rgb="FF003A7E"/>
        <bgColor indexed="64"/>
      </patternFill>
    </fill>
    <fill>
      <patternFill patternType="solid">
        <fgColor rgb="FF003A7F"/>
        <bgColor indexed="64"/>
      </patternFill>
    </fill>
    <fill>
      <patternFill patternType="solid">
        <fgColor rgb="FF003A80"/>
        <bgColor indexed="64"/>
      </patternFill>
    </fill>
    <fill>
      <patternFill patternType="solid">
        <fgColor rgb="FF003A81"/>
        <bgColor indexed="64"/>
      </patternFill>
    </fill>
    <fill>
      <patternFill patternType="solid">
        <fgColor rgb="FF003A82"/>
        <bgColor indexed="64"/>
      </patternFill>
    </fill>
    <fill>
      <patternFill patternType="solid">
        <fgColor rgb="FF003A83"/>
        <bgColor indexed="64"/>
      </patternFill>
    </fill>
    <fill>
      <patternFill patternType="solid">
        <fgColor rgb="FF003A84"/>
        <bgColor indexed="64"/>
      </patternFill>
    </fill>
    <fill>
      <patternFill patternType="solid">
        <fgColor rgb="FF003A85"/>
        <bgColor indexed="64"/>
      </patternFill>
    </fill>
    <fill>
      <patternFill patternType="solid">
        <fgColor rgb="FF003A86"/>
        <bgColor indexed="64"/>
      </patternFill>
    </fill>
    <fill>
      <patternFill patternType="solid">
        <fgColor rgb="FF003A87"/>
        <bgColor indexed="64"/>
      </patternFill>
    </fill>
    <fill>
      <patternFill patternType="solid">
        <fgColor rgb="FF003A88"/>
        <bgColor indexed="64"/>
      </patternFill>
    </fill>
    <fill>
      <patternFill patternType="solid">
        <fgColor rgb="FF003A89"/>
        <bgColor indexed="64"/>
      </patternFill>
    </fill>
    <fill>
      <patternFill patternType="solid">
        <fgColor rgb="FF003A8A"/>
        <bgColor indexed="64"/>
      </patternFill>
    </fill>
    <fill>
      <patternFill patternType="solid">
        <fgColor rgb="FF003A8B"/>
        <bgColor indexed="64"/>
      </patternFill>
    </fill>
    <fill>
      <patternFill patternType="solid">
        <fgColor rgb="FF003A8C"/>
        <bgColor indexed="64"/>
      </patternFill>
    </fill>
    <fill>
      <patternFill patternType="solid">
        <fgColor rgb="FF003A8D"/>
        <bgColor indexed="64"/>
      </patternFill>
    </fill>
    <fill>
      <patternFill patternType="solid">
        <fgColor rgb="FF003A8E"/>
        <bgColor indexed="64"/>
      </patternFill>
    </fill>
    <fill>
      <patternFill patternType="solid">
        <fgColor rgb="FF003A8F"/>
        <bgColor indexed="64"/>
      </patternFill>
    </fill>
    <fill>
      <patternFill patternType="solid">
        <fgColor rgb="FF003A90"/>
        <bgColor indexed="64"/>
      </patternFill>
    </fill>
    <fill>
      <patternFill patternType="solid">
        <fgColor rgb="FF003A91"/>
        <bgColor indexed="64"/>
      </patternFill>
    </fill>
    <fill>
      <patternFill patternType="solid">
        <fgColor rgb="FF003A92"/>
        <bgColor indexed="64"/>
      </patternFill>
    </fill>
    <fill>
      <patternFill patternType="solid">
        <fgColor rgb="FF003A93"/>
        <bgColor indexed="64"/>
      </patternFill>
    </fill>
    <fill>
      <patternFill patternType="solid">
        <fgColor rgb="FF003A94"/>
        <bgColor indexed="64"/>
      </patternFill>
    </fill>
    <fill>
      <patternFill patternType="solid">
        <fgColor rgb="FF003A95"/>
        <bgColor indexed="64"/>
      </patternFill>
    </fill>
    <fill>
      <patternFill patternType="solid">
        <fgColor rgb="FF003A96"/>
        <bgColor indexed="64"/>
      </patternFill>
    </fill>
    <fill>
      <patternFill patternType="solid">
        <fgColor rgb="FF003A97"/>
        <bgColor indexed="64"/>
      </patternFill>
    </fill>
    <fill>
      <patternFill patternType="solid">
        <fgColor rgb="FF003A98"/>
        <bgColor indexed="64"/>
      </patternFill>
    </fill>
    <fill>
      <patternFill patternType="solid">
        <fgColor rgb="FF003A99"/>
        <bgColor indexed="64"/>
      </patternFill>
    </fill>
    <fill>
      <patternFill patternType="solid">
        <fgColor rgb="FF003A9A"/>
        <bgColor indexed="64"/>
      </patternFill>
    </fill>
    <fill>
      <patternFill patternType="solid">
        <fgColor rgb="FF003A9B"/>
        <bgColor indexed="64"/>
      </patternFill>
    </fill>
    <fill>
      <patternFill patternType="solid">
        <fgColor rgb="FF003A9C"/>
        <bgColor indexed="64"/>
      </patternFill>
    </fill>
    <fill>
      <patternFill patternType="solid">
        <fgColor rgb="FF003A9D"/>
        <bgColor indexed="64"/>
      </patternFill>
    </fill>
    <fill>
      <patternFill patternType="solid">
        <fgColor rgb="FF003A9E"/>
        <bgColor indexed="64"/>
      </patternFill>
    </fill>
    <fill>
      <patternFill patternType="solid">
        <fgColor rgb="FF003A9F"/>
        <bgColor indexed="64"/>
      </patternFill>
    </fill>
    <fill>
      <patternFill patternType="solid">
        <fgColor rgb="FF003AA0"/>
        <bgColor indexed="64"/>
      </patternFill>
    </fill>
    <fill>
      <patternFill patternType="solid">
        <fgColor rgb="FF003AA1"/>
        <bgColor indexed="64"/>
      </patternFill>
    </fill>
    <fill>
      <patternFill patternType="solid">
        <fgColor rgb="FF003AA2"/>
        <bgColor indexed="64"/>
      </patternFill>
    </fill>
    <fill>
      <patternFill patternType="solid">
        <fgColor rgb="FF003AA3"/>
        <bgColor indexed="64"/>
      </patternFill>
    </fill>
    <fill>
      <patternFill patternType="solid">
        <fgColor rgb="FF003AA4"/>
        <bgColor indexed="64"/>
      </patternFill>
    </fill>
    <fill>
      <patternFill patternType="solid">
        <fgColor rgb="FF003AA5"/>
        <bgColor indexed="64"/>
      </patternFill>
    </fill>
    <fill>
      <patternFill patternType="solid">
        <fgColor rgb="FF003AA6"/>
        <bgColor indexed="64"/>
      </patternFill>
    </fill>
    <fill>
      <patternFill patternType="solid">
        <fgColor rgb="FF003AA7"/>
        <bgColor indexed="64"/>
      </patternFill>
    </fill>
    <fill>
      <patternFill patternType="solid">
        <fgColor rgb="FF003AA8"/>
        <bgColor indexed="64"/>
      </patternFill>
    </fill>
    <fill>
      <patternFill patternType="solid">
        <fgColor rgb="FF003AA9"/>
        <bgColor indexed="64"/>
      </patternFill>
    </fill>
    <fill>
      <patternFill patternType="solid">
        <fgColor rgb="FF003AAA"/>
        <bgColor indexed="64"/>
      </patternFill>
    </fill>
    <fill>
      <patternFill patternType="solid">
        <fgColor rgb="FF003AAB"/>
        <bgColor indexed="64"/>
      </patternFill>
    </fill>
    <fill>
      <patternFill patternType="solid">
        <fgColor rgb="FF003AAC"/>
        <bgColor indexed="64"/>
      </patternFill>
    </fill>
    <fill>
      <patternFill patternType="solid">
        <fgColor rgb="FF003AAD"/>
        <bgColor indexed="64"/>
      </patternFill>
    </fill>
    <fill>
      <patternFill patternType="solid">
        <fgColor rgb="FF003AAE"/>
        <bgColor indexed="64"/>
      </patternFill>
    </fill>
    <fill>
      <patternFill patternType="solid">
        <fgColor rgb="FF003AAF"/>
        <bgColor indexed="64"/>
      </patternFill>
    </fill>
    <fill>
      <patternFill patternType="solid">
        <fgColor rgb="FF003AB0"/>
        <bgColor indexed="64"/>
      </patternFill>
    </fill>
    <fill>
      <patternFill patternType="solid">
        <fgColor rgb="FF003AB1"/>
        <bgColor indexed="64"/>
      </patternFill>
    </fill>
    <fill>
      <patternFill patternType="solid">
        <fgColor rgb="FF003AB2"/>
        <bgColor indexed="64"/>
      </patternFill>
    </fill>
    <fill>
      <patternFill patternType="solid">
        <fgColor rgb="FF003AB3"/>
        <bgColor indexed="64"/>
      </patternFill>
    </fill>
    <fill>
      <patternFill patternType="solid">
        <fgColor rgb="FF003AB4"/>
        <bgColor indexed="64"/>
      </patternFill>
    </fill>
    <fill>
      <patternFill patternType="solid">
        <fgColor rgb="FF003AB5"/>
        <bgColor indexed="64"/>
      </patternFill>
    </fill>
    <fill>
      <patternFill patternType="solid">
        <fgColor rgb="FF003AB6"/>
        <bgColor indexed="64"/>
      </patternFill>
    </fill>
    <fill>
      <patternFill patternType="solid">
        <fgColor rgb="FF003AB7"/>
        <bgColor indexed="64"/>
      </patternFill>
    </fill>
    <fill>
      <patternFill patternType="solid">
        <fgColor rgb="FF003AB8"/>
        <bgColor indexed="64"/>
      </patternFill>
    </fill>
    <fill>
      <patternFill patternType="solid">
        <fgColor rgb="FF003AB9"/>
        <bgColor indexed="64"/>
      </patternFill>
    </fill>
    <fill>
      <patternFill patternType="solid">
        <fgColor rgb="FF003ABA"/>
        <bgColor indexed="64"/>
      </patternFill>
    </fill>
    <fill>
      <patternFill patternType="solid">
        <fgColor rgb="FF003ABB"/>
        <bgColor indexed="64"/>
      </patternFill>
    </fill>
    <fill>
      <patternFill patternType="solid">
        <fgColor rgb="FF003ABC"/>
        <bgColor indexed="64"/>
      </patternFill>
    </fill>
    <fill>
      <patternFill patternType="solid">
        <fgColor rgb="FF003ABD"/>
        <bgColor indexed="64"/>
      </patternFill>
    </fill>
    <fill>
      <patternFill patternType="solid">
        <fgColor rgb="FF003ABE"/>
        <bgColor indexed="64"/>
      </patternFill>
    </fill>
    <fill>
      <patternFill patternType="solid">
        <fgColor rgb="FF003ABF"/>
        <bgColor indexed="64"/>
      </patternFill>
    </fill>
    <fill>
      <patternFill patternType="solid">
        <fgColor rgb="FF003AC0"/>
        <bgColor indexed="64"/>
      </patternFill>
    </fill>
    <fill>
      <patternFill patternType="solid">
        <fgColor rgb="FF003AC1"/>
        <bgColor indexed="64"/>
      </patternFill>
    </fill>
    <fill>
      <patternFill patternType="solid">
        <fgColor rgb="FF003AC2"/>
        <bgColor indexed="64"/>
      </patternFill>
    </fill>
    <fill>
      <patternFill patternType="solid">
        <fgColor rgb="FF003AC3"/>
        <bgColor indexed="64"/>
      </patternFill>
    </fill>
    <fill>
      <patternFill patternType="solid">
        <fgColor rgb="FF003AC4"/>
        <bgColor indexed="64"/>
      </patternFill>
    </fill>
    <fill>
      <patternFill patternType="solid">
        <fgColor rgb="FF003AC5"/>
        <bgColor indexed="64"/>
      </patternFill>
    </fill>
    <fill>
      <patternFill patternType="solid">
        <fgColor rgb="FF003AC6"/>
        <bgColor indexed="64"/>
      </patternFill>
    </fill>
    <fill>
      <patternFill patternType="solid">
        <fgColor rgb="FF003AC7"/>
        <bgColor indexed="64"/>
      </patternFill>
    </fill>
    <fill>
      <patternFill patternType="solid">
        <fgColor rgb="FF003AC8"/>
        <bgColor indexed="64"/>
      </patternFill>
    </fill>
    <fill>
      <patternFill patternType="solid">
        <fgColor rgb="FF003AC9"/>
        <bgColor indexed="64"/>
      </patternFill>
    </fill>
    <fill>
      <patternFill patternType="solid">
        <fgColor rgb="FF003ACA"/>
        <bgColor indexed="64"/>
      </patternFill>
    </fill>
    <fill>
      <patternFill patternType="solid">
        <fgColor rgb="FF003ACB"/>
        <bgColor indexed="64"/>
      </patternFill>
    </fill>
    <fill>
      <patternFill patternType="solid">
        <fgColor rgb="FF003ACC"/>
        <bgColor indexed="64"/>
      </patternFill>
    </fill>
    <fill>
      <patternFill patternType="solid">
        <fgColor rgb="FF003ACD"/>
        <bgColor indexed="64"/>
      </patternFill>
    </fill>
    <fill>
      <patternFill patternType="solid">
        <fgColor rgb="FF003ACE"/>
        <bgColor indexed="64"/>
      </patternFill>
    </fill>
    <fill>
      <patternFill patternType="solid">
        <fgColor rgb="FF003ACF"/>
        <bgColor indexed="64"/>
      </patternFill>
    </fill>
    <fill>
      <patternFill patternType="solid">
        <fgColor rgb="FF003AD0"/>
        <bgColor indexed="64"/>
      </patternFill>
    </fill>
    <fill>
      <patternFill patternType="solid">
        <fgColor rgb="FF003AD1"/>
        <bgColor indexed="64"/>
      </patternFill>
    </fill>
    <fill>
      <patternFill patternType="solid">
        <fgColor rgb="FF003AD2"/>
        <bgColor indexed="64"/>
      </patternFill>
    </fill>
    <fill>
      <patternFill patternType="solid">
        <fgColor rgb="FF003AD3"/>
        <bgColor indexed="64"/>
      </patternFill>
    </fill>
    <fill>
      <patternFill patternType="solid">
        <fgColor rgb="FF003AD4"/>
        <bgColor indexed="64"/>
      </patternFill>
    </fill>
    <fill>
      <patternFill patternType="solid">
        <fgColor rgb="FF003AD5"/>
        <bgColor indexed="64"/>
      </patternFill>
    </fill>
    <fill>
      <patternFill patternType="solid">
        <fgColor rgb="FF003AD6"/>
        <bgColor indexed="64"/>
      </patternFill>
    </fill>
    <fill>
      <patternFill patternType="solid">
        <fgColor rgb="FF003AD7"/>
        <bgColor indexed="64"/>
      </patternFill>
    </fill>
    <fill>
      <patternFill patternType="solid">
        <fgColor rgb="FF003AD8"/>
        <bgColor indexed="64"/>
      </patternFill>
    </fill>
    <fill>
      <patternFill patternType="solid">
        <fgColor rgb="FF003AD9"/>
        <bgColor indexed="64"/>
      </patternFill>
    </fill>
    <fill>
      <patternFill patternType="solid">
        <fgColor rgb="FF003ADA"/>
        <bgColor indexed="64"/>
      </patternFill>
    </fill>
    <fill>
      <patternFill patternType="solid">
        <fgColor rgb="FF003ADB"/>
        <bgColor indexed="64"/>
      </patternFill>
    </fill>
    <fill>
      <patternFill patternType="solid">
        <fgColor rgb="FF003ADC"/>
        <bgColor indexed="64"/>
      </patternFill>
    </fill>
    <fill>
      <patternFill patternType="solid">
        <fgColor rgb="FF003ADD"/>
        <bgColor indexed="64"/>
      </patternFill>
    </fill>
    <fill>
      <patternFill patternType="solid">
        <fgColor rgb="FF003ADE"/>
        <bgColor indexed="64"/>
      </patternFill>
    </fill>
    <fill>
      <patternFill patternType="solid">
        <fgColor rgb="FF003ADF"/>
        <bgColor indexed="64"/>
      </patternFill>
    </fill>
    <fill>
      <patternFill patternType="solid">
        <fgColor rgb="FF003AE0"/>
        <bgColor indexed="64"/>
      </patternFill>
    </fill>
    <fill>
      <patternFill patternType="solid">
        <fgColor rgb="FF003AE1"/>
        <bgColor indexed="64"/>
      </patternFill>
    </fill>
    <fill>
      <patternFill patternType="solid">
        <fgColor rgb="FF003AE2"/>
        <bgColor indexed="64"/>
      </patternFill>
    </fill>
    <fill>
      <patternFill patternType="solid">
        <fgColor rgb="FF003AE3"/>
        <bgColor indexed="64"/>
      </patternFill>
    </fill>
    <fill>
      <patternFill patternType="solid">
        <fgColor rgb="FF003AE4"/>
        <bgColor indexed="64"/>
      </patternFill>
    </fill>
    <fill>
      <patternFill patternType="solid">
        <fgColor rgb="FF003AE5"/>
        <bgColor indexed="64"/>
      </patternFill>
    </fill>
    <fill>
      <patternFill patternType="solid">
        <fgColor rgb="FF003AE6"/>
        <bgColor indexed="64"/>
      </patternFill>
    </fill>
    <fill>
      <patternFill patternType="solid">
        <fgColor rgb="FF003AE7"/>
        <bgColor indexed="64"/>
      </patternFill>
    </fill>
    <fill>
      <patternFill patternType="solid">
        <fgColor rgb="FF003AE8"/>
        <bgColor indexed="64"/>
      </patternFill>
    </fill>
    <fill>
      <patternFill patternType="solid">
        <fgColor rgb="FF003AE9"/>
        <bgColor indexed="64"/>
      </patternFill>
    </fill>
    <fill>
      <patternFill patternType="solid">
        <fgColor rgb="FF003AEA"/>
        <bgColor indexed="64"/>
      </patternFill>
    </fill>
    <fill>
      <patternFill patternType="solid">
        <fgColor rgb="FF003AEB"/>
        <bgColor indexed="64"/>
      </patternFill>
    </fill>
    <fill>
      <patternFill patternType="solid">
        <fgColor rgb="FF003AEC"/>
        <bgColor indexed="64"/>
      </patternFill>
    </fill>
    <fill>
      <patternFill patternType="solid">
        <fgColor rgb="FF003AED"/>
        <bgColor indexed="64"/>
      </patternFill>
    </fill>
    <fill>
      <patternFill patternType="solid">
        <fgColor rgb="FF003AEE"/>
        <bgColor indexed="64"/>
      </patternFill>
    </fill>
    <fill>
      <patternFill patternType="solid">
        <fgColor rgb="FF003AEF"/>
        <bgColor indexed="64"/>
      </patternFill>
    </fill>
    <fill>
      <patternFill patternType="solid">
        <fgColor rgb="FF003AF0"/>
        <bgColor indexed="64"/>
      </patternFill>
    </fill>
    <fill>
      <patternFill patternType="solid">
        <fgColor rgb="FF003AF1"/>
        <bgColor indexed="64"/>
      </patternFill>
    </fill>
    <fill>
      <patternFill patternType="solid">
        <fgColor rgb="FF003AF2"/>
        <bgColor indexed="64"/>
      </patternFill>
    </fill>
    <fill>
      <patternFill patternType="solid">
        <fgColor rgb="FF003AF3"/>
        <bgColor indexed="64"/>
      </patternFill>
    </fill>
    <fill>
      <patternFill patternType="solid">
        <fgColor rgb="FF003AF4"/>
        <bgColor indexed="64"/>
      </patternFill>
    </fill>
    <fill>
      <patternFill patternType="solid">
        <fgColor rgb="FF003AF5"/>
        <bgColor indexed="64"/>
      </patternFill>
    </fill>
    <fill>
      <patternFill patternType="solid">
        <fgColor rgb="FF003AF6"/>
        <bgColor indexed="64"/>
      </patternFill>
    </fill>
    <fill>
      <patternFill patternType="solid">
        <fgColor rgb="FF003AF7"/>
        <bgColor indexed="64"/>
      </patternFill>
    </fill>
    <fill>
      <patternFill patternType="solid">
        <fgColor rgb="FF003AF8"/>
        <bgColor indexed="64"/>
      </patternFill>
    </fill>
    <fill>
      <patternFill patternType="solid">
        <fgColor rgb="FF003AF9"/>
        <bgColor indexed="64"/>
      </patternFill>
    </fill>
    <fill>
      <patternFill patternType="solid">
        <fgColor rgb="FF003AFA"/>
        <bgColor indexed="64"/>
      </patternFill>
    </fill>
    <fill>
      <patternFill patternType="solid">
        <fgColor rgb="FF003AFB"/>
        <bgColor indexed="64"/>
      </patternFill>
    </fill>
    <fill>
      <patternFill patternType="solid">
        <fgColor rgb="FF003AFC"/>
        <bgColor indexed="64"/>
      </patternFill>
    </fill>
    <fill>
      <patternFill patternType="solid">
        <fgColor rgb="FF003AFD"/>
        <bgColor indexed="64"/>
      </patternFill>
    </fill>
    <fill>
      <patternFill patternType="solid">
        <fgColor rgb="FF003AFE"/>
        <bgColor indexed="64"/>
      </patternFill>
    </fill>
    <fill>
      <patternFill patternType="solid">
        <fgColor rgb="FF003AFF"/>
        <bgColor indexed="64"/>
      </patternFill>
    </fill>
    <fill>
      <patternFill patternType="solid">
        <fgColor rgb="FF003B00"/>
        <bgColor indexed="64"/>
      </patternFill>
    </fill>
    <fill>
      <patternFill patternType="solid">
        <fgColor rgb="FF003B01"/>
        <bgColor indexed="64"/>
      </patternFill>
    </fill>
    <fill>
      <patternFill patternType="solid">
        <fgColor rgb="FF003B02"/>
        <bgColor indexed="64"/>
      </patternFill>
    </fill>
    <fill>
      <patternFill patternType="solid">
        <fgColor rgb="FF003B03"/>
        <bgColor indexed="64"/>
      </patternFill>
    </fill>
    <fill>
      <patternFill patternType="solid">
        <fgColor rgb="FF003B04"/>
        <bgColor indexed="64"/>
      </patternFill>
    </fill>
    <fill>
      <patternFill patternType="solid">
        <fgColor rgb="FF003B05"/>
        <bgColor indexed="64"/>
      </patternFill>
    </fill>
    <fill>
      <patternFill patternType="solid">
        <fgColor rgb="FF003B06"/>
        <bgColor indexed="64"/>
      </patternFill>
    </fill>
    <fill>
      <patternFill patternType="solid">
        <fgColor rgb="FF003B07"/>
        <bgColor indexed="64"/>
      </patternFill>
    </fill>
    <fill>
      <patternFill patternType="solid">
        <fgColor rgb="FF003B08"/>
        <bgColor indexed="64"/>
      </patternFill>
    </fill>
    <fill>
      <patternFill patternType="solid">
        <fgColor rgb="FF003B09"/>
        <bgColor indexed="64"/>
      </patternFill>
    </fill>
    <fill>
      <patternFill patternType="solid">
        <fgColor rgb="FF003B0A"/>
        <bgColor indexed="64"/>
      </patternFill>
    </fill>
    <fill>
      <patternFill patternType="solid">
        <fgColor rgb="FF003B0B"/>
        <bgColor indexed="64"/>
      </patternFill>
    </fill>
    <fill>
      <patternFill patternType="solid">
        <fgColor rgb="FF003B0C"/>
        <bgColor indexed="64"/>
      </patternFill>
    </fill>
    <fill>
      <patternFill patternType="solid">
        <fgColor rgb="FF003B0D"/>
        <bgColor indexed="64"/>
      </patternFill>
    </fill>
    <fill>
      <patternFill patternType="solid">
        <fgColor rgb="FF003B0E"/>
        <bgColor indexed="64"/>
      </patternFill>
    </fill>
    <fill>
      <patternFill patternType="solid">
        <fgColor rgb="FF003B0F"/>
        <bgColor indexed="64"/>
      </patternFill>
    </fill>
    <fill>
      <patternFill patternType="solid">
        <fgColor rgb="FF003B10"/>
        <bgColor indexed="64"/>
      </patternFill>
    </fill>
    <fill>
      <patternFill patternType="solid">
        <fgColor rgb="FF003B11"/>
        <bgColor indexed="64"/>
      </patternFill>
    </fill>
    <fill>
      <patternFill patternType="solid">
        <fgColor rgb="FF003B12"/>
        <bgColor indexed="64"/>
      </patternFill>
    </fill>
    <fill>
      <patternFill patternType="solid">
        <fgColor rgb="FF003B13"/>
        <bgColor indexed="64"/>
      </patternFill>
    </fill>
    <fill>
      <patternFill patternType="solid">
        <fgColor rgb="FF003B14"/>
        <bgColor indexed="64"/>
      </patternFill>
    </fill>
    <fill>
      <patternFill patternType="solid">
        <fgColor rgb="FF003B15"/>
        <bgColor indexed="64"/>
      </patternFill>
    </fill>
    <fill>
      <patternFill patternType="solid">
        <fgColor rgb="FF003B16"/>
        <bgColor indexed="64"/>
      </patternFill>
    </fill>
    <fill>
      <patternFill patternType="solid">
        <fgColor rgb="FF003B17"/>
        <bgColor indexed="64"/>
      </patternFill>
    </fill>
    <fill>
      <patternFill patternType="solid">
        <fgColor rgb="FF003B18"/>
        <bgColor indexed="64"/>
      </patternFill>
    </fill>
    <fill>
      <patternFill patternType="solid">
        <fgColor rgb="FF003B19"/>
        <bgColor indexed="64"/>
      </patternFill>
    </fill>
    <fill>
      <patternFill patternType="solid">
        <fgColor rgb="FF003B1A"/>
        <bgColor indexed="64"/>
      </patternFill>
    </fill>
    <fill>
      <patternFill patternType="solid">
        <fgColor rgb="FF003B1B"/>
        <bgColor indexed="64"/>
      </patternFill>
    </fill>
    <fill>
      <patternFill patternType="solid">
        <fgColor rgb="FF003B1C"/>
        <bgColor indexed="64"/>
      </patternFill>
    </fill>
    <fill>
      <patternFill patternType="solid">
        <fgColor rgb="FF003B1D"/>
        <bgColor indexed="64"/>
      </patternFill>
    </fill>
    <fill>
      <patternFill patternType="solid">
        <fgColor rgb="FF003B1E"/>
        <bgColor indexed="64"/>
      </patternFill>
    </fill>
    <fill>
      <patternFill patternType="solid">
        <fgColor rgb="FF003B1F"/>
        <bgColor indexed="64"/>
      </patternFill>
    </fill>
    <fill>
      <patternFill patternType="solid">
        <fgColor rgb="FF003B20"/>
        <bgColor indexed="64"/>
      </patternFill>
    </fill>
    <fill>
      <patternFill patternType="solid">
        <fgColor rgb="FF003B21"/>
        <bgColor indexed="64"/>
      </patternFill>
    </fill>
    <fill>
      <patternFill patternType="solid">
        <fgColor rgb="FF003B22"/>
        <bgColor indexed="64"/>
      </patternFill>
    </fill>
    <fill>
      <patternFill patternType="solid">
        <fgColor rgb="FF003B23"/>
        <bgColor indexed="64"/>
      </patternFill>
    </fill>
    <fill>
      <patternFill patternType="solid">
        <fgColor rgb="FF003B24"/>
        <bgColor indexed="64"/>
      </patternFill>
    </fill>
    <fill>
      <patternFill patternType="solid">
        <fgColor rgb="FF003B25"/>
        <bgColor indexed="64"/>
      </patternFill>
    </fill>
    <fill>
      <patternFill patternType="solid">
        <fgColor rgb="FF003B26"/>
        <bgColor indexed="64"/>
      </patternFill>
    </fill>
    <fill>
      <patternFill patternType="solid">
        <fgColor rgb="FF003B27"/>
        <bgColor indexed="64"/>
      </patternFill>
    </fill>
    <fill>
      <patternFill patternType="solid">
        <fgColor rgb="FF003B28"/>
        <bgColor indexed="64"/>
      </patternFill>
    </fill>
    <fill>
      <patternFill patternType="solid">
        <fgColor rgb="FF003B29"/>
        <bgColor indexed="64"/>
      </patternFill>
    </fill>
    <fill>
      <patternFill patternType="solid">
        <fgColor rgb="FF003B2A"/>
        <bgColor indexed="64"/>
      </patternFill>
    </fill>
    <fill>
      <patternFill patternType="solid">
        <fgColor rgb="FF003B2B"/>
        <bgColor indexed="64"/>
      </patternFill>
    </fill>
    <fill>
      <patternFill patternType="solid">
        <fgColor rgb="FF003B2C"/>
        <bgColor indexed="64"/>
      </patternFill>
    </fill>
    <fill>
      <patternFill patternType="solid">
        <fgColor rgb="FF003B2D"/>
        <bgColor indexed="64"/>
      </patternFill>
    </fill>
    <fill>
      <patternFill patternType="solid">
        <fgColor rgb="FF003B2E"/>
        <bgColor indexed="64"/>
      </patternFill>
    </fill>
    <fill>
      <patternFill patternType="solid">
        <fgColor rgb="FF003B2F"/>
        <bgColor indexed="64"/>
      </patternFill>
    </fill>
    <fill>
      <patternFill patternType="solid">
        <fgColor rgb="FF003B30"/>
        <bgColor indexed="64"/>
      </patternFill>
    </fill>
    <fill>
      <patternFill patternType="solid">
        <fgColor rgb="FF003B31"/>
        <bgColor indexed="64"/>
      </patternFill>
    </fill>
    <fill>
      <patternFill patternType="solid">
        <fgColor rgb="FF003B32"/>
        <bgColor indexed="64"/>
      </patternFill>
    </fill>
    <fill>
      <patternFill patternType="solid">
        <fgColor rgb="FF003B33"/>
        <bgColor indexed="64"/>
      </patternFill>
    </fill>
    <fill>
      <patternFill patternType="solid">
        <fgColor rgb="FF003B34"/>
        <bgColor indexed="64"/>
      </patternFill>
    </fill>
    <fill>
      <patternFill patternType="solid">
        <fgColor rgb="FF003B35"/>
        <bgColor indexed="64"/>
      </patternFill>
    </fill>
    <fill>
      <patternFill patternType="solid">
        <fgColor rgb="FF003B36"/>
        <bgColor indexed="64"/>
      </patternFill>
    </fill>
    <fill>
      <patternFill patternType="solid">
        <fgColor rgb="FF003B37"/>
        <bgColor indexed="64"/>
      </patternFill>
    </fill>
    <fill>
      <patternFill patternType="solid">
        <fgColor rgb="FF003B38"/>
        <bgColor indexed="64"/>
      </patternFill>
    </fill>
    <fill>
      <patternFill patternType="solid">
        <fgColor rgb="FF003B39"/>
        <bgColor indexed="64"/>
      </patternFill>
    </fill>
    <fill>
      <patternFill patternType="solid">
        <fgColor rgb="FF003B3A"/>
        <bgColor indexed="64"/>
      </patternFill>
    </fill>
    <fill>
      <patternFill patternType="solid">
        <fgColor rgb="FF003B3B"/>
        <bgColor indexed="64"/>
      </patternFill>
    </fill>
    <fill>
      <patternFill patternType="solid">
        <fgColor rgb="FF003B3C"/>
        <bgColor indexed="64"/>
      </patternFill>
    </fill>
    <fill>
      <patternFill patternType="solid">
        <fgColor rgb="FF003B3D"/>
        <bgColor indexed="64"/>
      </patternFill>
    </fill>
    <fill>
      <patternFill patternType="solid">
        <fgColor rgb="FF003B3E"/>
        <bgColor indexed="64"/>
      </patternFill>
    </fill>
    <fill>
      <patternFill patternType="solid">
        <fgColor rgb="FF003B3F"/>
        <bgColor indexed="64"/>
      </patternFill>
    </fill>
    <fill>
      <patternFill patternType="solid">
        <fgColor rgb="FF003B40"/>
        <bgColor indexed="64"/>
      </patternFill>
    </fill>
    <fill>
      <patternFill patternType="solid">
        <fgColor rgb="FF003B41"/>
        <bgColor indexed="64"/>
      </patternFill>
    </fill>
    <fill>
      <patternFill patternType="solid">
        <fgColor rgb="FF003B42"/>
        <bgColor indexed="64"/>
      </patternFill>
    </fill>
    <fill>
      <patternFill patternType="solid">
        <fgColor rgb="FF003B43"/>
        <bgColor indexed="64"/>
      </patternFill>
    </fill>
    <fill>
      <patternFill patternType="solid">
        <fgColor rgb="FF003B44"/>
        <bgColor indexed="64"/>
      </patternFill>
    </fill>
    <fill>
      <patternFill patternType="solid">
        <fgColor rgb="FF003B45"/>
        <bgColor indexed="64"/>
      </patternFill>
    </fill>
    <fill>
      <patternFill patternType="solid">
        <fgColor rgb="FF003B46"/>
        <bgColor indexed="64"/>
      </patternFill>
    </fill>
    <fill>
      <patternFill patternType="solid">
        <fgColor rgb="FF003B47"/>
        <bgColor indexed="64"/>
      </patternFill>
    </fill>
    <fill>
      <patternFill patternType="solid">
        <fgColor rgb="FF003B48"/>
        <bgColor indexed="64"/>
      </patternFill>
    </fill>
    <fill>
      <patternFill patternType="solid">
        <fgColor rgb="FF003B49"/>
        <bgColor indexed="64"/>
      </patternFill>
    </fill>
    <fill>
      <patternFill patternType="solid">
        <fgColor rgb="FF003B4A"/>
        <bgColor indexed="64"/>
      </patternFill>
    </fill>
    <fill>
      <patternFill patternType="solid">
        <fgColor rgb="FF003B4B"/>
        <bgColor indexed="64"/>
      </patternFill>
    </fill>
    <fill>
      <patternFill patternType="solid">
        <fgColor rgb="FF003B4C"/>
        <bgColor indexed="64"/>
      </patternFill>
    </fill>
    <fill>
      <patternFill patternType="solid">
        <fgColor rgb="FF003B4D"/>
        <bgColor indexed="64"/>
      </patternFill>
    </fill>
    <fill>
      <patternFill patternType="solid">
        <fgColor rgb="FF003B4E"/>
        <bgColor indexed="64"/>
      </patternFill>
    </fill>
    <fill>
      <patternFill patternType="solid">
        <fgColor rgb="FF003B4F"/>
        <bgColor indexed="64"/>
      </patternFill>
    </fill>
    <fill>
      <patternFill patternType="solid">
        <fgColor rgb="FF003B50"/>
        <bgColor indexed="64"/>
      </patternFill>
    </fill>
    <fill>
      <patternFill patternType="solid">
        <fgColor rgb="FF003B51"/>
        <bgColor indexed="64"/>
      </patternFill>
    </fill>
    <fill>
      <patternFill patternType="solid">
        <fgColor rgb="FF003B52"/>
        <bgColor indexed="64"/>
      </patternFill>
    </fill>
    <fill>
      <patternFill patternType="solid">
        <fgColor rgb="FF003B53"/>
        <bgColor indexed="64"/>
      </patternFill>
    </fill>
    <fill>
      <patternFill patternType="solid">
        <fgColor rgb="FF003B54"/>
        <bgColor indexed="64"/>
      </patternFill>
    </fill>
    <fill>
      <patternFill patternType="solid">
        <fgColor rgb="FF003B55"/>
        <bgColor indexed="64"/>
      </patternFill>
    </fill>
    <fill>
      <patternFill patternType="solid">
        <fgColor rgb="FF003B56"/>
        <bgColor indexed="64"/>
      </patternFill>
    </fill>
    <fill>
      <patternFill patternType="solid">
        <fgColor rgb="FF003B57"/>
        <bgColor indexed="64"/>
      </patternFill>
    </fill>
    <fill>
      <patternFill patternType="solid">
        <fgColor rgb="FF003B58"/>
        <bgColor indexed="64"/>
      </patternFill>
    </fill>
    <fill>
      <patternFill patternType="solid">
        <fgColor rgb="FF003B59"/>
        <bgColor indexed="64"/>
      </patternFill>
    </fill>
    <fill>
      <patternFill patternType="solid">
        <fgColor rgb="FF003B5A"/>
        <bgColor indexed="64"/>
      </patternFill>
    </fill>
    <fill>
      <patternFill patternType="solid">
        <fgColor rgb="FF003B5B"/>
        <bgColor indexed="64"/>
      </patternFill>
    </fill>
    <fill>
      <patternFill patternType="solid">
        <fgColor rgb="FF003B5C"/>
        <bgColor indexed="64"/>
      </patternFill>
    </fill>
    <fill>
      <patternFill patternType="solid">
        <fgColor rgb="FF003B5D"/>
        <bgColor indexed="64"/>
      </patternFill>
    </fill>
    <fill>
      <patternFill patternType="solid">
        <fgColor rgb="FF003B5E"/>
        <bgColor indexed="64"/>
      </patternFill>
    </fill>
    <fill>
      <patternFill patternType="solid">
        <fgColor rgb="FF003B5F"/>
        <bgColor indexed="64"/>
      </patternFill>
    </fill>
    <fill>
      <patternFill patternType="solid">
        <fgColor rgb="FF003B60"/>
        <bgColor indexed="64"/>
      </patternFill>
    </fill>
    <fill>
      <patternFill patternType="solid">
        <fgColor rgb="FF003B61"/>
        <bgColor indexed="64"/>
      </patternFill>
    </fill>
    <fill>
      <patternFill patternType="solid">
        <fgColor rgb="FF003B62"/>
        <bgColor indexed="64"/>
      </patternFill>
    </fill>
    <fill>
      <patternFill patternType="solid">
        <fgColor rgb="FF003B63"/>
        <bgColor indexed="64"/>
      </patternFill>
    </fill>
    <fill>
      <patternFill patternType="solid">
        <fgColor rgb="FF003B64"/>
        <bgColor indexed="64"/>
      </patternFill>
    </fill>
    <fill>
      <patternFill patternType="solid">
        <fgColor rgb="FF003B65"/>
        <bgColor indexed="64"/>
      </patternFill>
    </fill>
    <fill>
      <patternFill patternType="solid">
        <fgColor rgb="FF003B66"/>
        <bgColor indexed="64"/>
      </patternFill>
    </fill>
    <fill>
      <patternFill patternType="solid">
        <fgColor rgb="FF003B67"/>
        <bgColor indexed="64"/>
      </patternFill>
    </fill>
    <fill>
      <patternFill patternType="solid">
        <fgColor rgb="FF003B68"/>
        <bgColor indexed="64"/>
      </patternFill>
    </fill>
    <fill>
      <patternFill patternType="solid">
        <fgColor rgb="FF003B69"/>
        <bgColor indexed="64"/>
      </patternFill>
    </fill>
    <fill>
      <patternFill patternType="solid">
        <fgColor rgb="FF003B6A"/>
        <bgColor indexed="64"/>
      </patternFill>
    </fill>
    <fill>
      <patternFill patternType="solid">
        <fgColor rgb="FF003B6B"/>
        <bgColor indexed="64"/>
      </patternFill>
    </fill>
    <fill>
      <patternFill patternType="solid">
        <fgColor rgb="FF003B6C"/>
        <bgColor indexed="64"/>
      </patternFill>
    </fill>
    <fill>
      <patternFill patternType="solid">
        <fgColor rgb="FF003B6D"/>
        <bgColor indexed="64"/>
      </patternFill>
    </fill>
    <fill>
      <patternFill patternType="solid">
        <fgColor rgb="FF003B6E"/>
        <bgColor indexed="64"/>
      </patternFill>
    </fill>
    <fill>
      <patternFill patternType="solid">
        <fgColor rgb="FF003B6F"/>
        <bgColor indexed="64"/>
      </patternFill>
    </fill>
    <fill>
      <patternFill patternType="solid">
        <fgColor rgb="FF003B70"/>
        <bgColor indexed="64"/>
      </patternFill>
    </fill>
    <fill>
      <patternFill patternType="solid">
        <fgColor rgb="FF003B71"/>
        <bgColor indexed="64"/>
      </patternFill>
    </fill>
    <fill>
      <patternFill patternType="solid">
        <fgColor rgb="FF003B72"/>
        <bgColor indexed="64"/>
      </patternFill>
    </fill>
    <fill>
      <patternFill patternType="solid">
        <fgColor rgb="FF003B73"/>
        <bgColor indexed="64"/>
      </patternFill>
    </fill>
    <fill>
      <patternFill patternType="solid">
        <fgColor rgb="FF003B74"/>
        <bgColor indexed="64"/>
      </patternFill>
    </fill>
    <fill>
      <patternFill patternType="solid">
        <fgColor rgb="FF003B75"/>
        <bgColor indexed="64"/>
      </patternFill>
    </fill>
    <fill>
      <patternFill patternType="solid">
        <fgColor rgb="FF003B76"/>
        <bgColor indexed="64"/>
      </patternFill>
    </fill>
    <fill>
      <patternFill patternType="solid">
        <fgColor rgb="FF003B77"/>
        <bgColor indexed="64"/>
      </patternFill>
    </fill>
    <fill>
      <patternFill patternType="solid">
        <fgColor rgb="FF003B78"/>
        <bgColor indexed="64"/>
      </patternFill>
    </fill>
    <fill>
      <patternFill patternType="solid">
        <fgColor rgb="FF003B79"/>
        <bgColor indexed="64"/>
      </patternFill>
    </fill>
    <fill>
      <patternFill patternType="solid">
        <fgColor rgb="FF003B7A"/>
        <bgColor indexed="64"/>
      </patternFill>
    </fill>
    <fill>
      <patternFill patternType="solid">
        <fgColor rgb="FF003B7B"/>
        <bgColor indexed="64"/>
      </patternFill>
    </fill>
    <fill>
      <patternFill patternType="solid">
        <fgColor rgb="FF003B7C"/>
        <bgColor indexed="64"/>
      </patternFill>
    </fill>
    <fill>
      <patternFill patternType="solid">
        <fgColor rgb="FF003B7D"/>
        <bgColor indexed="64"/>
      </patternFill>
    </fill>
    <fill>
      <patternFill patternType="solid">
        <fgColor rgb="FF003B7E"/>
        <bgColor indexed="64"/>
      </patternFill>
    </fill>
    <fill>
      <patternFill patternType="solid">
        <fgColor rgb="FF003B7F"/>
        <bgColor indexed="64"/>
      </patternFill>
    </fill>
    <fill>
      <patternFill patternType="solid">
        <fgColor rgb="FF003B80"/>
        <bgColor indexed="64"/>
      </patternFill>
    </fill>
    <fill>
      <patternFill patternType="solid">
        <fgColor rgb="FF003B81"/>
        <bgColor indexed="64"/>
      </patternFill>
    </fill>
    <fill>
      <patternFill patternType="solid">
        <fgColor rgb="FF003B82"/>
        <bgColor indexed="64"/>
      </patternFill>
    </fill>
    <fill>
      <patternFill patternType="solid">
        <fgColor rgb="FF003B83"/>
        <bgColor indexed="64"/>
      </patternFill>
    </fill>
    <fill>
      <patternFill patternType="solid">
        <fgColor rgb="FF003B84"/>
        <bgColor indexed="64"/>
      </patternFill>
    </fill>
    <fill>
      <patternFill patternType="solid">
        <fgColor rgb="FF003B85"/>
        <bgColor indexed="64"/>
      </patternFill>
    </fill>
    <fill>
      <patternFill patternType="solid">
        <fgColor rgb="FF003B86"/>
        <bgColor indexed="64"/>
      </patternFill>
    </fill>
    <fill>
      <patternFill patternType="solid">
        <fgColor rgb="FF003B87"/>
        <bgColor indexed="64"/>
      </patternFill>
    </fill>
    <fill>
      <patternFill patternType="solid">
        <fgColor rgb="FF003B88"/>
        <bgColor indexed="64"/>
      </patternFill>
    </fill>
    <fill>
      <patternFill patternType="solid">
        <fgColor rgb="FF003B89"/>
        <bgColor indexed="64"/>
      </patternFill>
    </fill>
    <fill>
      <patternFill patternType="solid">
        <fgColor rgb="FF003B8A"/>
        <bgColor indexed="64"/>
      </patternFill>
    </fill>
    <fill>
      <patternFill patternType="solid">
        <fgColor rgb="FF003B8B"/>
        <bgColor indexed="64"/>
      </patternFill>
    </fill>
    <fill>
      <patternFill patternType="solid">
        <fgColor rgb="FF003B8C"/>
        <bgColor indexed="64"/>
      </patternFill>
    </fill>
    <fill>
      <patternFill patternType="solid">
        <fgColor rgb="FF003B8D"/>
        <bgColor indexed="64"/>
      </patternFill>
    </fill>
    <fill>
      <patternFill patternType="solid">
        <fgColor rgb="FF003B8E"/>
        <bgColor indexed="64"/>
      </patternFill>
    </fill>
    <fill>
      <patternFill patternType="solid">
        <fgColor rgb="FF003B8F"/>
        <bgColor indexed="64"/>
      </patternFill>
    </fill>
    <fill>
      <patternFill patternType="solid">
        <fgColor rgb="FF003B90"/>
        <bgColor indexed="64"/>
      </patternFill>
    </fill>
    <fill>
      <patternFill patternType="solid">
        <fgColor rgb="FF003B91"/>
        <bgColor indexed="64"/>
      </patternFill>
    </fill>
    <fill>
      <patternFill patternType="solid">
        <fgColor rgb="FF003B92"/>
        <bgColor indexed="64"/>
      </patternFill>
    </fill>
    <fill>
      <patternFill patternType="solid">
        <fgColor rgb="FF003B93"/>
        <bgColor indexed="64"/>
      </patternFill>
    </fill>
    <fill>
      <patternFill patternType="solid">
        <fgColor rgb="FF003B94"/>
        <bgColor indexed="64"/>
      </patternFill>
    </fill>
    <fill>
      <patternFill patternType="solid">
        <fgColor rgb="FF003B95"/>
        <bgColor indexed="64"/>
      </patternFill>
    </fill>
    <fill>
      <patternFill patternType="solid">
        <fgColor rgb="FF003B96"/>
        <bgColor indexed="64"/>
      </patternFill>
    </fill>
    <fill>
      <patternFill patternType="solid">
        <fgColor rgb="FF003B97"/>
        <bgColor indexed="64"/>
      </patternFill>
    </fill>
    <fill>
      <patternFill patternType="solid">
        <fgColor rgb="FF003B98"/>
        <bgColor indexed="64"/>
      </patternFill>
    </fill>
    <fill>
      <patternFill patternType="solid">
        <fgColor rgb="FF003B99"/>
        <bgColor indexed="64"/>
      </patternFill>
    </fill>
    <fill>
      <patternFill patternType="solid">
        <fgColor rgb="FF003B9A"/>
        <bgColor indexed="64"/>
      </patternFill>
    </fill>
    <fill>
      <patternFill patternType="solid">
        <fgColor rgb="FF003B9B"/>
        <bgColor indexed="64"/>
      </patternFill>
    </fill>
    <fill>
      <patternFill patternType="solid">
        <fgColor rgb="FF003B9C"/>
        <bgColor indexed="64"/>
      </patternFill>
    </fill>
    <fill>
      <patternFill patternType="solid">
        <fgColor rgb="FF003B9D"/>
        <bgColor indexed="64"/>
      </patternFill>
    </fill>
    <fill>
      <patternFill patternType="solid">
        <fgColor rgb="FF003B9E"/>
        <bgColor indexed="64"/>
      </patternFill>
    </fill>
    <fill>
      <patternFill patternType="solid">
        <fgColor rgb="FF003B9F"/>
        <bgColor indexed="64"/>
      </patternFill>
    </fill>
    <fill>
      <patternFill patternType="solid">
        <fgColor rgb="FF003BA0"/>
        <bgColor indexed="64"/>
      </patternFill>
    </fill>
    <fill>
      <patternFill patternType="solid">
        <fgColor rgb="FF003BA1"/>
        <bgColor indexed="64"/>
      </patternFill>
    </fill>
    <fill>
      <patternFill patternType="solid">
        <fgColor rgb="FF003BA2"/>
        <bgColor indexed="64"/>
      </patternFill>
    </fill>
    <fill>
      <patternFill patternType="solid">
        <fgColor rgb="FF003BA3"/>
        <bgColor indexed="64"/>
      </patternFill>
    </fill>
    <fill>
      <patternFill patternType="solid">
        <fgColor rgb="FF003BA4"/>
        <bgColor indexed="64"/>
      </patternFill>
    </fill>
    <fill>
      <patternFill patternType="solid">
        <fgColor rgb="FF003BA5"/>
        <bgColor indexed="64"/>
      </patternFill>
    </fill>
    <fill>
      <patternFill patternType="solid">
        <fgColor rgb="FF003BA6"/>
        <bgColor indexed="64"/>
      </patternFill>
    </fill>
    <fill>
      <patternFill patternType="solid">
        <fgColor rgb="FF003BA7"/>
        <bgColor indexed="64"/>
      </patternFill>
    </fill>
    <fill>
      <patternFill patternType="solid">
        <fgColor rgb="FF003BA8"/>
        <bgColor indexed="64"/>
      </patternFill>
    </fill>
    <fill>
      <patternFill patternType="solid">
        <fgColor rgb="FF003BA9"/>
        <bgColor indexed="64"/>
      </patternFill>
    </fill>
    <fill>
      <patternFill patternType="solid">
        <fgColor rgb="FF003BAA"/>
        <bgColor indexed="64"/>
      </patternFill>
    </fill>
    <fill>
      <patternFill patternType="solid">
        <fgColor rgb="FF003BAB"/>
        <bgColor indexed="64"/>
      </patternFill>
    </fill>
    <fill>
      <patternFill patternType="solid">
        <fgColor rgb="FF003BAC"/>
        <bgColor indexed="64"/>
      </patternFill>
    </fill>
    <fill>
      <patternFill patternType="solid">
        <fgColor rgb="FF003BAD"/>
        <bgColor indexed="64"/>
      </patternFill>
    </fill>
    <fill>
      <patternFill patternType="solid">
        <fgColor rgb="FF003BAE"/>
        <bgColor indexed="64"/>
      </patternFill>
    </fill>
    <fill>
      <patternFill patternType="solid">
        <fgColor rgb="FF003BAF"/>
        <bgColor indexed="64"/>
      </patternFill>
    </fill>
    <fill>
      <patternFill patternType="solid">
        <fgColor rgb="FF003BB0"/>
        <bgColor indexed="64"/>
      </patternFill>
    </fill>
    <fill>
      <patternFill patternType="solid">
        <fgColor rgb="FF003BB1"/>
        <bgColor indexed="64"/>
      </patternFill>
    </fill>
    <fill>
      <patternFill patternType="solid">
        <fgColor rgb="FF003BB2"/>
        <bgColor indexed="64"/>
      </patternFill>
    </fill>
    <fill>
      <patternFill patternType="solid">
        <fgColor rgb="FF003BB3"/>
        <bgColor indexed="64"/>
      </patternFill>
    </fill>
    <fill>
      <patternFill patternType="solid">
        <fgColor rgb="FF003BB4"/>
        <bgColor indexed="64"/>
      </patternFill>
    </fill>
    <fill>
      <patternFill patternType="solid">
        <fgColor rgb="FF003BB5"/>
        <bgColor indexed="64"/>
      </patternFill>
    </fill>
    <fill>
      <patternFill patternType="solid">
        <fgColor rgb="FF003BB6"/>
        <bgColor indexed="64"/>
      </patternFill>
    </fill>
    <fill>
      <patternFill patternType="solid">
        <fgColor rgb="FF003BB7"/>
        <bgColor indexed="64"/>
      </patternFill>
    </fill>
    <fill>
      <patternFill patternType="solid">
        <fgColor rgb="FF003BB8"/>
        <bgColor indexed="64"/>
      </patternFill>
    </fill>
    <fill>
      <patternFill patternType="solid">
        <fgColor rgb="FF003BB9"/>
        <bgColor indexed="64"/>
      </patternFill>
    </fill>
    <fill>
      <patternFill patternType="solid">
        <fgColor rgb="FF003BBA"/>
        <bgColor indexed="64"/>
      </patternFill>
    </fill>
    <fill>
      <patternFill patternType="solid">
        <fgColor rgb="FF003BBB"/>
        <bgColor indexed="64"/>
      </patternFill>
    </fill>
    <fill>
      <patternFill patternType="solid">
        <fgColor rgb="FF003BBC"/>
        <bgColor indexed="64"/>
      </patternFill>
    </fill>
    <fill>
      <patternFill patternType="solid">
        <fgColor rgb="FF003BBD"/>
        <bgColor indexed="64"/>
      </patternFill>
    </fill>
    <fill>
      <patternFill patternType="solid">
        <fgColor rgb="FF003BBE"/>
        <bgColor indexed="64"/>
      </patternFill>
    </fill>
    <fill>
      <patternFill patternType="solid">
        <fgColor rgb="FF003BBF"/>
        <bgColor indexed="64"/>
      </patternFill>
    </fill>
    <fill>
      <patternFill patternType="solid">
        <fgColor rgb="FF003BC0"/>
        <bgColor indexed="64"/>
      </patternFill>
    </fill>
    <fill>
      <patternFill patternType="solid">
        <fgColor rgb="FF003BC1"/>
        <bgColor indexed="64"/>
      </patternFill>
    </fill>
    <fill>
      <patternFill patternType="solid">
        <fgColor rgb="FF003BC2"/>
        <bgColor indexed="64"/>
      </patternFill>
    </fill>
    <fill>
      <patternFill patternType="solid">
        <fgColor rgb="FF003BC3"/>
        <bgColor indexed="64"/>
      </patternFill>
    </fill>
    <fill>
      <patternFill patternType="solid">
        <fgColor rgb="FF003BC4"/>
        <bgColor indexed="64"/>
      </patternFill>
    </fill>
    <fill>
      <patternFill patternType="solid">
        <fgColor rgb="FF003BC5"/>
        <bgColor indexed="64"/>
      </patternFill>
    </fill>
    <fill>
      <patternFill patternType="solid">
        <fgColor rgb="FF003BC6"/>
        <bgColor indexed="64"/>
      </patternFill>
    </fill>
    <fill>
      <patternFill patternType="solid">
        <fgColor rgb="FF003BC7"/>
        <bgColor indexed="64"/>
      </patternFill>
    </fill>
    <fill>
      <patternFill patternType="solid">
        <fgColor rgb="FF003BC8"/>
        <bgColor indexed="64"/>
      </patternFill>
    </fill>
    <fill>
      <patternFill patternType="solid">
        <fgColor rgb="FF003BC9"/>
        <bgColor indexed="64"/>
      </patternFill>
    </fill>
    <fill>
      <patternFill patternType="solid">
        <fgColor rgb="FF003BCA"/>
        <bgColor indexed="64"/>
      </patternFill>
    </fill>
    <fill>
      <patternFill patternType="solid">
        <fgColor rgb="FF003BCB"/>
        <bgColor indexed="64"/>
      </patternFill>
    </fill>
    <fill>
      <patternFill patternType="solid">
        <fgColor rgb="FF003BCC"/>
        <bgColor indexed="64"/>
      </patternFill>
    </fill>
    <fill>
      <patternFill patternType="solid">
        <fgColor rgb="FF003BCD"/>
        <bgColor indexed="64"/>
      </patternFill>
    </fill>
    <fill>
      <patternFill patternType="solid">
        <fgColor rgb="FF003BCE"/>
        <bgColor indexed="64"/>
      </patternFill>
    </fill>
    <fill>
      <patternFill patternType="solid">
        <fgColor rgb="FF003BCF"/>
        <bgColor indexed="64"/>
      </patternFill>
    </fill>
    <fill>
      <patternFill patternType="solid">
        <fgColor rgb="FF003BD0"/>
        <bgColor indexed="64"/>
      </patternFill>
    </fill>
    <fill>
      <patternFill patternType="solid">
        <fgColor rgb="FF003BD1"/>
        <bgColor indexed="64"/>
      </patternFill>
    </fill>
    <fill>
      <patternFill patternType="solid">
        <fgColor rgb="FF003BD2"/>
        <bgColor indexed="64"/>
      </patternFill>
    </fill>
    <fill>
      <patternFill patternType="solid">
        <fgColor rgb="FF003BD3"/>
        <bgColor indexed="64"/>
      </patternFill>
    </fill>
    <fill>
      <patternFill patternType="solid">
        <fgColor rgb="FF003BD4"/>
        <bgColor indexed="64"/>
      </patternFill>
    </fill>
    <fill>
      <patternFill patternType="solid">
        <fgColor rgb="FF003BD5"/>
        <bgColor indexed="64"/>
      </patternFill>
    </fill>
    <fill>
      <patternFill patternType="solid">
        <fgColor rgb="FF003BD6"/>
        <bgColor indexed="64"/>
      </patternFill>
    </fill>
    <fill>
      <patternFill patternType="solid">
        <fgColor rgb="FF003BD7"/>
        <bgColor indexed="64"/>
      </patternFill>
    </fill>
    <fill>
      <patternFill patternType="solid">
        <fgColor rgb="FF003BD8"/>
        <bgColor indexed="64"/>
      </patternFill>
    </fill>
    <fill>
      <patternFill patternType="solid">
        <fgColor rgb="FF003BD9"/>
        <bgColor indexed="64"/>
      </patternFill>
    </fill>
    <fill>
      <patternFill patternType="solid">
        <fgColor rgb="FF003BDA"/>
        <bgColor indexed="64"/>
      </patternFill>
    </fill>
    <fill>
      <patternFill patternType="solid">
        <fgColor rgb="FF003BDB"/>
        <bgColor indexed="64"/>
      </patternFill>
    </fill>
    <fill>
      <patternFill patternType="solid">
        <fgColor rgb="FF003BDC"/>
        <bgColor indexed="64"/>
      </patternFill>
    </fill>
    <fill>
      <patternFill patternType="solid">
        <fgColor rgb="FF003BDD"/>
        <bgColor indexed="64"/>
      </patternFill>
    </fill>
    <fill>
      <patternFill patternType="solid">
        <fgColor rgb="FF003BDE"/>
        <bgColor indexed="64"/>
      </patternFill>
    </fill>
    <fill>
      <patternFill patternType="solid">
        <fgColor rgb="FF003BDF"/>
        <bgColor indexed="64"/>
      </patternFill>
    </fill>
    <fill>
      <patternFill patternType="solid">
        <fgColor rgb="FF003BE0"/>
        <bgColor indexed="64"/>
      </patternFill>
    </fill>
    <fill>
      <patternFill patternType="solid">
        <fgColor rgb="FF003BE1"/>
        <bgColor indexed="64"/>
      </patternFill>
    </fill>
    <fill>
      <patternFill patternType="solid">
        <fgColor rgb="FF003BE2"/>
        <bgColor indexed="64"/>
      </patternFill>
    </fill>
    <fill>
      <patternFill patternType="solid">
        <fgColor rgb="FF003BE3"/>
        <bgColor indexed="64"/>
      </patternFill>
    </fill>
    <fill>
      <patternFill patternType="solid">
        <fgColor rgb="FF003BE4"/>
        <bgColor indexed="64"/>
      </patternFill>
    </fill>
    <fill>
      <patternFill patternType="solid">
        <fgColor rgb="FF003BE5"/>
        <bgColor indexed="64"/>
      </patternFill>
    </fill>
    <fill>
      <patternFill patternType="solid">
        <fgColor rgb="FF003BE6"/>
        <bgColor indexed="64"/>
      </patternFill>
    </fill>
    <fill>
      <patternFill patternType="solid">
        <fgColor rgb="FF003BE7"/>
        <bgColor indexed="64"/>
      </patternFill>
    </fill>
    <fill>
      <patternFill patternType="solid">
        <fgColor rgb="FF003BE8"/>
        <bgColor indexed="64"/>
      </patternFill>
    </fill>
    <fill>
      <patternFill patternType="solid">
        <fgColor rgb="FF003BE9"/>
        <bgColor indexed="64"/>
      </patternFill>
    </fill>
    <fill>
      <patternFill patternType="solid">
        <fgColor rgb="FF003BEA"/>
        <bgColor indexed="64"/>
      </patternFill>
    </fill>
    <fill>
      <patternFill patternType="solid">
        <fgColor rgb="FF003BEB"/>
        <bgColor indexed="64"/>
      </patternFill>
    </fill>
    <fill>
      <patternFill patternType="solid">
        <fgColor rgb="FF003BEC"/>
        <bgColor indexed="64"/>
      </patternFill>
    </fill>
    <fill>
      <patternFill patternType="solid">
        <fgColor rgb="FF003BED"/>
        <bgColor indexed="64"/>
      </patternFill>
    </fill>
    <fill>
      <patternFill patternType="solid">
        <fgColor rgb="FF003BEE"/>
        <bgColor indexed="64"/>
      </patternFill>
    </fill>
    <fill>
      <patternFill patternType="solid">
        <fgColor rgb="FF003BEF"/>
        <bgColor indexed="64"/>
      </patternFill>
    </fill>
    <fill>
      <patternFill patternType="solid">
        <fgColor rgb="FF003BF0"/>
        <bgColor indexed="64"/>
      </patternFill>
    </fill>
    <fill>
      <patternFill patternType="solid">
        <fgColor rgb="FF003BF1"/>
        <bgColor indexed="64"/>
      </patternFill>
    </fill>
    <fill>
      <patternFill patternType="solid">
        <fgColor rgb="FF003BF2"/>
        <bgColor indexed="64"/>
      </patternFill>
    </fill>
    <fill>
      <patternFill patternType="solid">
        <fgColor rgb="FF003BF3"/>
        <bgColor indexed="64"/>
      </patternFill>
    </fill>
    <fill>
      <patternFill patternType="solid">
        <fgColor rgb="FF003BF4"/>
        <bgColor indexed="64"/>
      </patternFill>
    </fill>
    <fill>
      <patternFill patternType="solid">
        <fgColor rgb="FF003BF5"/>
        <bgColor indexed="64"/>
      </patternFill>
    </fill>
    <fill>
      <patternFill patternType="solid">
        <fgColor rgb="FF003BF6"/>
        <bgColor indexed="64"/>
      </patternFill>
    </fill>
    <fill>
      <patternFill patternType="solid">
        <fgColor rgb="FF003BF7"/>
        <bgColor indexed="64"/>
      </patternFill>
    </fill>
    <fill>
      <patternFill patternType="solid">
        <fgColor rgb="FF003BF8"/>
        <bgColor indexed="64"/>
      </patternFill>
    </fill>
    <fill>
      <patternFill patternType="solid">
        <fgColor rgb="FF003BF9"/>
        <bgColor indexed="64"/>
      </patternFill>
    </fill>
    <fill>
      <patternFill patternType="solid">
        <fgColor rgb="FF003BFA"/>
        <bgColor indexed="64"/>
      </patternFill>
    </fill>
    <fill>
      <patternFill patternType="solid">
        <fgColor rgb="FF003BFB"/>
        <bgColor indexed="64"/>
      </patternFill>
    </fill>
    <fill>
      <patternFill patternType="solid">
        <fgColor rgb="FF003BFC"/>
        <bgColor indexed="64"/>
      </patternFill>
    </fill>
    <fill>
      <patternFill patternType="solid">
        <fgColor rgb="FF003BFD"/>
        <bgColor indexed="64"/>
      </patternFill>
    </fill>
    <fill>
      <patternFill patternType="solid">
        <fgColor rgb="FF003BFE"/>
        <bgColor indexed="64"/>
      </patternFill>
    </fill>
    <fill>
      <patternFill patternType="solid">
        <fgColor rgb="FF003BFF"/>
        <bgColor indexed="64"/>
      </patternFill>
    </fill>
    <fill>
      <patternFill patternType="solid">
        <fgColor rgb="FF003C00"/>
        <bgColor indexed="64"/>
      </patternFill>
    </fill>
    <fill>
      <patternFill patternType="solid">
        <fgColor rgb="FF003C01"/>
        <bgColor indexed="64"/>
      </patternFill>
    </fill>
    <fill>
      <patternFill patternType="solid">
        <fgColor rgb="FF003C02"/>
        <bgColor indexed="64"/>
      </patternFill>
    </fill>
    <fill>
      <patternFill patternType="solid">
        <fgColor rgb="FF003C03"/>
        <bgColor indexed="64"/>
      </patternFill>
    </fill>
    <fill>
      <patternFill patternType="solid">
        <fgColor rgb="FF003C04"/>
        <bgColor indexed="64"/>
      </patternFill>
    </fill>
    <fill>
      <patternFill patternType="solid">
        <fgColor rgb="FF003C05"/>
        <bgColor indexed="64"/>
      </patternFill>
    </fill>
    <fill>
      <patternFill patternType="solid">
        <fgColor rgb="FF003C06"/>
        <bgColor indexed="64"/>
      </patternFill>
    </fill>
    <fill>
      <patternFill patternType="solid">
        <fgColor rgb="FF003C07"/>
        <bgColor indexed="64"/>
      </patternFill>
    </fill>
    <fill>
      <patternFill patternType="solid">
        <fgColor rgb="FF003C08"/>
        <bgColor indexed="64"/>
      </patternFill>
    </fill>
    <fill>
      <patternFill patternType="solid">
        <fgColor rgb="FF003C09"/>
        <bgColor indexed="64"/>
      </patternFill>
    </fill>
    <fill>
      <patternFill patternType="solid">
        <fgColor rgb="FF003C0A"/>
        <bgColor indexed="64"/>
      </patternFill>
    </fill>
    <fill>
      <patternFill patternType="solid">
        <fgColor rgb="FF003C0B"/>
        <bgColor indexed="64"/>
      </patternFill>
    </fill>
    <fill>
      <patternFill patternType="solid">
        <fgColor rgb="FF003C0C"/>
        <bgColor indexed="64"/>
      </patternFill>
    </fill>
    <fill>
      <patternFill patternType="solid">
        <fgColor rgb="FF003C0D"/>
        <bgColor indexed="64"/>
      </patternFill>
    </fill>
    <fill>
      <patternFill patternType="solid">
        <fgColor rgb="FF003C0E"/>
        <bgColor indexed="64"/>
      </patternFill>
    </fill>
    <fill>
      <patternFill patternType="solid">
        <fgColor rgb="FF003C0F"/>
        <bgColor indexed="64"/>
      </patternFill>
    </fill>
    <fill>
      <patternFill patternType="solid">
        <fgColor rgb="FF003C10"/>
        <bgColor indexed="64"/>
      </patternFill>
    </fill>
    <fill>
      <patternFill patternType="solid">
        <fgColor rgb="FF003C11"/>
        <bgColor indexed="64"/>
      </patternFill>
    </fill>
    <fill>
      <patternFill patternType="solid">
        <fgColor rgb="FF003C12"/>
        <bgColor indexed="64"/>
      </patternFill>
    </fill>
    <fill>
      <patternFill patternType="solid">
        <fgColor rgb="FF003C13"/>
        <bgColor indexed="64"/>
      </patternFill>
    </fill>
    <fill>
      <patternFill patternType="solid">
        <fgColor rgb="FF003C14"/>
        <bgColor indexed="64"/>
      </patternFill>
    </fill>
    <fill>
      <patternFill patternType="solid">
        <fgColor rgb="FF003C15"/>
        <bgColor indexed="64"/>
      </patternFill>
    </fill>
    <fill>
      <patternFill patternType="solid">
        <fgColor rgb="FF003C16"/>
        <bgColor indexed="64"/>
      </patternFill>
    </fill>
    <fill>
      <patternFill patternType="solid">
        <fgColor rgb="FF003C17"/>
        <bgColor indexed="64"/>
      </patternFill>
    </fill>
    <fill>
      <patternFill patternType="solid">
        <fgColor rgb="FF003C18"/>
        <bgColor indexed="64"/>
      </patternFill>
    </fill>
    <fill>
      <patternFill patternType="solid">
        <fgColor rgb="FF003C19"/>
        <bgColor indexed="64"/>
      </patternFill>
    </fill>
    <fill>
      <patternFill patternType="solid">
        <fgColor rgb="FF003C1A"/>
        <bgColor indexed="64"/>
      </patternFill>
    </fill>
    <fill>
      <patternFill patternType="solid">
        <fgColor rgb="FF003C1B"/>
        <bgColor indexed="64"/>
      </patternFill>
    </fill>
    <fill>
      <patternFill patternType="solid">
        <fgColor rgb="FF003C1C"/>
        <bgColor indexed="64"/>
      </patternFill>
    </fill>
    <fill>
      <patternFill patternType="solid">
        <fgColor rgb="FF003C1D"/>
        <bgColor indexed="64"/>
      </patternFill>
    </fill>
    <fill>
      <patternFill patternType="solid">
        <fgColor rgb="FF003C1E"/>
        <bgColor indexed="64"/>
      </patternFill>
    </fill>
    <fill>
      <patternFill patternType="solid">
        <fgColor rgb="FF003C1F"/>
        <bgColor indexed="64"/>
      </patternFill>
    </fill>
    <fill>
      <patternFill patternType="solid">
        <fgColor rgb="FF003C20"/>
        <bgColor indexed="64"/>
      </patternFill>
    </fill>
    <fill>
      <patternFill patternType="solid">
        <fgColor rgb="FF003C21"/>
        <bgColor indexed="64"/>
      </patternFill>
    </fill>
    <fill>
      <patternFill patternType="solid">
        <fgColor rgb="FF003C22"/>
        <bgColor indexed="64"/>
      </patternFill>
    </fill>
    <fill>
      <patternFill patternType="solid">
        <fgColor rgb="FF003C23"/>
        <bgColor indexed="64"/>
      </patternFill>
    </fill>
    <fill>
      <patternFill patternType="solid">
        <fgColor rgb="FF003C24"/>
        <bgColor indexed="64"/>
      </patternFill>
    </fill>
    <fill>
      <patternFill patternType="solid">
        <fgColor rgb="FF003C25"/>
        <bgColor indexed="64"/>
      </patternFill>
    </fill>
    <fill>
      <patternFill patternType="solid">
        <fgColor rgb="FF003C26"/>
        <bgColor indexed="64"/>
      </patternFill>
    </fill>
    <fill>
      <patternFill patternType="solid">
        <fgColor rgb="FF003C27"/>
        <bgColor indexed="64"/>
      </patternFill>
    </fill>
    <fill>
      <patternFill patternType="solid">
        <fgColor rgb="FF003C28"/>
        <bgColor indexed="64"/>
      </patternFill>
    </fill>
    <fill>
      <patternFill patternType="solid">
        <fgColor rgb="FF003C29"/>
        <bgColor indexed="64"/>
      </patternFill>
    </fill>
    <fill>
      <patternFill patternType="solid">
        <fgColor rgb="FF003C2A"/>
        <bgColor indexed="64"/>
      </patternFill>
    </fill>
    <fill>
      <patternFill patternType="solid">
        <fgColor rgb="FF003C2B"/>
        <bgColor indexed="64"/>
      </patternFill>
    </fill>
    <fill>
      <patternFill patternType="solid">
        <fgColor rgb="FF003C2C"/>
        <bgColor indexed="64"/>
      </patternFill>
    </fill>
    <fill>
      <patternFill patternType="solid">
        <fgColor rgb="FF003C2D"/>
        <bgColor indexed="64"/>
      </patternFill>
    </fill>
    <fill>
      <patternFill patternType="solid">
        <fgColor rgb="FF003C2E"/>
        <bgColor indexed="64"/>
      </patternFill>
    </fill>
    <fill>
      <patternFill patternType="solid">
        <fgColor rgb="FF003C2F"/>
        <bgColor indexed="64"/>
      </patternFill>
    </fill>
    <fill>
      <patternFill patternType="solid">
        <fgColor rgb="FF003C30"/>
        <bgColor indexed="64"/>
      </patternFill>
    </fill>
    <fill>
      <patternFill patternType="solid">
        <fgColor rgb="FF003C31"/>
        <bgColor indexed="64"/>
      </patternFill>
    </fill>
    <fill>
      <patternFill patternType="solid">
        <fgColor rgb="FF003C32"/>
        <bgColor indexed="64"/>
      </patternFill>
    </fill>
    <fill>
      <patternFill patternType="solid">
        <fgColor rgb="FF003C33"/>
        <bgColor indexed="64"/>
      </patternFill>
    </fill>
    <fill>
      <patternFill patternType="solid">
        <fgColor rgb="FF003C34"/>
        <bgColor indexed="64"/>
      </patternFill>
    </fill>
    <fill>
      <patternFill patternType="solid">
        <fgColor rgb="FF003C35"/>
        <bgColor indexed="64"/>
      </patternFill>
    </fill>
    <fill>
      <patternFill patternType="solid">
        <fgColor rgb="FF003C36"/>
        <bgColor indexed="64"/>
      </patternFill>
    </fill>
    <fill>
      <patternFill patternType="solid">
        <fgColor rgb="FF003C37"/>
        <bgColor indexed="64"/>
      </patternFill>
    </fill>
    <fill>
      <patternFill patternType="solid">
        <fgColor rgb="FF003C38"/>
        <bgColor indexed="64"/>
      </patternFill>
    </fill>
    <fill>
      <patternFill patternType="solid">
        <fgColor rgb="FF003C39"/>
        <bgColor indexed="64"/>
      </patternFill>
    </fill>
    <fill>
      <patternFill patternType="solid">
        <fgColor rgb="FF003C3A"/>
        <bgColor indexed="64"/>
      </patternFill>
    </fill>
    <fill>
      <patternFill patternType="solid">
        <fgColor rgb="FF003C3B"/>
        <bgColor indexed="64"/>
      </patternFill>
    </fill>
    <fill>
      <patternFill patternType="solid">
        <fgColor rgb="FF003C3C"/>
        <bgColor indexed="64"/>
      </patternFill>
    </fill>
    <fill>
      <patternFill patternType="solid">
        <fgColor rgb="FF003C3D"/>
        <bgColor indexed="64"/>
      </patternFill>
    </fill>
    <fill>
      <patternFill patternType="solid">
        <fgColor rgb="FF003C3E"/>
        <bgColor indexed="64"/>
      </patternFill>
    </fill>
    <fill>
      <patternFill patternType="solid">
        <fgColor rgb="FF003C3F"/>
        <bgColor indexed="64"/>
      </patternFill>
    </fill>
    <fill>
      <patternFill patternType="solid">
        <fgColor rgb="FF003C40"/>
        <bgColor indexed="64"/>
      </patternFill>
    </fill>
    <fill>
      <patternFill patternType="solid">
        <fgColor rgb="FF003C41"/>
        <bgColor indexed="64"/>
      </patternFill>
    </fill>
    <fill>
      <patternFill patternType="solid">
        <fgColor rgb="FF003C42"/>
        <bgColor indexed="64"/>
      </patternFill>
    </fill>
    <fill>
      <patternFill patternType="solid">
        <fgColor rgb="FF003C43"/>
        <bgColor indexed="64"/>
      </patternFill>
    </fill>
    <fill>
      <patternFill patternType="solid">
        <fgColor rgb="FF003C44"/>
        <bgColor indexed="64"/>
      </patternFill>
    </fill>
    <fill>
      <patternFill patternType="solid">
        <fgColor rgb="FF003C45"/>
        <bgColor indexed="64"/>
      </patternFill>
    </fill>
    <fill>
      <patternFill patternType="solid">
        <fgColor rgb="FF003C46"/>
        <bgColor indexed="64"/>
      </patternFill>
    </fill>
    <fill>
      <patternFill patternType="solid">
        <fgColor rgb="FF003C47"/>
        <bgColor indexed="64"/>
      </patternFill>
    </fill>
    <fill>
      <patternFill patternType="solid">
        <fgColor rgb="FF003C48"/>
        <bgColor indexed="64"/>
      </patternFill>
    </fill>
    <fill>
      <patternFill patternType="solid">
        <fgColor rgb="FF003C49"/>
        <bgColor indexed="64"/>
      </patternFill>
    </fill>
    <fill>
      <patternFill patternType="solid">
        <fgColor rgb="FF003C4A"/>
        <bgColor indexed="64"/>
      </patternFill>
    </fill>
    <fill>
      <patternFill patternType="solid">
        <fgColor rgb="FF003C4B"/>
        <bgColor indexed="64"/>
      </patternFill>
    </fill>
    <fill>
      <patternFill patternType="solid">
        <fgColor rgb="FF003C4C"/>
        <bgColor indexed="64"/>
      </patternFill>
    </fill>
    <fill>
      <patternFill patternType="solid">
        <fgColor rgb="FF003C4D"/>
        <bgColor indexed="64"/>
      </patternFill>
    </fill>
    <fill>
      <patternFill patternType="solid">
        <fgColor rgb="FF003C4E"/>
        <bgColor indexed="64"/>
      </patternFill>
    </fill>
    <fill>
      <patternFill patternType="solid">
        <fgColor rgb="FF003C4F"/>
        <bgColor indexed="64"/>
      </patternFill>
    </fill>
    <fill>
      <patternFill patternType="solid">
        <fgColor rgb="FF003C50"/>
        <bgColor indexed="64"/>
      </patternFill>
    </fill>
    <fill>
      <patternFill patternType="solid">
        <fgColor rgb="FF003C51"/>
        <bgColor indexed="64"/>
      </patternFill>
    </fill>
    <fill>
      <patternFill patternType="solid">
        <fgColor rgb="FF003C52"/>
        <bgColor indexed="64"/>
      </patternFill>
    </fill>
    <fill>
      <patternFill patternType="solid">
        <fgColor rgb="FF003C53"/>
        <bgColor indexed="64"/>
      </patternFill>
    </fill>
    <fill>
      <patternFill patternType="solid">
        <fgColor rgb="FF003C54"/>
        <bgColor indexed="64"/>
      </patternFill>
    </fill>
    <fill>
      <patternFill patternType="solid">
        <fgColor rgb="FF003C55"/>
        <bgColor indexed="64"/>
      </patternFill>
    </fill>
    <fill>
      <patternFill patternType="solid">
        <fgColor rgb="FF003C56"/>
        <bgColor indexed="64"/>
      </patternFill>
    </fill>
    <fill>
      <patternFill patternType="solid">
        <fgColor rgb="FF003C57"/>
        <bgColor indexed="64"/>
      </patternFill>
    </fill>
    <fill>
      <patternFill patternType="solid">
        <fgColor rgb="FF003C58"/>
        <bgColor indexed="64"/>
      </patternFill>
    </fill>
    <fill>
      <patternFill patternType="solid">
        <fgColor rgb="FF003C59"/>
        <bgColor indexed="64"/>
      </patternFill>
    </fill>
    <fill>
      <patternFill patternType="solid">
        <fgColor rgb="FF003C5A"/>
        <bgColor indexed="64"/>
      </patternFill>
    </fill>
    <fill>
      <patternFill patternType="solid">
        <fgColor rgb="FF003C5B"/>
        <bgColor indexed="64"/>
      </patternFill>
    </fill>
    <fill>
      <patternFill patternType="solid">
        <fgColor rgb="FF003C5C"/>
        <bgColor indexed="64"/>
      </patternFill>
    </fill>
    <fill>
      <patternFill patternType="solid">
        <fgColor rgb="FF003C5D"/>
        <bgColor indexed="64"/>
      </patternFill>
    </fill>
    <fill>
      <patternFill patternType="solid">
        <fgColor rgb="FF003C5E"/>
        <bgColor indexed="64"/>
      </patternFill>
    </fill>
    <fill>
      <patternFill patternType="solid">
        <fgColor rgb="FF003C5F"/>
        <bgColor indexed="64"/>
      </patternFill>
    </fill>
    <fill>
      <patternFill patternType="solid">
        <fgColor rgb="FF003C60"/>
        <bgColor indexed="64"/>
      </patternFill>
    </fill>
    <fill>
      <patternFill patternType="solid">
        <fgColor rgb="FF003C61"/>
        <bgColor indexed="64"/>
      </patternFill>
    </fill>
    <fill>
      <patternFill patternType="solid">
        <fgColor rgb="FF003C62"/>
        <bgColor indexed="64"/>
      </patternFill>
    </fill>
    <fill>
      <patternFill patternType="solid">
        <fgColor rgb="FF003C63"/>
        <bgColor indexed="64"/>
      </patternFill>
    </fill>
    <fill>
      <patternFill patternType="solid">
        <fgColor rgb="FF003C64"/>
        <bgColor indexed="64"/>
      </patternFill>
    </fill>
    <fill>
      <patternFill patternType="solid">
        <fgColor rgb="FF003C65"/>
        <bgColor indexed="64"/>
      </patternFill>
    </fill>
    <fill>
      <patternFill patternType="solid">
        <fgColor rgb="FF003C66"/>
        <bgColor indexed="64"/>
      </patternFill>
    </fill>
    <fill>
      <patternFill patternType="solid">
        <fgColor rgb="FF003C67"/>
        <bgColor indexed="64"/>
      </patternFill>
    </fill>
    <fill>
      <patternFill patternType="solid">
        <fgColor rgb="FF003C68"/>
        <bgColor indexed="64"/>
      </patternFill>
    </fill>
    <fill>
      <patternFill patternType="solid">
        <fgColor rgb="FF003C69"/>
        <bgColor indexed="64"/>
      </patternFill>
    </fill>
    <fill>
      <patternFill patternType="solid">
        <fgColor rgb="FF003C6A"/>
        <bgColor indexed="64"/>
      </patternFill>
    </fill>
    <fill>
      <patternFill patternType="solid">
        <fgColor rgb="FF003C6B"/>
        <bgColor indexed="64"/>
      </patternFill>
    </fill>
    <fill>
      <patternFill patternType="solid">
        <fgColor rgb="FF003C6C"/>
        <bgColor indexed="64"/>
      </patternFill>
    </fill>
    <fill>
      <patternFill patternType="solid">
        <fgColor rgb="FF003C6D"/>
        <bgColor indexed="64"/>
      </patternFill>
    </fill>
    <fill>
      <patternFill patternType="solid">
        <fgColor rgb="FF003C6E"/>
        <bgColor indexed="64"/>
      </patternFill>
    </fill>
    <fill>
      <patternFill patternType="solid">
        <fgColor rgb="FF003C6F"/>
        <bgColor indexed="64"/>
      </patternFill>
    </fill>
    <fill>
      <patternFill patternType="solid">
        <fgColor rgb="FF003C70"/>
        <bgColor indexed="64"/>
      </patternFill>
    </fill>
    <fill>
      <patternFill patternType="solid">
        <fgColor rgb="FF003C71"/>
        <bgColor indexed="64"/>
      </patternFill>
    </fill>
    <fill>
      <patternFill patternType="solid">
        <fgColor rgb="FF003C72"/>
        <bgColor indexed="64"/>
      </patternFill>
    </fill>
    <fill>
      <patternFill patternType="solid">
        <fgColor rgb="FF003C73"/>
        <bgColor indexed="64"/>
      </patternFill>
    </fill>
    <fill>
      <patternFill patternType="solid">
        <fgColor rgb="FF003C74"/>
        <bgColor indexed="64"/>
      </patternFill>
    </fill>
    <fill>
      <patternFill patternType="solid">
        <fgColor rgb="FF003C75"/>
        <bgColor indexed="64"/>
      </patternFill>
    </fill>
    <fill>
      <patternFill patternType="solid">
        <fgColor rgb="FF003C76"/>
        <bgColor indexed="64"/>
      </patternFill>
    </fill>
    <fill>
      <patternFill patternType="solid">
        <fgColor rgb="FF003C77"/>
        <bgColor indexed="64"/>
      </patternFill>
    </fill>
    <fill>
      <patternFill patternType="solid">
        <fgColor rgb="FF003C78"/>
        <bgColor indexed="64"/>
      </patternFill>
    </fill>
    <fill>
      <patternFill patternType="solid">
        <fgColor rgb="FF003C79"/>
        <bgColor indexed="64"/>
      </patternFill>
    </fill>
    <fill>
      <patternFill patternType="solid">
        <fgColor rgb="FF003C7A"/>
        <bgColor indexed="64"/>
      </patternFill>
    </fill>
    <fill>
      <patternFill patternType="solid">
        <fgColor rgb="FF003C7B"/>
        <bgColor indexed="64"/>
      </patternFill>
    </fill>
    <fill>
      <patternFill patternType="solid">
        <fgColor rgb="FF003C7C"/>
        <bgColor indexed="64"/>
      </patternFill>
    </fill>
    <fill>
      <patternFill patternType="solid">
        <fgColor rgb="FF003C7D"/>
        <bgColor indexed="64"/>
      </patternFill>
    </fill>
    <fill>
      <patternFill patternType="solid">
        <fgColor rgb="FF003C7E"/>
        <bgColor indexed="64"/>
      </patternFill>
    </fill>
    <fill>
      <patternFill patternType="solid">
        <fgColor rgb="FF003C7F"/>
        <bgColor indexed="64"/>
      </patternFill>
    </fill>
    <fill>
      <patternFill patternType="solid">
        <fgColor rgb="FF003C80"/>
        <bgColor indexed="64"/>
      </patternFill>
    </fill>
    <fill>
      <patternFill patternType="solid">
        <fgColor rgb="FF003C81"/>
        <bgColor indexed="64"/>
      </patternFill>
    </fill>
    <fill>
      <patternFill patternType="solid">
        <fgColor rgb="FF003C82"/>
        <bgColor indexed="64"/>
      </patternFill>
    </fill>
    <fill>
      <patternFill patternType="solid">
        <fgColor rgb="FF003C83"/>
        <bgColor indexed="64"/>
      </patternFill>
    </fill>
    <fill>
      <patternFill patternType="solid">
        <fgColor rgb="FF003C84"/>
        <bgColor indexed="64"/>
      </patternFill>
    </fill>
    <fill>
      <patternFill patternType="solid">
        <fgColor rgb="FF003C85"/>
        <bgColor indexed="64"/>
      </patternFill>
    </fill>
    <fill>
      <patternFill patternType="solid">
        <fgColor rgb="FF003C86"/>
        <bgColor indexed="64"/>
      </patternFill>
    </fill>
    <fill>
      <patternFill patternType="solid">
        <fgColor rgb="FF003C87"/>
        <bgColor indexed="64"/>
      </patternFill>
    </fill>
    <fill>
      <patternFill patternType="solid">
        <fgColor rgb="FF003C88"/>
        <bgColor indexed="64"/>
      </patternFill>
    </fill>
    <fill>
      <patternFill patternType="solid">
        <fgColor rgb="FF003C89"/>
        <bgColor indexed="64"/>
      </patternFill>
    </fill>
    <fill>
      <patternFill patternType="solid">
        <fgColor rgb="FF003C8A"/>
        <bgColor indexed="64"/>
      </patternFill>
    </fill>
    <fill>
      <patternFill patternType="solid">
        <fgColor rgb="FF003C8B"/>
        <bgColor indexed="64"/>
      </patternFill>
    </fill>
    <fill>
      <patternFill patternType="solid">
        <fgColor rgb="FF003C8C"/>
        <bgColor indexed="64"/>
      </patternFill>
    </fill>
    <fill>
      <patternFill patternType="solid">
        <fgColor rgb="FF003C8D"/>
        <bgColor indexed="64"/>
      </patternFill>
    </fill>
    <fill>
      <patternFill patternType="solid">
        <fgColor rgb="FF003C8E"/>
        <bgColor indexed="64"/>
      </patternFill>
    </fill>
    <fill>
      <patternFill patternType="solid">
        <fgColor rgb="FF003C8F"/>
        <bgColor indexed="64"/>
      </patternFill>
    </fill>
    <fill>
      <patternFill patternType="solid">
        <fgColor rgb="FF003C90"/>
        <bgColor indexed="64"/>
      </patternFill>
    </fill>
    <fill>
      <patternFill patternType="solid">
        <fgColor rgb="FF003C91"/>
        <bgColor indexed="64"/>
      </patternFill>
    </fill>
    <fill>
      <patternFill patternType="solid">
        <fgColor rgb="FF003C92"/>
        <bgColor indexed="64"/>
      </patternFill>
    </fill>
    <fill>
      <patternFill patternType="solid">
        <fgColor rgb="FF003C93"/>
        <bgColor indexed="64"/>
      </patternFill>
    </fill>
    <fill>
      <patternFill patternType="solid">
        <fgColor rgb="FF003C94"/>
        <bgColor indexed="64"/>
      </patternFill>
    </fill>
    <fill>
      <patternFill patternType="solid">
        <fgColor rgb="FF003C95"/>
        <bgColor indexed="64"/>
      </patternFill>
    </fill>
    <fill>
      <patternFill patternType="solid">
        <fgColor rgb="FF003C96"/>
        <bgColor indexed="64"/>
      </patternFill>
    </fill>
    <fill>
      <patternFill patternType="solid">
        <fgColor rgb="FF003C97"/>
        <bgColor indexed="64"/>
      </patternFill>
    </fill>
    <fill>
      <patternFill patternType="solid">
        <fgColor rgb="FF003C98"/>
        <bgColor indexed="64"/>
      </patternFill>
    </fill>
    <fill>
      <patternFill patternType="solid">
        <fgColor rgb="FF003C99"/>
        <bgColor indexed="64"/>
      </patternFill>
    </fill>
    <fill>
      <patternFill patternType="solid">
        <fgColor rgb="FF003C9A"/>
        <bgColor indexed="64"/>
      </patternFill>
    </fill>
    <fill>
      <patternFill patternType="solid">
        <fgColor rgb="FF003C9B"/>
        <bgColor indexed="64"/>
      </patternFill>
    </fill>
    <fill>
      <patternFill patternType="solid">
        <fgColor rgb="FF003C9C"/>
        <bgColor indexed="64"/>
      </patternFill>
    </fill>
    <fill>
      <patternFill patternType="solid">
        <fgColor rgb="FF003C9D"/>
        <bgColor indexed="64"/>
      </patternFill>
    </fill>
    <fill>
      <patternFill patternType="solid">
        <fgColor rgb="FF003C9E"/>
        <bgColor indexed="64"/>
      </patternFill>
    </fill>
    <fill>
      <patternFill patternType="solid">
        <fgColor rgb="FF003C9F"/>
        <bgColor indexed="64"/>
      </patternFill>
    </fill>
    <fill>
      <patternFill patternType="solid">
        <fgColor rgb="FF003CA0"/>
        <bgColor indexed="64"/>
      </patternFill>
    </fill>
    <fill>
      <patternFill patternType="solid">
        <fgColor rgb="FF003CA1"/>
        <bgColor indexed="64"/>
      </patternFill>
    </fill>
    <fill>
      <patternFill patternType="solid">
        <fgColor rgb="FF003CA2"/>
        <bgColor indexed="64"/>
      </patternFill>
    </fill>
    <fill>
      <patternFill patternType="solid">
        <fgColor rgb="FF003CA3"/>
        <bgColor indexed="64"/>
      </patternFill>
    </fill>
    <fill>
      <patternFill patternType="solid">
        <fgColor rgb="FF003CA4"/>
        <bgColor indexed="64"/>
      </patternFill>
    </fill>
    <fill>
      <patternFill patternType="solid">
        <fgColor rgb="FF003CA5"/>
        <bgColor indexed="64"/>
      </patternFill>
    </fill>
    <fill>
      <patternFill patternType="solid">
        <fgColor rgb="FF003CA6"/>
        <bgColor indexed="64"/>
      </patternFill>
    </fill>
    <fill>
      <patternFill patternType="solid">
        <fgColor rgb="FF003CA7"/>
        <bgColor indexed="64"/>
      </patternFill>
    </fill>
    <fill>
      <patternFill patternType="solid">
        <fgColor rgb="FF003CA8"/>
        <bgColor indexed="64"/>
      </patternFill>
    </fill>
    <fill>
      <patternFill patternType="solid">
        <fgColor rgb="FF003CA9"/>
        <bgColor indexed="64"/>
      </patternFill>
    </fill>
    <fill>
      <patternFill patternType="solid">
        <fgColor rgb="FF003CAA"/>
        <bgColor indexed="64"/>
      </patternFill>
    </fill>
    <fill>
      <patternFill patternType="solid">
        <fgColor rgb="FF003CAB"/>
        <bgColor indexed="64"/>
      </patternFill>
    </fill>
    <fill>
      <patternFill patternType="solid">
        <fgColor rgb="FF003CAC"/>
        <bgColor indexed="64"/>
      </patternFill>
    </fill>
    <fill>
      <patternFill patternType="solid">
        <fgColor rgb="FF003CAD"/>
        <bgColor indexed="64"/>
      </patternFill>
    </fill>
    <fill>
      <patternFill patternType="solid">
        <fgColor rgb="FF003CAE"/>
        <bgColor indexed="64"/>
      </patternFill>
    </fill>
    <fill>
      <patternFill patternType="solid">
        <fgColor rgb="FF003CAF"/>
        <bgColor indexed="64"/>
      </patternFill>
    </fill>
    <fill>
      <patternFill patternType="solid">
        <fgColor rgb="FF003CB0"/>
        <bgColor indexed="64"/>
      </patternFill>
    </fill>
    <fill>
      <patternFill patternType="solid">
        <fgColor rgb="FF003CB1"/>
        <bgColor indexed="64"/>
      </patternFill>
    </fill>
    <fill>
      <patternFill patternType="solid">
        <fgColor rgb="FF003CB2"/>
        <bgColor indexed="64"/>
      </patternFill>
    </fill>
    <fill>
      <patternFill patternType="solid">
        <fgColor rgb="FF003CB3"/>
        <bgColor indexed="64"/>
      </patternFill>
    </fill>
    <fill>
      <patternFill patternType="solid">
        <fgColor rgb="FF003CB4"/>
        <bgColor indexed="64"/>
      </patternFill>
    </fill>
    <fill>
      <patternFill patternType="solid">
        <fgColor rgb="FF003CB5"/>
        <bgColor indexed="64"/>
      </patternFill>
    </fill>
    <fill>
      <patternFill patternType="solid">
        <fgColor rgb="FF003CB6"/>
        <bgColor indexed="64"/>
      </patternFill>
    </fill>
    <fill>
      <patternFill patternType="solid">
        <fgColor rgb="FF003CB7"/>
        <bgColor indexed="64"/>
      </patternFill>
    </fill>
    <fill>
      <patternFill patternType="solid">
        <fgColor rgb="FF003CB8"/>
        <bgColor indexed="64"/>
      </patternFill>
    </fill>
    <fill>
      <patternFill patternType="solid">
        <fgColor rgb="FF003CB9"/>
        <bgColor indexed="64"/>
      </patternFill>
    </fill>
    <fill>
      <patternFill patternType="solid">
        <fgColor rgb="FF003CBA"/>
        <bgColor indexed="64"/>
      </patternFill>
    </fill>
    <fill>
      <patternFill patternType="solid">
        <fgColor rgb="FF003CBB"/>
        <bgColor indexed="64"/>
      </patternFill>
    </fill>
    <fill>
      <patternFill patternType="solid">
        <fgColor rgb="FF003CBC"/>
        <bgColor indexed="64"/>
      </patternFill>
    </fill>
    <fill>
      <patternFill patternType="solid">
        <fgColor rgb="FF003CBD"/>
        <bgColor indexed="64"/>
      </patternFill>
    </fill>
    <fill>
      <patternFill patternType="solid">
        <fgColor rgb="FF003CBE"/>
        <bgColor indexed="64"/>
      </patternFill>
    </fill>
    <fill>
      <patternFill patternType="solid">
        <fgColor rgb="FF003CBF"/>
        <bgColor indexed="64"/>
      </patternFill>
    </fill>
    <fill>
      <patternFill patternType="solid">
        <fgColor rgb="FF003CC0"/>
        <bgColor indexed="64"/>
      </patternFill>
    </fill>
    <fill>
      <patternFill patternType="solid">
        <fgColor rgb="FF003CC1"/>
        <bgColor indexed="64"/>
      </patternFill>
    </fill>
    <fill>
      <patternFill patternType="solid">
        <fgColor rgb="FF003CC2"/>
        <bgColor indexed="64"/>
      </patternFill>
    </fill>
    <fill>
      <patternFill patternType="solid">
        <fgColor rgb="FF003CC3"/>
        <bgColor indexed="64"/>
      </patternFill>
    </fill>
    <fill>
      <patternFill patternType="solid">
        <fgColor rgb="FF003CC4"/>
        <bgColor indexed="64"/>
      </patternFill>
    </fill>
    <fill>
      <patternFill patternType="solid">
        <fgColor rgb="FF003CC5"/>
        <bgColor indexed="64"/>
      </patternFill>
    </fill>
    <fill>
      <patternFill patternType="solid">
        <fgColor rgb="FF003CC6"/>
        <bgColor indexed="64"/>
      </patternFill>
    </fill>
    <fill>
      <patternFill patternType="solid">
        <fgColor rgb="FF003CC7"/>
        <bgColor indexed="64"/>
      </patternFill>
    </fill>
    <fill>
      <patternFill patternType="solid">
        <fgColor rgb="FF003CC8"/>
        <bgColor indexed="64"/>
      </patternFill>
    </fill>
    <fill>
      <patternFill patternType="solid">
        <fgColor rgb="FF003CC9"/>
        <bgColor indexed="64"/>
      </patternFill>
    </fill>
    <fill>
      <patternFill patternType="solid">
        <fgColor rgb="FF003CCA"/>
        <bgColor indexed="64"/>
      </patternFill>
    </fill>
    <fill>
      <patternFill patternType="solid">
        <fgColor rgb="FF003CCB"/>
        <bgColor indexed="64"/>
      </patternFill>
    </fill>
    <fill>
      <patternFill patternType="solid">
        <fgColor rgb="FF003CCC"/>
        <bgColor indexed="64"/>
      </patternFill>
    </fill>
    <fill>
      <patternFill patternType="solid">
        <fgColor rgb="FF003CCD"/>
        <bgColor indexed="64"/>
      </patternFill>
    </fill>
    <fill>
      <patternFill patternType="solid">
        <fgColor rgb="FF003CCE"/>
        <bgColor indexed="64"/>
      </patternFill>
    </fill>
    <fill>
      <patternFill patternType="solid">
        <fgColor rgb="FF003CCF"/>
        <bgColor indexed="64"/>
      </patternFill>
    </fill>
    <fill>
      <patternFill patternType="solid">
        <fgColor rgb="FF003CD0"/>
        <bgColor indexed="64"/>
      </patternFill>
    </fill>
    <fill>
      <patternFill patternType="solid">
        <fgColor rgb="FF003CD1"/>
        <bgColor indexed="64"/>
      </patternFill>
    </fill>
    <fill>
      <patternFill patternType="solid">
        <fgColor rgb="FF003CD2"/>
        <bgColor indexed="64"/>
      </patternFill>
    </fill>
    <fill>
      <patternFill patternType="solid">
        <fgColor rgb="FF003CD3"/>
        <bgColor indexed="64"/>
      </patternFill>
    </fill>
    <fill>
      <patternFill patternType="solid">
        <fgColor rgb="FF003CD4"/>
        <bgColor indexed="64"/>
      </patternFill>
    </fill>
    <fill>
      <patternFill patternType="solid">
        <fgColor rgb="FF003CD5"/>
        <bgColor indexed="64"/>
      </patternFill>
    </fill>
    <fill>
      <patternFill patternType="solid">
        <fgColor rgb="FF003CD6"/>
        <bgColor indexed="64"/>
      </patternFill>
    </fill>
    <fill>
      <patternFill patternType="solid">
        <fgColor rgb="FF003CD7"/>
        <bgColor indexed="64"/>
      </patternFill>
    </fill>
    <fill>
      <patternFill patternType="solid">
        <fgColor rgb="FF003CD8"/>
        <bgColor indexed="64"/>
      </patternFill>
    </fill>
    <fill>
      <patternFill patternType="solid">
        <fgColor rgb="FF003CD9"/>
        <bgColor indexed="64"/>
      </patternFill>
    </fill>
    <fill>
      <patternFill patternType="solid">
        <fgColor rgb="FF003CDA"/>
        <bgColor indexed="64"/>
      </patternFill>
    </fill>
    <fill>
      <patternFill patternType="solid">
        <fgColor rgb="FF003CDB"/>
        <bgColor indexed="64"/>
      </patternFill>
    </fill>
    <fill>
      <patternFill patternType="solid">
        <fgColor rgb="FF003CDC"/>
        <bgColor indexed="64"/>
      </patternFill>
    </fill>
    <fill>
      <patternFill patternType="solid">
        <fgColor rgb="FF003CDD"/>
        <bgColor indexed="64"/>
      </patternFill>
    </fill>
    <fill>
      <patternFill patternType="solid">
        <fgColor rgb="FF003CDE"/>
        <bgColor indexed="64"/>
      </patternFill>
    </fill>
    <fill>
      <patternFill patternType="solid">
        <fgColor rgb="FF003CDF"/>
        <bgColor indexed="64"/>
      </patternFill>
    </fill>
    <fill>
      <patternFill patternType="solid">
        <fgColor rgb="FF003CE0"/>
        <bgColor indexed="64"/>
      </patternFill>
    </fill>
    <fill>
      <patternFill patternType="solid">
        <fgColor rgb="FF003CE1"/>
        <bgColor indexed="64"/>
      </patternFill>
    </fill>
    <fill>
      <patternFill patternType="solid">
        <fgColor rgb="FF003CE2"/>
        <bgColor indexed="64"/>
      </patternFill>
    </fill>
    <fill>
      <patternFill patternType="solid">
        <fgColor rgb="FF003CE3"/>
        <bgColor indexed="64"/>
      </patternFill>
    </fill>
    <fill>
      <patternFill patternType="solid">
        <fgColor rgb="FF003CE4"/>
        <bgColor indexed="64"/>
      </patternFill>
    </fill>
    <fill>
      <patternFill patternType="solid">
        <fgColor rgb="FF003CE5"/>
        <bgColor indexed="64"/>
      </patternFill>
    </fill>
    <fill>
      <patternFill patternType="solid">
        <fgColor rgb="FF003CE6"/>
        <bgColor indexed="64"/>
      </patternFill>
    </fill>
    <fill>
      <patternFill patternType="solid">
        <fgColor rgb="FF003CE7"/>
        <bgColor indexed="64"/>
      </patternFill>
    </fill>
    <fill>
      <patternFill patternType="solid">
        <fgColor rgb="FF003CE8"/>
        <bgColor indexed="64"/>
      </patternFill>
    </fill>
    <fill>
      <patternFill patternType="solid">
        <fgColor rgb="FF003CE9"/>
        <bgColor indexed="64"/>
      </patternFill>
    </fill>
    <fill>
      <patternFill patternType="solid">
        <fgColor rgb="FF003CEA"/>
        <bgColor indexed="64"/>
      </patternFill>
    </fill>
    <fill>
      <patternFill patternType="solid">
        <fgColor rgb="FF003CEB"/>
        <bgColor indexed="64"/>
      </patternFill>
    </fill>
    <fill>
      <patternFill patternType="solid">
        <fgColor rgb="FF003CEC"/>
        <bgColor indexed="64"/>
      </patternFill>
    </fill>
    <fill>
      <patternFill patternType="solid">
        <fgColor rgb="FF003CED"/>
        <bgColor indexed="64"/>
      </patternFill>
    </fill>
    <fill>
      <patternFill patternType="solid">
        <fgColor rgb="FF003CEE"/>
        <bgColor indexed="64"/>
      </patternFill>
    </fill>
    <fill>
      <patternFill patternType="solid">
        <fgColor rgb="FF003CEF"/>
        <bgColor indexed="64"/>
      </patternFill>
    </fill>
    <fill>
      <patternFill patternType="solid">
        <fgColor rgb="FF003CF0"/>
        <bgColor indexed="64"/>
      </patternFill>
    </fill>
    <fill>
      <patternFill patternType="solid">
        <fgColor rgb="FF003CF1"/>
        <bgColor indexed="64"/>
      </patternFill>
    </fill>
    <fill>
      <patternFill patternType="solid">
        <fgColor rgb="FF003CF2"/>
        <bgColor indexed="64"/>
      </patternFill>
    </fill>
    <fill>
      <patternFill patternType="solid">
        <fgColor rgb="FF003CF3"/>
        <bgColor indexed="64"/>
      </patternFill>
    </fill>
    <fill>
      <patternFill patternType="solid">
        <fgColor rgb="FF003CF4"/>
        <bgColor indexed="64"/>
      </patternFill>
    </fill>
    <fill>
      <patternFill patternType="solid">
        <fgColor rgb="FF003CF5"/>
        <bgColor indexed="64"/>
      </patternFill>
    </fill>
    <fill>
      <patternFill patternType="solid">
        <fgColor rgb="FF003CF6"/>
        <bgColor indexed="64"/>
      </patternFill>
    </fill>
    <fill>
      <patternFill patternType="solid">
        <fgColor rgb="FF003CF7"/>
        <bgColor indexed="64"/>
      </patternFill>
    </fill>
    <fill>
      <patternFill patternType="solid">
        <fgColor rgb="FF003CF8"/>
        <bgColor indexed="64"/>
      </patternFill>
    </fill>
    <fill>
      <patternFill patternType="solid">
        <fgColor rgb="FF003CF9"/>
        <bgColor indexed="64"/>
      </patternFill>
    </fill>
    <fill>
      <patternFill patternType="solid">
        <fgColor rgb="FF003CFA"/>
        <bgColor indexed="64"/>
      </patternFill>
    </fill>
    <fill>
      <patternFill patternType="solid">
        <fgColor rgb="FF003CFB"/>
        <bgColor indexed="64"/>
      </patternFill>
    </fill>
    <fill>
      <patternFill patternType="solid">
        <fgColor rgb="FF003CFC"/>
        <bgColor indexed="64"/>
      </patternFill>
    </fill>
    <fill>
      <patternFill patternType="solid">
        <fgColor rgb="FF003CFD"/>
        <bgColor indexed="64"/>
      </patternFill>
    </fill>
    <fill>
      <patternFill patternType="solid">
        <fgColor rgb="FF003CFE"/>
        <bgColor indexed="64"/>
      </patternFill>
    </fill>
    <fill>
      <patternFill patternType="solid">
        <fgColor rgb="FF003CFF"/>
        <bgColor indexed="64"/>
      </patternFill>
    </fill>
    <fill>
      <patternFill patternType="solid">
        <fgColor rgb="FF003D00"/>
        <bgColor indexed="64"/>
      </patternFill>
    </fill>
    <fill>
      <patternFill patternType="solid">
        <fgColor rgb="FF003D01"/>
        <bgColor indexed="64"/>
      </patternFill>
    </fill>
    <fill>
      <patternFill patternType="solid">
        <fgColor rgb="FF003D02"/>
        <bgColor indexed="64"/>
      </patternFill>
    </fill>
    <fill>
      <patternFill patternType="solid">
        <fgColor rgb="FF003D03"/>
        <bgColor indexed="64"/>
      </patternFill>
    </fill>
    <fill>
      <patternFill patternType="solid">
        <fgColor rgb="FF003D04"/>
        <bgColor indexed="64"/>
      </patternFill>
    </fill>
    <fill>
      <patternFill patternType="solid">
        <fgColor rgb="FF003D05"/>
        <bgColor indexed="64"/>
      </patternFill>
    </fill>
    <fill>
      <patternFill patternType="solid">
        <fgColor rgb="FF003D06"/>
        <bgColor indexed="64"/>
      </patternFill>
    </fill>
    <fill>
      <patternFill patternType="solid">
        <fgColor rgb="FF003D07"/>
        <bgColor indexed="64"/>
      </patternFill>
    </fill>
    <fill>
      <patternFill patternType="solid">
        <fgColor rgb="FF003D08"/>
        <bgColor indexed="64"/>
      </patternFill>
    </fill>
    <fill>
      <patternFill patternType="solid">
        <fgColor rgb="FF003D09"/>
        <bgColor indexed="64"/>
      </patternFill>
    </fill>
    <fill>
      <patternFill patternType="solid">
        <fgColor rgb="FF003D0A"/>
        <bgColor indexed="64"/>
      </patternFill>
    </fill>
    <fill>
      <patternFill patternType="solid">
        <fgColor rgb="FF003D0B"/>
        <bgColor indexed="64"/>
      </patternFill>
    </fill>
    <fill>
      <patternFill patternType="solid">
        <fgColor rgb="FF003D0C"/>
        <bgColor indexed="64"/>
      </patternFill>
    </fill>
    <fill>
      <patternFill patternType="solid">
        <fgColor rgb="FF003D0D"/>
        <bgColor indexed="64"/>
      </patternFill>
    </fill>
    <fill>
      <patternFill patternType="solid">
        <fgColor rgb="FF003D0E"/>
        <bgColor indexed="64"/>
      </patternFill>
    </fill>
    <fill>
      <patternFill patternType="solid">
        <fgColor rgb="FF003D0F"/>
        <bgColor indexed="64"/>
      </patternFill>
    </fill>
    <fill>
      <patternFill patternType="solid">
        <fgColor rgb="FF003D10"/>
        <bgColor indexed="64"/>
      </patternFill>
    </fill>
    <fill>
      <patternFill patternType="solid">
        <fgColor rgb="FF003D11"/>
        <bgColor indexed="64"/>
      </patternFill>
    </fill>
    <fill>
      <patternFill patternType="solid">
        <fgColor rgb="FF003D12"/>
        <bgColor indexed="64"/>
      </patternFill>
    </fill>
    <fill>
      <patternFill patternType="solid">
        <fgColor rgb="FF003D13"/>
        <bgColor indexed="64"/>
      </patternFill>
    </fill>
    <fill>
      <patternFill patternType="solid">
        <fgColor rgb="FF003D14"/>
        <bgColor indexed="64"/>
      </patternFill>
    </fill>
    <fill>
      <patternFill patternType="solid">
        <fgColor rgb="FF003D15"/>
        <bgColor indexed="64"/>
      </patternFill>
    </fill>
    <fill>
      <patternFill patternType="solid">
        <fgColor rgb="FF003D16"/>
        <bgColor indexed="64"/>
      </patternFill>
    </fill>
    <fill>
      <patternFill patternType="solid">
        <fgColor rgb="FF003D17"/>
        <bgColor indexed="64"/>
      </patternFill>
    </fill>
    <fill>
      <patternFill patternType="solid">
        <fgColor rgb="FF003D18"/>
        <bgColor indexed="64"/>
      </patternFill>
    </fill>
    <fill>
      <patternFill patternType="solid">
        <fgColor rgb="FF003D19"/>
        <bgColor indexed="64"/>
      </patternFill>
    </fill>
    <fill>
      <patternFill patternType="solid">
        <fgColor rgb="FF003D1A"/>
        <bgColor indexed="64"/>
      </patternFill>
    </fill>
    <fill>
      <patternFill patternType="solid">
        <fgColor rgb="FF003D1B"/>
        <bgColor indexed="64"/>
      </patternFill>
    </fill>
    <fill>
      <patternFill patternType="solid">
        <fgColor rgb="FF003D1C"/>
        <bgColor indexed="64"/>
      </patternFill>
    </fill>
    <fill>
      <patternFill patternType="solid">
        <fgColor rgb="FF003D1D"/>
        <bgColor indexed="64"/>
      </patternFill>
    </fill>
    <fill>
      <patternFill patternType="solid">
        <fgColor rgb="FF003D1E"/>
        <bgColor indexed="64"/>
      </patternFill>
    </fill>
    <fill>
      <patternFill patternType="solid">
        <fgColor rgb="FF003D1F"/>
        <bgColor indexed="64"/>
      </patternFill>
    </fill>
    <fill>
      <patternFill patternType="solid">
        <fgColor rgb="FF003D20"/>
        <bgColor indexed="64"/>
      </patternFill>
    </fill>
    <fill>
      <patternFill patternType="solid">
        <fgColor rgb="FF003D21"/>
        <bgColor indexed="64"/>
      </patternFill>
    </fill>
    <fill>
      <patternFill patternType="solid">
        <fgColor rgb="FF003D22"/>
        <bgColor indexed="64"/>
      </patternFill>
    </fill>
    <fill>
      <patternFill patternType="solid">
        <fgColor rgb="FF003D23"/>
        <bgColor indexed="64"/>
      </patternFill>
    </fill>
    <fill>
      <patternFill patternType="solid">
        <fgColor rgb="FF003D24"/>
        <bgColor indexed="64"/>
      </patternFill>
    </fill>
    <fill>
      <patternFill patternType="solid">
        <fgColor rgb="FF003D25"/>
        <bgColor indexed="64"/>
      </patternFill>
    </fill>
    <fill>
      <patternFill patternType="solid">
        <fgColor rgb="FF003D26"/>
        <bgColor indexed="64"/>
      </patternFill>
    </fill>
    <fill>
      <patternFill patternType="solid">
        <fgColor rgb="FF003D27"/>
        <bgColor indexed="64"/>
      </patternFill>
    </fill>
    <fill>
      <patternFill patternType="solid">
        <fgColor rgb="FF003D28"/>
        <bgColor indexed="64"/>
      </patternFill>
    </fill>
    <fill>
      <patternFill patternType="solid">
        <fgColor rgb="FF003D29"/>
        <bgColor indexed="64"/>
      </patternFill>
    </fill>
    <fill>
      <patternFill patternType="solid">
        <fgColor rgb="FF003D2A"/>
        <bgColor indexed="64"/>
      </patternFill>
    </fill>
    <fill>
      <patternFill patternType="solid">
        <fgColor rgb="FF003D2B"/>
        <bgColor indexed="64"/>
      </patternFill>
    </fill>
    <fill>
      <patternFill patternType="solid">
        <fgColor rgb="FF003D2C"/>
        <bgColor indexed="64"/>
      </patternFill>
    </fill>
    <fill>
      <patternFill patternType="solid">
        <fgColor rgb="FF003D2D"/>
        <bgColor indexed="64"/>
      </patternFill>
    </fill>
    <fill>
      <patternFill patternType="solid">
        <fgColor rgb="FF003D2E"/>
        <bgColor indexed="64"/>
      </patternFill>
    </fill>
    <fill>
      <patternFill patternType="solid">
        <fgColor rgb="FF003D2F"/>
        <bgColor indexed="64"/>
      </patternFill>
    </fill>
    <fill>
      <patternFill patternType="solid">
        <fgColor rgb="FF003D30"/>
        <bgColor indexed="64"/>
      </patternFill>
    </fill>
    <fill>
      <patternFill patternType="solid">
        <fgColor rgb="FF003D31"/>
        <bgColor indexed="64"/>
      </patternFill>
    </fill>
    <fill>
      <patternFill patternType="solid">
        <fgColor rgb="FF003D32"/>
        <bgColor indexed="64"/>
      </patternFill>
    </fill>
    <fill>
      <patternFill patternType="solid">
        <fgColor rgb="FF003D33"/>
        <bgColor indexed="64"/>
      </patternFill>
    </fill>
    <fill>
      <patternFill patternType="solid">
        <fgColor rgb="FF003D34"/>
        <bgColor indexed="64"/>
      </patternFill>
    </fill>
    <fill>
      <patternFill patternType="solid">
        <fgColor rgb="FF003D35"/>
        <bgColor indexed="64"/>
      </patternFill>
    </fill>
    <fill>
      <patternFill patternType="solid">
        <fgColor rgb="FF003D36"/>
        <bgColor indexed="64"/>
      </patternFill>
    </fill>
    <fill>
      <patternFill patternType="solid">
        <fgColor rgb="FF003D37"/>
        <bgColor indexed="64"/>
      </patternFill>
    </fill>
    <fill>
      <patternFill patternType="solid">
        <fgColor rgb="FF003D38"/>
        <bgColor indexed="64"/>
      </patternFill>
    </fill>
    <fill>
      <patternFill patternType="solid">
        <fgColor rgb="FF003D39"/>
        <bgColor indexed="64"/>
      </patternFill>
    </fill>
    <fill>
      <patternFill patternType="solid">
        <fgColor rgb="FF003D3A"/>
        <bgColor indexed="64"/>
      </patternFill>
    </fill>
    <fill>
      <patternFill patternType="solid">
        <fgColor rgb="FF003D3B"/>
        <bgColor indexed="64"/>
      </patternFill>
    </fill>
    <fill>
      <patternFill patternType="solid">
        <fgColor rgb="FF003D3C"/>
        <bgColor indexed="64"/>
      </patternFill>
    </fill>
    <fill>
      <patternFill patternType="solid">
        <fgColor rgb="FF003D3D"/>
        <bgColor indexed="64"/>
      </patternFill>
    </fill>
    <fill>
      <patternFill patternType="solid">
        <fgColor rgb="FF003D3E"/>
        <bgColor indexed="64"/>
      </patternFill>
    </fill>
    <fill>
      <patternFill patternType="solid">
        <fgColor rgb="FF003D3F"/>
        <bgColor indexed="64"/>
      </patternFill>
    </fill>
    <fill>
      <patternFill patternType="solid">
        <fgColor rgb="FF003D40"/>
        <bgColor indexed="64"/>
      </patternFill>
    </fill>
    <fill>
      <patternFill patternType="solid">
        <fgColor rgb="FF003D41"/>
        <bgColor indexed="64"/>
      </patternFill>
    </fill>
    <fill>
      <patternFill patternType="solid">
        <fgColor rgb="FF003D42"/>
        <bgColor indexed="64"/>
      </patternFill>
    </fill>
    <fill>
      <patternFill patternType="solid">
        <fgColor rgb="FF003D43"/>
        <bgColor indexed="64"/>
      </patternFill>
    </fill>
    <fill>
      <patternFill patternType="solid">
        <fgColor rgb="FF003D44"/>
        <bgColor indexed="64"/>
      </patternFill>
    </fill>
    <fill>
      <patternFill patternType="solid">
        <fgColor rgb="FF003D45"/>
        <bgColor indexed="64"/>
      </patternFill>
    </fill>
    <fill>
      <patternFill patternType="solid">
        <fgColor rgb="FF003D46"/>
        <bgColor indexed="64"/>
      </patternFill>
    </fill>
    <fill>
      <patternFill patternType="solid">
        <fgColor rgb="FF003D47"/>
        <bgColor indexed="64"/>
      </patternFill>
    </fill>
    <fill>
      <patternFill patternType="solid">
        <fgColor rgb="FF003D48"/>
        <bgColor indexed="64"/>
      </patternFill>
    </fill>
    <fill>
      <patternFill patternType="solid">
        <fgColor rgb="FF003D49"/>
        <bgColor indexed="64"/>
      </patternFill>
    </fill>
    <fill>
      <patternFill patternType="solid">
        <fgColor rgb="FF003D4A"/>
        <bgColor indexed="64"/>
      </patternFill>
    </fill>
    <fill>
      <patternFill patternType="solid">
        <fgColor rgb="FF003D4B"/>
        <bgColor indexed="64"/>
      </patternFill>
    </fill>
    <fill>
      <patternFill patternType="solid">
        <fgColor rgb="FF003D4C"/>
        <bgColor indexed="64"/>
      </patternFill>
    </fill>
    <fill>
      <patternFill patternType="solid">
        <fgColor rgb="FF003D4D"/>
        <bgColor indexed="64"/>
      </patternFill>
    </fill>
    <fill>
      <patternFill patternType="solid">
        <fgColor rgb="FF003D4E"/>
        <bgColor indexed="64"/>
      </patternFill>
    </fill>
    <fill>
      <patternFill patternType="solid">
        <fgColor rgb="FF003D4F"/>
        <bgColor indexed="64"/>
      </patternFill>
    </fill>
    <fill>
      <patternFill patternType="solid">
        <fgColor rgb="FF003D50"/>
        <bgColor indexed="64"/>
      </patternFill>
    </fill>
    <fill>
      <patternFill patternType="solid">
        <fgColor rgb="FF003D51"/>
        <bgColor indexed="64"/>
      </patternFill>
    </fill>
    <fill>
      <patternFill patternType="solid">
        <fgColor rgb="FF003D52"/>
        <bgColor indexed="64"/>
      </patternFill>
    </fill>
    <fill>
      <patternFill patternType="solid">
        <fgColor rgb="FF003D53"/>
        <bgColor indexed="64"/>
      </patternFill>
    </fill>
    <fill>
      <patternFill patternType="solid">
        <fgColor rgb="FF003D54"/>
        <bgColor indexed="64"/>
      </patternFill>
    </fill>
    <fill>
      <patternFill patternType="solid">
        <fgColor rgb="FF003D55"/>
        <bgColor indexed="64"/>
      </patternFill>
    </fill>
    <fill>
      <patternFill patternType="solid">
        <fgColor rgb="FF003D56"/>
        <bgColor indexed="64"/>
      </patternFill>
    </fill>
    <fill>
      <patternFill patternType="solid">
        <fgColor rgb="FF003D57"/>
        <bgColor indexed="64"/>
      </patternFill>
    </fill>
    <fill>
      <patternFill patternType="solid">
        <fgColor rgb="FF003D58"/>
        <bgColor indexed="64"/>
      </patternFill>
    </fill>
    <fill>
      <patternFill patternType="solid">
        <fgColor rgb="FF003D59"/>
        <bgColor indexed="64"/>
      </patternFill>
    </fill>
    <fill>
      <patternFill patternType="solid">
        <fgColor rgb="FF003D5A"/>
        <bgColor indexed="64"/>
      </patternFill>
    </fill>
    <fill>
      <patternFill patternType="solid">
        <fgColor rgb="FF003D5B"/>
        <bgColor indexed="64"/>
      </patternFill>
    </fill>
    <fill>
      <patternFill patternType="solid">
        <fgColor rgb="FF003D5C"/>
        <bgColor indexed="64"/>
      </patternFill>
    </fill>
    <fill>
      <patternFill patternType="solid">
        <fgColor rgb="FF003D5D"/>
        <bgColor indexed="64"/>
      </patternFill>
    </fill>
    <fill>
      <patternFill patternType="solid">
        <fgColor rgb="FF003D5E"/>
        <bgColor indexed="64"/>
      </patternFill>
    </fill>
    <fill>
      <patternFill patternType="solid">
        <fgColor rgb="FF003D5F"/>
        <bgColor indexed="64"/>
      </patternFill>
    </fill>
    <fill>
      <patternFill patternType="solid">
        <fgColor rgb="FF003D60"/>
        <bgColor indexed="64"/>
      </patternFill>
    </fill>
    <fill>
      <patternFill patternType="solid">
        <fgColor rgb="FF003D61"/>
        <bgColor indexed="64"/>
      </patternFill>
    </fill>
    <fill>
      <patternFill patternType="solid">
        <fgColor rgb="FF003D62"/>
        <bgColor indexed="64"/>
      </patternFill>
    </fill>
    <fill>
      <patternFill patternType="solid">
        <fgColor rgb="FF003D63"/>
        <bgColor indexed="64"/>
      </patternFill>
    </fill>
    <fill>
      <patternFill patternType="solid">
        <fgColor rgb="FF003D64"/>
        <bgColor indexed="64"/>
      </patternFill>
    </fill>
    <fill>
      <patternFill patternType="solid">
        <fgColor rgb="FF003D65"/>
        <bgColor indexed="64"/>
      </patternFill>
    </fill>
    <fill>
      <patternFill patternType="solid">
        <fgColor rgb="FF003D66"/>
        <bgColor indexed="64"/>
      </patternFill>
    </fill>
    <fill>
      <patternFill patternType="solid">
        <fgColor rgb="FF003D67"/>
        <bgColor indexed="64"/>
      </patternFill>
    </fill>
    <fill>
      <patternFill patternType="solid">
        <fgColor rgb="FF003D68"/>
        <bgColor indexed="64"/>
      </patternFill>
    </fill>
    <fill>
      <patternFill patternType="solid">
        <fgColor rgb="FF003D69"/>
        <bgColor indexed="64"/>
      </patternFill>
    </fill>
    <fill>
      <patternFill patternType="solid">
        <fgColor rgb="FF003D6A"/>
        <bgColor indexed="64"/>
      </patternFill>
    </fill>
    <fill>
      <patternFill patternType="solid">
        <fgColor rgb="FF003D6B"/>
        <bgColor indexed="64"/>
      </patternFill>
    </fill>
    <fill>
      <patternFill patternType="solid">
        <fgColor rgb="FF003D6C"/>
        <bgColor indexed="64"/>
      </patternFill>
    </fill>
    <fill>
      <patternFill patternType="solid">
        <fgColor rgb="FF003D6D"/>
        <bgColor indexed="64"/>
      </patternFill>
    </fill>
    <fill>
      <patternFill patternType="solid">
        <fgColor rgb="FF003D6E"/>
        <bgColor indexed="64"/>
      </patternFill>
    </fill>
    <fill>
      <patternFill patternType="solid">
        <fgColor rgb="FF003D6F"/>
        <bgColor indexed="64"/>
      </patternFill>
    </fill>
    <fill>
      <patternFill patternType="solid">
        <fgColor rgb="FF003D70"/>
        <bgColor indexed="64"/>
      </patternFill>
    </fill>
    <fill>
      <patternFill patternType="solid">
        <fgColor rgb="FF003D71"/>
        <bgColor indexed="64"/>
      </patternFill>
    </fill>
    <fill>
      <patternFill patternType="solid">
        <fgColor rgb="FF003D72"/>
        <bgColor indexed="64"/>
      </patternFill>
    </fill>
    <fill>
      <patternFill patternType="solid">
        <fgColor rgb="FF003D73"/>
        <bgColor indexed="64"/>
      </patternFill>
    </fill>
    <fill>
      <patternFill patternType="solid">
        <fgColor rgb="FF003D74"/>
        <bgColor indexed="64"/>
      </patternFill>
    </fill>
    <fill>
      <patternFill patternType="solid">
        <fgColor rgb="FF003D75"/>
        <bgColor indexed="64"/>
      </patternFill>
    </fill>
    <fill>
      <patternFill patternType="solid">
        <fgColor rgb="FF003D76"/>
        <bgColor indexed="64"/>
      </patternFill>
    </fill>
    <fill>
      <patternFill patternType="solid">
        <fgColor rgb="FF003D77"/>
        <bgColor indexed="64"/>
      </patternFill>
    </fill>
    <fill>
      <patternFill patternType="solid">
        <fgColor rgb="FF003D78"/>
        <bgColor indexed="64"/>
      </patternFill>
    </fill>
    <fill>
      <patternFill patternType="solid">
        <fgColor rgb="FF003D79"/>
        <bgColor indexed="64"/>
      </patternFill>
    </fill>
    <fill>
      <patternFill patternType="solid">
        <fgColor rgb="FF003D7A"/>
        <bgColor indexed="64"/>
      </patternFill>
    </fill>
    <fill>
      <patternFill patternType="solid">
        <fgColor rgb="FF003D7B"/>
        <bgColor indexed="64"/>
      </patternFill>
    </fill>
    <fill>
      <patternFill patternType="solid">
        <fgColor rgb="FF003D7C"/>
        <bgColor indexed="64"/>
      </patternFill>
    </fill>
    <fill>
      <patternFill patternType="solid">
        <fgColor rgb="FF003D7D"/>
        <bgColor indexed="64"/>
      </patternFill>
    </fill>
    <fill>
      <patternFill patternType="solid">
        <fgColor rgb="FF003D7E"/>
        <bgColor indexed="64"/>
      </patternFill>
    </fill>
    <fill>
      <patternFill patternType="solid">
        <fgColor rgb="FF003D7F"/>
        <bgColor indexed="64"/>
      </patternFill>
    </fill>
    <fill>
      <patternFill patternType="solid">
        <fgColor rgb="FF003D80"/>
        <bgColor indexed="64"/>
      </patternFill>
    </fill>
    <fill>
      <patternFill patternType="solid">
        <fgColor rgb="FF003D81"/>
        <bgColor indexed="64"/>
      </patternFill>
    </fill>
    <fill>
      <patternFill patternType="solid">
        <fgColor rgb="FF003D82"/>
        <bgColor indexed="64"/>
      </patternFill>
    </fill>
    <fill>
      <patternFill patternType="solid">
        <fgColor rgb="FF003D83"/>
        <bgColor indexed="64"/>
      </patternFill>
    </fill>
    <fill>
      <patternFill patternType="solid">
        <fgColor rgb="FF003D84"/>
        <bgColor indexed="64"/>
      </patternFill>
    </fill>
    <fill>
      <patternFill patternType="solid">
        <fgColor rgb="FF003D85"/>
        <bgColor indexed="64"/>
      </patternFill>
    </fill>
    <fill>
      <patternFill patternType="solid">
        <fgColor rgb="FF003D86"/>
        <bgColor indexed="64"/>
      </patternFill>
    </fill>
    <fill>
      <patternFill patternType="solid">
        <fgColor rgb="FF003D87"/>
        <bgColor indexed="64"/>
      </patternFill>
    </fill>
    <fill>
      <patternFill patternType="solid">
        <fgColor rgb="FF003D88"/>
        <bgColor indexed="64"/>
      </patternFill>
    </fill>
    <fill>
      <patternFill patternType="solid">
        <fgColor rgb="FF003D89"/>
        <bgColor indexed="64"/>
      </patternFill>
    </fill>
    <fill>
      <patternFill patternType="solid">
        <fgColor rgb="FF003D8A"/>
        <bgColor indexed="64"/>
      </patternFill>
    </fill>
    <fill>
      <patternFill patternType="solid">
        <fgColor rgb="FF003D8B"/>
        <bgColor indexed="64"/>
      </patternFill>
    </fill>
    <fill>
      <patternFill patternType="solid">
        <fgColor rgb="FF003D8C"/>
        <bgColor indexed="64"/>
      </patternFill>
    </fill>
    <fill>
      <patternFill patternType="solid">
        <fgColor rgb="FF003D8D"/>
        <bgColor indexed="64"/>
      </patternFill>
    </fill>
    <fill>
      <patternFill patternType="solid">
        <fgColor rgb="FF003D8E"/>
        <bgColor indexed="64"/>
      </patternFill>
    </fill>
    <fill>
      <patternFill patternType="solid">
        <fgColor rgb="FF003D8F"/>
        <bgColor indexed="64"/>
      </patternFill>
    </fill>
    <fill>
      <patternFill patternType="solid">
        <fgColor rgb="FF003D90"/>
        <bgColor indexed="64"/>
      </patternFill>
    </fill>
    <fill>
      <patternFill patternType="solid">
        <fgColor rgb="FF003D91"/>
        <bgColor indexed="64"/>
      </patternFill>
    </fill>
    <fill>
      <patternFill patternType="solid">
        <fgColor rgb="FF003D92"/>
        <bgColor indexed="64"/>
      </patternFill>
    </fill>
    <fill>
      <patternFill patternType="solid">
        <fgColor rgb="FF003D93"/>
        <bgColor indexed="64"/>
      </patternFill>
    </fill>
    <fill>
      <patternFill patternType="solid">
        <fgColor rgb="FF003D94"/>
        <bgColor indexed="64"/>
      </patternFill>
    </fill>
    <fill>
      <patternFill patternType="solid">
        <fgColor rgb="FF003D95"/>
        <bgColor indexed="64"/>
      </patternFill>
    </fill>
    <fill>
      <patternFill patternType="solid">
        <fgColor rgb="FF003D96"/>
        <bgColor indexed="64"/>
      </patternFill>
    </fill>
    <fill>
      <patternFill patternType="solid">
        <fgColor rgb="FF003D97"/>
        <bgColor indexed="64"/>
      </patternFill>
    </fill>
    <fill>
      <patternFill patternType="solid">
        <fgColor rgb="FF003D98"/>
        <bgColor indexed="64"/>
      </patternFill>
    </fill>
    <fill>
      <patternFill patternType="solid">
        <fgColor rgb="FF003D99"/>
        <bgColor indexed="64"/>
      </patternFill>
    </fill>
    <fill>
      <patternFill patternType="solid">
        <fgColor rgb="FF003D9A"/>
        <bgColor indexed="64"/>
      </patternFill>
    </fill>
    <fill>
      <patternFill patternType="solid">
        <fgColor rgb="FF003D9B"/>
        <bgColor indexed="64"/>
      </patternFill>
    </fill>
    <fill>
      <patternFill patternType="solid">
        <fgColor rgb="FF003D9C"/>
        <bgColor indexed="64"/>
      </patternFill>
    </fill>
    <fill>
      <patternFill patternType="solid">
        <fgColor rgb="FF003D9D"/>
        <bgColor indexed="64"/>
      </patternFill>
    </fill>
    <fill>
      <patternFill patternType="solid">
        <fgColor rgb="FF003D9E"/>
        <bgColor indexed="64"/>
      </patternFill>
    </fill>
    <fill>
      <patternFill patternType="solid">
        <fgColor rgb="FF003D9F"/>
        <bgColor indexed="64"/>
      </patternFill>
    </fill>
    <fill>
      <patternFill patternType="solid">
        <fgColor rgb="FF003DA0"/>
        <bgColor indexed="64"/>
      </patternFill>
    </fill>
    <fill>
      <patternFill patternType="solid">
        <fgColor rgb="FF003DA1"/>
        <bgColor indexed="64"/>
      </patternFill>
    </fill>
    <fill>
      <patternFill patternType="solid">
        <fgColor rgb="FF003DA2"/>
        <bgColor indexed="64"/>
      </patternFill>
    </fill>
    <fill>
      <patternFill patternType="solid">
        <fgColor rgb="FF003DA3"/>
        <bgColor indexed="64"/>
      </patternFill>
    </fill>
    <fill>
      <patternFill patternType="solid">
        <fgColor rgb="FF003DA4"/>
        <bgColor indexed="64"/>
      </patternFill>
    </fill>
    <fill>
      <patternFill patternType="solid">
        <fgColor rgb="FF003DA5"/>
        <bgColor indexed="64"/>
      </patternFill>
    </fill>
    <fill>
      <patternFill patternType="solid">
        <fgColor rgb="FF003DA6"/>
        <bgColor indexed="64"/>
      </patternFill>
    </fill>
    <fill>
      <patternFill patternType="solid">
        <fgColor rgb="FF003DA7"/>
        <bgColor indexed="64"/>
      </patternFill>
    </fill>
    <fill>
      <patternFill patternType="solid">
        <fgColor rgb="FF003DA8"/>
        <bgColor indexed="64"/>
      </patternFill>
    </fill>
    <fill>
      <patternFill patternType="solid">
        <fgColor rgb="FF003DA9"/>
        <bgColor indexed="64"/>
      </patternFill>
    </fill>
    <fill>
      <patternFill patternType="solid">
        <fgColor rgb="FF003DAA"/>
        <bgColor indexed="64"/>
      </patternFill>
    </fill>
    <fill>
      <patternFill patternType="solid">
        <fgColor rgb="FF003DAB"/>
        <bgColor indexed="64"/>
      </patternFill>
    </fill>
    <fill>
      <patternFill patternType="solid">
        <fgColor rgb="FF003DAC"/>
        <bgColor indexed="64"/>
      </patternFill>
    </fill>
    <fill>
      <patternFill patternType="solid">
        <fgColor rgb="FF003DAD"/>
        <bgColor indexed="64"/>
      </patternFill>
    </fill>
    <fill>
      <patternFill patternType="solid">
        <fgColor rgb="FF003DAE"/>
        <bgColor indexed="64"/>
      </patternFill>
    </fill>
    <fill>
      <patternFill patternType="solid">
        <fgColor rgb="FF003DAF"/>
        <bgColor indexed="64"/>
      </patternFill>
    </fill>
    <fill>
      <patternFill patternType="solid">
        <fgColor rgb="FF003DB0"/>
        <bgColor indexed="64"/>
      </patternFill>
    </fill>
    <fill>
      <patternFill patternType="solid">
        <fgColor rgb="FF003DB1"/>
        <bgColor indexed="64"/>
      </patternFill>
    </fill>
    <fill>
      <patternFill patternType="solid">
        <fgColor rgb="FF003DB2"/>
        <bgColor indexed="64"/>
      </patternFill>
    </fill>
    <fill>
      <patternFill patternType="solid">
        <fgColor rgb="FF003DB3"/>
        <bgColor indexed="64"/>
      </patternFill>
    </fill>
    <fill>
      <patternFill patternType="solid">
        <fgColor rgb="FF003DB4"/>
        <bgColor indexed="64"/>
      </patternFill>
    </fill>
    <fill>
      <patternFill patternType="solid">
        <fgColor rgb="FF003DB5"/>
        <bgColor indexed="64"/>
      </patternFill>
    </fill>
    <fill>
      <patternFill patternType="solid">
        <fgColor rgb="FF003DB6"/>
        <bgColor indexed="64"/>
      </patternFill>
    </fill>
    <fill>
      <patternFill patternType="solid">
        <fgColor rgb="FF003DB7"/>
        <bgColor indexed="64"/>
      </patternFill>
    </fill>
    <fill>
      <patternFill patternType="solid">
        <fgColor rgb="FF003DB8"/>
        <bgColor indexed="64"/>
      </patternFill>
    </fill>
    <fill>
      <patternFill patternType="solid">
        <fgColor rgb="FF003DB9"/>
        <bgColor indexed="64"/>
      </patternFill>
    </fill>
    <fill>
      <patternFill patternType="solid">
        <fgColor rgb="FF003DBA"/>
        <bgColor indexed="64"/>
      </patternFill>
    </fill>
    <fill>
      <patternFill patternType="solid">
        <fgColor rgb="FF003DBB"/>
        <bgColor indexed="64"/>
      </patternFill>
    </fill>
    <fill>
      <patternFill patternType="solid">
        <fgColor rgb="FF003DBC"/>
        <bgColor indexed="64"/>
      </patternFill>
    </fill>
    <fill>
      <patternFill patternType="solid">
        <fgColor rgb="FF003DBD"/>
        <bgColor indexed="64"/>
      </patternFill>
    </fill>
    <fill>
      <patternFill patternType="solid">
        <fgColor rgb="FF003DBE"/>
        <bgColor indexed="64"/>
      </patternFill>
    </fill>
    <fill>
      <patternFill patternType="solid">
        <fgColor rgb="FF003DBF"/>
        <bgColor indexed="64"/>
      </patternFill>
    </fill>
    <fill>
      <patternFill patternType="solid">
        <fgColor rgb="FF003DC0"/>
        <bgColor indexed="64"/>
      </patternFill>
    </fill>
    <fill>
      <patternFill patternType="solid">
        <fgColor rgb="FF003DC1"/>
        <bgColor indexed="64"/>
      </patternFill>
    </fill>
    <fill>
      <patternFill patternType="solid">
        <fgColor rgb="FF003DC2"/>
        <bgColor indexed="64"/>
      </patternFill>
    </fill>
    <fill>
      <patternFill patternType="solid">
        <fgColor rgb="FF003DC3"/>
        <bgColor indexed="64"/>
      </patternFill>
    </fill>
    <fill>
      <patternFill patternType="solid">
        <fgColor rgb="FF003DC4"/>
        <bgColor indexed="64"/>
      </patternFill>
    </fill>
    <fill>
      <patternFill patternType="solid">
        <fgColor rgb="FF003DC5"/>
        <bgColor indexed="64"/>
      </patternFill>
    </fill>
    <fill>
      <patternFill patternType="solid">
        <fgColor rgb="FF003DC6"/>
        <bgColor indexed="64"/>
      </patternFill>
    </fill>
    <fill>
      <patternFill patternType="solid">
        <fgColor rgb="FF003DC7"/>
        <bgColor indexed="64"/>
      </patternFill>
    </fill>
    <fill>
      <patternFill patternType="solid">
        <fgColor rgb="FF003DC8"/>
        <bgColor indexed="64"/>
      </patternFill>
    </fill>
    <fill>
      <patternFill patternType="solid">
        <fgColor rgb="FF003DC9"/>
        <bgColor indexed="64"/>
      </patternFill>
    </fill>
    <fill>
      <patternFill patternType="solid">
        <fgColor rgb="FF003DCA"/>
        <bgColor indexed="64"/>
      </patternFill>
    </fill>
    <fill>
      <patternFill patternType="solid">
        <fgColor rgb="FF003DCB"/>
        <bgColor indexed="64"/>
      </patternFill>
    </fill>
    <fill>
      <patternFill patternType="solid">
        <fgColor rgb="FF003DCC"/>
        <bgColor indexed="64"/>
      </patternFill>
    </fill>
    <fill>
      <patternFill patternType="solid">
        <fgColor rgb="FF003DCD"/>
        <bgColor indexed="64"/>
      </patternFill>
    </fill>
    <fill>
      <patternFill patternType="solid">
        <fgColor rgb="FF003DCE"/>
        <bgColor indexed="64"/>
      </patternFill>
    </fill>
    <fill>
      <patternFill patternType="solid">
        <fgColor rgb="FF003DCF"/>
        <bgColor indexed="64"/>
      </patternFill>
    </fill>
    <fill>
      <patternFill patternType="solid">
        <fgColor rgb="FF003DD0"/>
        <bgColor indexed="64"/>
      </patternFill>
    </fill>
    <fill>
      <patternFill patternType="solid">
        <fgColor rgb="FF003DD1"/>
        <bgColor indexed="64"/>
      </patternFill>
    </fill>
    <fill>
      <patternFill patternType="solid">
        <fgColor rgb="FF003DD2"/>
        <bgColor indexed="64"/>
      </patternFill>
    </fill>
    <fill>
      <patternFill patternType="solid">
        <fgColor rgb="FF003DD3"/>
        <bgColor indexed="64"/>
      </patternFill>
    </fill>
    <fill>
      <patternFill patternType="solid">
        <fgColor rgb="FF003DD4"/>
        <bgColor indexed="64"/>
      </patternFill>
    </fill>
    <fill>
      <patternFill patternType="solid">
        <fgColor rgb="FF003DD5"/>
        <bgColor indexed="64"/>
      </patternFill>
    </fill>
    <fill>
      <patternFill patternType="solid">
        <fgColor rgb="FF003DD6"/>
        <bgColor indexed="64"/>
      </patternFill>
    </fill>
    <fill>
      <patternFill patternType="solid">
        <fgColor rgb="FF003DD7"/>
        <bgColor indexed="64"/>
      </patternFill>
    </fill>
    <fill>
      <patternFill patternType="solid">
        <fgColor rgb="FF003DD8"/>
        <bgColor indexed="64"/>
      </patternFill>
    </fill>
    <fill>
      <patternFill patternType="solid">
        <fgColor rgb="FF003DD9"/>
        <bgColor indexed="64"/>
      </patternFill>
    </fill>
    <fill>
      <patternFill patternType="solid">
        <fgColor rgb="FF003DDA"/>
        <bgColor indexed="64"/>
      </patternFill>
    </fill>
    <fill>
      <patternFill patternType="solid">
        <fgColor rgb="FF003DDB"/>
        <bgColor indexed="64"/>
      </patternFill>
    </fill>
    <fill>
      <patternFill patternType="solid">
        <fgColor rgb="FF003DDC"/>
        <bgColor indexed="64"/>
      </patternFill>
    </fill>
    <fill>
      <patternFill patternType="solid">
        <fgColor rgb="FF003DDD"/>
        <bgColor indexed="64"/>
      </patternFill>
    </fill>
    <fill>
      <patternFill patternType="solid">
        <fgColor rgb="FF003DDE"/>
        <bgColor indexed="64"/>
      </patternFill>
    </fill>
    <fill>
      <patternFill patternType="solid">
        <fgColor rgb="FF003DDF"/>
        <bgColor indexed="64"/>
      </patternFill>
    </fill>
    <fill>
      <patternFill patternType="solid">
        <fgColor rgb="FF003DE0"/>
        <bgColor indexed="64"/>
      </patternFill>
    </fill>
    <fill>
      <patternFill patternType="solid">
        <fgColor rgb="FF003DE1"/>
        <bgColor indexed="64"/>
      </patternFill>
    </fill>
    <fill>
      <patternFill patternType="solid">
        <fgColor rgb="FF003DE2"/>
        <bgColor indexed="64"/>
      </patternFill>
    </fill>
    <fill>
      <patternFill patternType="solid">
        <fgColor rgb="FF003DE3"/>
        <bgColor indexed="64"/>
      </patternFill>
    </fill>
    <fill>
      <patternFill patternType="solid">
        <fgColor rgb="FF003DE4"/>
        <bgColor indexed="64"/>
      </patternFill>
    </fill>
    <fill>
      <patternFill patternType="solid">
        <fgColor rgb="FF003DE5"/>
        <bgColor indexed="64"/>
      </patternFill>
    </fill>
    <fill>
      <patternFill patternType="solid">
        <fgColor rgb="FF003DE6"/>
        <bgColor indexed="64"/>
      </patternFill>
    </fill>
    <fill>
      <patternFill patternType="solid">
        <fgColor rgb="FF003DE7"/>
        <bgColor indexed="64"/>
      </patternFill>
    </fill>
    <fill>
      <patternFill patternType="solid">
        <fgColor rgb="FF003DE8"/>
        <bgColor indexed="64"/>
      </patternFill>
    </fill>
    <fill>
      <patternFill patternType="solid">
        <fgColor rgb="FF003DE9"/>
        <bgColor indexed="64"/>
      </patternFill>
    </fill>
    <fill>
      <patternFill patternType="solid">
        <fgColor rgb="FF003DEA"/>
        <bgColor indexed="64"/>
      </patternFill>
    </fill>
    <fill>
      <patternFill patternType="solid">
        <fgColor rgb="FF003DEB"/>
        <bgColor indexed="64"/>
      </patternFill>
    </fill>
    <fill>
      <patternFill patternType="solid">
        <fgColor rgb="FF003DEC"/>
        <bgColor indexed="64"/>
      </patternFill>
    </fill>
    <fill>
      <patternFill patternType="solid">
        <fgColor rgb="FF003DED"/>
        <bgColor indexed="64"/>
      </patternFill>
    </fill>
    <fill>
      <patternFill patternType="solid">
        <fgColor rgb="FF003DEE"/>
        <bgColor indexed="64"/>
      </patternFill>
    </fill>
    <fill>
      <patternFill patternType="solid">
        <fgColor rgb="FF003DEF"/>
        <bgColor indexed="64"/>
      </patternFill>
    </fill>
    <fill>
      <patternFill patternType="solid">
        <fgColor rgb="FF003DF0"/>
        <bgColor indexed="64"/>
      </patternFill>
    </fill>
    <fill>
      <patternFill patternType="solid">
        <fgColor rgb="FF003DF1"/>
        <bgColor indexed="64"/>
      </patternFill>
    </fill>
    <fill>
      <patternFill patternType="solid">
        <fgColor rgb="FF003DF2"/>
        <bgColor indexed="64"/>
      </patternFill>
    </fill>
    <fill>
      <patternFill patternType="solid">
        <fgColor rgb="FF003DF3"/>
        <bgColor indexed="64"/>
      </patternFill>
    </fill>
    <fill>
      <patternFill patternType="solid">
        <fgColor rgb="FF003DF4"/>
        <bgColor indexed="64"/>
      </patternFill>
    </fill>
    <fill>
      <patternFill patternType="solid">
        <fgColor rgb="FF003DF5"/>
        <bgColor indexed="64"/>
      </patternFill>
    </fill>
    <fill>
      <patternFill patternType="solid">
        <fgColor rgb="FF003DF6"/>
        <bgColor indexed="64"/>
      </patternFill>
    </fill>
    <fill>
      <patternFill patternType="solid">
        <fgColor rgb="FF003DF7"/>
        <bgColor indexed="64"/>
      </patternFill>
    </fill>
    <fill>
      <patternFill patternType="solid">
        <fgColor rgb="FF003DF8"/>
        <bgColor indexed="64"/>
      </patternFill>
    </fill>
    <fill>
      <patternFill patternType="solid">
        <fgColor rgb="FF003DF9"/>
        <bgColor indexed="64"/>
      </patternFill>
    </fill>
    <fill>
      <patternFill patternType="solid">
        <fgColor rgb="FF003DFA"/>
        <bgColor indexed="64"/>
      </patternFill>
    </fill>
    <fill>
      <patternFill patternType="solid">
        <fgColor rgb="FF003DFB"/>
        <bgColor indexed="64"/>
      </patternFill>
    </fill>
    <fill>
      <patternFill patternType="solid">
        <fgColor rgb="FF003DFC"/>
        <bgColor indexed="64"/>
      </patternFill>
    </fill>
    <fill>
      <patternFill patternType="solid">
        <fgColor rgb="FF003DFD"/>
        <bgColor indexed="64"/>
      </patternFill>
    </fill>
    <fill>
      <patternFill patternType="solid">
        <fgColor rgb="FF003DFE"/>
        <bgColor indexed="64"/>
      </patternFill>
    </fill>
    <fill>
      <patternFill patternType="solid">
        <fgColor rgb="FF003DFF"/>
        <bgColor indexed="64"/>
      </patternFill>
    </fill>
    <fill>
      <patternFill patternType="solid">
        <fgColor rgb="FF003E00"/>
        <bgColor indexed="64"/>
      </patternFill>
    </fill>
    <fill>
      <patternFill patternType="solid">
        <fgColor rgb="FF003E01"/>
        <bgColor indexed="64"/>
      </patternFill>
    </fill>
    <fill>
      <patternFill patternType="solid">
        <fgColor rgb="FF003E02"/>
        <bgColor indexed="64"/>
      </patternFill>
    </fill>
    <fill>
      <patternFill patternType="solid">
        <fgColor rgb="FF003E03"/>
        <bgColor indexed="64"/>
      </patternFill>
    </fill>
    <fill>
      <patternFill patternType="solid">
        <fgColor rgb="FF003E04"/>
        <bgColor indexed="64"/>
      </patternFill>
    </fill>
    <fill>
      <patternFill patternType="solid">
        <fgColor rgb="FF003E05"/>
        <bgColor indexed="64"/>
      </patternFill>
    </fill>
    <fill>
      <patternFill patternType="solid">
        <fgColor rgb="FF003E06"/>
        <bgColor indexed="64"/>
      </patternFill>
    </fill>
    <fill>
      <patternFill patternType="solid">
        <fgColor rgb="FF003E07"/>
        <bgColor indexed="64"/>
      </patternFill>
    </fill>
    <fill>
      <patternFill patternType="solid">
        <fgColor rgb="FF003E08"/>
        <bgColor indexed="64"/>
      </patternFill>
    </fill>
    <fill>
      <patternFill patternType="solid">
        <fgColor rgb="FF003E09"/>
        <bgColor indexed="64"/>
      </patternFill>
    </fill>
    <fill>
      <patternFill patternType="solid">
        <fgColor rgb="FF003E0A"/>
        <bgColor indexed="64"/>
      </patternFill>
    </fill>
    <fill>
      <patternFill patternType="solid">
        <fgColor rgb="FF003E0B"/>
        <bgColor indexed="64"/>
      </patternFill>
    </fill>
    <fill>
      <patternFill patternType="solid">
        <fgColor rgb="FF003E0C"/>
        <bgColor indexed="64"/>
      </patternFill>
    </fill>
    <fill>
      <patternFill patternType="solid">
        <fgColor rgb="FF003E0D"/>
        <bgColor indexed="64"/>
      </patternFill>
    </fill>
    <fill>
      <patternFill patternType="solid">
        <fgColor rgb="FF003E0E"/>
        <bgColor indexed="64"/>
      </patternFill>
    </fill>
    <fill>
      <patternFill patternType="solid">
        <fgColor rgb="FF003E0F"/>
        <bgColor indexed="64"/>
      </patternFill>
    </fill>
    <fill>
      <patternFill patternType="solid">
        <fgColor rgb="FF003E10"/>
        <bgColor indexed="64"/>
      </patternFill>
    </fill>
    <fill>
      <patternFill patternType="solid">
        <fgColor rgb="FF003E11"/>
        <bgColor indexed="64"/>
      </patternFill>
    </fill>
    <fill>
      <patternFill patternType="solid">
        <fgColor rgb="FF003E12"/>
        <bgColor indexed="64"/>
      </patternFill>
    </fill>
    <fill>
      <patternFill patternType="solid">
        <fgColor rgb="FF003E13"/>
        <bgColor indexed="64"/>
      </patternFill>
    </fill>
    <fill>
      <patternFill patternType="solid">
        <fgColor rgb="FF003E14"/>
        <bgColor indexed="64"/>
      </patternFill>
    </fill>
    <fill>
      <patternFill patternType="solid">
        <fgColor rgb="FF003E15"/>
        <bgColor indexed="64"/>
      </patternFill>
    </fill>
    <fill>
      <patternFill patternType="solid">
        <fgColor rgb="FF003E16"/>
        <bgColor indexed="64"/>
      </patternFill>
    </fill>
    <fill>
      <patternFill patternType="solid">
        <fgColor rgb="FF003E17"/>
        <bgColor indexed="64"/>
      </patternFill>
    </fill>
    <fill>
      <patternFill patternType="solid">
        <fgColor rgb="FF003E18"/>
        <bgColor indexed="64"/>
      </patternFill>
    </fill>
    <fill>
      <patternFill patternType="solid">
        <fgColor rgb="FF003E19"/>
        <bgColor indexed="64"/>
      </patternFill>
    </fill>
    <fill>
      <patternFill patternType="solid">
        <fgColor rgb="FF003E1A"/>
        <bgColor indexed="64"/>
      </patternFill>
    </fill>
    <fill>
      <patternFill patternType="solid">
        <fgColor rgb="FF003E1B"/>
        <bgColor indexed="64"/>
      </patternFill>
    </fill>
    <fill>
      <patternFill patternType="solid">
        <fgColor rgb="FF003E1C"/>
        <bgColor indexed="64"/>
      </patternFill>
    </fill>
    <fill>
      <patternFill patternType="solid">
        <fgColor rgb="FF003E1D"/>
        <bgColor indexed="64"/>
      </patternFill>
    </fill>
    <fill>
      <patternFill patternType="solid">
        <fgColor rgb="FF003E1E"/>
        <bgColor indexed="64"/>
      </patternFill>
    </fill>
    <fill>
      <patternFill patternType="solid">
        <fgColor rgb="FF003E1F"/>
        <bgColor indexed="64"/>
      </patternFill>
    </fill>
    <fill>
      <patternFill patternType="solid">
        <fgColor rgb="FF003E20"/>
        <bgColor indexed="64"/>
      </patternFill>
    </fill>
    <fill>
      <patternFill patternType="solid">
        <fgColor rgb="FF003E21"/>
        <bgColor indexed="64"/>
      </patternFill>
    </fill>
    <fill>
      <patternFill patternType="solid">
        <fgColor rgb="FF003E22"/>
        <bgColor indexed="64"/>
      </patternFill>
    </fill>
    <fill>
      <patternFill patternType="solid">
        <fgColor rgb="FF003E23"/>
        <bgColor indexed="64"/>
      </patternFill>
    </fill>
    <fill>
      <patternFill patternType="solid">
        <fgColor rgb="FF003E24"/>
        <bgColor indexed="64"/>
      </patternFill>
    </fill>
    <fill>
      <patternFill patternType="solid">
        <fgColor rgb="FF003E25"/>
        <bgColor indexed="64"/>
      </patternFill>
    </fill>
    <fill>
      <patternFill patternType="solid">
        <fgColor rgb="FF003E26"/>
        <bgColor indexed="64"/>
      </patternFill>
    </fill>
    <fill>
      <patternFill patternType="solid">
        <fgColor rgb="FF003E27"/>
        <bgColor indexed="64"/>
      </patternFill>
    </fill>
    <fill>
      <patternFill patternType="solid">
        <fgColor rgb="FF003E28"/>
        <bgColor indexed="64"/>
      </patternFill>
    </fill>
    <fill>
      <patternFill patternType="solid">
        <fgColor rgb="FF003E29"/>
        <bgColor indexed="64"/>
      </patternFill>
    </fill>
    <fill>
      <patternFill patternType="solid">
        <fgColor rgb="FF003E2A"/>
        <bgColor indexed="64"/>
      </patternFill>
    </fill>
    <fill>
      <patternFill patternType="solid">
        <fgColor rgb="FF003E2B"/>
        <bgColor indexed="64"/>
      </patternFill>
    </fill>
    <fill>
      <patternFill patternType="solid">
        <fgColor rgb="FF003E2C"/>
        <bgColor indexed="64"/>
      </patternFill>
    </fill>
    <fill>
      <patternFill patternType="solid">
        <fgColor rgb="FF003E2D"/>
        <bgColor indexed="64"/>
      </patternFill>
    </fill>
    <fill>
      <patternFill patternType="solid">
        <fgColor rgb="FF003E2E"/>
        <bgColor indexed="64"/>
      </patternFill>
    </fill>
    <fill>
      <patternFill patternType="solid">
        <fgColor rgb="FF003E2F"/>
        <bgColor indexed="64"/>
      </patternFill>
    </fill>
    <fill>
      <patternFill patternType="solid">
        <fgColor rgb="FF003E30"/>
        <bgColor indexed="64"/>
      </patternFill>
    </fill>
    <fill>
      <patternFill patternType="solid">
        <fgColor rgb="FF003E31"/>
        <bgColor indexed="64"/>
      </patternFill>
    </fill>
    <fill>
      <patternFill patternType="solid">
        <fgColor rgb="FF003E32"/>
        <bgColor indexed="64"/>
      </patternFill>
    </fill>
    <fill>
      <patternFill patternType="solid">
        <fgColor rgb="FF003E33"/>
        <bgColor indexed="64"/>
      </patternFill>
    </fill>
    <fill>
      <patternFill patternType="solid">
        <fgColor rgb="FF003E34"/>
        <bgColor indexed="64"/>
      </patternFill>
    </fill>
    <fill>
      <patternFill patternType="solid">
        <fgColor rgb="FF003E35"/>
        <bgColor indexed="64"/>
      </patternFill>
    </fill>
    <fill>
      <patternFill patternType="solid">
        <fgColor rgb="FF003E36"/>
        <bgColor indexed="64"/>
      </patternFill>
    </fill>
    <fill>
      <patternFill patternType="solid">
        <fgColor rgb="FF003E37"/>
        <bgColor indexed="64"/>
      </patternFill>
    </fill>
    <fill>
      <patternFill patternType="solid">
        <fgColor rgb="FF003E38"/>
        <bgColor indexed="64"/>
      </patternFill>
    </fill>
    <fill>
      <patternFill patternType="solid">
        <fgColor rgb="FF003E39"/>
        <bgColor indexed="64"/>
      </patternFill>
    </fill>
    <fill>
      <patternFill patternType="solid">
        <fgColor rgb="FF003E3A"/>
        <bgColor indexed="64"/>
      </patternFill>
    </fill>
    <fill>
      <patternFill patternType="solid">
        <fgColor rgb="FF003E3B"/>
        <bgColor indexed="64"/>
      </patternFill>
    </fill>
    <fill>
      <patternFill patternType="solid">
        <fgColor rgb="FF003E3C"/>
        <bgColor indexed="64"/>
      </patternFill>
    </fill>
    <fill>
      <patternFill patternType="solid">
        <fgColor rgb="FF003E3D"/>
        <bgColor indexed="64"/>
      </patternFill>
    </fill>
    <fill>
      <patternFill patternType="solid">
        <fgColor rgb="FF003E3E"/>
        <bgColor indexed="64"/>
      </patternFill>
    </fill>
    <fill>
      <patternFill patternType="solid">
        <fgColor rgb="FF003E3F"/>
        <bgColor indexed="64"/>
      </patternFill>
    </fill>
    <fill>
      <patternFill patternType="solid">
        <fgColor rgb="FF003E40"/>
        <bgColor indexed="64"/>
      </patternFill>
    </fill>
    <fill>
      <patternFill patternType="solid">
        <fgColor rgb="FF003E41"/>
        <bgColor indexed="64"/>
      </patternFill>
    </fill>
    <fill>
      <patternFill patternType="solid">
        <fgColor rgb="FF003E42"/>
        <bgColor indexed="64"/>
      </patternFill>
    </fill>
    <fill>
      <patternFill patternType="solid">
        <fgColor rgb="FF003E43"/>
        <bgColor indexed="64"/>
      </patternFill>
    </fill>
    <fill>
      <patternFill patternType="solid">
        <fgColor rgb="FF003E44"/>
        <bgColor indexed="64"/>
      </patternFill>
    </fill>
    <fill>
      <patternFill patternType="solid">
        <fgColor rgb="FF003E45"/>
        <bgColor indexed="64"/>
      </patternFill>
    </fill>
    <fill>
      <patternFill patternType="solid">
        <fgColor rgb="FF003E46"/>
        <bgColor indexed="64"/>
      </patternFill>
    </fill>
    <fill>
      <patternFill patternType="solid">
        <fgColor rgb="FF003E47"/>
        <bgColor indexed="64"/>
      </patternFill>
    </fill>
    <fill>
      <patternFill patternType="solid">
        <fgColor rgb="FF003E48"/>
        <bgColor indexed="64"/>
      </patternFill>
    </fill>
    <fill>
      <patternFill patternType="solid">
        <fgColor rgb="FF003E49"/>
        <bgColor indexed="64"/>
      </patternFill>
    </fill>
    <fill>
      <patternFill patternType="solid">
        <fgColor rgb="FF003E4A"/>
        <bgColor indexed="64"/>
      </patternFill>
    </fill>
    <fill>
      <patternFill patternType="solid">
        <fgColor rgb="FF003E4B"/>
        <bgColor indexed="64"/>
      </patternFill>
    </fill>
    <fill>
      <patternFill patternType="solid">
        <fgColor rgb="FF003E4C"/>
        <bgColor indexed="64"/>
      </patternFill>
    </fill>
    <fill>
      <patternFill patternType="solid">
        <fgColor rgb="FF003E4D"/>
        <bgColor indexed="64"/>
      </patternFill>
    </fill>
    <fill>
      <patternFill patternType="solid">
        <fgColor rgb="FF003E4E"/>
        <bgColor indexed="64"/>
      </patternFill>
    </fill>
    <fill>
      <patternFill patternType="solid">
        <fgColor rgb="FF003E4F"/>
        <bgColor indexed="64"/>
      </patternFill>
    </fill>
    <fill>
      <patternFill patternType="solid">
        <fgColor rgb="FF003E50"/>
        <bgColor indexed="64"/>
      </patternFill>
    </fill>
    <fill>
      <patternFill patternType="solid">
        <fgColor rgb="FF003E51"/>
        <bgColor indexed="64"/>
      </patternFill>
    </fill>
    <fill>
      <patternFill patternType="solid">
        <fgColor rgb="FF003E52"/>
        <bgColor indexed="64"/>
      </patternFill>
    </fill>
    <fill>
      <patternFill patternType="solid">
        <fgColor rgb="FF003E53"/>
        <bgColor indexed="64"/>
      </patternFill>
    </fill>
    <fill>
      <patternFill patternType="solid">
        <fgColor rgb="FF003E54"/>
        <bgColor indexed="64"/>
      </patternFill>
    </fill>
    <fill>
      <patternFill patternType="solid">
        <fgColor rgb="FF003E55"/>
        <bgColor indexed="64"/>
      </patternFill>
    </fill>
    <fill>
      <patternFill patternType="solid">
        <fgColor rgb="FF003E56"/>
        <bgColor indexed="64"/>
      </patternFill>
    </fill>
    <fill>
      <patternFill patternType="solid">
        <fgColor rgb="FF003E57"/>
        <bgColor indexed="64"/>
      </patternFill>
    </fill>
    <fill>
      <patternFill patternType="solid">
        <fgColor rgb="FF003E58"/>
        <bgColor indexed="64"/>
      </patternFill>
    </fill>
    <fill>
      <patternFill patternType="solid">
        <fgColor rgb="FF003E59"/>
        <bgColor indexed="64"/>
      </patternFill>
    </fill>
    <fill>
      <patternFill patternType="solid">
        <fgColor rgb="FF003E5A"/>
        <bgColor indexed="64"/>
      </patternFill>
    </fill>
    <fill>
      <patternFill patternType="solid">
        <fgColor rgb="FF003E5B"/>
        <bgColor indexed="64"/>
      </patternFill>
    </fill>
    <fill>
      <patternFill patternType="solid">
        <fgColor rgb="FF003E5C"/>
        <bgColor indexed="64"/>
      </patternFill>
    </fill>
    <fill>
      <patternFill patternType="solid">
        <fgColor rgb="FF003E5D"/>
        <bgColor indexed="64"/>
      </patternFill>
    </fill>
    <fill>
      <patternFill patternType="solid">
        <fgColor rgb="FF003E5E"/>
        <bgColor indexed="64"/>
      </patternFill>
    </fill>
    <fill>
      <patternFill patternType="solid">
        <fgColor rgb="FF003E5F"/>
        <bgColor indexed="64"/>
      </patternFill>
    </fill>
    <fill>
      <patternFill patternType="solid">
        <fgColor rgb="FF003E60"/>
        <bgColor indexed="64"/>
      </patternFill>
    </fill>
    <fill>
      <patternFill patternType="solid">
        <fgColor rgb="FF003E61"/>
        <bgColor indexed="64"/>
      </patternFill>
    </fill>
    <fill>
      <patternFill patternType="solid">
        <fgColor rgb="FF003E62"/>
        <bgColor indexed="64"/>
      </patternFill>
    </fill>
    <fill>
      <patternFill patternType="solid">
        <fgColor rgb="FF003E63"/>
        <bgColor indexed="64"/>
      </patternFill>
    </fill>
    <fill>
      <patternFill patternType="solid">
        <fgColor rgb="FF003E64"/>
        <bgColor indexed="64"/>
      </patternFill>
    </fill>
    <fill>
      <patternFill patternType="solid">
        <fgColor rgb="FF003E65"/>
        <bgColor indexed="64"/>
      </patternFill>
    </fill>
    <fill>
      <patternFill patternType="solid">
        <fgColor rgb="FF003E66"/>
        <bgColor indexed="64"/>
      </patternFill>
    </fill>
    <fill>
      <patternFill patternType="solid">
        <fgColor rgb="FF003E67"/>
        <bgColor indexed="64"/>
      </patternFill>
    </fill>
    <fill>
      <patternFill patternType="solid">
        <fgColor rgb="FF003E68"/>
        <bgColor indexed="64"/>
      </patternFill>
    </fill>
    <fill>
      <patternFill patternType="solid">
        <fgColor rgb="FF003E69"/>
        <bgColor indexed="64"/>
      </patternFill>
    </fill>
    <fill>
      <patternFill patternType="solid">
        <fgColor rgb="FF003E6A"/>
        <bgColor indexed="64"/>
      </patternFill>
    </fill>
    <fill>
      <patternFill patternType="solid">
        <fgColor rgb="FF003E6B"/>
        <bgColor indexed="64"/>
      </patternFill>
    </fill>
    <fill>
      <patternFill patternType="solid">
        <fgColor rgb="FF003E6C"/>
        <bgColor indexed="64"/>
      </patternFill>
    </fill>
    <fill>
      <patternFill patternType="solid">
        <fgColor rgb="FF003E6D"/>
        <bgColor indexed="64"/>
      </patternFill>
    </fill>
    <fill>
      <patternFill patternType="solid">
        <fgColor rgb="FF003E6E"/>
        <bgColor indexed="64"/>
      </patternFill>
    </fill>
    <fill>
      <patternFill patternType="solid">
        <fgColor rgb="FF003E6F"/>
        <bgColor indexed="64"/>
      </patternFill>
    </fill>
    <fill>
      <patternFill patternType="solid">
        <fgColor rgb="FF003E70"/>
        <bgColor indexed="64"/>
      </patternFill>
    </fill>
    <fill>
      <patternFill patternType="solid">
        <fgColor rgb="FF003E71"/>
        <bgColor indexed="64"/>
      </patternFill>
    </fill>
    <fill>
      <patternFill patternType="solid">
        <fgColor rgb="FF003E72"/>
        <bgColor indexed="64"/>
      </patternFill>
    </fill>
    <fill>
      <patternFill patternType="solid">
        <fgColor rgb="FF003E73"/>
        <bgColor indexed="64"/>
      </patternFill>
    </fill>
    <fill>
      <patternFill patternType="solid">
        <fgColor rgb="FF003E74"/>
        <bgColor indexed="64"/>
      </patternFill>
    </fill>
    <fill>
      <patternFill patternType="solid">
        <fgColor rgb="FF003E75"/>
        <bgColor indexed="64"/>
      </patternFill>
    </fill>
    <fill>
      <patternFill patternType="solid">
        <fgColor rgb="FF003E76"/>
        <bgColor indexed="64"/>
      </patternFill>
    </fill>
    <fill>
      <patternFill patternType="solid">
        <fgColor rgb="FF003E77"/>
        <bgColor indexed="64"/>
      </patternFill>
    </fill>
    <fill>
      <patternFill patternType="solid">
        <fgColor rgb="FF003E78"/>
        <bgColor indexed="64"/>
      </patternFill>
    </fill>
    <fill>
      <patternFill patternType="solid">
        <fgColor rgb="FF003E79"/>
        <bgColor indexed="64"/>
      </patternFill>
    </fill>
    <fill>
      <patternFill patternType="solid">
        <fgColor rgb="FF003E7A"/>
        <bgColor indexed="64"/>
      </patternFill>
    </fill>
    <fill>
      <patternFill patternType="solid">
        <fgColor rgb="FF003E7B"/>
        <bgColor indexed="64"/>
      </patternFill>
    </fill>
    <fill>
      <patternFill patternType="solid">
        <fgColor rgb="FF003E7C"/>
        <bgColor indexed="64"/>
      </patternFill>
    </fill>
    <fill>
      <patternFill patternType="solid">
        <fgColor rgb="FF003E7D"/>
        <bgColor indexed="64"/>
      </patternFill>
    </fill>
    <fill>
      <patternFill patternType="solid">
        <fgColor rgb="FF003E7E"/>
        <bgColor indexed="64"/>
      </patternFill>
    </fill>
    <fill>
      <patternFill patternType="solid">
        <fgColor rgb="FF003E7F"/>
        <bgColor indexed="64"/>
      </patternFill>
    </fill>
    <fill>
      <patternFill patternType="solid">
        <fgColor rgb="FF003E80"/>
        <bgColor indexed="64"/>
      </patternFill>
    </fill>
    <fill>
      <patternFill patternType="solid">
        <fgColor rgb="FF003E81"/>
        <bgColor indexed="64"/>
      </patternFill>
    </fill>
    <fill>
      <patternFill patternType="solid">
        <fgColor rgb="FF003E82"/>
        <bgColor indexed="64"/>
      </patternFill>
    </fill>
    <fill>
      <patternFill patternType="solid">
        <fgColor rgb="FF003E83"/>
        <bgColor indexed="64"/>
      </patternFill>
    </fill>
    <fill>
      <patternFill patternType="solid">
        <fgColor rgb="FF003E84"/>
        <bgColor indexed="64"/>
      </patternFill>
    </fill>
    <fill>
      <patternFill patternType="solid">
        <fgColor rgb="FF003E85"/>
        <bgColor indexed="64"/>
      </patternFill>
    </fill>
    <fill>
      <patternFill patternType="solid">
        <fgColor rgb="FF003E86"/>
        <bgColor indexed="64"/>
      </patternFill>
    </fill>
    <fill>
      <patternFill patternType="solid">
        <fgColor rgb="FF003E87"/>
        <bgColor indexed="64"/>
      </patternFill>
    </fill>
    <fill>
      <patternFill patternType="solid">
        <fgColor rgb="FF003E88"/>
        <bgColor indexed="64"/>
      </patternFill>
    </fill>
    <fill>
      <patternFill patternType="solid">
        <fgColor rgb="FF003E89"/>
        <bgColor indexed="64"/>
      </patternFill>
    </fill>
    <fill>
      <patternFill patternType="solid">
        <fgColor rgb="FF003E8A"/>
        <bgColor indexed="64"/>
      </patternFill>
    </fill>
    <fill>
      <patternFill patternType="solid">
        <fgColor rgb="FF003E8B"/>
        <bgColor indexed="64"/>
      </patternFill>
    </fill>
    <fill>
      <patternFill patternType="solid">
        <fgColor rgb="FF003E8C"/>
        <bgColor indexed="64"/>
      </patternFill>
    </fill>
    <fill>
      <patternFill patternType="solid">
        <fgColor rgb="FF003E8D"/>
        <bgColor indexed="64"/>
      </patternFill>
    </fill>
    <fill>
      <patternFill patternType="solid">
        <fgColor rgb="FF003E8E"/>
        <bgColor indexed="64"/>
      </patternFill>
    </fill>
    <fill>
      <patternFill patternType="solid">
        <fgColor rgb="FF003E8F"/>
        <bgColor indexed="64"/>
      </patternFill>
    </fill>
    <fill>
      <patternFill patternType="solid">
        <fgColor rgb="FF003E90"/>
        <bgColor indexed="64"/>
      </patternFill>
    </fill>
    <fill>
      <patternFill patternType="solid">
        <fgColor rgb="FF003E91"/>
        <bgColor indexed="64"/>
      </patternFill>
    </fill>
    <fill>
      <patternFill patternType="solid">
        <fgColor rgb="FF003E92"/>
        <bgColor indexed="64"/>
      </patternFill>
    </fill>
    <fill>
      <patternFill patternType="solid">
        <fgColor rgb="FF003E93"/>
        <bgColor indexed="64"/>
      </patternFill>
    </fill>
    <fill>
      <patternFill patternType="solid">
        <fgColor rgb="FF003E94"/>
        <bgColor indexed="64"/>
      </patternFill>
    </fill>
    <fill>
      <patternFill patternType="solid">
        <fgColor rgb="FF003E95"/>
        <bgColor indexed="64"/>
      </patternFill>
    </fill>
    <fill>
      <patternFill patternType="solid">
        <fgColor rgb="FF003E96"/>
        <bgColor indexed="64"/>
      </patternFill>
    </fill>
    <fill>
      <patternFill patternType="solid">
        <fgColor rgb="FF003E97"/>
        <bgColor indexed="64"/>
      </patternFill>
    </fill>
    <fill>
      <patternFill patternType="solid">
        <fgColor rgb="FF003E98"/>
        <bgColor indexed="64"/>
      </patternFill>
    </fill>
    <fill>
      <patternFill patternType="solid">
        <fgColor rgb="FF003E99"/>
        <bgColor indexed="64"/>
      </patternFill>
    </fill>
    <fill>
      <patternFill patternType="solid">
        <fgColor rgb="FF003E9A"/>
        <bgColor indexed="64"/>
      </patternFill>
    </fill>
    <fill>
      <patternFill patternType="solid">
        <fgColor rgb="FF003E9B"/>
        <bgColor indexed="64"/>
      </patternFill>
    </fill>
    <fill>
      <patternFill patternType="solid">
        <fgColor rgb="FF003E9C"/>
        <bgColor indexed="64"/>
      </patternFill>
    </fill>
    <fill>
      <patternFill patternType="solid">
        <fgColor rgb="FF003E9D"/>
        <bgColor indexed="64"/>
      </patternFill>
    </fill>
    <fill>
      <patternFill patternType="solid">
        <fgColor rgb="FF003E9E"/>
        <bgColor indexed="64"/>
      </patternFill>
    </fill>
    <fill>
      <patternFill patternType="solid">
        <fgColor rgb="FF003E9F"/>
        <bgColor indexed="64"/>
      </patternFill>
    </fill>
    <fill>
      <patternFill patternType="solid">
        <fgColor rgb="FF003EA0"/>
        <bgColor indexed="64"/>
      </patternFill>
    </fill>
    <fill>
      <patternFill patternType="solid">
        <fgColor rgb="FF003EA1"/>
        <bgColor indexed="64"/>
      </patternFill>
    </fill>
    <fill>
      <patternFill patternType="solid">
        <fgColor rgb="FF003EA2"/>
        <bgColor indexed="64"/>
      </patternFill>
    </fill>
    <fill>
      <patternFill patternType="solid">
        <fgColor rgb="FF003EA3"/>
        <bgColor indexed="64"/>
      </patternFill>
    </fill>
    <fill>
      <patternFill patternType="solid">
        <fgColor rgb="FF003EA4"/>
        <bgColor indexed="64"/>
      </patternFill>
    </fill>
    <fill>
      <patternFill patternType="solid">
        <fgColor rgb="FF003EA5"/>
        <bgColor indexed="64"/>
      </patternFill>
    </fill>
    <fill>
      <patternFill patternType="solid">
        <fgColor rgb="FF003EA6"/>
        <bgColor indexed="64"/>
      </patternFill>
    </fill>
    <fill>
      <patternFill patternType="solid">
        <fgColor rgb="FF003EA7"/>
        <bgColor indexed="64"/>
      </patternFill>
    </fill>
    <fill>
      <patternFill patternType="solid">
        <fgColor rgb="FF003EA8"/>
        <bgColor indexed="64"/>
      </patternFill>
    </fill>
    <fill>
      <patternFill patternType="solid">
        <fgColor rgb="FF003EA9"/>
        <bgColor indexed="64"/>
      </patternFill>
    </fill>
    <fill>
      <patternFill patternType="solid">
        <fgColor rgb="FF003EAA"/>
        <bgColor indexed="64"/>
      </patternFill>
    </fill>
    <fill>
      <patternFill patternType="solid">
        <fgColor rgb="FF003EAB"/>
        <bgColor indexed="64"/>
      </patternFill>
    </fill>
    <fill>
      <patternFill patternType="solid">
        <fgColor rgb="FF003EAC"/>
        <bgColor indexed="64"/>
      </patternFill>
    </fill>
    <fill>
      <patternFill patternType="solid">
        <fgColor rgb="FF003EAD"/>
        <bgColor indexed="64"/>
      </patternFill>
    </fill>
    <fill>
      <patternFill patternType="solid">
        <fgColor rgb="FF003EAE"/>
        <bgColor indexed="64"/>
      </patternFill>
    </fill>
    <fill>
      <patternFill patternType="solid">
        <fgColor rgb="FF003EAF"/>
        <bgColor indexed="64"/>
      </patternFill>
    </fill>
    <fill>
      <patternFill patternType="solid">
        <fgColor rgb="FF003EB0"/>
        <bgColor indexed="64"/>
      </patternFill>
    </fill>
    <fill>
      <patternFill patternType="solid">
        <fgColor rgb="FF003EB1"/>
        <bgColor indexed="64"/>
      </patternFill>
    </fill>
    <fill>
      <patternFill patternType="solid">
        <fgColor rgb="FF003EB2"/>
        <bgColor indexed="64"/>
      </patternFill>
    </fill>
    <fill>
      <patternFill patternType="solid">
        <fgColor rgb="FF003EB3"/>
        <bgColor indexed="64"/>
      </patternFill>
    </fill>
    <fill>
      <patternFill patternType="solid">
        <fgColor rgb="FF003EB4"/>
        <bgColor indexed="64"/>
      </patternFill>
    </fill>
    <fill>
      <patternFill patternType="solid">
        <fgColor rgb="FF003EB5"/>
        <bgColor indexed="64"/>
      </patternFill>
    </fill>
    <fill>
      <patternFill patternType="solid">
        <fgColor rgb="FF003EB6"/>
        <bgColor indexed="64"/>
      </patternFill>
    </fill>
    <fill>
      <patternFill patternType="solid">
        <fgColor rgb="FF003EB7"/>
        <bgColor indexed="64"/>
      </patternFill>
    </fill>
    <fill>
      <patternFill patternType="solid">
        <fgColor rgb="FF003EB8"/>
        <bgColor indexed="64"/>
      </patternFill>
    </fill>
    <fill>
      <patternFill patternType="solid">
        <fgColor rgb="FF003EB9"/>
        <bgColor indexed="64"/>
      </patternFill>
    </fill>
    <fill>
      <patternFill patternType="solid">
        <fgColor rgb="FF003EBA"/>
        <bgColor indexed="64"/>
      </patternFill>
    </fill>
    <fill>
      <patternFill patternType="solid">
        <fgColor rgb="FF003EBB"/>
        <bgColor indexed="64"/>
      </patternFill>
    </fill>
    <fill>
      <patternFill patternType="solid">
        <fgColor rgb="FF003EBC"/>
        <bgColor indexed="64"/>
      </patternFill>
    </fill>
    <fill>
      <patternFill patternType="solid">
        <fgColor rgb="FF003EBD"/>
        <bgColor indexed="64"/>
      </patternFill>
    </fill>
    <fill>
      <patternFill patternType="solid">
        <fgColor rgb="FF003EBE"/>
        <bgColor indexed="64"/>
      </patternFill>
    </fill>
    <fill>
      <patternFill patternType="solid">
        <fgColor rgb="FF003EBF"/>
        <bgColor indexed="64"/>
      </patternFill>
    </fill>
    <fill>
      <patternFill patternType="solid">
        <fgColor rgb="FF003EC0"/>
        <bgColor indexed="64"/>
      </patternFill>
    </fill>
    <fill>
      <patternFill patternType="solid">
        <fgColor rgb="FF003EC1"/>
        <bgColor indexed="64"/>
      </patternFill>
    </fill>
    <fill>
      <patternFill patternType="solid">
        <fgColor rgb="FF003EC2"/>
        <bgColor indexed="64"/>
      </patternFill>
    </fill>
    <fill>
      <patternFill patternType="solid">
        <fgColor rgb="FF003EC3"/>
        <bgColor indexed="64"/>
      </patternFill>
    </fill>
    <fill>
      <patternFill patternType="solid">
        <fgColor rgb="FF003EC4"/>
        <bgColor indexed="64"/>
      </patternFill>
    </fill>
    <fill>
      <patternFill patternType="solid">
        <fgColor rgb="FF003EC5"/>
        <bgColor indexed="64"/>
      </patternFill>
    </fill>
    <fill>
      <patternFill patternType="solid">
        <fgColor rgb="FF003EC6"/>
        <bgColor indexed="64"/>
      </patternFill>
    </fill>
    <fill>
      <patternFill patternType="solid">
        <fgColor rgb="FF003EC7"/>
        <bgColor indexed="64"/>
      </patternFill>
    </fill>
    <fill>
      <patternFill patternType="solid">
        <fgColor rgb="FF003EC8"/>
        <bgColor indexed="64"/>
      </patternFill>
    </fill>
    <fill>
      <patternFill patternType="solid">
        <fgColor rgb="FF003EC9"/>
        <bgColor indexed="64"/>
      </patternFill>
    </fill>
    <fill>
      <patternFill patternType="solid">
        <fgColor rgb="FF003ECA"/>
        <bgColor indexed="64"/>
      </patternFill>
    </fill>
    <fill>
      <patternFill patternType="solid">
        <fgColor rgb="FF003ECB"/>
        <bgColor indexed="64"/>
      </patternFill>
    </fill>
    <fill>
      <patternFill patternType="solid">
        <fgColor rgb="FF003ECC"/>
        <bgColor indexed="64"/>
      </patternFill>
    </fill>
    <fill>
      <patternFill patternType="solid">
        <fgColor rgb="FF003ECD"/>
        <bgColor indexed="64"/>
      </patternFill>
    </fill>
    <fill>
      <patternFill patternType="solid">
        <fgColor rgb="FF003ECE"/>
        <bgColor indexed="64"/>
      </patternFill>
    </fill>
    <fill>
      <patternFill patternType="solid">
        <fgColor rgb="FF003ECF"/>
        <bgColor indexed="64"/>
      </patternFill>
    </fill>
    <fill>
      <patternFill patternType="solid">
        <fgColor rgb="FF003ED0"/>
        <bgColor indexed="64"/>
      </patternFill>
    </fill>
    <fill>
      <patternFill patternType="solid">
        <fgColor rgb="FF003ED1"/>
        <bgColor indexed="64"/>
      </patternFill>
    </fill>
    <fill>
      <patternFill patternType="solid">
        <fgColor rgb="FF003ED2"/>
        <bgColor indexed="64"/>
      </patternFill>
    </fill>
    <fill>
      <patternFill patternType="solid">
        <fgColor rgb="FF003ED3"/>
        <bgColor indexed="64"/>
      </patternFill>
    </fill>
    <fill>
      <patternFill patternType="solid">
        <fgColor rgb="FF003ED4"/>
        <bgColor indexed="64"/>
      </patternFill>
    </fill>
    <fill>
      <patternFill patternType="solid">
        <fgColor rgb="FF003ED5"/>
        <bgColor indexed="64"/>
      </patternFill>
    </fill>
    <fill>
      <patternFill patternType="solid">
        <fgColor rgb="FF003ED6"/>
        <bgColor indexed="64"/>
      </patternFill>
    </fill>
    <fill>
      <patternFill patternType="solid">
        <fgColor rgb="FF003ED7"/>
        <bgColor indexed="64"/>
      </patternFill>
    </fill>
    <fill>
      <patternFill patternType="solid">
        <fgColor rgb="FF003ED8"/>
        <bgColor indexed="64"/>
      </patternFill>
    </fill>
    <fill>
      <patternFill patternType="solid">
        <fgColor rgb="FF003ED9"/>
        <bgColor indexed="64"/>
      </patternFill>
    </fill>
    <fill>
      <patternFill patternType="solid">
        <fgColor rgb="FF003EDA"/>
        <bgColor indexed="64"/>
      </patternFill>
    </fill>
    <fill>
      <patternFill patternType="solid">
        <fgColor rgb="FF003EDB"/>
        <bgColor indexed="64"/>
      </patternFill>
    </fill>
    <fill>
      <patternFill patternType="solid">
        <fgColor rgb="FF003EDC"/>
        <bgColor indexed="64"/>
      </patternFill>
    </fill>
    <fill>
      <patternFill patternType="solid">
        <fgColor rgb="FF003EDD"/>
        <bgColor indexed="64"/>
      </patternFill>
    </fill>
    <fill>
      <patternFill patternType="solid">
        <fgColor rgb="FF003EDE"/>
        <bgColor indexed="64"/>
      </patternFill>
    </fill>
    <fill>
      <patternFill patternType="solid">
        <fgColor rgb="FF003EDF"/>
        <bgColor indexed="64"/>
      </patternFill>
    </fill>
    <fill>
      <patternFill patternType="solid">
        <fgColor rgb="FF003EE0"/>
        <bgColor indexed="64"/>
      </patternFill>
    </fill>
    <fill>
      <patternFill patternType="solid">
        <fgColor rgb="FF003EE1"/>
        <bgColor indexed="64"/>
      </patternFill>
    </fill>
    <fill>
      <patternFill patternType="solid">
        <fgColor rgb="FF003EE2"/>
        <bgColor indexed="64"/>
      </patternFill>
    </fill>
    <fill>
      <patternFill patternType="solid">
        <fgColor rgb="FF003EE3"/>
        <bgColor indexed="64"/>
      </patternFill>
    </fill>
    <fill>
      <patternFill patternType="solid">
        <fgColor rgb="FF003EE4"/>
        <bgColor indexed="64"/>
      </patternFill>
    </fill>
    <fill>
      <patternFill patternType="solid">
        <fgColor rgb="FF003EE5"/>
        <bgColor indexed="64"/>
      </patternFill>
    </fill>
    <fill>
      <patternFill patternType="solid">
        <fgColor rgb="FF003EE6"/>
        <bgColor indexed="64"/>
      </patternFill>
    </fill>
    <fill>
      <patternFill patternType="solid">
        <fgColor rgb="FF003EE7"/>
        <bgColor indexed="64"/>
      </patternFill>
    </fill>
    <fill>
      <patternFill patternType="solid">
        <fgColor rgb="FF003EE8"/>
        <bgColor indexed="64"/>
      </patternFill>
    </fill>
    <fill>
      <patternFill patternType="solid">
        <fgColor rgb="FF003EE9"/>
        <bgColor indexed="64"/>
      </patternFill>
    </fill>
    <fill>
      <patternFill patternType="solid">
        <fgColor rgb="FF003EEA"/>
        <bgColor indexed="64"/>
      </patternFill>
    </fill>
    <fill>
      <patternFill patternType="solid">
        <fgColor rgb="FF003EEB"/>
        <bgColor indexed="64"/>
      </patternFill>
    </fill>
    <fill>
      <patternFill patternType="solid">
        <fgColor rgb="FF003EEC"/>
        <bgColor indexed="64"/>
      </patternFill>
    </fill>
    <fill>
      <patternFill patternType="solid">
        <fgColor rgb="FF003EED"/>
        <bgColor indexed="64"/>
      </patternFill>
    </fill>
    <fill>
      <patternFill patternType="solid">
        <fgColor rgb="FF003EEE"/>
        <bgColor indexed="64"/>
      </patternFill>
    </fill>
    <fill>
      <patternFill patternType="solid">
        <fgColor rgb="FF003EEF"/>
        <bgColor indexed="64"/>
      </patternFill>
    </fill>
    <fill>
      <patternFill patternType="solid">
        <fgColor rgb="FF003EF0"/>
        <bgColor indexed="64"/>
      </patternFill>
    </fill>
    <fill>
      <patternFill patternType="solid">
        <fgColor rgb="FF003EF1"/>
        <bgColor indexed="64"/>
      </patternFill>
    </fill>
    <fill>
      <patternFill patternType="solid">
        <fgColor rgb="FF003EF2"/>
        <bgColor indexed="64"/>
      </patternFill>
    </fill>
    <fill>
      <patternFill patternType="solid">
        <fgColor rgb="FF003EF3"/>
        <bgColor indexed="64"/>
      </patternFill>
    </fill>
    <fill>
      <patternFill patternType="solid">
        <fgColor rgb="FF003EF4"/>
        <bgColor indexed="64"/>
      </patternFill>
    </fill>
    <fill>
      <patternFill patternType="solid">
        <fgColor rgb="FF003EF5"/>
        <bgColor indexed="64"/>
      </patternFill>
    </fill>
    <fill>
      <patternFill patternType="solid">
        <fgColor rgb="FF003EF6"/>
        <bgColor indexed="64"/>
      </patternFill>
    </fill>
    <fill>
      <patternFill patternType="solid">
        <fgColor rgb="FF003EF7"/>
        <bgColor indexed="64"/>
      </patternFill>
    </fill>
    <fill>
      <patternFill patternType="solid">
        <fgColor rgb="FF003EF8"/>
        <bgColor indexed="64"/>
      </patternFill>
    </fill>
    <fill>
      <patternFill patternType="solid">
        <fgColor rgb="FF003EF9"/>
        <bgColor indexed="64"/>
      </patternFill>
    </fill>
    <fill>
      <patternFill patternType="solid">
        <fgColor rgb="FF003EFA"/>
        <bgColor indexed="64"/>
      </patternFill>
    </fill>
    <fill>
      <patternFill patternType="solid">
        <fgColor rgb="FF003EFB"/>
        <bgColor indexed="64"/>
      </patternFill>
    </fill>
    <fill>
      <patternFill patternType="solid">
        <fgColor rgb="FF003EFC"/>
        <bgColor indexed="64"/>
      </patternFill>
    </fill>
    <fill>
      <patternFill patternType="solid">
        <fgColor rgb="FF003EFD"/>
        <bgColor indexed="64"/>
      </patternFill>
    </fill>
    <fill>
      <patternFill patternType="solid">
        <fgColor rgb="FF003EFE"/>
        <bgColor indexed="64"/>
      </patternFill>
    </fill>
    <fill>
      <patternFill patternType="solid">
        <fgColor rgb="FF003EFF"/>
        <bgColor indexed="64"/>
      </patternFill>
    </fill>
    <fill>
      <patternFill patternType="solid">
        <fgColor rgb="FF003F00"/>
        <bgColor indexed="64"/>
      </patternFill>
    </fill>
    <fill>
      <patternFill patternType="solid">
        <fgColor rgb="FF003F01"/>
        <bgColor indexed="64"/>
      </patternFill>
    </fill>
    <fill>
      <patternFill patternType="solid">
        <fgColor rgb="FF003F02"/>
        <bgColor indexed="64"/>
      </patternFill>
    </fill>
    <fill>
      <patternFill patternType="solid">
        <fgColor rgb="FF003F03"/>
        <bgColor indexed="64"/>
      </patternFill>
    </fill>
    <fill>
      <patternFill patternType="solid">
        <fgColor rgb="FF003F04"/>
        <bgColor indexed="64"/>
      </patternFill>
    </fill>
    <fill>
      <patternFill patternType="solid">
        <fgColor rgb="FF003F05"/>
        <bgColor indexed="64"/>
      </patternFill>
    </fill>
    <fill>
      <patternFill patternType="solid">
        <fgColor rgb="FF003F06"/>
        <bgColor indexed="64"/>
      </patternFill>
    </fill>
    <fill>
      <patternFill patternType="solid">
        <fgColor rgb="FF003F07"/>
        <bgColor indexed="64"/>
      </patternFill>
    </fill>
    <fill>
      <patternFill patternType="solid">
        <fgColor rgb="FF003F08"/>
        <bgColor indexed="64"/>
      </patternFill>
    </fill>
    <fill>
      <patternFill patternType="solid">
        <fgColor rgb="FF003F09"/>
        <bgColor indexed="64"/>
      </patternFill>
    </fill>
    <fill>
      <patternFill patternType="solid">
        <fgColor rgb="FF003F0A"/>
        <bgColor indexed="64"/>
      </patternFill>
    </fill>
    <fill>
      <patternFill patternType="solid">
        <fgColor rgb="FF003F0B"/>
        <bgColor indexed="64"/>
      </patternFill>
    </fill>
    <fill>
      <patternFill patternType="solid">
        <fgColor rgb="FF003F0C"/>
        <bgColor indexed="64"/>
      </patternFill>
    </fill>
    <fill>
      <patternFill patternType="solid">
        <fgColor rgb="FF003F0D"/>
        <bgColor indexed="64"/>
      </patternFill>
    </fill>
    <fill>
      <patternFill patternType="solid">
        <fgColor rgb="FF003F0E"/>
        <bgColor indexed="64"/>
      </patternFill>
    </fill>
    <fill>
      <patternFill patternType="solid">
        <fgColor rgb="FF003F0F"/>
        <bgColor indexed="64"/>
      </patternFill>
    </fill>
    <fill>
      <patternFill patternType="solid">
        <fgColor rgb="FF003F10"/>
        <bgColor indexed="64"/>
      </patternFill>
    </fill>
    <fill>
      <patternFill patternType="solid">
        <fgColor rgb="FF003F11"/>
        <bgColor indexed="64"/>
      </patternFill>
    </fill>
    <fill>
      <patternFill patternType="solid">
        <fgColor rgb="FF003F12"/>
        <bgColor indexed="64"/>
      </patternFill>
    </fill>
    <fill>
      <patternFill patternType="solid">
        <fgColor rgb="FF003F13"/>
        <bgColor indexed="64"/>
      </patternFill>
    </fill>
    <fill>
      <patternFill patternType="solid">
        <fgColor rgb="FF003F14"/>
        <bgColor indexed="64"/>
      </patternFill>
    </fill>
    <fill>
      <patternFill patternType="solid">
        <fgColor rgb="FF003F15"/>
        <bgColor indexed="64"/>
      </patternFill>
    </fill>
    <fill>
      <patternFill patternType="solid">
        <fgColor rgb="FF003F16"/>
        <bgColor indexed="64"/>
      </patternFill>
    </fill>
    <fill>
      <patternFill patternType="solid">
        <fgColor rgb="FF003F17"/>
        <bgColor indexed="64"/>
      </patternFill>
    </fill>
    <fill>
      <patternFill patternType="solid">
        <fgColor rgb="FF003F18"/>
        <bgColor indexed="64"/>
      </patternFill>
    </fill>
    <fill>
      <patternFill patternType="solid">
        <fgColor rgb="FF003F19"/>
        <bgColor indexed="64"/>
      </patternFill>
    </fill>
    <fill>
      <patternFill patternType="solid">
        <fgColor rgb="FF003F1A"/>
        <bgColor indexed="64"/>
      </patternFill>
    </fill>
    <fill>
      <patternFill patternType="solid">
        <fgColor rgb="FF003F1B"/>
        <bgColor indexed="64"/>
      </patternFill>
    </fill>
    <fill>
      <patternFill patternType="solid">
        <fgColor rgb="FF003F1C"/>
        <bgColor indexed="64"/>
      </patternFill>
    </fill>
    <fill>
      <patternFill patternType="solid">
        <fgColor rgb="FF003F1D"/>
        <bgColor indexed="64"/>
      </patternFill>
    </fill>
    <fill>
      <patternFill patternType="solid">
        <fgColor rgb="FF003F1E"/>
        <bgColor indexed="64"/>
      </patternFill>
    </fill>
    <fill>
      <patternFill patternType="solid">
        <fgColor rgb="FF003F1F"/>
        <bgColor indexed="64"/>
      </patternFill>
    </fill>
    <fill>
      <patternFill patternType="solid">
        <fgColor rgb="FF003F20"/>
        <bgColor indexed="64"/>
      </patternFill>
    </fill>
    <fill>
      <patternFill patternType="solid">
        <fgColor rgb="FF003F21"/>
        <bgColor indexed="64"/>
      </patternFill>
    </fill>
    <fill>
      <patternFill patternType="solid">
        <fgColor rgb="FF003F22"/>
        <bgColor indexed="64"/>
      </patternFill>
    </fill>
    <fill>
      <patternFill patternType="solid">
        <fgColor rgb="FF003F23"/>
        <bgColor indexed="64"/>
      </patternFill>
    </fill>
    <fill>
      <patternFill patternType="solid">
        <fgColor rgb="FF003F24"/>
        <bgColor indexed="64"/>
      </patternFill>
    </fill>
    <fill>
      <patternFill patternType="solid">
        <fgColor rgb="FF003F25"/>
        <bgColor indexed="64"/>
      </patternFill>
    </fill>
    <fill>
      <patternFill patternType="solid">
        <fgColor rgb="FF003F26"/>
        <bgColor indexed="64"/>
      </patternFill>
    </fill>
    <fill>
      <patternFill patternType="solid">
        <fgColor rgb="FF003F27"/>
        <bgColor indexed="64"/>
      </patternFill>
    </fill>
    <fill>
      <patternFill patternType="solid">
        <fgColor rgb="FF003F28"/>
        <bgColor indexed="64"/>
      </patternFill>
    </fill>
    <fill>
      <patternFill patternType="solid">
        <fgColor rgb="FF003F29"/>
        <bgColor indexed="64"/>
      </patternFill>
    </fill>
    <fill>
      <patternFill patternType="solid">
        <fgColor rgb="FF003F2A"/>
        <bgColor indexed="64"/>
      </patternFill>
    </fill>
    <fill>
      <patternFill patternType="solid">
        <fgColor rgb="FF003F2B"/>
        <bgColor indexed="64"/>
      </patternFill>
    </fill>
    <fill>
      <patternFill patternType="solid">
        <fgColor rgb="FF003F2C"/>
        <bgColor indexed="64"/>
      </patternFill>
    </fill>
    <fill>
      <patternFill patternType="solid">
        <fgColor rgb="FF003F2D"/>
        <bgColor indexed="64"/>
      </patternFill>
    </fill>
    <fill>
      <patternFill patternType="solid">
        <fgColor rgb="FF003F2E"/>
        <bgColor indexed="64"/>
      </patternFill>
    </fill>
    <fill>
      <patternFill patternType="solid">
        <fgColor rgb="FF003F2F"/>
        <bgColor indexed="64"/>
      </patternFill>
    </fill>
    <fill>
      <patternFill patternType="solid">
        <fgColor rgb="FF003F30"/>
        <bgColor indexed="64"/>
      </patternFill>
    </fill>
    <fill>
      <patternFill patternType="solid">
        <fgColor rgb="FF003F31"/>
        <bgColor indexed="64"/>
      </patternFill>
    </fill>
    <fill>
      <patternFill patternType="solid">
        <fgColor rgb="FF003F32"/>
        <bgColor indexed="64"/>
      </patternFill>
    </fill>
    <fill>
      <patternFill patternType="solid">
        <fgColor rgb="FF003F33"/>
        <bgColor indexed="64"/>
      </patternFill>
    </fill>
    <fill>
      <patternFill patternType="solid">
        <fgColor rgb="FF003F34"/>
        <bgColor indexed="64"/>
      </patternFill>
    </fill>
    <fill>
      <patternFill patternType="solid">
        <fgColor rgb="FF003F35"/>
        <bgColor indexed="64"/>
      </patternFill>
    </fill>
    <fill>
      <patternFill patternType="solid">
        <fgColor rgb="FF003F36"/>
        <bgColor indexed="64"/>
      </patternFill>
    </fill>
    <fill>
      <patternFill patternType="solid">
        <fgColor rgb="FF003F37"/>
        <bgColor indexed="64"/>
      </patternFill>
    </fill>
    <fill>
      <patternFill patternType="solid">
        <fgColor rgb="FF003F38"/>
        <bgColor indexed="64"/>
      </patternFill>
    </fill>
    <fill>
      <patternFill patternType="solid">
        <fgColor rgb="FF003F39"/>
        <bgColor indexed="64"/>
      </patternFill>
    </fill>
    <fill>
      <patternFill patternType="solid">
        <fgColor rgb="FF003F3A"/>
        <bgColor indexed="64"/>
      </patternFill>
    </fill>
    <fill>
      <patternFill patternType="solid">
        <fgColor rgb="FF003F3B"/>
        <bgColor indexed="64"/>
      </patternFill>
    </fill>
    <fill>
      <patternFill patternType="solid">
        <fgColor rgb="FF003F3C"/>
        <bgColor indexed="64"/>
      </patternFill>
    </fill>
    <fill>
      <patternFill patternType="solid">
        <fgColor rgb="FF003F3D"/>
        <bgColor indexed="64"/>
      </patternFill>
    </fill>
    <fill>
      <patternFill patternType="solid">
        <fgColor rgb="FF003F3E"/>
        <bgColor indexed="64"/>
      </patternFill>
    </fill>
    <fill>
      <patternFill patternType="solid">
        <fgColor rgb="FF003F3F"/>
        <bgColor indexed="64"/>
      </patternFill>
    </fill>
    <fill>
      <patternFill patternType="solid">
        <fgColor rgb="FF003F40"/>
        <bgColor indexed="64"/>
      </patternFill>
    </fill>
    <fill>
      <patternFill patternType="solid">
        <fgColor rgb="FF003F41"/>
        <bgColor indexed="64"/>
      </patternFill>
    </fill>
    <fill>
      <patternFill patternType="solid">
        <fgColor rgb="FF003F42"/>
        <bgColor indexed="64"/>
      </patternFill>
    </fill>
    <fill>
      <patternFill patternType="solid">
        <fgColor rgb="FF003F43"/>
        <bgColor indexed="64"/>
      </patternFill>
    </fill>
    <fill>
      <patternFill patternType="solid">
        <fgColor rgb="FF003F44"/>
        <bgColor indexed="64"/>
      </patternFill>
    </fill>
    <fill>
      <patternFill patternType="solid">
        <fgColor rgb="FF003F45"/>
        <bgColor indexed="64"/>
      </patternFill>
    </fill>
    <fill>
      <patternFill patternType="solid">
        <fgColor rgb="FF003F46"/>
        <bgColor indexed="64"/>
      </patternFill>
    </fill>
    <fill>
      <patternFill patternType="solid">
        <fgColor rgb="FF003F47"/>
        <bgColor indexed="64"/>
      </patternFill>
    </fill>
    <fill>
      <patternFill patternType="solid">
        <fgColor rgb="FF003F48"/>
        <bgColor indexed="64"/>
      </patternFill>
    </fill>
    <fill>
      <patternFill patternType="solid">
        <fgColor rgb="FF003F49"/>
        <bgColor indexed="64"/>
      </patternFill>
    </fill>
    <fill>
      <patternFill patternType="solid">
        <fgColor rgb="FF003F4A"/>
        <bgColor indexed="64"/>
      </patternFill>
    </fill>
    <fill>
      <patternFill patternType="solid">
        <fgColor rgb="FF003F4B"/>
        <bgColor indexed="64"/>
      </patternFill>
    </fill>
    <fill>
      <patternFill patternType="solid">
        <fgColor rgb="FF003F4C"/>
        <bgColor indexed="64"/>
      </patternFill>
    </fill>
    <fill>
      <patternFill patternType="solid">
        <fgColor rgb="FF003F4D"/>
        <bgColor indexed="64"/>
      </patternFill>
    </fill>
    <fill>
      <patternFill patternType="solid">
        <fgColor rgb="FF003F4E"/>
        <bgColor indexed="64"/>
      </patternFill>
    </fill>
    <fill>
      <patternFill patternType="solid">
        <fgColor rgb="FF003F4F"/>
        <bgColor indexed="64"/>
      </patternFill>
    </fill>
    <fill>
      <patternFill patternType="solid">
        <fgColor rgb="FF003F50"/>
        <bgColor indexed="64"/>
      </patternFill>
    </fill>
    <fill>
      <patternFill patternType="solid">
        <fgColor rgb="FF003F51"/>
        <bgColor indexed="64"/>
      </patternFill>
    </fill>
    <fill>
      <patternFill patternType="solid">
        <fgColor rgb="FF003F52"/>
        <bgColor indexed="64"/>
      </patternFill>
    </fill>
    <fill>
      <patternFill patternType="solid">
        <fgColor rgb="FF003F53"/>
        <bgColor indexed="64"/>
      </patternFill>
    </fill>
    <fill>
      <patternFill patternType="solid">
        <fgColor rgb="FF003F54"/>
        <bgColor indexed="64"/>
      </patternFill>
    </fill>
    <fill>
      <patternFill patternType="solid">
        <fgColor rgb="FF003F55"/>
        <bgColor indexed="64"/>
      </patternFill>
    </fill>
    <fill>
      <patternFill patternType="solid">
        <fgColor rgb="FF003F56"/>
        <bgColor indexed="64"/>
      </patternFill>
    </fill>
    <fill>
      <patternFill patternType="solid">
        <fgColor rgb="FF003F57"/>
        <bgColor indexed="64"/>
      </patternFill>
    </fill>
    <fill>
      <patternFill patternType="solid">
        <fgColor rgb="FF003F58"/>
        <bgColor indexed="64"/>
      </patternFill>
    </fill>
    <fill>
      <patternFill patternType="solid">
        <fgColor rgb="FF003F59"/>
        <bgColor indexed="64"/>
      </patternFill>
    </fill>
    <fill>
      <patternFill patternType="solid">
        <fgColor rgb="FF003F5A"/>
        <bgColor indexed="64"/>
      </patternFill>
    </fill>
    <fill>
      <patternFill patternType="solid">
        <fgColor rgb="FF003F5B"/>
        <bgColor indexed="64"/>
      </patternFill>
    </fill>
    <fill>
      <patternFill patternType="solid">
        <fgColor rgb="FF003F5C"/>
        <bgColor indexed="64"/>
      </patternFill>
    </fill>
    <fill>
      <patternFill patternType="solid">
        <fgColor rgb="FF003F5D"/>
        <bgColor indexed="64"/>
      </patternFill>
    </fill>
    <fill>
      <patternFill patternType="solid">
        <fgColor rgb="FF003F5E"/>
        <bgColor indexed="64"/>
      </patternFill>
    </fill>
    <fill>
      <patternFill patternType="solid">
        <fgColor rgb="FF003F5F"/>
        <bgColor indexed="64"/>
      </patternFill>
    </fill>
    <fill>
      <patternFill patternType="solid">
        <fgColor rgb="FF003F60"/>
        <bgColor indexed="64"/>
      </patternFill>
    </fill>
    <fill>
      <patternFill patternType="solid">
        <fgColor rgb="FF003F61"/>
        <bgColor indexed="64"/>
      </patternFill>
    </fill>
    <fill>
      <patternFill patternType="solid">
        <fgColor rgb="FF003F62"/>
        <bgColor indexed="64"/>
      </patternFill>
    </fill>
    <fill>
      <patternFill patternType="solid">
        <fgColor rgb="FF003F63"/>
        <bgColor indexed="64"/>
      </patternFill>
    </fill>
    <fill>
      <patternFill patternType="solid">
        <fgColor rgb="FF003F64"/>
        <bgColor indexed="64"/>
      </patternFill>
    </fill>
    <fill>
      <patternFill patternType="solid">
        <fgColor rgb="FF003F65"/>
        <bgColor indexed="64"/>
      </patternFill>
    </fill>
    <fill>
      <patternFill patternType="solid">
        <fgColor rgb="FF003F66"/>
        <bgColor indexed="64"/>
      </patternFill>
    </fill>
    <fill>
      <patternFill patternType="solid">
        <fgColor rgb="FF003F67"/>
        <bgColor indexed="64"/>
      </patternFill>
    </fill>
    <fill>
      <patternFill patternType="solid">
        <fgColor rgb="FF003F68"/>
        <bgColor indexed="64"/>
      </patternFill>
    </fill>
    <fill>
      <patternFill patternType="solid">
        <fgColor rgb="FF003F69"/>
        <bgColor indexed="64"/>
      </patternFill>
    </fill>
    <fill>
      <patternFill patternType="solid">
        <fgColor rgb="FF003F6A"/>
        <bgColor indexed="64"/>
      </patternFill>
    </fill>
    <fill>
      <patternFill patternType="solid">
        <fgColor rgb="FF003F6B"/>
        <bgColor indexed="64"/>
      </patternFill>
    </fill>
    <fill>
      <patternFill patternType="solid">
        <fgColor rgb="FF003F6C"/>
        <bgColor indexed="64"/>
      </patternFill>
    </fill>
    <fill>
      <patternFill patternType="solid">
        <fgColor rgb="FF003F6D"/>
        <bgColor indexed="64"/>
      </patternFill>
    </fill>
    <fill>
      <patternFill patternType="solid">
        <fgColor rgb="FF003F6E"/>
        <bgColor indexed="64"/>
      </patternFill>
    </fill>
    <fill>
      <patternFill patternType="solid">
        <fgColor rgb="FF003F6F"/>
        <bgColor indexed="64"/>
      </patternFill>
    </fill>
    <fill>
      <patternFill patternType="solid">
        <fgColor rgb="FF003F70"/>
        <bgColor indexed="64"/>
      </patternFill>
    </fill>
    <fill>
      <patternFill patternType="solid">
        <fgColor rgb="FF003F71"/>
        <bgColor indexed="64"/>
      </patternFill>
    </fill>
    <fill>
      <patternFill patternType="solid">
        <fgColor rgb="FF003F72"/>
        <bgColor indexed="64"/>
      </patternFill>
    </fill>
    <fill>
      <patternFill patternType="solid">
        <fgColor rgb="FF003F73"/>
        <bgColor indexed="64"/>
      </patternFill>
    </fill>
    <fill>
      <patternFill patternType="solid">
        <fgColor rgb="FF003F74"/>
        <bgColor indexed="64"/>
      </patternFill>
    </fill>
    <fill>
      <patternFill patternType="solid">
        <fgColor rgb="FF003F75"/>
        <bgColor indexed="64"/>
      </patternFill>
    </fill>
    <fill>
      <patternFill patternType="solid">
        <fgColor rgb="FF003F76"/>
        <bgColor indexed="64"/>
      </patternFill>
    </fill>
    <fill>
      <patternFill patternType="solid">
        <fgColor rgb="FF003F77"/>
        <bgColor indexed="64"/>
      </patternFill>
    </fill>
    <fill>
      <patternFill patternType="solid">
        <fgColor rgb="FF003F78"/>
        <bgColor indexed="64"/>
      </patternFill>
    </fill>
    <fill>
      <patternFill patternType="solid">
        <fgColor rgb="FF003F79"/>
        <bgColor indexed="64"/>
      </patternFill>
    </fill>
    <fill>
      <patternFill patternType="solid">
        <fgColor rgb="FF003F7A"/>
        <bgColor indexed="64"/>
      </patternFill>
    </fill>
    <fill>
      <patternFill patternType="solid">
        <fgColor rgb="FF003F7B"/>
        <bgColor indexed="64"/>
      </patternFill>
    </fill>
    <fill>
      <patternFill patternType="solid">
        <fgColor rgb="FF003F7C"/>
        <bgColor indexed="64"/>
      </patternFill>
    </fill>
    <fill>
      <patternFill patternType="solid">
        <fgColor rgb="FF003F7D"/>
        <bgColor indexed="64"/>
      </patternFill>
    </fill>
    <fill>
      <patternFill patternType="solid">
        <fgColor rgb="FF003F7E"/>
        <bgColor indexed="64"/>
      </patternFill>
    </fill>
    <fill>
      <patternFill patternType="solid">
        <fgColor rgb="FF003F7F"/>
        <bgColor indexed="64"/>
      </patternFill>
    </fill>
    <fill>
      <patternFill patternType="solid">
        <fgColor rgb="FF003F80"/>
        <bgColor indexed="64"/>
      </patternFill>
    </fill>
    <fill>
      <patternFill patternType="solid">
        <fgColor rgb="FF003F81"/>
        <bgColor indexed="64"/>
      </patternFill>
    </fill>
    <fill>
      <patternFill patternType="solid">
        <fgColor rgb="FF003F82"/>
        <bgColor indexed="64"/>
      </patternFill>
    </fill>
    <fill>
      <patternFill patternType="solid">
        <fgColor rgb="FF003F83"/>
        <bgColor indexed="64"/>
      </patternFill>
    </fill>
    <fill>
      <patternFill patternType="solid">
        <fgColor rgb="FF003F84"/>
        <bgColor indexed="64"/>
      </patternFill>
    </fill>
    <fill>
      <patternFill patternType="solid">
        <fgColor rgb="FF003F85"/>
        <bgColor indexed="64"/>
      </patternFill>
    </fill>
    <fill>
      <patternFill patternType="solid">
        <fgColor rgb="FF003F86"/>
        <bgColor indexed="64"/>
      </patternFill>
    </fill>
    <fill>
      <patternFill patternType="solid">
        <fgColor rgb="FF003F87"/>
        <bgColor indexed="64"/>
      </patternFill>
    </fill>
    <fill>
      <patternFill patternType="solid">
        <fgColor rgb="FF003F88"/>
        <bgColor indexed="64"/>
      </patternFill>
    </fill>
    <fill>
      <patternFill patternType="solid">
        <fgColor rgb="FF003F89"/>
        <bgColor indexed="64"/>
      </patternFill>
    </fill>
    <fill>
      <patternFill patternType="solid">
        <fgColor rgb="FF003F8A"/>
        <bgColor indexed="64"/>
      </patternFill>
    </fill>
    <fill>
      <patternFill patternType="solid">
        <fgColor rgb="FF003F8B"/>
        <bgColor indexed="64"/>
      </patternFill>
    </fill>
    <fill>
      <patternFill patternType="solid">
        <fgColor rgb="FF003F8C"/>
        <bgColor indexed="64"/>
      </patternFill>
    </fill>
    <fill>
      <patternFill patternType="solid">
        <fgColor rgb="FF003F8D"/>
        <bgColor indexed="64"/>
      </patternFill>
    </fill>
    <fill>
      <patternFill patternType="solid">
        <fgColor rgb="FF003F8E"/>
        <bgColor indexed="64"/>
      </patternFill>
    </fill>
    <fill>
      <patternFill patternType="solid">
        <fgColor rgb="FF003F8F"/>
        <bgColor indexed="64"/>
      </patternFill>
    </fill>
    <fill>
      <patternFill patternType="solid">
        <fgColor rgb="FF003F90"/>
        <bgColor indexed="64"/>
      </patternFill>
    </fill>
    <fill>
      <patternFill patternType="solid">
        <fgColor rgb="FF003F91"/>
        <bgColor indexed="64"/>
      </patternFill>
    </fill>
    <fill>
      <patternFill patternType="solid">
        <fgColor rgb="FF003F92"/>
        <bgColor indexed="64"/>
      </patternFill>
    </fill>
    <fill>
      <patternFill patternType="solid">
        <fgColor rgb="FF003F93"/>
        <bgColor indexed="64"/>
      </patternFill>
    </fill>
    <fill>
      <patternFill patternType="solid">
        <fgColor rgb="FF003F94"/>
        <bgColor indexed="64"/>
      </patternFill>
    </fill>
    <fill>
      <patternFill patternType="solid">
        <fgColor rgb="FF003F95"/>
        <bgColor indexed="64"/>
      </patternFill>
    </fill>
    <fill>
      <patternFill patternType="solid">
        <fgColor rgb="FF003F96"/>
        <bgColor indexed="64"/>
      </patternFill>
    </fill>
    <fill>
      <patternFill patternType="solid">
        <fgColor rgb="FF003F97"/>
        <bgColor indexed="64"/>
      </patternFill>
    </fill>
    <fill>
      <patternFill patternType="solid">
        <fgColor rgb="FF003F98"/>
        <bgColor indexed="64"/>
      </patternFill>
    </fill>
    <fill>
      <patternFill patternType="solid">
        <fgColor rgb="FF003F99"/>
        <bgColor indexed="64"/>
      </patternFill>
    </fill>
    <fill>
      <patternFill patternType="solid">
        <fgColor rgb="FF003F9A"/>
        <bgColor indexed="64"/>
      </patternFill>
    </fill>
    <fill>
      <patternFill patternType="solid">
        <fgColor rgb="FF003F9B"/>
        <bgColor indexed="64"/>
      </patternFill>
    </fill>
    <fill>
      <patternFill patternType="solid">
        <fgColor rgb="FF003F9C"/>
        <bgColor indexed="64"/>
      </patternFill>
    </fill>
    <fill>
      <patternFill patternType="solid">
        <fgColor rgb="FF003F9D"/>
        <bgColor indexed="64"/>
      </patternFill>
    </fill>
    <fill>
      <patternFill patternType="solid">
        <fgColor rgb="FF003F9E"/>
        <bgColor indexed="64"/>
      </patternFill>
    </fill>
    <fill>
      <patternFill patternType="solid">
        <fgColor rgb="FF003F9F"/>
        <bgColor indexed="64"/>
      </patternFill>
    </fill>
    <fill>
      <patternFill patternType="solid">
        <fgColor rgb="FF003FA0"/>
        <bgColor indexed="64"/>
      </patternFill>
    </fill>
    <fill>
      <patternFill patternType="solid">
        <fgColor rgb="FF003FA1"/>
        <bgColor indexed="64"/>
      </patternFill>
    </fill>
    <fill>
      <patternFill patternType="solid">
        <fgColor rgb="FF003FA2"/>
        <bgColor indexed="64"/>
      </patternFill>
    </fill>
    <fill>
      <patternFill patternType="solid">
        <fgColor rgb="FF003FA3"/>
        <bgColor indexed="64"/>
      </patternFill>
    </fill>
    <fill>
      <patternFill patternType="solid">
        <fgColor rgb="FF003FA4"/>
        <bgColor indexed="64"/>
      </patternFill>
    </fill>
    <fill>
      <patternFill patternType="solid">
        <fgColor rgb="FF003FA5"/>
        <bgColor indexed="64"/>
      </patternFill>
    </fill>
    <fill>
      <patternFill patternType="solid">
        <fgColor rgb="FF003FA6"/>
        <bgColor indexed="64"/>
      </patternFill>
    </fill>
    <fill>
      <patternFill patternType="solid">
        <fgColor rgb="FF003FA7"/>
        <bgColor indexed="64"/>
      </patternFill>
    </fill>
    <fill>
      <patternFill patternType="solid">
        <fgColor rgb="FF003FA8"/>
        <bgColor indexed="64"/>
      </patternFill>
    </fill>
    <fill>
      <patternFill patternType="solid">
        <fgColor rgb="FF003FA9"/>
        <bgColor indexed="64"/>
      </patternFill>
    </fill>
    <fill>
      <patternFill patternType="solid">
        <fgColor rgb="FF003FAA"/>
        <bgColor indexed="64"/>
      </patternFill>
    </fill>
    <fill>
      <patternFill patternType="solid">
        <fgColor rgb="FF003FAB"/>
        <bgColor indexed="64"/>
      </patternFill>
    </fill>
    <fill>
      <patternFill patternType="solid">
        <fgColor rgb="FF003FAC"/>
        <bgColor indexed="64"/>
      </patternFill>
    </fill>
    <fill>
      <patternFill patternType="solid">
        <fgColor rgb="FF003FAD"/>
        <bgColor indexed="64"/>
      </patternFill>
    </fill>
    <fill>
      <patternFill patternType="solid">
        <fgColor rgb="FF003FAE"/>
        <bgColor indexed="64"/>
      </patternFill>
    </fill>
    <fill>
      <patternFill patternType="solid">
        <fgColor rgb="FF003FAF"/>
        <bgColor indexed="64"/>
      </patternFill>
    </fill>
    <fill>
      <patternFill patternType="solid">
        <fgColor rgb="FF003FB0"/>
        <bgColor indexed="64"/>
      </patternFill>
    </fill>
    <fill>
      <patternFill patternType="solid">
        <fgColor rgb="FF003FB1"/>
        <bgColor indexed="64"/>
      </patternFill>
    </fill>
    <fill>
      <patternFill patternType="solid">
        <fgColor rgb="FF003FB2"/>
        <bgColor indexed="64"/>
      </patternFill>
    </fill>
    <fill>
      <patternFill patternType="solid">
        <fgColor rgb="FF003FB3"/>
        <bgColor indexed="64"/>
      </patternFill>
    </fill>
    <fill>
      <patternFill patternType="solid">
        <fgColor rgb="FF003FB4"/>
        <bgColor indexed="64"/>
      </patternFill>
    </fill>
    <fill>
      <patternFill patternType="solid">
        <fgColor rgb="FF003FB5"/>
        <bgColor indexed="64"/>
      </patternFill>
    </fill>
    <fill>
      <patternFill patternType="solid">
        <fgColor rgb="FF003FB6"/>
        <bgColor indexed="64"/>
      </patternFill>
    </fill>
    <fill>
      <patternFill patternType="solid">
        <fgColor rgb="FF003FB7"/>
        <bgColor indexed="64"/>
      </patternFill>
    </fill>
    <fill>
      <patternFill patternType="solid">
        <fgColor rgb="FF003FB8"/>
        <bgColor indexed="64"/>
      </patternFill>
    </fill>
    <fill>
      <patternFill patternType="solid">
        <fgColor rgb="FF003FB9"/>
        <bgColor indexed="64"/>
      </patternFill>
    </fill>
    <fill>
      <patternFill patternType="solid">
        <fgColor rgb="FF003FBA"/>
        <bgColor indexed="64"/>
      </patternFill>
    </fill>
    <fill>
      <patternFill patternType="solid">
        <fgColor rgb="FF003FBB"/>
        <bgColor indexed="64"/>
      </patternFill>
    </fill>
    <fill>
      <patternFill patternType="solid">
        <fgColor rgb="FF003FBC"/>
        <bgColor indexed="64"/>
      </patternFill>
    </fill>
    <fill>
      <patternFill patternType="solid">
        <fgColor rgb="FF003FBD"/>
        <bgColor indexed="64"/>
      </patternFill>
    </fill>
    <fill>
      <patternFill patternType="solid">
        <fgColor rgb="FF003FBE"/>
        <bgColor indexed="64"/>
      </patternFill>
    </fill>
    <fill>
      <patternFill patternType="solid">
        <fgColor rgb="FFAEF0C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635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2"/>
    <xf numFmtId="0" fontId="4" fillId="0" borderId="0" xfId="0" applyFont="1"/>
    <xf numFmtId="14" fontId="0" fillId="0" borderId="0" xfId="0" applyNumberFormat="1"/>
    <xf numFmtId="0" fontId="5" fillId="0" borderId="0" xfId="0" applyFont="1"/>
    <xf numFmtId="0" fontId="0" fillId="0" borderId="11" xfId="0" applyBorder="1"/>
    <xf numFmtId="0" fontId="0" fillId="0" borderId="8" xfId="0" applyBorder="1"/>
    <xf numFmtId="0" fontId="0" fillId="0" borderId="9" xfId="0" applyBorder="1"/>
    <xf numFmtId="0" fontId="0" fillId="0" borderId="12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Fill="1"/>
    <xf numFmtId="0" fontId="0" fillId="261" borderId="0" xfId="0" applyFill="1"/>
    <xf numFmtId="0" fontId="0" fillId="262" borderId="0" xfId="0" applyFill="1"/>
    <xf numFmtId="0" fontId="0" fillId="263" borderId="0" xfId="0" applyFill="1"/>
    <xf numFmtId="0" fontId="0" fillId="264" borderId="0" xfId="0" applyFill="1"/>
    <xf numFmtId="0" fontId="0" fillId="265" borderId="0" xfId="0" applyFill="1"/>
    <xf numFmtId="0" fontId="0" fillId="266" borderId="0" xfId="0" applyFill="1"/>
    <xf numFmtId="0" fontId="0" fillId="267" borderId="0" xfId="0" applyFill="1"/>
    <xf numFmtId="0" fontId="0" fillId="268" borderId="0" xfId="0" applyFill="1"/>
    <xf numFmtId="0" fontId="0" fillId="269" borderId="0" xfId="0" applyFill="1"/>
    <xf numFmtId="0" fontId="0" fillId="270" borderId="0" xfId="0" applyFill="1"/>
    <xf numFmtId="0" fontId="0" fillId="271" borderId="0" xfId="0" applyFill="1"/>
    <xf numFmtId="0" fontId="0" fillId="272" borderId="0" xfId="0" applyFill="1"/>
    <xf numFmtId="0" fontId="0" fillId="273" borderId="0" xfId="0" applyFill="1"/>
    <xf numFmtId="0" fontId="0" fillId="274" borderId="0" xfId="0" applyFill="1"/>
    <xf numFmtId="0" fontId="0" fillId="275" borderId="0" xfId="0" applyFill="1"/>
    <xf numFmtId="0" fontId="0" fillId="276" borderId="0" xfId="0" applyFill="1"/>
    <xf numFmtId="0" fontId="0" fillId="277" borderId="0" xfId="0" applyFill="1"/>
    <xf numFmtId="0" fontId="0" fillId="278" borderId="0" xfId="0" applyFill="1"/>
    <xf numFmtId="0" fontId="0" fillId="279" borderId="0" xfId="0" applyFill="1"/>
    <xf numFmtId="0" fontId="0" fillId="280" borderId="0" xfId="0" applyFill="1"/>
    <xf numFmtId="0" fontId="0" fillId="281" borderId="0" xfId="0" applyFill="1"/>
    <xf numFmtId="0" fontId="0" fillId="282" borderId="0" xfId="0" applyFill="1"/>
    <xf numFmtId="0" fontId="0" fillId="283" borderId="0" xfId="0" applyFill="1"/>
    <xf numFmtId="0" fontId="0" fillId="284" borderId="0" xfId="0" applyFill="1"/>
    <xf numFmtId="0" fontId="0" fillId="285" borderId="0" xfId="0" applyFill="1"/>
    <xf numFmtId="0" fontId="0" fillId="286" borderId="0" xfId="0" applyFill="1"/>
    <xf numFmtId="0" fontId="0" fillId="287" borderId="0" xfId="0" applyFill="1"/>
    <xf numFmtId="0" fontId="0" fillId="288" borderId="0" xfId="0" applyFill="1"/>
    <xf numFmtId="0" fontId="0" fillId="289" borderId="0" xfId="0" applyFill="1"/>
    <xf numFmtId="0" fontId="0" fillId="290" borderId="0" xfId="0" applyFill="1"/>
    <xf numFmtId="0" fontId="0" fillId="291" borderId="0" xfId="0" applyFill="1"/>
    <xf numFmtId="0" fontId="0" fillId="292" borderId="0" xfId="0" applyFill="1"/>
    <xf numFmtId="0" fontId="0" fillId="293" borderId="0" xfId="0" applyFill="1"/>
    <xf numFmtId="0" fontId="0" fillId="294" borderId="0" xfId="0" applyFill="1"/>
    <xf numFmtId="0" fontId="0" fillId="295" borderId="0" xfId="0" applyFill="1"/>
    <xf numFmtId="0" fontId="0" fillId="296" borderId="0" xfId="0" applyFill="1"/>
    <xf numFmtId="0" fontId="0" fillId="297" borderId="0" xfId="0" applyFill="1"/>
    <xf numFmtId="0" fontId="0" fillId="298" borderId="0" xfId="0" applyFill="1"/>
    <xf numFmtId="0" fontId="0" fillId="299" borderId="0" xfId="0" applyFill="1"/>
    <xf numFmtId="0" fontId="0" fillId="300" borderId="0" xfId="0" applyFill="1"/>
    <xf numFmtId="0" fontId="0" fillId="301" borderId="0" xfId="0" applyFill="1"/>
    <xf numFmtId="0" fontId="0" fillId="302" borderId="0" xfId="0" applyFill="1"/>
    <xf numFmtId="0" fontId="0" fillId="303" borderId="0" xfId="0" applyFill="1"/>
    <xf numFmtId="0" fontId="0" fillId="304" borderId="0" xfId="0" applyFill="1"/>
    <xf numFmtId="0" fontId="0" fillId="305" borderId="0" xfId="0" applyFill="1"/>
    <xf numFmtId="0" fontId="0" fillId="306" borderId="0" xfId="0" applyFill="1"/>
    <xf numFmtId="0" fontId="0" fillId="307" borderId="0" xfId="0" applyFill="1"/>
    <xf numFmtId="0" fontId="0" fillId="308" borderId="0" xfId="0" applyFill="1"/>
    <xf numFmtId="0" fontId="0" fillId="309" borderId="0" xfId="0" applyFill="1"/>
    <xf numFmtId="0" fontId="0" fillId="310" borderId="0" xfId="0" applyFill="1"/>
    <xf numFmtId="0" fontId="0" fillId="311" borderId="0" xfId="0" applyFill="1"/>
    <xf numFmtId="0" fontId="0" fillId="312" borderId="0" xfId="0" applyFill="1"/>
    <xf numFmtId="0" fontId="0" fillId="313" borderId="0" xfId="0" applyFill="1"/>
    <xf numFmtId="0" fontId="0" fillId="314" borderId="0" xfId="0" applyFill="1"/>
    <xf numFmtId="0" fontId="0" fillId="315" borderId="0" xfId="0" applyFill="1"/>
    <xf numFmtId="0" fontId="0" fillId="316" borderId="0" xfId="0" applyFill="1"/>
    <xf numFmtId="0" fontId="0" fillId="317" borderId="0" xfId="0" applyFill="1"/>
    <xf numFmtId="0" fontId="0" fillId="318" borderId="0" xfId="0" applyFill="1"/>
    <xf numFmtId="0" fontId="0" fillId="319" borderId="0" xfId="0" applyFill="1"/>
    <xf numFmtId="0" fontId="0" fillId="320" borderId="0" xfId="0" applyFill="1"/>
    <xf numFmtId="0" fontId="0" fillId="321" borderId="0" xfId="0" applyFill="1"/>
    <xf numFmtId="0" fontId="0" fillId="322" borderId="0" xfId="0" applyFill="1"/>
    <xf numFmtId="0" fontId="0" fillId="323" borderId="0" xfId="0" applyFill="1"/>
    <xf numFmtId="0" fontId="0" fillId="324" borderId="0" xfId="0" applyFill="1"/>
    <xf numFmtId="0" fontId="0" fillId="325" borderId="0" xfId="0" applyFill="1"/>
    <xf numFmtId="0" fontId="0" fillId="326" borderId="0" xfId="0" applyFill="1"/>
    <xf numFmtId="0" fontId="0" fillId="327" borderId="0" xfId="0" applyFill="1"/>
    <xf numFmtId="0" fontId="0" fillId="328" borderId="0" xfId="0" applyFill="1"/>
    <xf numFmtId="0" fontId="0" fillId="329" borderId="0" xfId="0" applyFill="1"/>
    <xf numFmtId="0" fontId="0" fillId="330" borderId="0" xfId="0" applyFill="1"/>
    <xf numFmtId="0" fontId="0" fillId="331" borderId="0" xfId="0" applyFill="1"/>
    <xf numFmtId="0" fontId="0" fillId="332" borderId="0" xfId="0" applyFill="1"/>
    <xf numFmtId="0" fontId="0" fillId="333" borderId="0" xfId="0" applyFill="1"/>
    <xf numFmtId="0" fontId="0" fillId="334" borderId="0" xfId="0" applyFill="1"/>
    <xf numFmtId="0" fontId="0" fillId="335" borderId="0" xfId="0" applyFill="1"/>
    <xf numFmtId="0" fontId="0" fillId="336" borderId="0" xfId="0" applyFill="1"/>
    <xf numFmtId="0" fontId="0" fillId="337" borderId="0" xfId="0" applyFill="1"/>
    <xf numFmtId="0" fontId="0" fillId="338" borderId="0" xfId="0" applyFill="1"/>
    <xf numFmtId="0" fontId="0" fillId="339" borderId="0" xfId="0" applyFill="1"/>
    <xf numFmtId="0" fontId="0" fillId="340" borderId="0" xfId="0" applyFill="1"/>
    <xf numFmtId="0" fontId="0" fillId="341" borderId="0" xfId="0" applyFill="1"/>
    <xf numFmtId="0" fontId="0" fillId="342" borderId="0" xfId="0" applyFill="1"/>
    <xf numFmtId="0" fontId="0" fillId="343" borderId="0" xfId="0" applyFill="1"/>
    <xf numFmtId="0" fontId="0" fillId="344" borderId="0" xfId="0" applyFill="1"/>
    <xf numFmtId="0" fontId="0" fillId="345" borderId="0" xfId="0" applyFill="1"/>
    <xf numFmtId="0" fontId="0" fillId="346" borderId="0" xfId="0" applyFill="1"/>
    <xf numFmtId="0" fontId="0" fillId="347" borderId="0" xfId="0" applyFill="1"/>
    <xf numFmtId="0" fontId="0" fillId="348" borderId="0" xfId="0" applyFill="1"/>
    <xf numFmtId="0" fontId="0" fillId="349" borderId="0" xfId="0" applyFill="1"/>
    <xf numFmtId="0" fontId="0" fillId="350" borderId="0" xfId="0" applyFill="1"/>
    <xf numFmtId="0" fontId="0" fillId="351" borderId="0" xfId="0" applyFill="1"/>
    <xf numFmtId="0" fontId="0" fillId="352" borderId="0" xfId="0" applyFill="1"/>
    <xf numFmtId="0" fontId="0" fillId="353" borderId="0" xfId="0" applyFill="1"/>
    <xf numFmtId="0" fontId="0" fillId="354" borderId="0" xfId="0" applyFill="1"/>
    <xf numFmtId="0" fontId="0" fillId="355" borderId="0" xfId="0" applyFill="1"/>
    <xf numFmtId="0" fontId="0" fillId="356" borderId="0" xfId="0" applyFill="1"/>
    <xf numFmtId="0" fontId="0" fillId="357" borderId="0" xfId="0" applyFill="1"/>
    <xf numFmtId="0" fontId="0" fillId="358" borderId="0" xfId="0" applyFill="1"/>
    <xf numFmtId="0" fontId="0" fillId="359" borderId="0" xfId="0" applyFill="1"/>
    <xf numFmtId="0" fontId="0" fillId="360" borderId="0" xfId="0" applyFill="1"/>
    <xf numFmtId="0" fontId="0" fillId="361" borderId="0" xfId="0" applyFill="1"/>
    <xf numFmtId="0" fontId="0" fillId="362" borderId="0" xfId="0" applyFill="1"/>
    <xf numFmtId="0" fontId="0" fillId="363" borderId="0" xfId="0" applyFill="1"/>
    <xf numFmtId="0" fontId="0" fillId="364" borderId="0" xfId="0" applyFill="1"/>
    <xf numFmtId="0" fontId="0" fillId="365" borderId="0" xfId="0" applyFill="1"/>
    <xf numFmtId="0" fontId="0" fillId="366" borderId="0" xfId="0" applyFill="1"/>
    <xf numFmtId="0" fontId="0" fillId="367" borderId="0" xfId="0" applyFill="1"/>
    <xf numFmtId="0" fontId="0" fillId="368" borderId="0" xfId="0" applyFill="1"/>
    <xf numFmtId="0" fontId="0" fillId="369" borderId="0" xfId="0" applyFill="1"/>
    <xf numFmtId="0" fontId="0" fillId="370" borderId="0" xfId="0" applyFill="1"/>
    <xf numFmtId="0" fontId="0" fillId="371" borderId="0" xfId="0" applyFill="1"/>
    <xf numFmtId="0" fontId="0" fillId="372" borderId="0" xfId="0" applyFill="1"/>
    <xf numFmtId="0" fontId="0" fillId="373" borderId="0" xfId="0" applyFill="1"/>
    <xf numFmtId="0" fontId="0" fillId="374" borderId="0" xfId="0" applyFill="1"/>
    <xf numFmtId="0" fontId="0" fillId="375" borderId="0" xfId="0" applyFill="1"/>
    <xf numFmtId="0" fontId="0" fillId="376" borderId="0" xfId="0" applyFill="1"/>
    <xf numFmtId="0" fontId="0" fillId="377" borderId="0" xfId="0" applyFill="1"/>
    <xf numFmtId="0" fontId="0" fillId="378" borderId="0" xfId="0" applyFill="1"/>
    <xf numFmtId="0" fontId="0" fillId="379" borderId="0" xfId="0" applyFill="1"/>
    <xf numFmtId="0" fontId="0" fillId="380" borderId="0" xfId="0" applyFill="1"/>
    <xf numFmtId="0" fontId="0" fillId="381" borderId="0" xfId="0" applyFill="1"/>
    <xf numFmtId="0" fontId="0" fillId="382" borderId="0" xfId="0" applyFill="1"/>
    <xf numFmtId="0" fontId="0" fillId="383" borderId="0" xfId="0" applyFill="1"/>
    <xf numFmtId="0" fontId="0" fillId="384" borderId="0" xfId="0" applyFill="1"/>
    <xf numFmtId="0" fontId="0" fillId="385" borderId="0" xfId="0" applyFill="1"/>
    <xf numFmtId="0" fontId="0" fillId="386" borderId="0" xfId="0" applyFill="1"/>
    <xf numFmtId="0" fontId="0" fillId="387" borderId="0" xfId="0" applyFill="1"/>
    <xf numFmtId="0" fontId="0" fillId="388" borderId="0" xfId="0" applyFill="1"/>
    <xf numFmtId="0" fontId="0" fillId="389" borderId="0" xfId="0" applyFill="1"/>
    <xf numFmtId="0" fontId="0" fillId="390" borderId="0" xfId="0" applyFill="1"/>
    <xf numFmtId="0" fontId="0" fillId="391" borderId="0" xfId="0" applyFill="1"/>
    <xf numFmtId="0" fontId="0" fillId="392" borderId="0" xfId="0" applyFill="1"/>
    <xf numFmtId="0" fontId="0" fillId="393" borderId="0" xfId="0" applyFill="1"/>
    <xf numFmtId="0" fontId="0" fillId="394" borderId="0" xfId="0" applyFill="1"/>
    <xf numFmtId="0" fontId="0" fillId="395" borderId="0" xfId="0" applyFill="1"/>
    <xf numFmtId="0" fontId="0" fillId="396" borderId="0" xfId="0" applyFill="1"/>
    <xf numFmtId="0" fontId="0" fillId="397" borderId="0" xfId="0" applyFill="1"/>
    <xf numFmtId="0" fontId="0" fillId="398" borderId="0" xfId="0" applyFill="1"/>
    <xf numFmtId="0" fontId="0" fillId="399" borderId="0" xfId="0" applyFill="1"/>
    <xf numFmtId="0" fontId="0" fillId="400" borderId="0" xfId="0" applyFill="1"/>
    <xf numFmtId="0" fontId="0" fillId="401" borderId="0" xfId="0" applyFill="1"/>
    <xf numFmtId="0" fontId="0" fillId="402" borderId="0" xfId="0" applyFill="1"/>
    <xf numFmtId="0" fontId="0" fillId="403" borderId="0" xfId="0" applyFill="1"/>
    <xf numFmtId="0" fontId="0" fillId="404" borderId="0" xfId="0" applyFill="1"/>
    <xf numFmtId="0" fontId="0" fillId="405" borderId="0" xfId="0" applyFill="1"/>
    <xf numFmtId="0" fontId="0" fillId="406" borderId="0" xfId="0" applyFill="1"/>
    <xf numFmtId="0" fontId="0" fillId="407" borderId="0" xfId="0" applyFill="1"/>
    <xf numFmtId="0" fontId="0" fillId="408" borderId="0" xfId="0" applyFill="1"/>
    <xf numFmtId="0" fontId="0" fillId="409" borderId="0" xfId="0" applyFill="1"/>
    <xf numFmtId="0" fontId="0" fillId="410" borderId="0" xfId="0" applyFill="1"/>
    <xf numFmtId="0" fontId="0" fillId="411" borderId="0" xfId="0" applyFill="1"/>
    <xf numFmtId="0" fontId="0" fillId="412" borderId="0" xfId="0" applyFill="1"/>
    <xf numFmtId="0" fontId="0" fillId="413" borderId="0" xfId="0" applyFill="1"/>
    <xf numFmtId="0" fontId="0" fillId="414" borderId="0" xfId="0" applyFill="1"/>
    <xf numFmtId="0" fontId="0" fillId="415" borderId="0" xfId="0" applyFill="1"/>
    <xf numFmtId="0" fontId="0" fillId="416" borderId="0" xfId="0" applyFill="1"/>
    <xf numFmtId="0" fontId="0" fillId="417" borderId="0" xfId="0" applyFill="1"/>
    <xf numFmtId="0" fontId="0" fillId="418" borderId="0" xfId="0" applyFill="1"/>
    <xf numFmtId="0" fontId="0" fillId="419" borderId="0" xfId="0" applyFill="1"/>
    <xf numFmtId="0" fontId="0" fillId="420" borderId="0" xfId="0" applyFill="1"/>
    <xf numFmtId="0" fontId="0" fillId="421" borderId="0" xfId="0" applyFill="1"/>
    <xf numFmtId="0" fontId="0" fillId="422" borderId="0" xfId="0" applyFill="1"/>
    <xf numFmtId="0" fontId="0" fillId="423" borderId="0" xfId="0" applyFill="1"/>
    <xf numFmtId="0" fontId="0" fillId="424" borderId="0" xfId="0" applyFill="1"/>
    <xf numFmtId="0" fontId="0" fillId="425" borderId="0" xfId="0" applyFill="1"/>
    <xf numFmtId="0" fontId="0" fillId="426" borderId="0" xfId="0" applyFill="1"/>
    <xf numFmtId="0" fontId="0" fillId="427" borderId="0" xfId="0" applyFill="1"/>
    <xf numFmtId="0" fontId="0" fillId="428" borderId="0" xfId="0" applyFill="1"/>
    <xf numFmtId="0" fontId="0" fillId="429" borderId="0" xfId="0" applyFill="1"/>
    <xf numFmtId="0" fontId="0" fillId="430" borderId="0" xfId="0" applyFill="1"/>
    <xf numFmtId="0" fontId="0" fillId="431" borderId="0" xfId="0" applyFill="1"/>
    <xf numFmtId="0" fontId="0" fillId="432" borderId="0" xfId="0" applyFill="1"/>
    <xf numFmtId="0" fontId="0" fillId="433" borderId="0" xfId="0" applyFill="1"/>
    <xf numFmtId="0" fontId="0" fillId="434" borderId="0" xfId="0" applyFill="1"/>
    <xf numFmtId="0" fontId="0" fillId="435" borderId="0" xfId="0" applyFill="1"/>
    <xf numFmtId="0" fontId="0" fillId="436" borderId="0" xfId="0" applyFill="1"/>
    <xf numFmtId="0" fontId="0" fillId="437" borderId="0" xfId="0" applyFill="1"/>
    <xf numFmtId="0" fontId="0" fillId="438" borderId="0" xfId="0" applyFill="1"/>
    <xf numFmtId="0" fontId="0" fillId="439" borderId="0" xfId="0" applyFill="1"/>
    <xf numFmtId="0" fontId="0" fillId="440" borderId="0" xfId="0" applyFill="1"/>
    <xf numFmtId="0" fontId="0" fillId="441" borderId="0" xfId="0" applyFill="1"/>
    <xf numFmtId="0" fontId="0" fillId="442" borderId="0" xfId="0" applyFill="1"/>
    <xf numFmtId="0" fontId="0" fillId="443" borderId="0" xfId="0" applyFill="1"/>
    <xf numFmtId="0" fontId="0" fillId="444" borderId="0" xfId="0" applyFill="1"/>
    <xf numFmtId="0" fontId="0" fillId="445" borderId="0" xfId="0" applyFill="1"/>
    <xf numFmtId="0" fontId="0" fillId="446" borderId="0" xfId="0" applyFill="1"/>
    <xf numFmtId="0" fontId="0" fillId="447" borderId="0" xfId="0" applyFill="1"/>
    <xf numFmtId="0" fontId="0" fillId="448" borderId="0" xfId="0" applyFill="1"/>
    <xf numFmtId="0" fontId="0" fillId="449" borderId="0" xfId="0" applyFill="1"/>
    <xf numFmtId="0" fontId="0" fillId="450" borderId="0" xfId="0" applyFill="1"/>
    <xf numFmtId="0" fontId="0" fillId="451" borderId="0" xfId="0" applyFill="1"/>
    <xf numFmtId="0" fontId="0" fillId="452" borderId="0" xfId="0" applyFill="1"/>
    <xf numFmtId="0" fontId="0" fillId="453" borderId="0" xfId="0" applyFill="1"/>
    <xf numFmtId="0" fontId="0" fillId="454" borderId="0" xfId="0" applyFill="1"/>
    <xf numFmtId="0" fontId="0" fillId="455" borderId="0" xfId="0" applyFill="1"/>
    <xf numFmtId="0" fontId="0" fillId="456" borderId="0" xfId="0" applyFill="1"/>
    <xf numFmtId="0" fontId="0" fillId="457" borderId="0" xfId="0" applyFill="1"/>
    <xf numFmtId="0" fontId="0" fillId="458" borderId="0" xfId="0" applyFill="1"/>
    <xf numFmtId="0" fontId="0" fillId="459" borderId="0" xfId="0" applyFill="1"/>
    <xf numFmtId="0" fontId="0" fillId="460" borderId="0" xfId="0" applyFill="1"/>
    <xf numFmtId="0" fontId="0" fillId="461" borderId="0" xfId="0" applyFill="1"/>
    <xf numFmtId="0" fontId="0" fillId="462" borderId="0" xfId="0" applyFill="1"/>
    <xf numFmtId="0" fontId="0" fillId="463" borderId="0" xfId="0" applyFill="1"/>
    <xf numFmtId="0" fontId="0" fillId="464" borderId="0" xfId="0" applyFill="1"/>
    <xf numFmtId="0" fontId="0" fillId="465" borderId="0" xfId="0" applyFill="1"/>
    <xf numFmtId="0" fontId="0" fillId="466" borderId="0" xfId="0" applyFill="1"/>
    <xf numFmtId="0" fontId="0" fillId="467" borderId="0" xfId="0" applyFill="1"/>
    <xf numFmtId="0" fontId="0" fillId="468" borderId="0" xfId="0" applyFill="1"/>
    <xf numFmtId="0" fontId="0" fillId="469" borderId="0" xfId="0" applyFill="1"/>
    <xf numFmtId="0" fontId="0" fillId="470" borderId="0" xfId="0" applyFill="1"/>
    <xf numFmtId="0" fontId="0" fillId="471" borderId="0" xfId="0" applyFill="1"/>
    <xf numFmtId="0" fontId="0" fillId="472" borderId="0" xfId="0" applyFill="1"/>
    <xf numFmtId="0" fontId="0" fillId="473" borderId="0" xfId="0" applyFill="1"/>
    <xf numFmtId="0" fontId="0" fillId="474" borderId="0" xfId="0" applyFill="1"/>
    <xf numFmtId="0" fontId="0" fillId="475" borderId="0" xfId="0" applyFill="1"/>
    <xf numFmtId="0" fontId="0" fillId="476" borderId="0" xfId="0" applyFill="1"/>
    <xf numFmtId="0" fontId="0" fillId="477" borderId="0" xfId="0" applyFill="1"/>
    <xf numFmtId="0" fontId="0" fillId="478" borderId="0" xfId="0" applyFill="1"/>
    <xf numFmtId="0" fontId="0" fillId="479" borderId="0" xfId="0" applyFill="1"/>
    <xf numFmtId="0" fontId="0" fillId="480" borderId="0" xfId="0" applyFill="1"/>
    <xf numFmtId="0" fontId="0" fillId="481" borderId="0" xfId="0" applyFill="1"/>
    <xf numFmtId="0" fontId="0" fillId="482" borderId="0" xfId="0" applyFill="1"/>
    <xf numFmtId="0" fontId="0" fillId="483" borderId="0" xfId="0" applyFill="1"/>
    <xf numFmtId="0" fontId="0" fillId="484" borderId="0" xfId="0" applyFill="1"/>
    <xf numFmtId="0" fontId="0" fillId="485" borderId="0" xfId="0" applyFill="1"/>
    <xf numFmtId="0" fontId="0" fillId="486" borderId="0" xfId="0" applyFill="1"/>
    <xf numFmtId="0" fontId="0" fillId="487" borderId="0" xfId="0" applyFill="1"/>
    <xf numFmtId="0" fontId="0" fillId="488" borderId="0" xfId="0" applyFill="1"/>
    <xf numFmtId="0" fontId="0" fillId="489" borderId="0" xfId="0" applyFill="1"/>
    <xf numFmtId="0" fontId="0" fillId="490" borderId="0" xfId="0" applyFill="1"/>
    <xf numFmtId="0" fontId="0" fillId="491" borderId="0" xfId="0" applyFill="1"/>
    <xf numFmtId="0" fontId="0" fillId="492" borderId="0" xfId="0" applyFill="1"/>
    <xf numFmtId="0" fontId="0" fillId="493" borderId="0" xfId="0" applyFill="1"/>
    <xf numFmtId="0" fontId="0" fillId="494" borderId="0" xfId="0" applyFill="1"/>
    <xf numFmtId="0" fontId="0" fillId="495" borderId="0" xfId="0" applyFill="1"/>
    <xf numFmtId="0" fontId="0" fillId="496" borderId="0" xfId="0" applyFill="1"/>
    <xf numFmtId="0" fontId="0" fillId="497" borderId="0" xfId="0" applyFill="1"/>
    <xf numFmtId="0" fontId="0" fillId="498" borderId="0" xfId="0" applyFill="1"/>
    <xf numFmtId="0" fontId="0" fillId="499" borderId="0" xfId="0" applyFill="1"/>
    <xf numFmtId="0" fontId="0" fillId="500" borderId="0" xfId="0" applyFill="1"/>
    <xf numFmtId="0" fontId="0" fillId="501" borderId="0" xfId="0" applyFill="1"/>
    <xf numFmtId="0" fontId="0" fillId="502" borderId="0" xfId="0" applyFill="1"/>
    <xf numFmtId="0" fontId="0" fillId="503" borderId="0" xfId="0" applyFill="1"/>
    <xf numFmtId="0" fontId="0" fillId="504" borderId="0" xfId="0" applyFill="1"/>
    <xf numFmtId="0" fontId="0" fillId="505" borderId="0" xfId="0" applyFill="1"/>
    <xf numFmtId="0" fontId="0" fillId="506" borderId="0" xfId="0" applyFill="1"/>
    <xf numFmtId="0" fontId="0" fillId="507" borderId="0" xfId="0" applyFill="1"/>
    <xf numFmtId="0" fontId="0" fillId="508" borderId="0" xfId="0" applyFill="1"/>
    <xf numFmtId="0" fontId="0" fillId="509" borderId="0" xfId="0" applyFill="1"/>
    <xf numFmtId="0" fontId="0" fillId="510" borderId="0" xfId="0" applyFill="1"/>
    <xf numFmtId="0" fontId="0" fillId="511" borderId="0" xfId="0" applyFill="1"/>
    <xf numFmtId="0" fontId="0" fillId="512" borderId="0" xfId="0" applyFill="1"/>
    <xf numFmtId="0" fontId="0" fillId="513" borderId="0" xfId="0" applyFill="1"/>
    <xf numFmtId="0" fontId="0" fillId="514" borderId="0" xfId="0" applyFill="1"/>
    <xf numFmtId="0" fontId="0" fillId="515" borderId="0" xfId="0" applyFill="1"/>
    <xf numFmtId="0" fontId="0" fillId="516" borderId="0" xfId="0" applyFill="1"/>
    <xf numFmtId="0" fontId="0" fillId="517" borderId="0" xfId="0" applyFill="1"/>
    <xf numFmtId="0" fontId="0" fillId="518" borderId="0" xfId="0" applyFill="1"/>
    <xf numFmtId="0" fontId="0" fillId="519" borderId="0" xfId="0" applyFill="1"/>
    <xf numFmtId="0" fontId="0" fillId="520" borderId="0" xfId="0" applyFill="1"/>
    <xf numFmtId="0" fontId="0" fillId="521" borderId="0" xfId="0" applyFill="1"/>
    <xf numFmtId="0" fontId="0" fillId="522" borderId="0" xfId="0" applyFill="1"/>
    <xf numFmtId="0" fontId="0" fillId="523" borderId="0" xfId="0" applyFill="1"/>
    <xf numFmtId="0" fontId="0" fillId="524" borderId="0" xfId="0" applyFill="1"/>
    <xf numFmtId="0" fontId="0" fillId="525" borderId="0" xfId="0" applyFill="1"/>
    <xf numFmtId="0" fontId="0" fillId="526" borderId="0" xfId="0" applyFill="1"/>
    <xf numFmtId="0" fontId="0" fillId="527" borderId="0" xfId="0" applyFill="1"/>
    <xf numFmtId="0" fontId="0" fillId="528" borderId="0" xfId="0" applyFill="1"/>
    <xf numFmtId="0" fontId="0" fillId="529" borderId="0" xfId="0" applyFill="1"/>
    <xf numFmtId="0" fontId="0" fillId="530" borderId="0" xfId="0" applyFill="1"/>
    <xf numFmtId="0" fontId="0" fillId="531" borderId="0" xfId="0" applyFill="1"/>
    <xf numFmtId="0" fontId="0" fillId="532" borderId="0" xfId="0" applyFill="1"/>
    <xf numFmtId="0" fontId="0" fillId="533" borderId="0" xfId="0" applyFill="1"/>
    <xf numFmtId="0" fontId="0" fillId="534" borderId="0" xfId="0" applyFill="1"/>
    <xf numFmtId="0" fontId="0" fillId="535" borderId="0" xfId="0" applyFill="1"/>
    <xf numFmtId="0" fontId="0" fillId="536" borderId="0" xfId="0" applyFill="1"/>
    <xf numFmtId="0" fontId="0" fillId="537" borderId="0" xfId="0" applyFill="1"/>
    <xf numFmtId="0" fontId="0" fillId="538" borderId="0" xfId="0" applyFill="1"/>
    <xf numFmtId="0" fontId="0" fillId="539" borderId="0" xfId="0" applyFill="1"/>
    <xf numFmtId="0" fontId="0" fillId="540" borderId="0" xfId="0" applyFill="1"/>
    <xf numFmtId="0" fontId="0" fillId="541" borderId="0" xfId="0" applyFill="1"/>
    <xf numFmtId="0" fontId="0" fillId="542" borderId="0" xfId="0" applyFill="1"/>
    <xf numFmtId="0" fontId="0" fillId="543" borderId="0" xfId="0" applyFill="1"/>
    <xf numFmtId="0" fontId="0" fillId="544" borderId="0" xfId="0" applyFill="1"/>
    <xf numFmtId="0" fontId="0" fillId="545" borderId="0" xfId="0" applyFill="1"/>
    <xf numFmtId="0" fontId="0" fillId="546" borderId="0" xfId="0" applyFill="1"/>
    <xf numFmtId="0" fontId="0" fillId="547" borderId="0" xfId="0" applyFill="1"/>
    <xf numFmtId="0" fontId="0" fillId="548" borderId="0" xfId="0" applyFill="1"/>
    <xf numFmtId="0" fontId="0" fillId="549" borderId="0" xfId="0" applyFill="1"/>
    <xf numFmtId="0" fontId="0" fillId="550" borderId="0" xfId="0" applyFill="1"/>
    <xf numFmtId="0" fontId="0" fillId="551" borderId="0" xfId="0" applyFill="1"/>
    <xf numFmtId="0" fontId="0" fillId="552" borderId="0" xfId="0" applyFill="1"/>
    <xf numFmtId="0" fontId="0" fillId="553" borderId="0" xfId="0" applyFill="1"/>
    <xf numFmtId="0" fontId="0" fillId="554" borderId="0" xfId="0" applyFill="1"/>
    <xf numFmtId="0" fontId="0" fillId="555" borderId="0" xfId="0" applyFill="1"/>
    <xf numFmtId="0" fontId="0" fillId="556" borderId="0" xfId="0" applyFill="1"/>
    <xf numFmtId="0" fontId="0" fillId="557" borderId="0" xfId="0" applyFill="1"/>
    <xf numFmtId="0" fontId="0" fillId="558" borderId="0" xfId="0" applyFill="1"/>
    <xf numFmtId="0" fontId="0" fillId="559" borderId="0" xfId="0" applyFill="1"/>
    <xf numFmtId="0" fontId="0" fillId="560" borderId="0" xfId="0" applyFill="1"/>
    <xf numFmtId="0" fontId="0" fillId="561" borderId="0" xfId="0" applyFill="1"/>
    <xf numFmtId="0" fontId="0" fillId="562" borderId="0" xfId="0" applyFill="1"/>
    <xf numFmtId="0" fontId="0" fillId="563" borderId="0" xfId="0" applyFill="1"/>
    <xf numFmtId="0" fontId="0" fillId="564" borderId="0" xfId="0" applyFill="1"/>
    <xf numFmtId="0" fontId="0" fillId="565" borderId="0" xfId="0" applyFill="1"/>
    <xf numFmtId="0" fontId="0" fillId="566" borderId="0" xfId="0" applyFill="1"/>
    <xf numFmtId="0" fontId="0" fillId="567" borderId="0" xfId="0" applyFill="1"/>
    <xf numFmtId="0" fontId="0" fillId="568" borderId="0" xfId="0" applyFill="1"/>
    <xf numFmtId="0" fontId="0" fillId="569" borderId="0" xfId="0" applyFill="1"/>
    <xf numFmtId="0" fontId="0" fillId="570" borderId="0" xfId="0" applyFill="1"/>
    <xf numFmtId="0" fontId="0" fillId="571" borderId="0" xfId="0" applyFill="1"/>
    <xf numFmtId="0" fontId="0" fillId="572" borderId="0" xfId="0" applyFill="1"/>
    <xf numFmtId="0" fontId="0" fillId="573" borderId="0" xfId="0" applyFill="1"/>
    <xf numFmtId="0" fontId="0" fillId="574" borderId="0" xfId="0" applyFill="1"/>
    <xf numFmtId="0" fontId="0" fillId="575" borderId="0" xfId="0" applyFill="1"/>
    <xf numFmtId="0" fontId="0" fillId="576" borderId="0" xfId="0" applyFill="1"/>
    <xf numFmtId="0" fontId="0" fillId="577" borderId="0" xfId="0" applyFill="1"/>
    <xf numFmtId="0" fontId="0" fillId="578" borderId="0" xfId="0" applyFill="1"/>
    <xf numFmtId="0" fontId="0" fillId="579" borderId="0" xfId="0" applyFill="1"/>
    <xf numFmtId="0" fontId="0" fillId="580" borderId="0" xfId="0" applyFill="1"/>
    <xf numFmtId="0" fontId="0" fillId="581" borderId="0" xfId="0" applyFill="1"/>
    <xf numFmtId="0" fontId="0" fillId="582" borderId="0" xfId="0" applyFill="1"/>
    <xf numFmtId="0" fontId="0" fillId="583" borderId="0" xfId="0" applyFill="1"/>
    <xf numFmtId="0" fontId="0" fillId="584" borderId="0" xfId="0" applyFill="1"/>
    <xf numFmtId="0" fontId="0" fillId="585" borderId="0" xfId="0" applyFill="1"/>
    <xf numFmtId="0" fontId="0" fillId="586" borderId="0" xfId="0" applyFill="1"/>
    <xf numFmtId="0" fontId="0" fillId="587" borderId="0" xfId="0" applyFill="1"/>
    <xf numFmtId="0" fontId="0" fillId="588" borderId="0" xfId="0" applyFill="1"/>
    <xf numFmtId="0" fontId="0" fillId="589" borderId="0" xfId="0" applyFill="1"/>
    <xf numFmtId="0" fontId="0" fillId="590" borderId="0" xfId="0" applyFill="1"/>
    <xf numFmtId="0" fontId="0" fillId="591" borderId="0" xfId="0" applyFill="1"/>
    <xf numFmtId="0" fontId="0" fillId="592" borderId="0" xfId="0" applyFill="1"/>
    <xf numFmtId="0" fontId="0" fillId="593" borderId="0" xfId="0" applyFill="1"/>
    <xf numFmtId="0" fontId="0" fillId="594" borderId="0" xfId="0" applyFill="1"/>
    <xf numFmtId="0" fontId="0" fillId="595" borderId="0" xfId="0" applyFill="1"/>
    <xf numFmtId="0" fontId="0" fillId="596" borderId="0" xfId="0" applyFill="1"/>
    <xf numFmtId="0" fontId="0" fillId="597" borderId="0" xfId="0" applyFill="1"/>
    <xf numFmtId="0" fontId="0" fillId="598" borderId="0" xfId="0" applyFill="1"/>
    <xf numFmtId="0" fontId="0" fillId="599" borderId="0" xfId="0" applyFill="1"/>
    <xf numFmtId="0" fontId="0" fillId="600" borderId="0" xfId="0" applyFill="1"/>
    <xf numFmtId="0" fontId="0" fillId="601" borderId="0" xfId="0" applyFill="1"/>
    <xf numFmtId="0" fontId="0" fillId="602" borderId="0" xfId="0" applyFill="1"/>
    <xf numFmtId="0" fontId="0" fillId="603" borderId="0" xfId="0" applyFill="1"/>
    <xf numFmtId="0" fontId="0" fillId="604" borderId="0" xfId="0" applyFill="1"/>
    <xf numFmtId="0" fontId="0" fillId="605" borderId="0" xfId="0" applyFill="1"/>
    <xf numFmtId="0" fontId="0" fillId="606" borderId="0" xfId="0" applyFill="1"/>
    <xf numFmtId="0" fontId="0" fillId="607" borderId="0" xfId="0" applyFill="1"/>
    <xf numFmtId="0" fontId="0" fillId="608" borderId="0" xfId="0" applyFill="1"/>
    <xf numFmtId="0" fontId="0" fillId="609" borderId="0" xfId="0" applyFill="1"/>
    <xf numFmtId="0" fontId="0" fillId="610" borderId="0" xfId="0" applyFill="1"/>
    <xf numFmtId="0" fontId="0" fillId="611" borderId="0" xfId="0" applyFill="1"/>
    <xf numFmtId="0" fontId="0" fillId="612" borderId="0" xfId="0" applyFill="1"/>
    <xf numFmtId="0" fontId="0" fillId="613" borderId="0" xfId="0" applyFill="1"/>
    <xf numFmtId="0" fontId="0" fillId="614" borderId="0" xfId="0" applyFill="1"/>
    <xf numFmtId="0" fontId="0" fillId="615" borderId="0" xfId="0" applyFill="1"/>
    <xf numFmtId="0" fontId="0" fillId="616" borderId="0" xfId="0" applyFill="1"/>
    <xf numFmtId="0" fontId="0" fillId="617" borderId="0" xfId="0" applyFill="1"/>
    <xf numFmtId="0" fontId="0" fillId="618" borderId="0" xfId="0" applyFill="1"/>
    <xf numFmtId="0" fontId="0" fillId="619" borderId="0" xfId="0" applyFill="1"/>
    <xf numFmtId="0" fontId="0" fillId="620" borderId="0" xfId="0" applyFill="1"/>
    <xf numFmtId="0" fontId="0" fillId="621" borderId="0" xfId="0" applyFill="1"/>
    <xf numFmtId="0" fontId="0" fillId="622" borderId="0" xfId="0" applyFill="1"/>
    <xf numFmtId="0" fontId="0" fillId="623" borderId="0" xfId="0" applyFill="1"/>
    <xf numFmtId="0" fontId="0" fillId="624" borderId="0" xfId="0" applyFill="1"/>
    <xf numFmtId="0" fontId="0" fillId="625" borderId="0" xfId="0" applyFill="1"/>
    <xf numFmtId="0" fontId="0" fillId="626" borderId="0" xfId="0" applyFill="1"/>
    <xf numFmtId="0" fontId="0" fillId="627" borderId="0" xfId="0" applyFill="1"/>
    <xf numFmtId="0" fontId="0" fillId="628" borderId="0" xfId="0" applyFill="1"/>
    <xf numFmtId="0" fontId="0" fillId="629" borderId="0" xfId="0" applyFill="1"/>
    <xf numFmtId="0" fontId="0" fillId="630" borderId="0" xfId="0" applyFill="1"/>
    <xf numFmtId="0" fontId="0" fillId="631" borderId="0" xfId="0" applyFill="1"/>
    <xf numFmtId="0" fontId="0" fillId="632" borderId="0" xfId="0" applyFill="1"/>
    <xf numFmtId="0" fontId="0" fillId="633" borderId="0" xfId="0" applyFill="1"/>
    <xf numFmtId="0" fontId="0" fillId="634" borderId="0" xfId="0" applyFill="1"/>
    <xf numFmtId="0" fontId="0" fillId="635" borderId="0" xfId="0" applyFill="1"/>
    <xf numFmtId="0" fontId="0" fillId="636" borderId="0" xfId="0" applyFill="1"/>
    <xf numFmtId="0" fontId="0" fillId="637" borderId="0" xfId="0" applyFill="1"/>
    <xf numFmtId="0" fontId="0" fillId="638" borderId="0" xfId="0" applyFill="1"/>
    <xf numFmtId="0" fontId="0" fillId="639" borderId="0" xfId="0" applyFill="1"/>
    <xf numFmtId="0" fontId="0" fillId="640" borderId="0" xfId="0" applyFill="1"/>
    <xf numFmtId="0" fontId="0" fillId="641" borderId="0" xfId="0" applyFill="1"/>
    <xf numFmtId="0" fontId="0" fillId="642" borderId="0" xfId="0" applyFill="1"/>
    <xf numFmtId="0" fontId="0" fillId="643" borderId="0" xfId="0" applyFill="1"/>
    <xf numFmtId="0" fontId="0" fillId="644" borderId="0" xfId="0" applyFill="1"/>
    <xf numFmtId="0" fontId="0" fillId="645" borderId="0" xfId="0" applyFill="1"/>
    <xf numFmtId="0" fontId="0" fillId="646" borderId="0" xfId="0" applyFill="1"/>
    <xf numFmtId="0" fontId="0" fillId="647" borderId="0" xfId="0" applyFill="1"/>
    <xf numFmtId="0" fontId="0" fillId="648" borderId="0" xfId="0" applyFill="1"/>
    <xf numFmtId="0" fontId="0" fillId="649" borderId="0" xfId="0" applyFill="1"/>
    <xf numFmtId="0" fontId="0" fillId="650" borderId="0" xfId="0" applyFill="1"/>
    <xf numFmtId="0" fontId="0" fillId="651" borderId="0" xfId="0" applyFill="1"/>
    <xf numFmtId="0" fontId="0" fillId="652" borderId="0" xfId="0" applyFill="1"/>
    <xf numFmtId="0" fontId="0" fillId="653" borderId="0" xfId="0" applyFill="1"/>
    <xf numFmtId="0" fontId="0" fillId="654" borderId="0" xfId="0" applyFill="1"/>
    <xf numFmtId="0" fontId="0" fillId="655" borderId="0" xfId="0" applyFill="1"/>
    <xf numFmtId="0" fontId="0" fillId="656" borderId="0" xfId="0" applyFill="1"/>
    <xf numFmtId="0" fontId="0" fillId="657" borderId="0" xfId="0" applyFill="1"/>
    <xf numFmtId="0" fontId="0" fillId="658" borderId="0" xfId="0" applyFill="1"/>
    <xf numFmtId="0" fontId="0" fillId="659" borderId="0" xfId="0" applyFill="1"/>
    <xf numFmtId="0" fontId="0" fillId="660" borderId="0" xfId="0" applyFill="1"/>
    <xf numFmtId="0" fontId="0" fillId="661" borderId="0" xfId="0" applyFill="1"/>
    <xf numFmtId="0" fontId="0" fillId="662" borderId="0" xfId="0" applyFill="1"/>
    <xf numFmtId="0" fontId="0" fillId="663" borderId="0" xfId="0" applyFill="1"/>
    <xf numFmtId="0" fontId="0" fillId="664" borderId="0" xfId="0" applyFill="1"/>
    <xf numFmtId="0" fontId="0" fillId="665" borderId="0" xfId="0" applyFill="1"/>
    <xf numFmtId="0" fontId="0" fillId="666" borderId="0" xfId="0" applyFill="1"/>
    <xf numFmtId="0" fontId="0" fillId="667" borderId="0" xfId="0" applyFill="1"/>
    <xf numFmtId="0" fontId="0" fillId="668" borderId="0" xfId="0" applyFill="1"/>
    <xf numFmtId="0" fontId="0" fillId="669" borderId="0" xfId="0" applyFill="1"/>
    <xf numFmtId="0" fontId="0" fillId="670" borderId="0" xfId="0" applyFill="1"/>
    <xf numFmtId="0" fontId="0" fillId="671" borderId="0" xfId="0" applyFill="1"/>
    <xf numFmtId="0" fontId="0" fillId="672" borderId="0" xfId="0" applyFill="1"/>
    <xf numFmtId="0" fontId="0" fillId="673" borderId="0" xfId="0" applyFill="1"/>
    <xf numFmtId="0" fontId="0" fillId="674" borderId="0" xfId="0" applyFill="1"/>
    <xf numFmtId="0" fontId="0" fillId="675" borderId="0" xfId="0" applyFill="1"/>
    <xf numFmtId="0" fontId="0" fillId="676" borderId="0" xfId="0" applyFill="1"/>
    <xf numFmtId="0" fontId="0" fillId="677" borderId="0" xfId="0" applyFill="1"/>
    <xf numFmtId="0" fontId="0" fillId="678" borderId="0" xfId="0" applyFill="1"/>
    <xf numFmtId="0" fontId="0" fillId="679" borderId="0" xfId="0" applyFill="1"/>
    <xf numFmtId="0" fontId="0" fillId="680" borderId="0" xfId="0" applyFill="1"/>
    <xf numFmtId="0" fontId="0" fillId="681" borderId="0" xfId="0" applyFill="1"/>
    <xf numFmtId="0" fontId="0" fillId="682" borderId="0" xfId="0" applyFill="1"/>
    <xf numFmtId="0" fontId="0" fillId="683" borderId="0" xfId="0" applyFill="1"/>
    <xf numFmtId="0" fontId="0" fillId="684" borderId="0" xfId="0" applyFill="1"/>
    <xf numFmtId="0" fontId="0" fillId="685" borderId="0" xfId="0" applyFill="1"/>
    <xf numFmtId="0" fontId="0" fillId="686" borderId="0" xfId="0" applyFill="1"/>
    <xf numFmtId="0" fontId="0" fillId="687" borderId="0" xfId="0" applyFill="1"/>
    <xf numFmtId="0" fontId="0" fillId="688" borderId="0" xfId="0" applyFill="1"/>
    <xf numFmtId="0" fontId="0" fillId="689" borderId="0" xfId="0" applyFill="1"/>
    <xf numFmtId="0" fontId="0" fillId="690" borderId="0" xfId="0" applyFill="1"/>
    <xf numFmtId="0" fontId="0" fillId="691" borderId="0" xfId="0" applyFill="1"/>
    <xf numFmtId="0" fontId="0" fillId="692" borderId="0" xfId="0" applyFill="1"/>
    <xf numFmtId="0" fontId="0" fillId="693" borderId="0" xfId="0" applyFill="1"/>
    <xf numFmtId="0" fontId="0" fillId="694" borderId="0" xfId="0" applyFill="1"/>
    <xf numFmtId="0" fontId="0" fillId="695" borderId="0" xfId="0" applyFill="1"/>
    <xf numFmtId="0" fontId="0" fillId="696" borderId="0" xfId="0" applyFill="1"/>
    <xf numFmtId="0" fontId="0" fillId="697" borderId="0" xfId="0" applyFill="1"/>
    <xf numFmtId="0" fontId="0" fillId="698" borderId="0" xfId="0" applyFill="1"/>
    <xf numFmtId="0" fontId="0" fillId="699" borderId="0" xfId="0" applyFill="1"/>
    <xf numFmtId="0" fontId="0" fillId="700" borderId="0" xfId="0" applyFill="1"/>
    <xf numFmtId="0" fontId="0" fillId="701" borderId="0" xfId="0" applyFill="1"/>
    <xf numFmtId="0" fontId="0" fillId="702" borderId="0" xfId="0" applyFill="1"/>
    <xf numFmtId="0" fontId="0" fillId="703" borderId="0" xfId="0" applyFill="1"/>
    <xf numFmtId="0" fontId="0" fillId="704" borderId="0" xfId="0" applyFill="1"/>
    <xf numFmtId="0" fontId="0" fillId="705" borderId="0" xfId="0" applyFill="1"/>
    <xf numFmtId="0" fontId="0" fillId="706" borderId="0" xfId="0" applyFill="1"/>
    <xf numFmtId="0" fontId="0" fillId="707" borderId="0" xfId="0" applyFill="1"/>
    <xf numFmtId="0" fontId="0" fillId="708" borderId="0" xfId="0" applyFill="1"/>
    <xf numFmtId="0" fontId="0" fillId="709" borderId="0" xfId="0" applyFill="1"/>
    <xf numFmtId="0" fontId="0" fillId="710" borderId="0" xfId="0" applyFill="1"/>
    <xf numFmtId="0" fontId="0" fillId="711" borderId="0" xfId="0" applyFill="1"/>
    <xf numFmtId="0" fontId="0" fillId="712" borderId="0" xfId="0" applyFill="1"/>
    <xf numFmtId="0" fontId="0" fillId="713" borderId="0" xfId="0" applyFill="1"/>
    <xf numFmtId="0" fontId="0" fillId="714" borderId="0" xfId="0" applyFill="1"/>
    <xf numFmtId="0" fontId="0" fillId="715" borderId="0" xfId="0" applyFill="1"/>
    <xf numFmtId="0" fontId="0" fillId="716" borderId="0" xfId="0" applyFill="1"/>
    <xf numFmtId="0" fontId="0" fillId="717" borderId="0" xfId="0" applyFill="1"/>
    <xf numFmtId="0" fontId="0" fillId="718" borderId="0" xfId="0" applyFill="1"/>
    <xf numFmtId="0" fontId="0" fillId="719" borderId="0" xfId="0" applyFill="1"/>
    <xf numFmtId="0" fontId="0" fillId="720" borderId="0" xfId="0" applyFill="1"/>
    <xf numFmtId="0" fontId="0" fillId="721" borderId="0" xfId="0" applyFill="1"/>
    <xf numFmtId="0" fontId="0" fillId="722" borderId="0" xfId="0" applyFill="1"/>
    <xf numFmtId="0" fontId="0" fillId="723" borderId="0" xfId="0" applyFill="1"/>
    <xf numFmtId="0" fontId="0" fillId="724" borderId="0" xfId="0" applyFill="1"/>
    <xf numFmtId="0" fontId="0" fillId="725" borderId="0" xfId="0" applyFill="1"/>
    <xf numFmtId="0" fontId="0" fillId="726" borderId="0" xfId="0" applyFill="1"/>
    <xf numFmtId="0" fontId="0" fillId="727" borderId="0" xfId="0" applyFill="1"/>
    <xf numFmtId="0" fontId="0" fillId="728" borderId="0" xfId="0" applyFill="1"/>
    <xf numFmtId="0" fontId="0" fillId="729" borderId="0" xfId="0" applyFill="1"/>
    <xf numFmtId="0" fontId="0" fillId="730" borderId="0" xfId="0" applyFill="1"/>
    <xf numFmtId="0" fontId="0" fillId="731" borderId="0" xfId="0" applyFill="1"/>
    <xf numFmtId="0" fontId="0" fillId="732" borderId="0" xfId="0" applyFill="1"/>
    <xf numFmtId="0" fontId="0" fillId="733" borderId="0" xfId="0" applyFill="1"/>
    <xf numFmtId="0" fontId="0" fillId="734" borderId="0" xfId="0" applyFill="1"/>
    <xf numFmtId="0" fontId="0" fillId="735" borderId="0" xfId="0" applyFill="1"/>
    <xf numFmtId="0" fontId="0" fillId="736" borderId="0" xfId="0" applyFill="1"/>
    <xf numFmtId="0" fontId="0" fillId="737" borderId="0" xfId="0" applyFill="1"/>
    <xf numFmtId="0" fontId="0" fillId="738" borderId="0" xfId="0" applyFill="1"/>
    <xf numFmtId="0" fontId="0" fillId="739" borderId="0" xfId="0" applyFill="1"/>
    <xf numFmtId="0" fontId="0" fillId="740" borderId="0" xfId="0" applyFill="1"/>
    <xf numFmtId="0" fontId="0" fillId="741" borderId="0" xfId="0" applyFill="1"/>
    <xf numFmtId="0" fontId="0" fillId="742" borderId="0" xfId="0" applyFill="1"/>
    <xf numFmtId="0" fontId="0" fillId="743" borderId="0" xfId="0" applyFill="1"/>
    <xf numFmtId="0" fontId="0" fillId="744" borderId="0" xfId="0" applyFill="1"/>
    <xf numFmtId="0" fontId="0" fillId="745" borderId="0" xfId="0" applyFill="1"/>
    <xf numFmtId="0" fontId="0" fillId="746" borderId="0" xfId="0" applyFill="1"/>
    <xf numFmtId="0" fontId="0" fillId="747" borderId="0" xfId="0" applyFill="1"/>
    <xf numFmtId="0" fontId="0" fillId="748" borderId="0" xfId="0" applyFill="1"/>
    <xf numFmtId="0" fontId="0" fillId="749" borderId="0" xfId="0" applyFill="1"/>
    <xf numFmtId="0" fontId="0" fillId="750" borderId="0" xfId="0" applyFill="1"/>
    <xf numFmtId="0" fontId="0" fillId="751" borderId="0" xfId="0" applyFill="1"/>
    <xf numFmtId="0" fontId="0" fillId="752" borderId="0" xfId="0" applyFill="1"/>
    <xf numFmtId="0" fontId="0" fillId="753" borderId="0" xfId="0" applyFill="1"/>
    <xf numFmtId="0" fontId="0" fillId="754" borderId="0" xfId="0" applyFill="1"/>
    <xf numFmtId="0" fontId="0" fillId="755" borderId="0" xfId="0" applyFill="1"/>
    <xf numFmtId="0" fontId="0" fillId="756" borderId="0" xfId="0" applyFill="1"/>
    <xf numFmtId="0" fontId="0" fillId="757" borderId="0" xfId="0" applyFill="1"/>
    <xf numFmtId="0" fontId="0" fillId="758" borderId="0" xfId="0" applyFill="1"/>
    <xf numFmtId="0" fontId="0" fillId="759" borderId="0" xfId="0" applyFill="1"/>
    <xf numFmtId="0" fontId="0" fillId="760" borderId="0" xfId="0" applyFill="1"/>
    <xf numFmtId="0" fontId="0" fillId="761" borderId="0" xfId="0" applyFill="1"/>
    <xf numFmtId="0" fontId="0" fillId="762" borderId="0" xfId="0" applyFill="1"/>
    <xf numFmtId="0" fontId="0" fillId="763" borderId="0" xfId="0" applyFill="1"/>
    <xf numFmtId="0" fontId="0" fillId="764" borderId="0" xfId="0" applyFill="1"/>
    <xf numFmtId="0" fontId="0" fillId="765" borderId="0" xfId="0" applyFill="1"/>
    <xf numFmtId="0" fontId="0" fillId="766" borderId="0" xfId="0" applyFill="1"/>
    <xf numFmtId="0" fontId="0" fillId="767" borderId="0" xfId="0" applyFill="1"/>
    <xf numFmtId="0" fontId="0" fillId="768" borderId="0" xfId="0" applyFill="1"/>
    <xf numFmtId="0" fontId="0" fillId="769" borderId="0" xfId="0" applyFill="1"/>
    <xf numFmtId="0" fontId="0" fillId="770" borderId="0" xfId="0" applyFill="1"/>
    <xf numFmtId="0" fontId="0" fillId="771" borderId="0" xfId="0" applyFill="1"/>
    <xf numFmtId="0" fontId="0" fillId="772" borderId="0" xfId="0" applyFill="1"/>
    <xf numFmtId="0" fontId="0" fillId="773" borderId="0" xfId="0" applyFill="1"/>
    <xf numFmtId="0" fontId="0" fillId="774" borderId="0" xfId="0" applyFill="1"/>
    <xf numFmtId="0" fontId="0" fillId="775" borderId="0" xfId="0" applyFill="1"/>
    <xf numFmtId="0" fontId="0" fillId="776" borderId="0" xfId="0" applyFill="1"/>
    <xf numFmtId="0" fontId="0" fillId="777" borderId="0" xfId="0" applyFill="1"/>
    <xf numFmtId="0" fontId="0" fillId="778" borderId="0" xfId="0" applyFill="1"/>
    <xf numFmtId="0" fontId="0" fillId="779" borderId="0" xfId="0" applyFill="1"/>
    <xf numFmtId="0" fontId="0" fillId="780" borderId="0" xfId="0" applyFill="1"/>
    <xf numFmtId="0" fontId="0" fillId="781" borderId="0" xfId="0" applyFill="1"/>
    <xf numFmtId="0" fontId="0" fillId="782" borderId="0" xfId="0" applyFill="1"/>
    <xf numFmtId="0" fontId="0" fillId="783" borderId="0" xfId="0" applyFill="1"/>
    <xf numFmtId="0" fontId="0" fillId="784" borderId="0" xfId="0" applyFill="1"/>
    <xf numFmtId="0" fontId="0" fillId="785" borderId="0" xfId="0" applyFill="1"/>
    <xf numFmtId="0" fontId="0" fillId="786" borderId="0" xfId="0" applyFill="1"/>
    <xf numFmtId="0" fontId="0" fillId="787" borderId="0" xfId="0" applyFill="1"/>
    <xf numFmtId="0" fontId="0" fillId="788" borderId="0" xfId="0" applyFill="1"/>
    <xf numFmtId="0" fontId="0" fillId="789" borderId="0" xfId="0" applyFill="1"/>
    <xf numFmtId="0" fontId="0" fillId="790" borderId="0" xfId="0" applyFill="1"/>
    <xf numFmtId="0" fontId="0" fillId="791" borderId="0" xfId="0" applyFill="1"/>
    <xf numFmtId="0" fontId="0" fillId="792" borderId="0" xfId="0" applyFill="1"/>
    <xf numFmtId="0" fontId="0" fillId="793" borderId="0" xfId="0" applyFill="1"/>
    <xf numFmtId="0" fontId="0" fillId="794" borderId="0" xfId="0" applyFill="1"/>
    <xf numFmtId="0" fontId="0" fillId="795" borderId="0" xfId="0" applyFill="1"/>
    <xf numFmtId="0" fontId="0" fillId="796" borderId="0" xfId="0" applyFill="1"/>
    <xf numFmtId="0" fontId="0" fillId="797" borderId="0" xfId="0" applyFill="1"/>
    <xf numFmtId="0" fontId="0" fillId="798" borderId="0" xfId="0" applyFill="1"/>
    <xf numFmtId="0" fontId="0" fillId="799" borderId="0" xfId="0" applyFill="1"/>
    <xf numFmtId="0" fontId="0" fillId="800" borderId="0" xfId="0" applyFill="1"/>
    <xf numFmtId="0" fontId="0" fillId="801" borderId="0" xfId="0" applyFill="1"/>
    <xf numFmtId="0" fontId="0" fillId="802" borderId="0" xfId="0" applyFill="1"/>
    <xf numFmtId="0" fontId="0" fillId="803" borderId="0" xfId="0" applyFill="1"/>
    <xf numFmtId="0" fontId="0" fillId="804" borderId="0" xfId="0" applyFill="1"/>
    <xf numFmtId="0" fontId="0" fillId="805" borderId="0" xfId="0" applyFill="1"/>
    <xf numFmtId="0" fontId="0" fillId="806" borderId="0" xfId="0" applyFill="1"/>
    <xf numFmtId="0" fontId="0" fillId="807" borderId="0" xfId="0" applyFill="1"/>
    <xf numFmtId="0" fontId="0" fillId="808" borderId="0" xfId="0" applyFill="1"/>
    <xf numFmtId="0" fontId="0" fillId="809" borderId="0" xfId="0" applyFill="1"/>
    <xf numFmtId="0" fontId="0" fillId="810" borderId="0" xfId="0" applyFill="1"/>
    <xf numFmtId="0" fontId="0" fillId="811" borderId="0" xfId="0" applyFill="1"/>
    <xf numFmtId="0" fontId="0" fillId="812" borderId="0" xfId="0" applyFill="1"/>
    <xf numFmtId="0" fontId="0" fillId="813" borderId="0" xfId="0" applyFill="1"/>
    <xf numFmtId="0" fontId="0" fillId="814" borderId="0" xfId="0" applyFill="1"/>
    <xf numFmtId="0" fontId="0" fillId="815" borderId="0" xfId="0" applyFill="1"/>
    <xf numFmtId="0" fontId="0" fillId="816" borderId="0" xfId="0" applyFill="1"/>
    <xf numFmtId="0" fontId="0" fillId="817" borderId="0" xfId="0" applyFill="1"/>
    <xf numFmtId="0" fontId="0" fillId="818" borderId="0" xfId="0" applyFill="1"/>
    <xf numFmtId="0" fontId="0" fillId="819" borderId="0" xfId="0" applyFill="1"/>
    <xf numFmtId="0" fontId="0" fillId="820" borderId="0" xfId="0" applyFill="1"/>
    <xf numFmtId="0" fontId="0" fillId="821" borderId="0" xfId="0" applyFill="1"/>
    <xf numFmtId="0" fontId="0" fillId="822" borderId="0" xfId="0" applyFill="1"/>
    <xf numFmtId="0" fontId="0" fillId="823" borderId="0" xfId="0" applyFill="1"/>
    <xf numFmtId="0" fontId="0" fillId="824" borderId="0" xfId="0" applyFill="1"/>
    <xf numFmtId="0" fontId="0" fillId="825" borderId="0" xfId="0" applyFill="1"/>
    <xf numFmtId="0" fontId="0" fillId="826" borderId="0" xfId="0" applyFill="1"/>
    <xf numFmtId="0" fontId="0" fillId="827" borderId="0" xfId="0" applyFill="1"/>
    <xf numFmtId="0" fontId="0" fillId="828" borderId="0" xfId="0" applyFill="1"/>
    <xf numFmtId="0" fontId="0" fillId="829" borderId="0" xfId="0" applyFill="1"/>
    <xf numFmtId="0" fontId="0" fillId="830" borderId="0" xfId="0" applyFill="1"/>
    <xf numFmtId="0" fontId="0" fillId="831" borderId="0" xfId="0" applyFill="1"/>
    <xf numFmtId="0" fontId="0" fillId="832" borderId="0" xfId="0" applyFill="1"/>
    <xf numFmtId="0" fontId="0" fillId="833" borderId="0" xfId="0" applyFill="1"/>
    <xf numFmtId="0" fontId="0" fillId="834" borderId="0" xfId="0" applyFill="1"/>
    <xf numFmtId="0" fontId="0" fillId="835" borderId="0" xfId="0" applyFill="1"/>
    <xf numFmtId="0" fontId="0" fillId="836" borderId="0" xfId="0" applyFill="1"/>
    <xf numFmtId="0" fontId="0" fillId="837" borderId="0" xfId="0" applyFill="1"/>
    <xf numFmtId="0" fontId="0" fillId="838" borderId="0" xfId="0" applyFill="1"/>
    <xf numFmtId="0" fontId="0" fillId="839" borderId="0" xfId="0" applyFill="1"/>
    <xf numFmtId="0" fontId="0" fillId="840" borderId="0" xfId="0" applyFill="1"/>
    <xf numFmtId="0" fontId="0" fillId="841" borderId="0" xfId="0" applyFill="1"/>
    <xf numFmtId="0" fontId="0" fillId="842" borderId="0" xfId="0" applyFill="1"/>
    <xf numFmtId="0" fontId="0" fillId="843" borderId="0" xfId="0" applyFill="1"/>
    <xf numFmtId="0" fontId="0" fillId="844" borderId="0" xfId="0" applyFill="1"/>
    <xf numFmtId="0" fontId="0" fillId="845" borderId="0" xfId="0" applyFill="1"/>
    <xf numFmtId="0" fontId="0" fillId="846" borderId="0" xfId="0" applyFill="1"/>
    <xf numFmtId="0" fontId="0" fillId="847" borderId="0" xfId="0" applyFill="1"/>
    <xf numFmtId="0" fontId="0" fillId="848" borderId="0" xfId="0" applyFill="1"/>
    <xf numFmtId="0" fontId="0" fillId="849" borderId="0" xfId="0" applyFill="1"/>
    <xf numFmtId="0" fontId="0" fillId="850" borderId="0" xfId="0" applyFill="1"/>
    <xf numFmtId="0" fontId="0" fillId="851" borderId="0" xfId="0" applyFill="1"/>
    <xf numFmtId="0" fontId="0" fillId="852" borderId="0" xfId="0" applyFill="1"/>
    <xf numFmtId="0" fontId="0" fillId="853" borderId="0" xfId="0" applyFill="1"/>
    <xf numFmtId="0" fontId="0" fillId="854" borderId="0" xfId="0" applyFill="1"/>
    <xf numFmtId="0" fontId="0" fillId="855" borderId="0" xfId="0" applyFill="1"/>
    <xf numFmtId="0" fontId="0" fillId="856" borderId="0" xfId="0" applyFill="1"/>
    <xf numFmtId="0" fontId="0" fillId="857" borderId="0" xfId="0" applyFill="1"/>
    <xf numFmtId="0" fontId="0" fillId="858" borderId="0" xfId="0" applyFill="1"/>
    <xf numFmtId="0" fontId="0" fillId="859" borderId="0" xfId="0" applyFill="1"/>
    <xf numFmtId="0" fontId="0" fillId="860" borderId="0" xfId="0" applyFill="1"/>
    <xf numFmtId="0" fontId="0" fillId="861" borderId="0" xfId="0" applyFill="1"/>
    <xf numFmtId="0" fontId="0" fillId="862" borderId="0" xfId="0" applyFill="1"/>
    <xf numFmtId="0" fontId="0" fillId="863" borderId="0" xfId="0" applyFill="1"/>
    <xf numFmtId="0" fontId="0" fillId="864" borderId="0" xfId="0" applyFill="1"/>
    <xf numFmtId="0" fontId="0" fillId="865" borderId="0" xfId="0" applyFill="1"/>
    <xf numFmtId="0" fontId="0" fillId="866" borderId="0" xfId="0" applyFill="1"/>
    <xf numFmtId="0" fontId="0" fillId="867" borderId="0" xfId="0" applyFill="1"/>
    <xf numFmtId="0" fontId="0" fillId="868" borderId="0" xfId="0" applyFill="1"/>
    <xf numFmtId="0" fontId="0" fillId="869" borderId="0" xfId="0" applyFill="1"/>
    <xf numFmtId="0" fontId="0" fillId="870" borderId="0" xfId="0" applyFill="1"/>
    <xf numFmtId="0" fontId="0" fillId="871" borderId="0" xfId="0" applyFill="1"/>
    <xf numFmtId="0" fontId="0" fillId="872" borderId="0" xfId="0" applyFill="1"/>
    <xf numFmtId="0" fontId="0" fillId="873" borderId="0" xfId="0" applyFill="1"/>
    <xf numFmtId="0" fontId="0" fillId="874" borderId="0" xfId="0" applyFill="1"/>
    <xf numFmtId="0" fontId="0" fillId="875" borderId="0" xfId="0" applyFill="1"/>
    <xf numFmtId="0" fontId="0" fillId="876" borderId="0" xfId="0" applyFill="1"/>
    <xf numFmtId="0" fontId="0" fillId="877" borderId="0" xfId="0" applyFill="1"/>
    <xf numFmtId="0" fontId="0" fillId="878" borderId="0" xfId="0" applyFill="1"/>
    <xf numFmtId="0" fontId="0" fillId="879" borderId="0" xfId="0" applyFill="1"/>
    <xf numFmtId="0" fontId="0" fillId="880" borderId="0" xfId="0" applyFill="1"/>
    <xf numFmtId="0" fontId="0" fillId="881" borderId="0" xfId="0" applyFill="1"/>
    <xf numFmtId="0" fontId="0" fillId="882" borderId="0" xfId="0" applyFill="1"/>
    <xf numFmtId="0" fontId="0" fillId="883" borderId="0" xfId="0" applyFill="1"/>
    <xf numFmtId="0" fontId="0" fillId="884" borderId="0" xfId="0" applyFill="1"/>
    <xf numFmtId="0" fontId="0" fillId="885" borderId="0" xfId="0" applyFill="1"/>
    <xf numFmtId="0" fontId="0" fillId="886" borderId="0" xfId="0" applyFill="1"/>
    <xf numFmtId="0" fontId="0" fillId="887" borderId="0" xfId="0" applyFill="1"/>
    <xf numFmtId="0" fontId="0" fillId="888" borderId="0" xfId="0" applyFill="1"/>
    <xf numFmtId="0" fontId="0" fillId="889" borderId="0" xfId="0" applyFill="1"/>
    <xf numFmtId="0" fontId="0" fillId="890" borderId="0" xfId="0" applyFill="1"/>
    <xf numFmtId="0" fontId="0" fillId="891" borderId="0" xfId="0" applyFill="1"/>
    <xf numFmtId="0" fontId="0" fillId="892" borderId="0" xfId="0" applyFill="1"/>
    <xf numFmtId="0" fontId="0" fillId="893" borderId="0" xfId="0" applyFill="1"/>
    <xf numFmtId="0" fontId="0" fillId="894" borderId="0" xfId="0" applyFill="1"/>
    <xf numFmtId="0" fontId="0" fillId="895" borderId="0" xfId="0" applyFill="1"/>
    <xf numFmtId="0" fontId="0" fillId="896" borderId="0" xfId="0" applyFill="1"/>
    <xf numFmtId="0" fontId="0" fillId="897" borderId="0" xfId="0" applyFill="1"/>
    <xf numFmtId="0" fontId="0" fillId="898" borderId="0" xfId="0" applyFill="1"/>
    <xf numFmtId="0" fontId="0" fillId="899" borderId="0" xfId="0" applyFill="1"/>
    <xf numFmtId="0" fontId="0" fillId="900" borderId="0" xfId="0" applyFill="1"/>
    <xf numFmtId="0" fontId="0" fillId="901" borderId="0" xfId="0" applyFill="1"/>
    <xf numFmtId="0" fontId="0" fillId="902" borderId="0" xfId="0" applyFill="1"/>
    <xf numFmtId="0" fontId="0" fillId="903" borderId="0" xfId="0" applyFill="1"/>
    <xf numFmtId="0" fontId="0" fillId="904" borderId="0" xfId="0" applyFill="1"/>
    <xf numFmtId="0" fontId="0" fillId="905" borderId="0" xfId="0" applyFill="1"/>
    <xf numFmtId="0" fontId="0" fillId="906" borderId="0" xfId="0" applyFill="1"/>
    <xf numFmtId="0" fontId="0" fillId="907" borderId="0" xfId="0" applyFill="1"/>
    <xf numFmtId="0" fontId="0" fillId="908" borderId="0" xfId="0" applyFill="1"/>
    <xf numFmtId="0" fontId="0" fillId="909" borderId="0" xfId="0" applyFill="1"/>
    <xf numFmtId="0" fontId="0" fillId="910" borderId="0" xfId="0" applyFill="1"/>
    <xf numFmtId="0" fontId="0" fillId="911" borderId="0" xfId="0" applyFill="1"/>
    <xf numFmtId="0" fontId="0" fillId="912" borderId="0" xfId="0" applyFill="1"/>
    <xf numFmtId="0" fontId="0" fillId="913" borderId="0" xfId="0" applyFill="1"/>
    <xf numFmtId="0" fontId="0" fillId="914" borderId="0" xfId="0" applyFill="1"/>
    <xf numFmtId="0" fontId="0" fillId="915" borderId="0" xfId="0" applyFill="1"/>
    <xf numFmtId="0" fontId="0" fillId="916" borderId="0" xfId="0" applyFill="1"/>
    <xf numFmtId="0" fontId="0" fillId="917" borderId="0" xfId="0" applyFill="1"/>
    <xf numFmtId="0" fontId="0" fillId="918" borderId="0" xfId="0" applyFill="1"/>
    <xf numFmtId="0" fontId="0" fillId="919" borderId="0" xfId="0" applyFill="1"/>
    <xf numFmtId="0" fontId="0" fillId="920" borderId="0" xfId="0" applyFill="1"/>
    <xf numFmtId="0" fontId="0" fillId="921" borderId="0" xfId="0" applyFill="1"/>
    <xf numFmtId="0" fontId="0" fillId="922" borderId="0" xfId="0" applyFill="1"/>
    <xf numFmtId="0" fontId="0" fillId="923" borderId="0" xfId="0" applyFill="1"/>
    <xf numFmtId="0" fontId="0" fillId="924" borderId="0" xfId="0" applyFill="1"/>
    <xf numFmtId="0" fontId="0" fillId="925" borderId="0" xfId="0" applyFill="1"/>
    <xf numFmtId="0" fontId="0" fillId="926" borderId="0" xfId="0" applyFill="1"/>
    <xf numFmtId="0" fontId="0" fillId="927" borderId="0" xfId="0" applyFill="1"/>
    <xf numFmtId="0" fontId="0" fillId="928" borderId="0" xfId="0" applyFill="1"/>
    <xf numFmtId="0" fontId="0" fillId="929" borderId="0" xfId="0" applyFill="1"/>
    <xf numFmtId="0" fontId="0" fillId="930" borderId="0" xfId="0" applyFill="1"/>
    <xf numFmtId="0" fontId="0" fillId="931" borderId="0" xfId="0" applyFill="1"/>
    <xf numFmtId="0" fontId="0" fillId="932" borderId="0" xfId="0" applyFill="1"/>
    <xf numFmtId="0" fontId="0" fillId="933" borderId="0" xfId="0" applyFill="1"/>
    <xf numFmtId="0" fontId="0" fillId="934" borderId="0" xfId="0" applyFill="1"/>
    <xf numFmtId="0" fontId="0" fillId="935" borderId="0" xfId="0" applyFill="1"/>
    <xf numFmtId="0" fontId="0" fillId="936" borderId="0" xfId="0" applyFill="1"/>
    <xf numFmtId="0" fontId="0" fillId="937" borderId="0" xfId="0" applyFill="1"/>
    <xf numFmtId="0" fontId="0" fillId="938" borderId="0" xfId="0" applyFill="1"/>
    <xf numFmtId="0" fontId="0" fillId="939" borderId="0" xfId="0" applyFill="1"/>
    <xf numFmtId="0" fontId="0" fillId="940" borderId="0" xfId="0" applyFill="1"/>
    <xf numFmtId="0" fontId="0" fillId="941" borderId="0" xfId="0" applyFill="1"/>
    <xf numFmtId="0" fontId="0" fillId="942" borderId="0" xfId="0" applyFill="1"/>
    <xf numFmtId="0" fontId="0" fillId="943" borderId="0" xfId="0" applyFill="1"/>
    <xf numFmtId="0" fontId="0" fillId="944" borderId="0" xfId="0" applyFill="1"/>
    <xf numFmtId="0" fontId="0" fillId="945" borderId="0" xfId="0" applyFill="1"/>
    <xf numFmtId="0" fontId="0" fillId="946" borderId="0" xfId="0" applyFill="1"/>
    <xf numFmtId="0" fontId="0" fillId="947" borderId="0" xfId="0" applyFill="1"/>
    <xf numFmtId="0" fontId="0" fillId="948" borderId="0" xfId="0" applyFill="1"/>
    <xf numFmtId="0" fontId="0" fillId="949" borderId="0" xfId="0" applyFill="1"/>
    <xf numFmtId="0" fontId="0" fillId="950" borderId="0" xfId="0" applyFill="1"/>
    <xf numFmtId="0" fontId="0" fillId="951" borderId="0" xfId="0" applyFill="1"/>
    <xf numFmtId="0" fontId="0" fillId="952" borderId="0" xfId="0" applyFill="1"/>
    <xf numFmtId="0" fontId="0" fillId="953" borderId="0" xfId="0" applyFill="1"/>
    <xf numFmtId="0" fontId="0" fillId="954" borderId="0" xfId="0" applyFill="1"/>
    <xf numFmtId="0" fontId="0" fillId="955" borderId="0" xfId="0" applyFill="1"/>
    <xf numFmtId="0" fontId="0" fillId="956" borderId="0" xfId="0" applyFill="1"/>
    <xf numFmtId="0" fontId="0" fillId="957" borderId="0" xfId="0" applyFill="1"/>
    <xf numFmtId="0" fontId="0" fillId="958" borderId="0" xfId="0" applyFill="1"/>
    <xf numFmtId="0" fontId="0" fillId="959" borderId="0" xfId="0" applyFill="1"/>
    <xf numFmtId="0" fontId="0" fillId="960" borderId="0" xfId="0" applyFill="1"/>
    <xf numFmtId="0" fontId="0" fillId="961" borderId="0" xfId="0" applyFill="1"/>
    <xf numFmtId="0" fontId="0" fillId="962" borderId="0" xfId="0" applyFill="1"/>
    <xf numFmtId="0" fontId="0" fillId="963" borderId="0" xfId="0" applyFill="1"/>
    <xf numFmtId="0" fontId="0" fillId="964" borderId="0" xfId="0" applyFill="1"/>
    <xf numFmtId="0" fontId="0" fillId="965" borderId="0" xfId="0" applyFill="1"/>
    <xf numFmtId="0" fontId="0" fillId="966" borderId="0" xfId="0" applyFill="1"/>
    <xf numFmtId="0" fontId="0" fillId="967" borderId="0" xfId="0" applyFill="1"/>
    <xf numFmtId="0" fontId="0" fillId="968" borderId="0" xfId="0" applyFill="1"/>
    <xf numFmtId="0" fontId="0" fillId="969" borderId="0" xfId="0" applyFill="1"/>
    <xf numFmtId="0" fontId="0" fillId="970" borderId="0" xfId="0" applyFill="1"/>
    <xf numFmtId="0" fontId="0" fillId="971" borderId="0" xfId="0" applyFill="1"/>
    <xf numFmtId="0" fontId="0" fillId="972" borderId="0" xfId="0" applyFill="1"/>
    <xf numFmtId="0" fontId="0" fillId="973" borderId="0" xfId="0" applyFill="1"/>
    <xf numFmtId="0" fontId="0" fillId="974" borderId="0" xfId="0" applyFill="1"/>
    <xf numFmtId="0" fontId="0" fillId="975" borderId="0" xfId="0" applyFill="1"/>
    <xf numFmtId="0" fontId="0" fillId="976" borderId="0" xfId="0" applyFill="1"/>
    <xf numFmtId="0" fontId="0" fillId="977" borderId="0" xfId="0" applyFill="1"/>
    <xf numFmtId="0" fontId="0" fillId="978" borderId="0" xfId="0" applyFill="1"/>
    <xf numFmtId="0" fontId="0" fillId="979" borderId="0" xfId="0" applyFill="1"/>
    <xf numFmtId="0" fontId="0" fillId="980" borderId="0" xfId="0" applyFill="1"/>
    <xf numFmtId="0" fontId="0" fillId="981" borderId="0" xfId="0" applyFill="1"/>
    <xf numFmtId="0" fontId="0" fillId="982" borderId="0" xfId="0" applyFill="1"/>
    <xf numFmtId="0" fontId="0" fillId="983" borderId="0" xfId="0" applyFill="1"/>
    <xf numFmtId="0" fontId="0" fillId="984" borderId="0" xfId="0" applyFill="1"/>
    <xf numFmtId="0" fontId="0" fillId="985" borderId="0" xfId="0" applyFill="1"/>
    <xf numFmtId="0" fontId="0" fillId="986" borderId="0" xfId="0" applyFill="1"/>
    <xf numFmtId="0" fontId="0" fillId="987" borderId="0" xfId="0" applyFill="1"/>
    <xf numFmtId="0" fontId="0" fillId="988" borderId="0" xfId="0" applyFill="1"/>
    <xf numFmtId="0" fontId="0" fillId="989" borderId="0" xfId="0" applyFill="1"/>
    <xf numFmtId="0" fontId="0" fillId="990" borderId="0" xfId="0" applyFill="1"/>
    <xf numFmtId="0" fontId="0" fillId="991" borderId="0" xfId="0" applyFill="1"/>
    <xf numFmtId="0" fontId="0" fillId="992" borderId="0" xfId="0" applyFill="1"/>
    <xf numFmtId="0" fontId="0" fillId="993" borderId="0" xfId="0" applyFill="1"/>
    <xf numFmtId="0" fontId="0" fillId="994" borderId="0" xfId="0" applyFill="1"/>
    <xf numFmtId="0" fontId="0" fillId="995" borderId="0" xfId="0" applyFill="1"/>
    <xf numFmtId="0" fontId="0" fillId="996" borderId="0" xfId="0" applyFill="1"/>
    <xf numFmtId="0" fontId="0" fillId="997" borderId="0" xfId="0" applyFill="1"/>
    <xf numFmtId="0" fontId="0" fillId="998" borderId="0" xfId="0" applyFill="1"/>
    <xf numFmtId="0" fontId="0" fillId="999" borderId="0" xfId="0" applyFill="1"/>
    <xf numFmtId="0" fontId="0" fillId="1000" borderId="0" xfId="0" applyFill="1"/>
    <xf numFmtId="0" fontId="0" fillId="1001" borderId="0" xfId="0" applyFill="1"/>
    <xf numFmtId="0" fontId="0" fillId="1002" borderId="0" xfId="0" applyFill="1"/>
    <xf numFmtId="0" fontId="0" fillId="1003" borderId="0" xfId="0" applyFill="1"/>
    <xf numFmtId="0" fontId="0" fillId="1004" borderId="0" xfId="0" applyFill="1"/>
    <xf numFmtId="0" fontId="0" fillId="1005" borderId="0" xfId="0" applyFill="1"/>
    <xf numFmtId="0" fontId="0" fillId="1006" borderId="0" xfId="0" applyFill="1"/>
    <xf numFmtId="0" fontId="0" fillId="1007" borderId="0" xfId="0" applyFill="1"/>
    <xf numFmtId="0" fontId="0" fillId="1008" borderId="0" xfId="0" applyFill="1"/>
    <xf numFmtId="0" fontId="0" fillId="1009" borderId="0" xfId="0" applyFill="1"/>
    <xf numFmtId="0" fontId="0" fillId="1010" borderId="0" xfId="0" applyFill="1"/>
    <xf numFmtId="0" fontId="0" fillId="1011" borderId="0" xfId="0" applyFill="1"/>
    <xf numFmtId="0" fontId="0" fillId="1012" borderId="0" xfId="0" applyFill="1"/>
    <xf numFmtId="0" fontId="0" fillId="1013" borderId="0" xfId="0" applyFill="1"/>
    <xf numFmtId="0" fontId="0" fillId="1014" borderId="0" xfId="0" applyFill="1"/>
    <xf numFmtId="0" fontId="0" fillId="1015" borderId="0" xfId="0" applyFill="1"/>
    <xf numFmtId="0" fontId="0" fillId="1016" borderId="0" xfId="0" applyFill="1"/>
    <xf numFmtId="0" fontId="0" fillId="1017" borderId="0" xfId="0" applyFill="1"/>
    <xf numFmtId="0" fontId="0" fillId="1018" borderId="0" xfId="0" applyFill="1"/>
    <xf numFmtId="0" fontId="0" fillId="1019" borderId="0" xfId="0" applyFill="1"/>
    <xf numFmtId="0" fontId="0" fillId="1020" borderId="0" xfId="0" applyFill="1"/>
    <xf numFmtId="0" fontId="0" fillId="1021" borderId="0" xfId="0" applyFill="1"/>
    <xf numFmtId="0" fontId="0" fillId="1022" borderId="0" xfId="0" applyFill="1"/>
    <xf numFmtId="0" fontId="0" fillId="1023" borderId="0" xfId="0" applyFill="1"/>
    <xf numFmtId="0" fontId="0" fillId="1024" borderId="0" xfId="0" applyFill="1"/>
    <xf numFmtId="0" fontId="0" fillId="1025" borderId="0" xfId="0" applyFill="1"/>
    <xf numFmtId="0" fontId="0" fillId="1026" borderId="0" xfId="0" applyFill="1"/>
    <xf numFmtId="0" fontId="0" fillId="1027" borderId="0" xfId="0" applyFill="1"/>
    <xf numFmtId="0" fontId="0" fillId="1028" borderId="0" xfId="0" applyFill="1"/>
    <xf numFmtId="0" fontId="0" fillId="1029" borderId="0" xfId="0" applyFill="1"/>
    <xf numFmtId="0" fontId="0" fillId="1030" borderId="0" xfId="0" applyFill="1"/>
    <xf numFmtId="0" fontId="0" fillId="1031" borderId="0" xfId="0" applyFill="1"/>
    <xf numFmtId="0" fontId="0" fillId="1032" borderId="0" xfId="0" applyFill="1"/>
    <xf numFmtId="0" fontId="0" fillId="1033" borderId="0" xfId="0" applyFill="1"/>
    <xf numFmtId="0" fontId="0" fillId="1034" borderId="0" xfId="0" applyFill="1"/>
    <xf numFmtId="0" fontId="0" fillId="1035" borderId="0" xfId="0" applyFill="1"/>
    <xf numFmtId="0" fontId="0" fillId="1036" borderId="0" xfId="0" applyFill="1"/>
    <xf numFmtId="0" fontId="0" fillId="1037" borderId="0" xfId="0" applyFill="1"/>
    <xf numFmtId="0" fontId="0" fillId="1038" borderId="0" xfId="0" applyFill="1"/>
    <xf numFmtId="0" fontId="0" fillId="1039" borderId="0" xfId="0" applyFill="1"/>
    <xf numFmtId="0" fontId="0" fillId="1040" borderId="0" xfId="0" applyFill="1"/>
    <xf numFmtId="0" fontId="0" fillId="1041" borderId="0" xfId="0" applyFill="1"/>
    <xf numFmtId="0" fontId="0" fillId="1042" borderId="0" xfId="0" applyFill="1"/>
    <xf numFmtId="0" fontId="0" fillId="1043" borderId="0" xfId="0" applyFill="1"/>
    <xf numFmtId="0" fontId="0" fillId="1044" borderId="0" xfId="0" applyFill="1"/>
    <xf numFmtId="0" fontId="0" fillId="1045" borderId="0" xfId="0" applyFill="1"/>
    <xf numFmtId="0" fontId="0" fillId="1046" borderId="0" xfId="0" applyFill="1"/>
    <xf numFmtId="0" fontId="0" fillId="1047" borderId="0" xfId="0" applyFill="1"/>
    <xf numFmtId="0" fontId="0" fillId="1048" borderId="0" xfId="0" applyFill="1"/>
    <xf numFmtId="0" fontId="0" fillId="1049" borderId="0" xfId="0" applyFill="1"/>
    <xf numFmtId="0" fontId="0" fillId="1050" borderId="0" xfId="0" applyFill="1"/>
    <xf numFmtId="0" fontId="0" fillId="1051" borderId="0" xfId="0" applyFill="1"/>
    <xf numFmtId="0" fontId="0" fillId="1052" borderId="0" xfId="0" applyFill="1"/>
    <xf numFmtId="0" fontId="0" fillId="1053" borderId="0" xfId="0" applyFill="1"/>
    <xf numFmtId="0" fontId="0" fillId="1054" borderId="0" xfId="0" applyFill="1"/>
    <xf numFmtId="0" fontId="0" fillId="1055" borderId="0" xfId="0" applyFill="1"/>
    <xf numFmtId="0" fontId="0" fillId="1056" borderId="0" xfId="0" applyFill="1"/>
    <xf numFmtId="0" fontId="0" fillId="1057" borderId="0" xfId="0" applyFill="1"/>
    <xf numFmtId="0" fontId="0" fillId="1058" borderId="0" xfId="0" applyFill="1"/>
    <xf numFmtId="0" fontId="0" fillId="1059" borderId="0" xfId="0" applyFill="1"/>
    <xf numFmtId="0" fontId="0" fillId="1060" borderId="0" xfId="0" applyFill="1"/>
    <xf numFmtId="0" fontId="0" fillId="1061" borderId="0" xfId="0" applyFill="1"/>
    <xf numFmtId="0" fontId="0" fillId="1062" borderId="0" xfId="0" applyFill="1"/>
    <xf numFmtId="0" fontId="0" fillId="1063" borderId="0" xfId="0" applyFill="1"/>
    <xf numFmtId="0" fontId="0" fillId="1064" borderId="0" xfId="0" applyFill="1"/>
    <xf numFmtId="0" fontId="0" fillId="1065" borderId="0" xfId="0" applyFill="1"/>
    <xf numFmtId="0" fontId="0" fillId="1066" borderId="0" xfId="0" applyFill="1"/>
    <xf numFmtId="0" fontId="0" fillId="1067" borderId="0" xfId="0" applyFill="1"/>
    <xf numFmtId="0" fontId="0" fillId="1068" borderId="0" xfId="0" applyFill="1"/>
    <xf numFmtId="0" fontId="0" fillId="1069" borderId="0" xfId="0" applyFill="1"/>
    <xf numFmtId="0" fontId="0" fillId="1070" borderId="0" xfId="0" applyFill="1"/>
    <xf numFmtId="0" fontId="0" fillId="1071" borderId="0" xfId="0" applyFill="1"/>
    <xf numFmtId="0" fontId="0" fillId="1072" borderId="0" xfId="0" applyFill="1"/>
    <xf numFmtId="0" fontId="0" fillId="1073" borderId="0" xfId="0" applyFill="1"/>
    <xf numFmtId="0" fontId="0" fillId="1074" borderId="0" xfId="0" applyFill="1"/>
    <xf numFmtId="0" fontId="0" fillId="1075" borderId="0" xfId="0" applyFill="1"/>
    <xf numFmtId="0" fontId="0" fillId="1076" borderId="0" xfId="0" applyFill="1"/>
    <xf numFmtId="0" fontId="0" fillId="1077" borderId="0" xfId="0" applyFill="1"/>
    <xf numFmtId="0" fontId="0" fillId="1078" borderId="0" xfId="0" applyFill="1"/>
    <xf numFmtId="0" fontId="0" fillId="1079" borderId="0" xfId="0" applyFill="1"/>
    <xf numFmtId="0" fontId="0" fillId="1080" borderId="0" xfId="0" applyFill="1"/>
    <xf numFmtId="0" fontId="0" fillId="1081" borderId="0" xfId="0" applyFill="1"/>
    <xf numFmtId="0" fontId="0" fillId="1082" borderId="0" xfId="0" applyFill="1"/>
    <xf numFmtId="0" fontId="0" fillId="1083" borderId="0" xfId="0" applyFill="1"/>
    <xf numFmtId="0" fontId="0" fillId="1084" borderId="0" xfId="0" applyFill="1"/>
    <xf numFmtId="0" fontId="0" fillId="1085" borderId="0" xfId="0" applyFill="1"/>
    <xf numFmtId="0" fontId="0" fillId="1086" borderId="0" xfId="0" applyFill="1"/>
    <xf numFmtId="0" fontId="0" fillId="1087" borderId="0" xfId="0" applyFill="1"/>
    <xf numFmtId="0" fontId="0" fillId="1088" borderId="0" xfId="0" applyFill="1"/>
    <xf numFmtId="0" fontId="0" fillId="1089" borderId="0" xfId="0" applyFill="1"/>
    <xf numFmtId="0" fontId="0" fillId="1090" borderId="0" xfId="0" applyFill="1"/>
    <xf numFmtId="0" fontId="0" fillId="1091" borderId="0" xfId="0" applyFill="1"/>
    <xf numFmtId="0" fontId="0" fillId="1092" borderId="0" xfId="0" applyFill="1"/>
    <xf numFmtId="0" fontId="0" fillId="1093" borderId="0" xfId="0" applyFill="1"/>
    <xf numFmtId="0" fontId="0" fillId="1094" borderId="0" xfId="0" applyFill="1"/>
    <xf numFmtId="0" fontId="0" fillId="1095" borderId="0" xfId="0" applyFill="1"/>
    <xf numFmtId="0" fontId="0" fillId="1096" borderId="0" xfId="0" applyFill="1"/>
    <xf numFmtId="0" fontId="0" fillId="1097" borderId="0" xfId="0" applyFill="1"/>
    <xf numFmtId="0" fontId="0" fillId="1098" borderId="0" xfId="0" applyFill="1"/>
    <xf numFmtId="0" fontId="0" fillId="1099" borderId="0" xfId="0" applyFill="1"/>
    <xf numFmtId="0" fontId="0" fillId="1100" borderId="0" xfId="0" applyFill="1"/>
    <xf numFmtId="0" fontId="0" fillId="1101" borderId="0" xfId="0" applyFill="1"/>
    <xf numFmtId="0" fontId="0" fillId="1102" borderId="0" xfId="0" applyFill="1"/>
    <xf numFmtId="0" fontId="0" fillId="1103" borderId="0" xfId="0" applyFill="1"/>
    <xf numFmtId="0" fontId="0" fillId="1104" borderId="0" xfId="0" applyFill="1"/>
    <xf numFmtId="0" fontId="0" fillId="1105" borderId="0" xfId="0" applyFill="1"/>
    <xf numFmtId="0" fontId="0" fillId="1106" borderId="0" xfId="0" applyFill="1"/>
    <xf numFmtId="0" fontId="0" fillId="1107" borderId="0" xfId="0" applyFill="1"/>
    <xf numFmtId="0" fontId="0" fillId="1108" borderId="0" xfId="0" applyFill="1"/>
    <xf numFmtId="0" fontId="0" fillId="1109" borderId="0" xfId="0" applyFill="1"/>
    <xf numFmtId="0" fontId="0" fillId="1110" borderId="0" xfId="0" applyFill="1"/>
    <xf numFmtId="0" fontId="0" fillId="1111" borderId="0" xfId="0" applyFill="1"/>
    <xf numFmtId="0" fontId="0" fillId="1112" borderId="0" xfId="0" applyFill="1"/>
    <xf numFmtId="0" fontId="0" fillId="1113" borderId="0" xfId="0" applyFill="1"/>
    <xf numFmtId="0" fontId="0" fillId="1114" borderId="0" xfId="0" applyFill="1"/>
    <xf numFmtId="0" fontId="0" fillId="1115" borderId="0" xfId="0" applyFill="1"/>
    <xf numFmtId="0" fontId="0" fillId="1116" borderId="0" xfId="0" applyFill="1"/>
    <xf numFmtId="0" fontId="0" fillId="1117" borderId="0" xfId="0" applyFill="1"/>
    <xf numFmtId="0" fontId="0" fillId="1118" borderId="0" xfId="0" applyFill="1"/>
    <xf numFmtId="0" fontId="0" fillId="1119" borderId="0" xfId="0" applyFill="1"/>
    <xf numFmtId="0" fontId="0" fillId="1120" borderId="0" xfId="0" applyFill="1"/>
    <xf numFmtId="0" fontId="0" fillId="1121" borderId="0" xfId="0" applyFill="1"/>
    <xf numFmtId="0" fontId="0" fillId="1122" borderId="0" xfId="0" applyFill="1"/>
    <xf numFmtId="0" fontId="0" fillId="1123" borderId="0" xfId="0" applyFill="1"/>
    <xf numFmtId="0" fontId="0" fillId="1124" borderId="0" xfId="0" applyFill="1"/>
    <xf numFmtId="0" fontId="0" fillId="1125" borderId="0" xfId="0" applyFill="1"/>
    <xf numFmtId="0" fontId="0" fillId="1126" borderId="0" xfId="0" applyFill="1"/>
    <xf numFmtId="0" fontId="0" fillId="1127" borderId="0" xfId="0" applyFill="1"/>
    <xf numFmtId="0" fontId="0" fillId="1128" borderId="0" xfId="0" applyFill="1"/>
    <xf numFmtId="0" fontId="0" fillId="1129" borderId="0" xfId="0" applyFill="1"/>
    <xf numFmtId="0" fontId="0" fillId="1130" borderId="0" xfId="0" applyFill="1"/>
    <xf numFmtId="0" fontId="0" fillId="1131" borderId="0" xfId="0" applyFill="1"/>
    <xf numFmtId="0" fontId="0" fillId="1132" borderId="0" xfId="0" applyFill="1"/>
    <xf numFmtId="0" fontId="0" fillId="1133" borderId="0" xfId="0" applyFill="1"/>
    <xf numFmtId="0" fontId="0" fillId="1134" borderId="0" xfId="0" applyFill="1"/>
    <xf numFmtId="0" fontId="0" fillId="1135" borderId="0" xfId="0" applyFill="1"/>
    <xf numFmtId="0" fontId="0" fillId="1136" borderId="0" xfId="0" applyFill="1"/>
    <xf numFmtId="0" fontId="0" fillId="1137" borderId="0" xfId="0" applyFill="1"/>
    <xf numFmtId="0" fontId="0" fillId="1138" borderId="0" xfId="0" applyFill="1"/>
    <xf numFmtId="0" fontId="0" fillId="1139" borderId="0" xfId="0" applyFill="1"/>
    <xf numFmtId="0" fontId="0" fillId="1140" borderId="0" xfId="0" applyFill="1"/>
    <xf numFmtId="0" fontId="0" fillId="1141" borderId="0" xfId="0" applyFill="1"/>
    <xf numFmtId="0" fontId="0" fillId="1142" borderId="0" xfId="0" applyFill="1"/>
    <xf numFmtId="0" fontId="0" fillId="1143" borderId="0" xfId="0" applyFill="1"/>
    <xf numFmtId="0" fontId="0" fillId="1144" borderId="0" xfId="0" applyFill="1"/>
    <xf numFmtId="0" fontId="0" fillId="1145" borderId="0" xfId="0" applyFill="1"/>
    <xf numFmtId="0" fontId="0" fillId="1146" borderId="0" xfId="0" applyFill="1"/>
    <xf numFmtId="0" fontId="0" fillId="1147" borderId="0" xfId="0" applyFill="1"/>
    <xf numFmtId="0" fontId="0" fillId="1148" borderId="0" xfId="0" applyFill="1"/>
    <xf numFmtId="0" fontId="0" fillId="1149" borderId="0" xfId="0" applyFill="1"/>
    <xf numFmtId="0" fontId="0" fillId="1150" borderId="0" xfId="0" applyFill="1"/>
    <xf numFmtId="0" fontId="0" fillId="1151" borderId="0" xfId="0" applyFill="1"/>
    <xf numFmtId="0" fontId="0" fillId="1152" borderId="0" xfId="0" applyFill="1"/>
    <xf numFmtId="0" fontId="0" fillId="1153" borderId="0" xfId="0" applyFill="1"/>
    <xf numFmtId="0" fontId="0" fillId="1154" borderId="0" xfId="0" applyFill="1"/>
    <xf numFmtId="0" fontId="0" fillId="1155" borderId="0" xfId="0" applyFill="1"/>
    <xf numFmtId="0" fontId="0" fillId="1156" borderId="0" xfId="0" applyFill="1"/>
    <xf numFmtId="0" fontId="0" fillId="1157" borderId="0" xfId="0" applyFill="1"/>
    <xf numFmtId="0" fontId="0" fillId="1158" borderId="0" xfId="0" applyFill="1"/>
    <xf numFmtId="0" fontId="0" fillId="1159" borderId="0" xfId="0" applyFill="1"/>
    <xf numFmtId="0" fontId="0" fillId="1160" borderId="0" xfId="0" applyFill="1"/>
    <xf numFmtId="0" fontId="0" fillId="1161" borderId="0" xfId="0" applyFill="1"/>
    <xf numFmtId="0" fontId="0" fillId="1162" borderId="0" xfId="0" applyFill="1"/>
    <xf numFmtId="0" fontId="0" fillId="1163" borderId="0" xfId="0" applyFill="1"/>
    <xf numFmtId="0" fontId="0" fillId="1164" borderId="0" xfId="0" applyFill="1"/>
    <xf numFmtId="0" fontId="0" fillId="1165" borderId="0" xfId="0" applyFill="1"/>
    <xf numFmtId="0" fontId="0" fillId="1166" borderId="0" xfId="0" applyFill="1"/>
    <xf numFmtId="0" fontId="0" fillId="1167" borderId="0" xfId="0" applyFill="1"/>
    <xf numFmtId="0" fontId="0" fillId="1168" borderId="0" xfId="0" applyFill="1"/>
    <xf numFmtId="0" fontId="0" fillId="1169" borderId="0" xfId="0" applyFill="1"/>
    <xf numFmtId="0" fontId="0" fillId="1170" borderId="0" xfId="0" applyFill="1"/>
    <xf numFmtId="0" fontId="0" fillId="1171" borderId="0" xfId="0" applyFill="1"/>
    <xf numFmtId="0" fontId="0" fillId="1172" borderId="0" xfId="0" applyFill="1"/>
    <xf numFmtId="0" fontId="0" fillId="1173" borderId="0" xfId="0" applyFill="1"/>
    <xf numFmtId="0" fontId="0" fillId="1174" borderId="0" xfId="0" applyFill="1"/>
    <xf numFmtId="0" fontId="0" fillId="1175" borderId="0" xfId="0" applyFill="1"/>
    <xf numFmtId="0" fontId="0" fillId="1176" borderId="0" xfId="0" applyFill="1"/>
    <xf numFmtId="0" fontId="0" fillId="1177" borderId="0" xfId="0" applyFill="1"/>
    <xf numFmtId="0" fontId="0" fillId="1178" borderId="0" xfId="0" applyFill="1"/>
    <xf numFmtId="0" fontId="0" fillId="1179" borderId="0" xfId="0" applyFill="1"/>
    <xf numFmtId="0" fontId="0" fillId="1180" borderId="0" xfId="0" applyFill="1"/>
    <xf numFmtId="0" fontId="0" fillId="1181" borderId="0" xfId="0" applyFill="1"/>
    <xf numFmtId="0" fontId="0" fillId="1182" borderId="0" xfId="0" applyFill="1"/>
    <xf numFmtId="0" fontId="0" fillId="1183" borderId="0" xfId="0" applyFill="1"/>
    <xf numFmtId="0" fontId="0" fillId="1184" borderId="0" xfId="0" applyFill="1"/>
    <xf numFmtId="0" fontId="0" fillId="1185" borderId="0" xfId="0" applyFill="1"/>
    <xf numFmtId="0" fontId="0" fillId="1186" borderId="0" xfId="0" applyFill="1"/>
    <xf numFmtId="0" fontId="0" fillId="1187" borderId="0" xfId="0" applyFill="1"/>
    <xf numFmtId="0" fontId="0" fillId="1188" borderId="0" xfId="0" applyFill="1"/>
    <xf numFmtId="0" fontId="0" fillId="1189" borderId="0" xfId="0" applyFill="1"/>
    <xf numFmtId="0" fontId="0" fillId="1190" borderId="0" xfId="0" applyFill="1"/>
    <xf numFmtId="0" fontId="0" fillId="1191" borderId="0" xfId="0" applyFill="1"/>
    <xf numFmtId="0" fontId="0" fillId="1192" borderId="0" xfId="0" applyFill="1"/>
    <xf numFmtId="0" fontId="0" fillId="1193" borderId="0" xfId="0" applyFill="1"/>
    <xf numFmtId="0" fontId="0" fillId="1194" borderId="0" xfId="0" applyFill="1"/>
    <xf numFmtId="0" fontId="0" fillId="1195" borderId="0" xfId="0" applyFill="1"/>
    <xf numFmtId="0" fontId="0" fillId="1196" borderId="0" xfId="0" applyFill="1"/>
    <xf numFmtId="0" fontId="0" fillId="1197" borderId="0" xfId="0" applyFill="1"/>
    <xf numFmtId="0" fontId="0" fillId="1198" borderId="0" xfId="0" applyFill="1"/>
    <xf numFmtId="0" fontId="0" fillId="1199" borderId="0" xfId="0" applyFill="1"/>
    <xf numFmtId="0" fontId="0" fillId="1200" borderId="0" xfId="0" applyFill="1"/>
    <xf numFmtId="0" fontId="0" fillId="1201" borderId="0" xfId="0" applyFill="1"/>
    <xf numFmtId="0" fontId="0" fillId="1202" borderId="0" xfId="0" applyFill="1"/>
    <xf numFmtId="0" fontId="0" fillId="1203" borderId="0" xfId="0" applyFill="1"/>
    <xf numFmtId="0" fontId="0" fillId="1204" borderId="0" xfId="0" applyFill="1"/>
    <xf numFmtId="0" fontId="0" fillId="1205" borderId="0" xfId="0" applyFill="1"/>
    <xf numFmtId="0" fontId="0" fillId="1206" borderId="0" xfId="0" applyFill="1"/>
    <xf numFmtId="0" fontId="0" fillId="1207" borderId="0" xfId="0" applyFill="1"/>
    <xf numFmtId="0" fontId="0" fillId="1208" borderId="0" xfId="0" applyFill="1"/>
    <xf numFmtId="0" fontId="0" fillId="1209" borderId="0" xfId="0" applyFill="1"/>
    <xf numFmtId="0" fontId="0" fillId="1210" borderId="0" xfId="0" applyFill="1"/>
    <xf numFmtId="0" fontId="0" fillId="1211" borderId="0" xfId="0" applyFill="1"/>
    <xf numFmtId="0" fontId="0" fillId="1212" borderId="0" xfId="0" applyFill="1"/>
    <xf numFmtId="0" fontId="0" fillId="1213" borderId="0" xfId="0" applyFill="1"/>
    <xf numFmtId="0" fontId="0" fillId="1214" borderId="0" xfId="0" applyFill="1"/>
    <xf numFmtId="0" fontId="0" fillId="1215" borderId="0" xfId="0" applyFill="1"/>
    <xf numFmtId="0" fontId="0" fillId="1216" borderId="0" xfId="0" applyFill="1"/>
    <xf numFmtId="0" fontId="0" fillId="1217" borderId="0" xfId="0" applyFill="1"/>
    <xf numFmtId="0" fontId="0" fillId="1218" borderId="0" xfId="0" applyFill="1"/>
    <xf numFmtId="0" fontId="0" fillId="1219" borderId="0" xfId="0" applyFill="1"/>
    <xf numFmtId="0" fontId="0" fillId="1220" borderId="0" xfId="0" applyFill="1"/>
    <xf numFmtId="0" fontId="0" fillId="1221" borderId="0" xfId="0" applyFill="1"/>
    <xf numFmtId="0" fontId="0" fillId="1222" borderId="0" xfId="0" applyFill="1"/>
    <xf numFmtId="0" fontId="0" fillId="1223" borderId="0" xfId="0" applyFill="1"/>
    <xf numFmtId="0" fontId="0" fillId="1224" borderId="0" xfId="0" applyFill="1"/>
    <xf numFmtId="0" fontId="0" fillId="1225" borderId="0" xfId="0" applyFill="1"/>
    <xf numFmtId="0" fontId="0" fillId="1226" borderId="0" xfId="0" applyFill="1"/>
    <xf numFmtId="0" fontId="0" fillId="1227" borderId="0" xfId="0" applyFill="1"/>
    <xf numFmtId="0" fontId="0" fillId="1228" borderId="0" xfId="0" applyFill="1"/>
    <xf numFmtId="0" fontId="0" fillId="1229" borderId="0" xfId="0" applyFill="1"/>
    <xf numFmtId="0" fontId="0" fillId="1230" borderId="0" xfId="0" applyFill="1"/>
    <xf numFmtId="0" fontId="0" fillId="1231" borderId="0" xfId="0" applyFill="1"/>
    <xf numFmtId="0" fontId="0" fillId="1232" borderId="0" xfId="0" applyFill="1"/>
    <xf numFmtId="0" fontId="0" fillId="1233" borderId="0" xfId="0" applyFill="1"/>
    <xf numFmtId="0" fontId="0" fillId="1234" borderId="0" xfId="0" applyFill="1"/>
    <xf numFmtId="0" fontId="0" fillId="1235" borderId="0" xfId="0" applyFill="1"/>
    <xf numFmtId="0" fontId="0" fillId="1236" borderId="0" xfId="0" applyFill="1"/>
    <xf numFmtId="0" fontId="0" fillId="1237" borderId="0" xfId="0" applyFill="1"/>
    <xf numFmtId="0" fontId="0" fillId="1238" borderId="0" xfId="0" applyFill="1"/>
    <xf numFmtId="0" fontId="0" fillId="1239" borderId="0" xfId="0" applyFill="1"/>
    <xf numFmtId="0" fontId="0" fillId="1240" borderId="0" xfId="0" applyFill="1"/>
    <xf numFmtId="0" fontId="0" fillId="1241" borderId="0" xfId="0" applyFill="1"/>
    <xf numFmtId="0" fontId="0" fillId="1242" borderId="0" xfId="0" applyFill="1"/>
    <xf numFmtId="0" fontId="0" fillId="1243" borderId="0" xfId="0" applyFill="1"/>
    <xf numFmtId="0" fontId="0" fillId="1244" borderId="0" xfId="0" applyFill="1"/>
    <xf numFmtId="0" fontId="0" fillId="1245" borderId="0" xfId="0" applyFill="1"/>
    <xf numFmtId="0" fontId="0" fillId="1246" borderId="0" xfId="0" applyFill="1"/>
    <xf numFmtId="0" fontId="0" fillId="1247" borderId="0" xfId="0" applyFill="1"/>
    <xf numFmtId="0" fontId="0" fillId="1248" borderId="0" xfId="0" applyFill="1"/>
    <xf numFmtId="0" fontId="0" fillId="1249" borderId="0" xfId="0" applyFill="1"/>
    <xf numFmtId="0" fontId="0" fillId="1250" borderId="0" xfId="0" applyFill="1"/>
    <xf numFmtId="0" fontId="0" fillId="1251" borderId="0" xfId="0" applyFill="1"/>
    <xf numFmtId="0" fontId="0" fillId="1252" borderId="0" xfId="0" applyFill="1"/>
    <xf numFmtId="0" fontId="0" fillId="1253" borderId="0" xfId="0" applyFill="1"/>
    <xf numFmtId="0" fontId="0" fillId="1254" borderId="0" xfId="0" applyFill="1"/>
    <xf numFmtId="0" fontId="0" fillId="1255" borderId="0" xfId="0" applyFill="1"/>
    <xf numFmtId="0" fontId="0" fillId="1256" borderId="0" xfId="0" applyFill="1"/>
    <xf numFmtId="0" fontId="0" fillId="1257" borderId="0" xfId="0" applyFill="1"/>
    <xf numFmtId="0" fontId="0" fillId="1258" borderId="0" xfId="0" applyFill="1"/>
    <xf numFmtId="0" fontId="0" fillId="1259" borderId="0" xfId="0" applyFill="1"/>
    <xf numFmtId="0" fontId="0" fillId="1260" borderId="0" xfId="0" applyFill="1"/>
    <xf numFmtId="0" fontId="0" fillId="1261" borderId="0" xfId="0" applyFill="1"/>
    <xf numFmtId="0" fontId="0" fillId="1262" borderId="0" xfId="0" applyFill="1"/>
    <xf numFmtId="0" fontId="0" fillId="1263" borderId="0" xfId="0" applyFill="1"/>
    <xf numFmtId="0" fontId="0" fillId="1264" borderId="0" xfId="0" applyFill="1"/>
    <xf numFmtId="0" fontId="0" fillId="1265" borderId="0" xfId="0" applyFill="1"/>
    <xf numFmtId="0" fontId="0" fillId="1266" borderId="0" xfId="0" applyFill="1"/>
    <xf numFmtId="0" fontId="0" fillId="1267" borderId="0" xfId="0" applyFill="1"/>
    <xf numFmtId="0" fontId="0" fillId="1268" borderId="0" xfId="0" applyFill="1"/>
    <xf numFmtId="0" fontId="0" fillId="1269" borderId="0" xfId="0" applyFill="1"/>
    <xf numFmtId="0" fontId="0" fillId="1270" borderId="0" xfId="0" applyFill="1"/>
    <xf numFmtId="0" fontId="0" fillId="1271" borderId="0" xfId="0" applyFill="1"/>
    <xf numFmtId="0" fontId="0" fillId="1272" borderId="0" xfId="0" applyFill="1"/>
    <xf numFmtId="0" fontId="0" fillId="1273" borderId="0" xfId="0" applyFill="1"/>
    <xf numFmtId="0" fontId="0" fillId="1274" borderId="0" xfId="0" applyFill="1"/>
    <xf numFmtId="0" fontId="0" fillId="1275" borderId="0" xfId="0" applyFill="1"/>
    <xf numFmtId="0" fontId="0" fillId="1276" borderId="0" xfId="0" applyFill="1"/>
    <xf numFmtId="0" fontId="0" fillId="1277" borderId="0" xfId="0" applyFill="1"/>
    <xf numFmtId="0" fontId="0" fillId="1278" borderId="0" xfId="0" applyFill="1"/>
    <xf numFmtId="0" fontId="0" fillId="1279" borderId="0" xfId="0" applyFill="1"/>
    <xf numFmtId="0" fontId="0" fillId="1280" borderId="0" xfId="0" applyFill="1"/>
    <xf numFmtId="0" fontId="0" fillId="1281" borderId="0" xfId="0" applyFill="1"/>
    <xf numFmtId="0" fontId="0" fillId="1282" borderId="0" xfId="0" applyFill="1"/>
    <xf numFmtId="0" fontId="0" fillId="1283" borderId="0" xfId="0" applyFill="1"/>
    <xf numFmtId="0" fontId="0" fillId="1284" borderId="0" xfId="0" applyFill="1"/>
    <xf numFmtId="0" fontId="0" fillId="1285" borderId="0" xfId="0" applyFill="1"/>
    <xf numFmtId="0" fontId="0" fillId="1286" borderId="0" xfId="0" applyFill="1"/>
    <xf numFmtId="0" fontId="0" fillId="1287" borderId="0" xfId="0" applyFill="1"/>
    <xf numFmtId="0" fontId="0" fillId="1288" borderId="0" xfId="0" applyFill="1"/>
    <xf numFmtId="0" fontId="0" fillId="1289" borderId="0" xfId="0" applyFill="1"/>
    <xf numFmtId="0" fontId="0" fillId="1290" borderId="0" xfId="0" applyFill="1"/>
    <xf numFmtId="0" fontId="0" fillId="1291" borderId="0" xfId="0" applyFill="1"/>
    <xf numFmtId="0" fontId="0" fillId="1292" borderId="0" xfId="0" applyFill="1"/>
    <xf numFmtId="0" fontId="0" fillId="1293" borderId="0" xfId="0" applyFill="1"/>
    <xf numFmtId="0" fontId="0" fillId="1294" borderId="0" xfId="0" applyFill="1"/>
    <xf numFmtId="0" fontId="0" fillId="1295" borderId="0" xfId="0" applyFill="1"/>
    <xf numFmtId="0" fontId="0" fillId="1296" borderId="0" xfId="0" applyFill="1"/>
    <xf numFmtId="0" fontId="0" fillId="1297" borderId="0" xfId="0" applyFill="1"/>
    <xf numFmtId="0" fontId="0" fillId="1298" borderId="0" xfId="0" applyFill="1"/>
    <xf numFmtId="0" fontId="0" fillId="1299" borderId="0" xfId="0" applyFill="1"/>
    <xf numFmtId="0" fontId="0" fillId="1300" borderId="0" xfId="0" applyFill="1"/>
    <xf numFmtId="0" fontId="0" fillId="1301" borderId="0" xfId="0" applyFill="1"/>
    <xf numFmtId="0" fontId="0" fillId="1302" borderId="0" xfId="0" applyFill="1"/>
    <xf numFmtId="0" fontId="0" fillId="1303" borderId="0" xfId="0" applyFill="1"/>
    <xf numFmtId="0" fontId="0" fillId="1304" borderId="0" xfId="0" applyFill="1"/>
    <xf numFmtId="0" fontId="0" fillId="1305" borderId="0" xfId="0" applyFill="1"/>
    <xf numFmtId="0" fontId="0" fillId="1306" borderId="0" xfId="0" applyFill="1"/>
    <xf numFmtId="0" fontId="0" fillId="1307" borderId="0" xfId="0" applyFill="1"/>
    <xf numFmtId="0" fontId="0" fillId="1308" borderId="0" xfId="0" applyFill="1"/>
    <xf numFmtId="0" fontId="0" fillId="1309" borderId="0" xfId="0" applyFill="1"/>
    <xf numFmtId="0" fontId="0" fillId="1310" borderId="0" xfId="0" applyFill="1"/>
    <xf numFmtId="0" fontId="0" fillId="1311" borderId="0" xfId="0" applyFill="1"/>
    <xf numFmtId="0" fontId="0" fillId="1312" borderId="0" xfId="0" applyFill="1"/>
    <xf numFmtId="0" fontId="0" fillId="1313" borderId="0" xfId="0" applyFill="1"/>
    <xf numFmtId="0" fontId="0" fillId="1314" borderId="0" xfId="0" applyFill="1"/>
    <xf numFmtId="0" fontId="0" fillId="1315" borderId="0" xfId="0" applyFill="1"/>
    <xf numFmtId="0" fontId="0" fillId="1316" borderId="0" xfId="0" applyFill="1"/>
    <xf numFmtId="0" fontId="0" fillId="1317" borderId="0" xfId="0" applyFill="1"/>
    <xf numFmtId="0" fontId="0" fillId="1318" borderId="0" xfId="0" applyFill="1"/>
    <xf numFmtId="0" fontId="0" fillId="1319" borderId="0" xfId="0" applyFill="1"/>
    <xf numFmtId="0" fontId="0" fillId="1320" borderId="0" xfId="0" applyFill="1"/>
    <xf numFmtId="0" fontId="0" fillId="1321" borderId="0" xfId="0" applyFill="1"/>
    <xf numFmtId="0" fontId="0" fillId="1322" borderId="0" xfId="0" applyFill="1"/>
    <xf numFmtId="0" fontId="0" fillId="1323" borderId="0" xfId="0" applyFill="1"/>
    <xf numFmtId="0" fontId="0" fillId="1324" borderId="0" xfId="0" applyFill="1"/>
    <xf numFmtId="0" fontId="0" fillId="1325" borderId="0" xfId="0" applyFill="1"/>
    <xf numFmtId="0" fontId="0" fillId="1326" borderId="0" xfId="0" applyFill="1"/>
    <xf numFmtId="0" fontId="0" fillId="1327" borderId="0" xfId="0" applyFill="1"/>
    <xf numFmtId="0" fontId="0" fillId="1328" borderId="0" xfId="0" applyFill="1"/>
    <xf numFmtId="0" fontId="0" fillId="1329" borderId="0" xfId="0" applyFill="1"/>
    <xf numFmtId="0" fontId="0" fillId="1330" borderId="0" xfId="0" applyFill="1"/>
    <xf numFmtId="0" fontId="0" fillId="1331" borderId="0" xfId="0" applyFill="1"/>
    <xf numFmtId="0" fontId="0" fillId="1332" borderId="0" xfId="0" applyFill="1"/>
    <xf numFmtId="0" fontId="0" fillId="1333" borderId="0" xfId="0" applyFill="1"/>
    <xf numFmtId="0" fontId="0" fillId="1334" borderId="0" xfId="0" applyFill="1"/>
    <xf numFmtId="0" fontId="0" fillId="1335" borderId="0" xfId="0" applyFill="1"/>
    <xf numFmtId="0" fontId="0" fillId="1336" borderId="0" xfId="0" applyFill="1"/>
    <xf numFmtId="0" fontId="0" fillId="1337" borderId="0" xfId="0" applyFill="1"/>
    <xf numFmtId="0" fontId="0" fillId="1338" borderId="0" xfId="0" applyFill="1"/>
    <xf numFmtId="0" fontId="0" fillId="1339" borderId="0" xfId="0" applyFill="1"/>
    <xf numFmtId="0" fontId="0" fillId="1340" borderId="0" xfId="0" applyFill="1"/>
    <xf numFmtId="0" fontId="0" fillId="1341" borderId="0" xfId="0" applyFill="1"/>
    <xf numFmtId="0" fontId="0" fillId="1342" borderId="0" xfId="0" applyFill="1"/>
    <xf numFmtId="0" fontId="0" fillId="1343" borderId="0" xfId="0" applyFill="1"/>
    <xf numFmtId="0" fontId="0" fillId="1344" borderId="0" xfId="0" applyFill="1"/>
    <xf numFmtId="0" fontId="0" fillId="1345" borderId="0" xfId="0" applyFill="1"/>
    <xf numFmtId="0" fontId="0" fillId="1346" borderId="0" xfId="0" applyFill="1"/>
    <xf numFmtId="0" fontId="0" fillId="1347" borderId="0" xfId="0" applyFill="1"/>
    <xf numFmtId="0" fontId="0" fillId="1348" borderId="0" xfId="0" applyFill="1"/>
    <xf numFmtId="0" fontId="0" fillId="1349" borderId="0" xfId="0" applyFill="1"/>
    <xf numFmtId="0" fontId="0" fillId="1350" borderId="0" xfId="0" applyFill="1"/>
    <xf numFmtId="0" fontId="0" fillId="1351" borderId="0" xfId="0" applyFill="1"/>
    <xf numFmtId="0" fontId="0" fillId="1352" borderId="0" xfId="0" applyFill="1"/>
    <xf numFmtId="0" fontId="0" fillId="1353" borderId="0" xfId="0" applyFill="1"/>
    <xf numFmtId="0" fontId="0" fillId="1354" borderId="0" xfId="0" applyFill="1"/>
    <xf numFmtId="0" fontId="0" fillId="1355" borderId="0" xfId="0" applyFill="1"/>
    <xf numFmtId="0" fontId="0" fillId="1356" borderId="0" xfId="0" applyFill="1"/>
    <xf numFmtId="0" fontId="0" fillId="1357" borderId="0" xfId="0" applyFill="1"/>
    <xf numFmtId="0" fontId="0" fillId="1358" borderId="0" xfId="0" applyFill="1"/>
    <xf numFmtId="0" fontId="0" fillId="1359" borderId="0" xfId="0" applyFill="1"/>
    <xf numFmtId="0" fontId="0" fillId="1360" borderId="0" xfId="0" applyFill="1"/>
    <xf numFmtId="0" fontId="0" fillId="1361" borderId="0" xfId="0" applyFill="1"/>
    <xf numFmtId="0" fontId="0" fillId="1362" borderId="0" xfId="0" applyFill="1"/>
    <xf numFmtId="0" fontId="0" fillId="1363" borderId="0" xfId="0" applyFill="1"/>
    <xf numFmtId="0" fontId="0" fillId="1364" borderId="0" xfId="0" applyFill="1"/>
    <xf numFmtId="0" fontId="0" fillId="1365" borderId="0" xfId="0" applyFill="1"/>
    <xf numFmtId="0" fontId="0" fillId="1366" borderId="0" xfId="0" applyFill="1"/>
    <xf numFmtId="0" fontId="0" fillId="1367" borderId="0" xfId="0" applyFill="1"/>
    <xf numFmtId="0" fontId="0" fillId="1368" borderId="0" xfId="0" applyFill="1"/>
    <xf numFmtId="0" fontId="0" fillId="1369" borderId="0" xfId="0" applyFill="1"/>
    <xf numFmtId="0" fontId="0" fillId="1370" borderId="0" xfId="0" applyFill="1"/>
    <xf numFmtId="0" fontId="0" fillId="1371" borderId="0" xfId="0" applyFill="1"/>
    <xf numFmtId="0" fontId="0" fillId="1372" borderId="0" xfId="0" applyFill="1"/>
    <xf numFmtId="0" fontId="0" fillId="1373" borderId="0" xfId="0" applyFill="1"/>
    <xf numFmtId="0" fontId="0" fillId="1374" borderId="0" xfId="0" applyFill="1"/>
    <xf numFmtId="0" fontId="0" fillId="1375" borderId="0" xfId="0" applyFill="1"/>
    <xf numFmtId="0" fontId="0" fillId="1376" borderId="0" xfId="0" applyFill="1"/>
    <xf numFmtId="0" fontId="0" fillId="1377" borderId="0" xfId="0" applyFill="1"/>
    <xf numFmtId="0" fontId="0" fillId="1378" borderId="0" xfId="0" applyFill="1"/>
    <xf numFmtId="0" fontId="0" fillId="1379" borderId="0" xfId="0" applyFill="1"/>
    <xf numFmtId="0" fontId="0" fillId="1380" borderId="0" xfId="0" applyFill="1"/>
    <xf numFmtId="0" fontId="0" fillId="1381" borderId="0" xfId="0" applyFill="1"/>
    <xf numFmtId="0" fontId="0" fillId="1382" borderId="0" xfId="0" applyFill="1"/>
    <xf numFmtId="0" fontId="0" fillId="1383" borderId="0" xfId="0" applyFill="1"/>
    <xf numFmtId="0" fontId="0" fillId="1384" borderId="0" xfId="0" applyFill="1"/>
    <xf numFmtId="0" fontId="0" fillId="1385" borderId="0" xfId="0" applyFill="1"/>
    <xf numFmtId="0" fontId="0" fillId="1386" borderId="0" xfId="0" applyFill="1"/>
    <xf numFmtId="0" fontId="0" fillId="1387" borderId="0" xfId="0" applyFill="1"/>
    <xf numFmtId="0" fontId="0" fillId="1388" borderId="0" xfId="0" applyFill="1"/>
    <xf numFmtId="0" fontId="0" fillId="1389" borderId="0" xfId="0" applyFill="1"/>
    <xf numFmtId="0" fontId="0" fillId="1390" borderId="0" xfId="0" applyFill="1"/>
    <xf numFmtId="0" fontId="0" fillId="1391" borderId="0" xfId="0" applyFill="1"/>
    <xf numFmtId="0" fontId="0" fillId="1392" borderId="0" xfId="0" applyFill="1"/>
    <xf numFmtId="0" fontId="0" fillId="1393" borderId="0" xfId="0" applyFill="1"/>
    <xf numFmtId="0" fontId="0" fillId="1394" borderId="0" xfId="0" applyFill="1"/>
    <xf numFmtId="0" fontId="0" fillId="1395" borderId="0" xfId="0" applyFill="1"/>
    <xf numFmtId="0" fontId="0" fillId="1396" borderId="0" xfId="0" applyFill="1"/>
    <xf numFmtId="0" fontId="0" fillId="1397" borderId="0" xfId="0" applyFill="1"/>
    <xf numFmtId="0" fontId="0" fillId="1398" borderId="0" xfId="0" applyFill="1"/>
    <xf numFmtId="0" fontId="0" fillId="1399" borderId="0" xfId="0" applyFill="1"/>
    <xf numFmtId="0" fontId="0" fillId="1400" borderId="0" xfId="0" applyFill="1"/>
    <xf numFmtId="0" fontId="0" fillId="1401" borderId="0" xfId="0" applyFill="1"/>
    <xf numFmtId="0" fontId="0" fillId="1402" borderId="0" xfId="0" applyFill="1"/>
    <xf numFmtId="0" fontId="0" fillId="1403" borderId="0" xfId="0" applyFill="1"/>
    <xf numFmtId="0" fontId="0" fillId="1404" borderId="0" xfId="0" applyFill="1"/>
    <xf numFmtId="0" fontId="0" fillId="1405" borderId="0" xfId="0" applyFill="1"/>
    <xf numFmtId="0" fontId="0" fillId="1406" borderId="0" xfId="0" applyFill="1"/>
    <xf numFmtId="0" fontId="0" fillId="1407" borderId="0" xfId="0" applyFill="1"/>
    <xf numFmtId="0" fontId="0" fillId="1408" borderId="0" xfId="0" applyFill="1"/>
    <xf numFmtId="0" fontId="0" fillId="1409" borderId="0" xfId="0" applyFill="1"/>
    <xf numFmtId="0" fontId="0" fillId="1410" borderId="0" xfId="0" applyFill="1"/>
    <xf numFmtId="0" fontId="0" fillId="1411" borderId="0" xfId="0" applyFill="1"/>
    <xf numFmtId="0" fontId="0" fillId="1412" borderId="0" xfId="0" applyFill="1"/>
    <xf numFmtId="0" fontId="0" fillId="1413" borderId="0" xfId="0" applyFill="1"/>
    <xf numFmtId="0" fontId="0" fillId="1414" borderId="0" xfId="0" applyFill="1"/>
    <xf numFmtId="0" fontId="0" fillId="1415" borderId="0" xfId="0" applyFill="1"/>
    <xf numFmtId="0" fontId="0" fillId="1416" borderId="0" xfId="0" applyFill="1"/>
    <xf numFmtId="0" fontId="0" fillId="1417" borderId="0" xfId="0" applyFill="1"/>
    <xf numFmtId="0" fontId="0" fillId="1418" borderId="0" xfId="0" applyFill="1"/>
    <xf numFmtId="0" fontId="0" fillId="1419" borderId="0" xfId="0" applyFill="1"/>
    <xf numFmtId="0" fontId="0" fillId="1420" borderId="0" xfId="0" applyFill="1"/>
    <xf numFmtId="0" fontId="0" fillId="1421" borderId="0" xfId="0" applyFill="1"/>
    <xf numFmtId="0" fontId="0" fillId="1422" borderId="0" xfId="0" applyFill="1"/>
    <xf numFmtId="0" fontId="0" fillId="1423" borderId="0" xfId="0" applyFill="1"/>
    <xf numFmtId="0" fontId="0" fillId="1424" borderId="0" xfId="0" applyFill="1"/>
    <xf numFmtId="0" fontId="0" fillId="1425" borderId="0" xfId="0" applyFill="1"/>
    <xf numFmtId="0" fontId="0" fillId="1426" borderId="0" xfId="0" applyFill="1"/>
    <xf numFmtId="0" fontId="0" fillId="1427" borderId="0" xfId="0" applyFill="1"/>
    <xf numFmtId="0" fontId="0" fillId="1428" borderId="0" xfId="0" applyFill="1"/>
    <xf numFmtId="0" fontId="0" fillId="1429" borderId="0" xfId="0" applyFill="1"/>
    <xf numFmtId="0" fontId="0" fillId="1430" borderId="0" xfId="0" applyFill="1"/>
    <xf numFmtId="0" fontId="0" fillId="1431" borderId="0" xfId="0" applyFill="1"/>
    <xf numFmtId="0" fontId="0" fillId="1432" borderId="0" xfId="0" applyFill="1"/>
    <xf numFmtId="0" fontId="0" fillId="1433" borderId="0" xfId="0" applyFill="1"/>
    <xf numFmtId="0" fontId="0" fillId="1434" borderId="0" xfId="0" applyFill="1"/>
    <xf numFmtId="0" fontId="0" fillId="1435" borderId="0" xfId="0" applyFill="1"/>
    <xf numFmtId="0" fontId="0" fillId="1436" borderId="0" xfId="0" applyFill="1"/>
    <xf numFmtId="0" fontId="0" fillId="1437" borderId="0" xfId="0" applyFill="1"/>
    <xf numFmtId="0" fontId="0" fillId="1438" borderId="0" xfId="0" applyFill="1"/>
    <xf numFmtId="0" fontId="0" fillId="1439" borderId="0" xfId="0" applyFill="1"/>
    <xf numFmtId="0" fontId="0" fillId="1440" borderId="0" xfId="0" applyFill="1"/>
    <xf numFmtId="0" fontId="0" fillId="1441" borderId="0" xfId="0" applyFill="1"/>
    <xf numFmtId="0" fontId="0" fillId="1442" borderId="0" xfId="0" applyFill="1"/>
    <xf numFmtId="0" fontId="0" fillId="1443" borderId="0" xfId="0" applyFill="1"/>
    <xf numFmtId="0" fontId="0" fillId="1444" borderId="0" xfId="0" applyFill="1"/>
    <xf numFmtId="0" fontId="0" fillId="1445" borderId="0" xfId="0" applyFill="1"/>
    <xf numFmtId="0" fontId="0" fillId="1446" borderId="0" xfId="0" applyFill="1"/>
    <xf numFmtId="0" fontId="0" fillId="1447" borderId="0" xfId="0" applyFill="1"/>
    <xf numFmtId="0" fontId="0" fillId="1448" borderId="0" xfId="0" applyFill="1"/>
    <xf numFmtId="0" fontId="0" fillId="1449" borderId="0" xfId="0" applyFill="1"/>
    <xf numFmtId="0" fontId="0" fillId="1450" borderId="0" xfId="0" applyFill="1"/>
    <xf numFmtId="0" fontId="0" fillId="1451" borderId="0" xfId="0" applyFill="1"/>
    <xf numFmtId="0" fontId="0" fillId="1452" borderId="0" xfId="0" applyFill="1"/>
    <xf numFmtId="0" fontId="0" fillId="1453" borderId="0" xfId="0" applyFill="1"/>
    <xf numFmtId="0" fontId="0" fillId="1454" borderId="0" xfId="0" applyFill="1"/>
    <xf numFmtId="0" fontId="0" fillId="1455" borderId="0" xfId="0" applyFill="1"/>
    <xf numFmtId="0" fontId="0" fillId="1456" borderId="0" xfId="0" applyFill="1"/>
    <xf numFmtId="0" fontId="0" fillId="1457" borderId="0" xfId="0" applyFill="1"/>
    <xf numFmtId="0" fontId="0" fillId="1458" borderId="0" xfId="0" applyFill="1"/>
    <xf numFmtId="0" fontId="0" fillId="1459" borderId="0" xfId="0" applyFill="1"/>
    <xf numFmtId="0" fontId="0" fillId="1460" borderId="0" xfId="0" applyFill="1"/>
    <xf numFmtId="0" fontId="0" fillId="1461" borderId="0" xfId="0" applyFill="1"/>
    <xf numFmtId="0" fontId="0" fillId="1462" borderId="0" xfId="0" applyFill="1"/>
    <xf numFmtId="0" fontId="0" fillId="1463" borderId="0" xfId="0" applyFill="1"/>
    <xf numFmtId="0" fontId="0" fillId="1464" borderId="0" xfId="0" applyFill="1"/>
    <xf numFmtId="0" fontId="0" fillId="1465" borderId="0" xfId="0" applyFill="1"/>
    <xf numFmtId="0" fontId="0" fillId="1466" borderId="0" xfId="0" applyFill="1"/>
    <xf numFmtId="0" fontId="0" fillId="1467" borderId="0" xfId="0" applyFill="1"/>
    <xf numFmtId="0" fontId="0" fillId="1468" borderId="0" xfId="0" applyFill="1"/>
    <xf numFmtId="0" fontId="0" fillId="1469" borderId="0" xfId="0" applyFill="1"/>
    <xf numFmtId="0" fontId="0" fillId="1470" borderId="0" xfId="0" applyFill="1"/>
    <xf numFmtId="0" fontId="0" fillId="1471" borderId="0" xfId="0" applyFill="1"/>
    <xf numFmtId="0" fontId="0" fillId="1472" borderId="0" xfId="0" applyFill="1"/>
    <xf numFmtId="0" fontId="0" fillId="1473" borderId="0" xfId="0" applyFill="1"/>
    <xf numFmtId="0" fontId="0" fillId="1474" borderId="0" xfId="0" applyFill="1"/>
    <xf numFmtId="0" fontId="0" fillId="1475" borderId="0" xfId="0" applyFill="1"/>
    <xf numFmtId="0" fontId="0" fillId="1476" borderId="0" xfId="0" applyFill="1"/>
    <xf numFmtId="0" fontId="0" fillId="1477" borderId="0" xfId="0" applyFill="1"/>
    <xf numFmtId="0" fontId="0" fillId="1478" borderId="0" xfId="0" applyFill="1"/>
    <xf numFmtId="0" fontId="0" fillId="1479" borderId="0" xfId="0" applyFill="1"/>
    <xf numFmtId="0" fontId="0" fillId="1480" borderId="0" xfId="0" applyFill="1"/>
    <xf numFmtId="0" fontId="0" fillId="1481" borderId="0" xfId="0" applyFill="1"/>
    <xf numFmtId="0" fontId="0" fillId="1482" borderId="0" xfId="0" applyFill="1"/>
    <xf numFmtId="0" fontId="0" fillId="1483" borderId="0" xfId="0" applyFill="1"/>
    <xf numFmtId="0" fontId="0" fillId="1484" borderId="0" xfId="0" applyFill="1"/>
    <xf numFmtId="0" fontId="0" fillId="1485" borderId="0" xfId="0" applyFill="1"/>
    <xf numFmtId="0" fontId="0" fillId="1486" borderId="0" xfId="0" applyFill="1"/>
    <xf numFmtId="0" fontId="0" fillId="1487" borderId="0" xfId="0" applyFill="1"/>
    <xf numFmtId="0" fontId="0" fillId="1488" borderId="0" xfId="0" applyFill="1"/>
    <xf numFmtId="0" fontId="0" fillId="1489" borderId="0" xfId="0" applyFill="1"/>
    <xf numFmtId="0" fontId="0" fillId="1490" borderId="0" xfId="0" applyFill="1"/>
    <xf numFmtId="0" fontId="0" fillId="1491" borderId="0" xfId="0" applyFill="1"/>
    <xf numFmtId="0" fontId="0" fillId="1492" borderId="0" xfId="0" applyFill="1"/>
    <xf numFmtId="0" fontId="0" fillId="1493" borderId="0" xfId="0" applyFill="1"/>
    <xf numFmtId="0" fontId="0" fillId="1494" borderId="0" xfId="0" applyFill="1"/>
    <xf numFmtId="0" fontId="0" fillId="1495" borderId="0" xfId="0" applyFill="1"/>
    <xf numFmtId="0" fontId="0" fillId="1496" borderId="0" xfId="0" applyFill="1"/>
    <xf numFmtId="0" fontId="0" fillId="1497" borderId="0" xfId="0" applyFill="1"/>
    <xf numFmtId="0" fontId="0" fillId="1498" borderId="0" xfId="0" applyFill="1"/>
    <xf numFmtId="0" fontId="0" fillId="1499" borderId="0" xfId="0" applyFill="1"/>
    <xf numFmtId="0" fontId="0" fillId="1500" borderId="0" xfId="0" applyFill="1"/>
    <xf numFmtId="0" fontId="0" fillId="1501" borderId="0" xfId="0" applyFill="1"/>
    <xf numFmtId="0" fontId="0" fillId="1502" borderId="0" xfId="0" applyFill="1"/>
    <xf numFmtId="0" fontId="0" fillId="1503" borderId="0" xfId="0" applyFill="1"/>
    <xf numFmtId="0" fontId="0" fillId="1504" borderId="0" xfId="0" applyFill="1"/>
    <xf numFmtId="0" fontId="0" fillId="1505" borderId="0" xfId="0" applyFill="1"/>
    <xf numFmtId="0" fontId="0" fillId="1506" borderId="0" xfId="0" applyFill="1"/>
    <xf numFmtId="0" fontId="0" fillId="1507" borderId="0" xfId="0" applyFill="1"/>
    <xf numFmtId="0" fontId="0" fillId="1508" borderId="0" xfId="0" applyFill="1"/>
    <xf numFmtId="0" fontId="0" fillId="1509" borderId="0" xfId="0" applyFill="1"/>
    <xf numFmtId="0" fontId="0" fillId="1510" borderId="0" xfId="0" applyFill="1"/>
    <xf numFmtId="0" fontId="0" fillId="1511" borderId="0" xfId="0" applyFill="1"/>
    <xf numFmtId="0" fontId="0" fillId="1512" borderId="0" xfId="0" applyFill="1"/>
    <xf numFmtId="0" fontId="0" fillId="1513" borderId="0" xfId="0" applyFill="1"/>
    <xf numFmtId="0" fontId="0" fillId="1514" borderId="0" xfId="0" applyFill="1"/>
    <xf numFmtId="0" fontId="0" fillId="1515" borderId="0" xfId="0" applyFill="1"/>
    <xf numFmtId="0" fontId="0" fillId="1516" borderId="0" xfId="0" applyFill="1"/>
    <xf numFmtId="0" fontId="0" fillId="1517" borderId="0" xfId="0" applyFill="1"/>
    <xf numFmtId="0" fontId="0" fillId="1518" borderId="0" xfId="0" applyFill="1"/>
    <xf numFmtId="0" fontId="0" fillId="1519" borderId="0" xfId="0" applyFill="1"/>
    <xf numFmtId="0" fontId="0" fillId="1520" borderId="0" xfId="0" applyFill="1"/>
    <xf numFmtId="0" fontId="0" fillId="1521" borderId="0" xfId="0" applyFill="1"/>
    <xf numFmtId="0" fontId="0" fillId="1522" borderId="0" xfId="0" applyFill="1"/>
    <xf numFmtId="0" fontId="0" fillId="1523" borderId="0" xfId="0" applyFill="1"/>
    <xf numFmtId="0" fontId="0" fillId="1524" borderId="0" xfId="0" applyFill="1"/>
    <xf numFmtId="0" fontId="0" fillId="1525" borderId="0" xfId="0" applyFill="1"/>
    <xf numFmtId="0" fontId="0" fillId="1526" borderId="0" xfId="0" applyFill="1"/>
    <xf numFmtId="0" fontId="0" fillId="1527" borderId="0" xfId="0" applyFill="1"/>
    <xf numFmtId="0" fontId="0" fillId="1528" borderId="0" xfId="0" applyFill="1"/>
    <xf numFmtId="0" fontId="0" fillId="1529" borderId="0" xfId="0" applyFill="1"/>
    <xf numFmtId="0" fontId="0" fillId="1530" borderId="0" xfId="0" applyFill="1"/>
    <xf numFmtId="0" fontId="0" fillId="1531" borderId="0" xfId="0" applyFill="1"/>
    <xf numFmtId="0" fontId="0" fillId="1532" borderId="0" xfId="0" applyFill="1"/>
    <xf numFmtId="0" fontId="0" fillId="1533" borderId="0" xfId="0" applyFill="1"/>
    <xf numFmtId="0" fontId="0" fillId="1534" borderId="0" xfId="0" applyFill="1"/>
    <xf numFmtId="0" fontId="0" fillId="1535" borderId="0" xfId="0" applyFill="1"/>
    <xf numFmtId="0" fontId="0" fillId="1536" borderId="0" xfId="0" applyFill="1"/>
    <xf numFmtId="0" fontId="0" fillId="1537" borderId="0" xfId="0" applyFill="1"/>
    <xf numFmtId="0" fontId="0" fillId="1538" borderId="0" xfId="0" applyFill="1"/>
    <xf numFmtId="0" fontId="0" fillId="1539" borderId="0" xfId="0" applyFill="1"/>
    <xf numFmtId="0" fontId="0" fillId="1540" borderId="0" xfId="0" applyFill="1"/>
    <xf numFmtId="0" fontId="0" fillId="1541" borderId="0" xfId="0" applyFill="1"/>
    <xf numFmtId="0" fontId="0" fillId="1542" borderId="0" xfId="0" applyFill="1"/>
    <xf numFmtId="0" fontId="0" fillId="1543" borderId="0" xfId="0" applyFill="1"/>
    <xf numFmtId="0" fontId="0" fillId="1544" borderId="0" xfId="0" applyFill="1"/>
    <xf numFmtId="0" fontId="0" fillId="1545" borderId="0" xfId="0" applyFill="1"/>
    <xf numFmtId="0" fontId="0" fillId="1546" borderId="0" xfId="0" applyFill="1"/>
    <xf numFmtId="0" fontId="0" fillId="1547" borderId="0" xfId="0" applyFill="1"/>
    <xf numFmtId="0" fontId="0" fillId="1548" borderId="0" xfId="0" applyFill="1"/>
    <xf numFmtId="0" fontId="0" fillId="1549" borderId="0" xfId="0" applyFill="1"/>
    <xf numFmtId="0" fontId="0" fillId="1550" borderId="0" xfId="0" applyFill="1"/>
    <xf numFmtId="0" fontId="0" fillId="1551" borderId="0" xfId="0" applyFill="1"/>
    <xf numFmtId="0" fontId="0" fillId="1552" borderId="0" xfId="0" applyFill="1"/>
    <xf numFmtId="0" fontId="0" fillId="1553" borderId="0" xfId="0" applyFill="1"/>
    <xf numFmtId="0" fontId="0" fillId="1554" borderId="0" xfId="0" applyFill="1"/>
    <xf numFmtId="0" fontId="0" fillId="1555" borderId="0" xfId="0" applyFill="1"/>
    <xf numFmtId="0" fontId="0" fillId="1556" borderId="0" xfId="0" applyFill="1"/>
    <xf numFmtId="0" fontId="0" fillId="1557" borderId="0" xfId="0" applyFill="1"/>
    <xf numFmtId="0" fontId="0" fillId="1558" borderId="0" xfId="0" applyFill="1"/>
    <xf numFmtId="0" fontId="0" fillId="1559" borderId="0" xfId="0" applyFill="1"/>
    <xf numFmtId="0" fontId="0" fillId="1560" borderId="0" xfId="0" applyFill="1"/>
    <xf numFmtId="0" fontId="0" fillId="1561" borderId="0" xfId="0" applyFill="1"/>
    <xf numFmtId="0" fontId="0" fillId="1562" borderId="0" xfId="0" applyFill="1"/>
    <xf numFmtId="0" fontId="0" fillId="1563" borderId="0" xfId="0" applyFill="1"/>
    <xf numFmtId="0" fontId="0" fillId="1564" borderId="0" xfId="0" applyFill="1"/>
    <xf numFmtId="0" fontId="0" fillId="1565" borderId="0" xfId="0" applyFill="1"/>
    <xf numFmtId="0" fontId="0" fillId="1566" borderId="0" xfId="0" applyFill="1"/>
    <xf numFmtId="0" fontId="0" fillId="1567" borderId="0" xfId="0" applyFill="1"/>
    <xf numFmtId="0" fontId="0" fillId="1568" borderId="0" xfId="0" applyFill="1"/>
    <xf numFmtId="0" fontId="0" fillId="1569" borderId="0" xfId="0" applyFill="1"/>
    <xf numFmtId="0" fontId="0" fillId="1570" borderId="0" xfId="0" applyFill="1"/>
    <xf numFmtId="0" fontId="0" fillId="1571" borderId="0" xfId="0" applyFill="1"/>
    <xf numFmtId="0" fontId="0" fillId="1572" borderId="0" xfId="0" applyFill="1"/>
    <xf numFmtId="0" fontId="0" fillId="1573" borderId="0" xfId="0" applyFill="1"/>
    <xf numFmtId="0" fontId="0" fillId="1574" borderId="0" xfId="0" applyFill="1"/>
    <xf numFmtId="0" fontId="0" fillId="1575" borderId="0" xfId="0" applyFill="1"/>
    <xf numFmtId="0" fontId="0" fillId="1576" borderId="0" xfId="0" applyFill="1"/>
    <xf numFmtId="0" fontId="0" fillId="1577" borderId="0" xfId="0" applyFill="1"/>
    <xf numFmtId="0" fontId="0" fillId="1578" borderId="0" xfId="0" applyFill="1"/>
    <xf numFmtId="0" fontId="0" fillId="1579" borderId="0" xfId="0" applyFill="1"/>
    <xf numFmtId="0" fontId="0" fillId="1580" borderId="0" xfId="0" applyFill="1"/>
    <xf numFmtId="0" fontId="0" fillId="1581" borderId="0" xfId="0" applyFill="1"/>
    <xf numFmtId="0" fontId="0" fillId="1582" borderId="0" xfId="0" applyFill="1"/>
    <xf numFmtId="0" fontId="0" fillId="1583" borderId="0" xfId="0" applyFill="1"/>
    <xf numFmtId="0" fontId="0" fillId="1584" borderId="0" xfId="0" applyFill="1"/>
    <xf numFmtId="0" fontId="0" fillId="1585" borderId="0" xfId="0" applyFill="1"/>
    <xf numFmtId="0" fontId="0" fillId="1586" borderId="0" xfId="0" applyFill="1"/>
    <xf numFmtId="0" fontId="0" fillId="1587" borderId="0" xfId="0" applyFill="1"/>
    <xf numFmtId="0" fontId="0" fillId="1588" borderId="0" xfId="0" applyFill="1"/>
    <xf numFmtId="0" fontId="0" fillId="1589" borderId="0" xfId="0" applyFill="1"/>
    <xf numFmtId="0" fontId="0" fillId="1590" borderId="0" xfId="0" applyFill="1"/>
    <xf numFmtId="0" fontId="0" fillId="1591" borderId="0" xfId="0" applyFill="1"/>
    <xf numFmtId="0" fontId="0" fillId="1592" borderId="0" xfId="0" applyFill="1"/>
    <xf numFmtId="0" fontId="0" fillId="1593" borderId="0" xfId="0" applyFill="1"/>
    <xf numFmtId="0" fontId="0" fillId="1594" borderId="0" xfId="0" applyFill="1"/>
    <xf numFmtId="0" fontId="0" fillId="1595" borderId="0" xfId="0" applyFill="1"/>
    <xf numFmtId="0" fontId="0" fillId="1596" borderId="0" xfId="0" applyFill="1"/>
    <xf numFmtId="0" fontId="0" fillId="1597" borderId="0" xfId="0" applyFill="1"/>
    <xf numFmtId="0" fontId="0" fillId="1598" borderId="0" xfId="0" applyFill="1"/>
    <xf numFmtId="0" fontId="0" fillId="1599" borderId="0" xfId="0" applyFill="1"/>
    <xf numFmtId="0" fontId="0" fillId="1600" borderId="0" xfId="0" applyFill="1"/>
    <xf numFmtId="0" fontId="0" fillId="1601" borderId="0" xfId="0" applyFill="1"/>
    <xf numFmtId="0" fontId="0" fillId="1602" borderId="0" xfId="0" applyFill="1"/>
    <xf numFmtId="0" fontId="0" fillId="1603" borderId="0" xfId="0" applyFill="1"/>
    <xf numFmtId="0" fontId="0" fillId="1604" borderId="0" xfId="0" applyFill="1"/>
    <xf numFmtId="0" fontId="0" fillId="1605" borderId="0" xfId="0" applyFill="1"/>
    <xf numFmtId="0" fontId="0" fillId="1606" borderId="0" xfId="0" applyFill="1"/>
    <xf numFmtId="0" fontId="0" fillId="1607" borderId="0" xfId="0" applyFill="1"/>
    <xf numFmtId="0" fontId="0" fillId="1608" borderId="0" xfId="0" applyFill="1"/>
    <xf numFmtId="0" fontId="0" fillId="1609" borderId="0" xfId="0" applyFill="1"/>
    <xf numFmtId="0" fontId="0" fillId="1610" borderId="0" xfId="0" applyFill="1"/>
    <xf numFmtId="0" fontId="0" fillId="1611" borderId="0" xfId="0" applyFill="1"/>
    <xf numFmtId="0" fontId="0" fillId="1612" borderId="0" xfId="0" applyFill="1"/>
    <xf numFmtId="0" fontId="0" fillId="1613" borderId="0" xfId="0" applyFill="1"/>
    <xf numFmtId="0" fontId="0" fillId="1614" borderId="0" xfId="0" applyFill="1"/>
    <xf numFmtId="0" fontId="0" fillId="1615" borderId="0" xfId="0" applyFill="1"/>
    <xf numFmtId="0" fontId="0" fillId="1616" borderId="0" xfId="0" applyFill="1"/>
    <xf numFmtId="0" fontId="0" fillId="1617" borderId="0" xfId="0" applyFill="1"/>
    <xf numFmtId="0" fontId="0" fillId="1618" borderId="0" xfId="0" applyFill="1"/>
    <xf numFmtId="0" fontId="0" fillId="1619" borderId="0" xfId="0" applyFill="1"/>
    <xf numFmtId="0" fontId="0" fillId="1620" borderId="0" xfId="0" applyFill="1"/>
    <xf numFmtId="0" fontId="0" fillId="1621" borderId="0" xfId="0" applyFill="1"/>
    <xf numFmtId="0" fontId="0" fillId="1622" borderId="0" xfId="0" applyFill="1"/>
    <xf numFmtId="0" fontId="0" fillId="1623" borderId="0" xfId="0" applyFill="1"/>
    <xf numFmtId="0" fontId="0" fillId="1624" borderId="0" xfId="0" applyFill="1"/>
    <xf numFmtId="0" fontId="0" fillId="1625" borderId="0" xfId="0" applyFill="1"/>
    <xf numFmtId="0" fontId="0" fillId="1626" borderId="0" xfId="0" applyFill="1"/>
    <xf numFmtId="0" fontId="0" fillId="1627" borderId="0" xfId="0" applyFill="1"/>
    <xf numFmtId="0" fontId="0" fillId="1628" borderId="0" xfId="0" applyFill="1"/>
    <xf numFmtId="0" fontId="0" fillId="1629" borderId="0" xfId="0" applyFill="1"/>
    <xf numFmtId="0" fontId="0" fillId="1630" borderId="0" xfId="0" applyFill="1"/>
    <xf numFmtId="0" fontId="0" fillId="1631" borderId="0" xfId="0" applyFill="1"/>
    <xf numFmtId="0" fontId="0" fillId="1632" borderId="0" xfId="0" applyFill="1"/>
    <xf numFmtId="0" fontId="0" fillId="1633" borderId="0" xfId="0" applyFill="1"/>
    <xf numFmtId="0" fontId="0" fillId="1634" borderId="0" xfId="0" applyFill="1"/>
    <xf numFmtId="0" fontId="0" fillId="1635" borderId="0" xfId="0" applyFill="1"/>
    <xf numFmtId="0" fontId="0" fillId="1636" borderId="0" xfId="0" applyFill="1"/>
    <xf numFmtId="0" fontId="0" fillId="1637" borderId="0" xfId="0" applyFill="1"/>
    <xf numFmtId="0" fontId="0" fillId="1638" borderId="0" xfId="0" applyFill="1"/>
    <xf numFmtId="0" fontId="0" fillId="1639" borderId="0" xfId="0" applyFill="1"/>
    <xf numFmtId="0" fontId="0" fillId="1640" borderId="0" xfId="0" applyFill="1"/>
    <xf numFmtId="0" fontId="0" fillId="1641" borderId="0" xfId="0" applyFill="1"/>
    <xf numFmtId="0" fontId="0" fillId="1642" borderId="0" xfId="0" applyFill="1"/>
    <xf numFmtId="0" fontId="0" fillId="1643" borderId="0" xfId="0" applyFill="1"/>
    <xf numFmtId="0" fontId="0" fillId="1644" borderId="0" xfId="0" applyFill="1"/>
    <xf numFmtId="0" fontId="0" fillId="1645" borderId="0" xfId="0" applyFill="1"/>
    <xf numFmtId="0" fontId="0" fillId="1646" borderId="0" xfId="0" applyFill="1"/>
    <xf numFmtId="0" fontId="0" fillId="1647" borderId="0" xfId="0" applyFill="1"/>
    <xf numFmtId="0" fontId="0" fillId="1648" borderId="0" xfId="0" applyFill="1"/>
    <xf numFmtId="0" fontId="0" fillId="1649" borderId="0" xfId="0" applyFill="1"/>
    <xf numFmtId="0" fontId="0" fillId="1650" borderId="0" xfId="0" applyFill="1"/>
    <xf numFmtId="0" fontId="0" fillId="1651" borderId="0" xfId="0" applyFill="1"/>
    <xf numFmtId="0" fontId="0" fillId="1652" borderId="0" xfId="0" applyFill="1"/>
    <xf numFmtId="0" fontId="0" fillId="1653" borderId="0" xfId="0" applyFill="1"/>
    <xf numFmtId="0" fontId="0" fillId="1654" borderId="0" xfId="0" applyFill="1"/>
    <xf numFmtId="0" fontId="0" fillId="1655" borderId="0" xfId="0" applyFill="1"/>
    <xf numFmtId="0" fontId="0" fillId="1656" borderId="0" xfId="0" applyFill="1"/>
    <xf numFmtId="0" fontId="0" fillId="1657" borderId="0" xfId="0" applyFill="1"/>
    <xf numFmtId="0" fontId="0" fillId="1658" borderId="0" xfId="0" applyFill="1"/>
    <xf numFmtId="0" fontId="0" fillId="1659" borderId="0" xfId="0" applyFill="1"/>
    <xf numFmtId="0" fontId="0" fillId="1660" borderId="0" xfId="0" applyFill="1"/>
    <xf numFmtId="0" fontId="0" fillId="1661" borderId="0" xfId="0" applyFill="1"/>
    <xf numFmtId="0" fontId="0" fillId="1662" borderId="0" xfId="0" applyFill="1"/>
    <xf numFmtId="0" fontId="0" fillId="1663" borderId="0" xfId="0" applyFill="1"/>
    <xf numFmtId="0" fontId="0" fillId="1664" borderId="0" xfId="0" applyFill="1"/>
    <xf numFmtId="0" fontId="0" fillId="1665" borderId="0" xfId="0" applyFill="1"/>
    <xf numFmtId="0" fontId="0" fillId="1666" borderId="0" xfId="0" applyFill="1"/>
    <xf numFmtId="0" fontId="0" fillId="1667" borderId="0" xfId="0" applyFill="1"/>
    <xf numFmtId="0" fontId="0" fillId="1668" borderId="0" xfId="0" applyFill="1"/>
    <xf numFmtId="0" fontId="0" fillId="1669" borderId="0" xfId="0" applyFill="1"/>
    <xf numFmtId="0" fontId="0" fillId="1670" borderId="0" xfId="0" applyFill="1"/>
    <xf numFmtId="0" fontId="0" fillId="1671" borderId="0" xfId="0" applyFill="1"/>
    <xf numFmtId="0" fontId="0" fillId="1672" borderId="0" xfId="0" applyFill="1"/>
    <xf numFmtId="0" fontId="0" fillId="1673" borderId="0" xfId="0" applyFill="1"/>
    <xf numFmtId="0" fontId="0" fillId="1674" borderId="0" xfId="0" applyFill="1"/>
    <xf numFmtId="0" fontId="0" fillId="1675" borderId="0" xfId="0" applyFill="1"/>
    <xf numFmtId="0" fontId="0" fillId="1676" borderId="0" xfId="0" applyFill="1"/>
    <xf numFmtId="0" fontId="0" fillId="1677" borderId="0" xfId="0" applyFill="1"/>
    <xf numFmtId="0" fontId="0" fillId="1678" borderId="0" xfId="0" applyFill="1"/>
    <xf numFmtId="0" fontId="0" fillId="1679" borderId="0" xfId="0" applyFill="1"/>
    <xf numFmtId="0" fontId="0" fillId="1680" borderId="0" xfId="0" applyFill="1"/>
    <xf numFmtId="0" fontId="0" fillId="1681" borderId="0" xfId="0" applyFill="1"/>
    <xf numFmtId="0" fontId="0" fillId="1682" borderId="0" xfId="0" applyFill="1"/>
    <xf numFmtId="0" fontId="0" fillId="1683" borderId="0" xfId="0" applyFill="1"/>
    <xf numFmtId="0" fontId="0" fillId="1684" borderId="0" xfId="0" applyFill="1"/>
    <xf numFmtId="0" fontId="0" fillId="1685" borderId="0" xfId="0" applyFill="1"/>
    <xf numFmtId="0" fontId="0" fillId="1686" borderId="0" xfId="0" applyFill="1"/>
    <xf numFmtId="0" fontId="0" fillId="1687" borderId="0" xfId="0" applyFill="1"/>
    <xf numFmtId="0" fontId="0" fillId="1688" borderId="0" xfId="0" applyFill="1"/>
    <xf numFmtId="0" fontId="0" fillId="1689" borderId="0" xfId="0" applyFill="1"/>
    <xf numFmtId="0" fontId="0" fillId="1690" borderId="0" xfId="0" applyFill="1"/>
    <xf numFmtId="0" fontId="0" fillId="1691" borderId="0" xfId="0" applyFill="1"/>
    <xf numFmtId="0" fontId="0" fillId="1692" borderId="0" xfId="0" applyFill="1"/>
    <xf numFmtId="0" fontId="0" fillId="1693" borderId="0" xfId="0" applyFill="1"/>
    <xf numFmtId="0" fontId="0" fillId="1694" borderId="0" xfId="0" applyFill="1"/>
    <xf numFmtId="0" fontId="0" fillId="1695" borderId="0" xfId="0" applyFill="1"/>
    <xf numFmtId="0" fontId="0" fillId="1696" borderId="0" xfId="0" applyFill="1"/>
    <xf numFmtId="0" fontId="0" fillId="1697" borderId="0" xfId="0" applyFill="1"/>
    <xf numFmtId="0" fontId="0" fillId="1698" borderId="0" xfId="0" applyFill="1"/>
    <xf numFmtId="0" fontId="0" fillId="1699" borderId="0" xfId="0" applyFill="1"/>
    <xf numFmtId="0" fontId="0" fillId="1700" borderId="0" xfId="0" applyFill="1"/>
    <xf numFmtId="0" fontId="0" fillId="1701" borderId="0" xfId="0" applyFill="1"/>
    <xf numFmtId="0" fontId="0" fillId="1702" borderId="0" xfId="0" applyFill="1"/>
    <xf numFmtId="0" fontId="0" fillId="1703" borderId="0" xfId="0" applyFill="1"/>
    <xf numFmtId="0" fontId="0" fillId="1704" borderId="0" xfId="0" applyFill="1"/>
    <xf numFmtId="0" fontId="0" fillId="1705" borderId="0" xfId="0" applyFill="1"/>
    <xf numFmtId="0" fontId="0" fillId="1706" borderId="0" xfId="0" applyFill="1"/>
    <xf numFmtId="0" fontId="0" fillId="1707" borderId="0" xfId="0" applyFill="1"/>
    <xf numFmtId="0" fontId="0" fillId="1708" borderId="0" xfId="0" applyFill="1"/>
    <xf numFmtId="0" fontId="0" fillId="1709" borderId="0" xfId="0" applyFill="1"/>
    <xf numFmtId="0" fontId="0" fillId="1710" borderId="0" xfId="0" applyFill="1"/>
    <xf numFmtId="0" fontId="0" fillId="1711" borderId="0" xfId="0" applyFill="1"/>
    <xf numFmtId="0" fontId="0" fillId="1712" borderId="0" xfId="0" applyFill="1"/>
    <xf numFmtId="0" fontId="0" fillId="1713" borderId="0" xfId="0" applyFill="1"/>
    <xf numFmtId="0" fontId="0" fillId="1714" borderId="0" xfId="0" applyFill="1"/>
    <xf numFmtId="0" fontId="0" fillId="1715" borderId="0" xfId="0" applyFill="1"/>
    <xf numFmtId="0" fontId="0" fillId="1716" borderId="0" xfId="0" applyFill="1"/>
    <xf numFmtId="0" fontId="0" fillId="1717" borderId="0" xfId="0" applyFill="1"/>
    <xf numFmtId="0" fontId="0" fillId="1718" borderId="0" xfId="0" applyFill="1"/>
    <xf numFmtId="0" fontId="0" fillId="1719" borderId="0" xfId="0" applyFill="1"/>
    <xf numFmtId="0" fontId="0" fillId="1720" borderId="0" xfId="0" applyFill="1"/>
    <xf numFmtId="0" fontId="0" fillId="1721" borderId="0" xfId="0" applyFill="1"/>
    <xf numFmtId="0" fontId="0" fillId="1722" borderId="0" xfId="0" applyFill="1"/>
    <xf numFmtId="0" fontId="0" fillId="1723" borderId="0" xfId="0" applyFill="1"/>
    <xf numFmtId="0" fontId="0" fillId="1724" borderId="0" xfId="0" applyFill="1"/>
    <xf numFmtId="0" fontId="0" fillId="1725" borderId="0" xfId="0" applyFill="1"/>
    <xf numFmtId="0" fontId="0" fillId="1726" borderId="0" xfId="0" applyFill="1"/>
    <xf numFmtId="0" fontId="0" fillId="1727" borderId="0" xfId="0" applyFill="1"/>
    <xf numFmtId="0" fontId="0" fillId="1728" borderId="0" xfId="0" applyFill="1"/>
    <xf numFmtId="0" fontId="0" fillId="1729" borderId="0" xfId="0" applyFill="1"/>
    <xf numFmtId="0" fontId="0" fillId="1730" borderId="0" xfId="0" applyFill="1"/>
    <xf numFmtId="0" fontId="0" fillId="1731" borderId="0" xfId="0" applyFill="1"/>
    <xf numFmtId="0" fontId="0" fillId="1732" borderId="0" xfId="0" applyFill="1"/>
    <xf numFmtId="0" fontId="0" fillId="1733" borderId="0" xfId="0" applyFill="1"/>
    <xf numFmtId="0" fontId="0" fillId="1734" borderId="0" xfId="0" applyFill="1"/>
    <xf numFmtId="0" fontId="0" fillId="1735" borderId="0" xfId="0" applyFill="1"/>
    <xf numFmtId="0" fontId="0" fillId="1736" borderId="0" xfId="0" applyFill="1"/>
    <xf numFmtId="0" fontId="0" fillId="1737" borderId="0" xfId="0" applyFill="1"/>
    <xf numFmtId="0" fontId="0" fillId="1738" borderId="0" xfId="0" applyFill="1"/>
    <xf numFmtId="0" fontId="0" fillId="1739" borderId="0" xfId="0" applyFill="1"/>
    <xf numFmtId="0" fontId="0" fillId="1740" borderId="0" xfId="0" applyFill="1"/>
    <xf numFmtId="0" fontId="0" fillId="1741" borderId="0" xfId="0" applyFill="1"/>
    <xf numFmtId="0" fontId="0" fillId="1742" borderId="0" xfId="0" applyFill="1"/>
    <xf numFmtId="0" fontId="0" fillId="1743" borderId="0" xfId="0" applyFill="1"/>
    <xf numFmtId="0" fontId="0" fillId="1744" borderId="0" xfId="0" applyFill="1"/>
    <xf numFmtId="0" fontId="0" fillId="1745" borderId="0" xfId="0" applyFill="1"/>
    <xf numFmtId="0" fontId="0" fillId="1746" borderId="0" xfId="0" applyFill="1"/>
    <xf numFmtId="0" fontId="0" fillId="1747" borderId="0" xfId="0" applyFill="1"/>
    <xf numFmtId="0" fontId="0" fillId="1748" borderId="0" xfId="0" applyFill="1"/>
    <xf numFmtId="0" fontId="0" fillId="1749" borderId="0" xfId="0" applyFill="1"/>
    <xf numFmtId="0" fontId="0" fillId="1750" borderId="0" xfId="0" applyFill="1"/>
    <xf numFmtId="0" fontId="0" fillId="1751" borderId="0" xfId="0" applyFill="1"/>
    <xf numFmtId="0" fontId="0" fillId="1752" borderId="0" xfId="0" applyFill="1"/>
    <xf numFmtId="0" fontId="0" fillId="1753" borderId="0" xfId="0" applyFill="1"/>
    <xf numFmtId="0" fontId="0" fillId="1754" borderId="0" xfId="0" applyFill="1"/>
    <xf numFmtId="0" fontId="0" fillId="1755" borderId="0" xfId="0" applyFill="1"/>
    <xf numFmtId="0" fontId="0" fillId="1756" borderId="0" xfId="0" applyFill="1"/>
    <xf numFmtId="0" fontId="0" fillId="1757" borderId="0" xfId="0" applyFill="1"/>
    <xf numFmtId="0" fontId="0" fillId="1758" borderId="0" xfId="0" applyFill="1"/>
    <xf numFmtId="0" fontId="0" fillId="1759" borderId="0" xfId="0" applyFill="1"/>
    <xf numFmtId="0" fontId="0" fillId="1760" borderId="0" xfId="0" applyFill="1"/>
    <xf numFmtId="0" fontId="0" fillId="1761" borderId="0" xfId="0" applyFill="1"/>
    <xf numFmtId="0" fontId="0" fillId="1762" borderId="0" xfId="0" applyFill="1"/>
    <xf numFmtId="0" fontId="0" fillId="1763" borderId="0" xfId="0" applyFill="1"/>
    <xf numFmtId="0" fontId="0" fillId="1764" borderId="0" xfId="0" applyFill="1"/>
    <xf numFmtId="0" fontId="0" fillId="1765" borderId="0" xfId="0" applyFill="1"/>
    <xf numFmtId="0" fontId="0" fillId="1766" borderId="0" xfId="0" applyFill="1"/>
    <xf numFmtId="0" fontId="0" fillId="1767" borderId="0" xfId="0" applyFill="1"/>
    <xf numFmtId="0" fontId="0" fillId="1768" borderId="0" xfId="0" applyFill="1"/>
    <xf numFmtId="0" fontId="0" fillId="1769" borderId="0" xfId="0" applyFill="1"/>
    <xf numFmtId="0" fontId="0" fillId="1770" borderId="0" xfId="0" applyFill="1"/>
    <xf numFmtId="0" fontId="0" fillId="1771" borderId="0" xfId="0" applyFill="1"/>
    <xf numFmtId="0" fontId="0" fillId="1772" borderId="0" xfId="0" applyFill="1"/>
    <xf numFmtId="0" fontId="0" fillId="1773" borderId="0" xfId="0" applyFill="1"/>
    <xf numFmtId="0" fontId="0" fillId="1774" borderId="0" xfId="0" applyFill="1"/>
    <xf numFmtId="0" fontId="0" fillId="1775" borderId="0" xfId="0" applyFill="1"/>
    <xf numFmtId="0" fontId="0" fillId="1776" borderId="0" xfId="0" applyFill="1"/>
    <xf numFmtId="0" fontId="0" fillId="1777" borderId="0" xfId="0" applyFill="1"/>
    <xf numFmtId="0" fontId="0" fillId="1778" borderId="0" xfId="0" applyFill="1"/>
    <xf numFmtId="0" fontId="0" fillId="1779" borderId="0" xfId="0" applyFill="1"/>
    <xf numFmtId="0" fontId="0" fillId="1780" borderId="0" xfId="0" applyFill="1"/>
    <xf numFmtId="0" fontId="0" fillId="1781" borderId="0" xfId="0" applyFill="1"/>
    <xf numFmtId="0" fontId="0" fillId="1782" borderId="0" xfId="0" applyFill="1"/>
    <xf numFmtId="0" fontId="0" fillId="1783" borderId="0" xfId="0" applyFill="1"/>
    <xf numFmtId="0" fontId="0" fillId="1784" borderId="0" xfId="0" applyFill="1"/>
    <xf numFmtId="0" fontId="0" fillId="1785" borderId="0" xfId="0" applyFill="1"/>
    <xf numFmtId="0" fontId="0" fillId="1786" borderId="0" xfId="0" applyFill="1"/>
    <xf numFmtId="0" fontId="0" fillId="1787" borderId="0" xfId="0" applyFill="1"/>
    <xf numFmtId="0" fontId="0" fillId="1788" borderId="0" xfId="0" applyFill="1"/>
    <xf numFmtId="0" fontId="0" fillId="1789" borderId="0" xfId="0" applyFill="1"/>
    <xf numFmtId="0" fontId="0" fillId="1790" borderId="0" xfId="0" applyFill="1"/>
    <xf numFmtId="0" fontId="0" fillId="1791" borderId="0" xfId="0" applyFill="1"/>
    <xf numFmtId="0" fontId="0" fillId="1792" borderId="0" xfId="0" applyFill="1"/>
    <xf numFmtId="0" fontId="0" fillId="1793" borderId="0" xfId="0" applyFill="1"/>
    <xf numFmtId="0" fontId="0" fillId="1794" borderId="0" xfId="0" applyFill="1"/>
    <xf numFmtId="0" fontId="0" fillId="1795" borderId="0" xfId="0" applyFill="1"/>
    <xf numFmtId="0" fontId="0" fillId="1796" borderId="0" xfId="0" applyFill="1"/>
    <xf numFmtId="0" fontId="0" fillId="1797" borderId="0" xfId="0" applyFill="1"/>
    <xf numFmtId="0" fontId="0" fillId="1798" borderId="0" xfId="0" applyFill="1"/>
    <xf numFmtId="0" fontId="0" fillId="1799" borderId="0" xfId="0" applyFill="1"/>
    <xf numFmtId="0" fontId="0" fillId="1800" borderId="0" xfId="0" applyFill="1"/>
    <xf numFmtId="0" fontId="0" fillId="1801" borderId="0" xfId="0" applyFill="1"/>
    <xf numFmtId="0" fontId="0" fillId="1802" borderId="0" xfId="0" applyFill="1"/>
    <xf numFmtId="0" fontId="0" fillId="1803" borderId="0" xfId="0" applyFill="1"/>
    <xf numFmtId="0" fontId="0" fillId="1804" borderId="0" xfId="0" applyFill="1"/>
    <xf numFmtId="0" fontId="0" fillId="1805" borderId="0" xfId="0" applyFill="1"/>
    <xf numFmtId="0" fontId="0" fillId="1806" borderId="0" xfId="0" applyFill="1"/>
    <xf numFmtId="0" fontId="0" fillId="1807" borderId="0" xfId="0" applyFill="1"/>
    <xf numFmtId="0" fontId="0" fillId="1808" borderId="0" xfId="0" applyFill="1"/>
    <xf numFmtId="0" fontId="0" fillId="1809" borderId="0" xfId="0" applyFill="1"/>
    <xf numFmtId="0" fontId="0" fillId="1810" borderId="0" xfId="0" applyFill="1"/>
    <xf numFmtId="0" fontId="0" fillId="1811" borderId="0" xfId="0" applyFill="1"/>
    <xf numFmtId="0" fontId="0" fillId="1812" borderId="0" xfId="0" applyFill="1"/>
    <xf numFmtId="0" fontId="0" fillId="1813" borderId="0" xfId="0" applyFill="1"/>
    <xf numFmtId="0" fontId="0" fillId="1814" borderId="0" xfId="0" applyFill="1"/>
    <xf numFmtId="0" fontId="0" fillId="1815" borderId="0" xfId="0" applyFill="1"/>
    <xf numFmtId="0" fontId="0" fillId="1816" borderId="0" xfId="0" applyFill="1"/>
    <xf numFmtId="0" fontId="0" fillId="1817" borderId="0" xfId="0" applyFill="1"/>
    <xf numFmtId="0" fontId="0" fillId="1818" borderId="0" xfId="0" applyFill="1"/>
    <xf numFmtId="0" fontId="0" fillId="1819" borderId="0" xfId="0" applyFill="1"/>
    <xf numFmtId="0" fontId="0" fillId="1820" borderId="0" xfId="0" applyFill="1"/>
    <xf numFmtId="0" fontId="0" fillId="1821" borderId="0" xfId="0" applyFill="1"/>
    <xf numFmtId="0" fontId="0" fillId="1822" borderId="0" xfId="0" applyFill="1"/>
    <xf numFmtId="0" fontId="0" fillId="1823" borderId="0" xfId="0" applyFill="1"/>
    <xf numFmtId="0" fontId="0" fillId="1824" borderId="0" xfId="0" applyFill="1"/>
    <xf numFmtId="0" fontId="0" fillId="1825" borderId="0" xfId="0" applyFill="1"/>
    <xf numFmtId="0" fontId="0" fillId="1826" borderId="0" xfId="0" applyFill="1"/>
    <xf numFmtId="0" fontId="0" fillId="1827" borderId="0" xfId="0" applyFill="1"/>
    <xf numFmtId="0" fontId="0" fillId="1828" borderId="0" xfId="0" applyFill="1"/>
    <xf numFmtId="0" fontId="0" fillId="1829" borderId="0" xfId="0" applyFill="1"/>
    <xf numFmtId="0" fontId="0" fillId="1830" borderId="0" xfId="0" applyFill="1"/>
    <xf numFmtId="0" fontId="0" fillId="1831" borderId="0" xfId="0" applyFill="1"/>
    <xf numFmtId="0" fontId="0" fillId="1832" borderId="0" xfId="0" applyFill="1"/>
    <xf numFmtId="0" fontId="0" fillId="1833" borderId="0" xfId="0" applyFill="1"/>
    <xf numFmtId="0" fontId="0" fillId="1834" borderId="0" xfId="0" applyFill="1"/>
    <xf numFmtId="0" fontId="0" fillId="1835" borderId="0" xfId="0" applyFill="1"/>
    <xf numFmtId="0" fontId="0" fillId="1836" borderId="0" xfId="0" applyFill="1"/>
    <xf numFmtId="0" fontId="0" fillId="1837" borderId="0" xfId="0" applyFill="1"/>
    <xf numFmtId="0" fontId="0" fillId="1838" borderId="0" xfId="0" applyFill="1"/>
    <xf numFmtId="0" fontId="0" fillId="1839" borderId="0" xfId="0" applyFill="1"/>
    <xf numFmtId="0" fontId="0" fillId="1840" borderId="0" xfId="0" applyFill="1"/>
    <xf numFmtId="0" fontId="0" fillId="1841" borderId="0" xfId="0" applyFill="1"/>
    <xf numFmtId="0" fontId="0" fillId="1842" borderId="0" xfId="0" applyFill="1"/>
    <xf numFmtId="0" fontId="0" fillId="1843" borderId="0" xfId="0" applyFill="1"/>
    <xf numFmtId="0" fontId="0" fillId="1844" borderId="0" xfId="0" applyFill="1"/>
    <xf numFmtId="0" fontId="0" fillId="1845" borderId="0" xfId="0" applyFill="1"/>
    <xf numFmtId="0" fontId="0" fillId="1846" borderId="0" xfId="0" applyFill="1"/>
    <xf numFmtId="0" fontId="0" fillId="1847" borderId="0" xfId="0" applyFill="1"/>
    <xf numFmtId="0" fontId="0" fillId="1848" borderId="0" xfId="0" applyFill="1"/>
    <xf numFmtId="0" fontId="0" fillId="1849" borderId="0" xfId="0" applyFill="1"/>
    <xf numFmtId="0" fontId="0" fillId="1850" borderId="0" xfId="0" applyFill="1"/>
    <xf numFmtId="0" fontId="0" fillId="1851" borderId="0" xfId="0" applyFill="1"/>
    <xf numFmtId="0" fontId="0" fillId="1852" borderId="0" xfId="0" applyFill="1"/>
    <xf numFmtId="0" fontId="0" fillId="1853" borderId="0" xfId="0" applyFill="1"/>
    <xf numFmtId="0" fontId="0" fillId="1854" borderId="0" xfId="0" applyFill="1"/>
    <xf numFmtId="0" fontId="0" fillId="1855" borderId="0" xfId="0" applyFill="1"/>
    <xf numFmtId="0" fontId="0" fillId="1856" borderId="0" xfId="0" applyFill="1"/>
    <xf numFmtId="0" fontId="0" fillId="1857" borderId="0" xfId="0" applyFill="1"/>
    <xf numFmtId="0" fontId="0" fillId="1858" borderId="0" xfId="0" applyFill="1"/>
    <xf numFmtId="0" fontId="0" fillId="1859" borderId="0" xfId="0" applyFill="1"/>
    <xf numFmtId="0" fontId="0" fillId="1860" borderId="0" xfId="0" applyFill="1"/>
    <xf numFmtId="0" fontId="0" fillId="1861" borderId="0" xfId="0" applyFill="1"/>
    <xf numFmtId="0" fontId="0" fillId="1862" borderId="0" xfId="0" applyFill="1"/>
    <xf numFmtId="0" fontId="0" fillId="1863" borderId="0" xfId="0" applyFill="1"/>
    <xf numFmtId="0" fontId="0" fillId="1864" borderId="0" xfId="0" applyFill="1"/>
    <xf numFmtId="0" fontId="0" fillId="1865" borderId="0" xfId="0" applyFill="1"/>
    <xf numFmtId="0" fontId="0" fillId="1866" borderId="0" xfId="0" applyFill="1"/>
    <xf numFmtId="0" fontId="0" fillId="1867" borderId="0" xfId="0" applyFill="1"/>
    <xf numFmtId="0" fontId="0" fillId="1868" borderId="0" xfId="0" applyFill="1"/>
    <xf numFmtId="0" fontId="0" fillId="1869" borderId="0" xfId="0" applyFill="1"/>
    <xf numFmtId="0" fontId="0" fillId="1870" borderId="0" xfId="0" applyFill="1"/>
    <xf numFmtId="0" fontId="0" fillId="1871" borderId="0" xfId="0" applyFill="1"/>
    <xf numFmtId="0" fontId="0" fillId="1872" borderId="0" xfId="0" applyFill="1"/>
    <xf numFmtId="0" fontId="0" fillId="1873" borderId="0" xfId="0" applyFill="1"/>
    <xf numFmtId="0" fontId="0" fillId="1874" borderId="0" xfId="0" applyFill="1"/>
    <xf numFmtId="0" fontId="0" fillId="1875" borderId="0" xfId="0" applyFill="1"/>
    <xf numFmtId="0" fontId="0" fillId="1876" borderId="0" xfId="0" applyFill="1"/>
    <xf numFmtId="0" fontId="0" fillId="1877" borderId="0" xfId="0" applyFill="1"/>
    <xf numFmtId="0" fontId="0" fillId="1878" borderId="0" xfId="0" applyFill="1"/>
    <xf numFmtId="0" fontId="0" fillId="1879" borderId="0" xfId="0" applyFill="1"/>
    <xf numFmtId="0" fontId="0" fillId="1880" borderId="0" xfId="0" applyFill="1"/>
    <xf numFmtId="0" fontId="0" fillId="1881" borderId="0" xfId="0" applyFill="1"/>
    <xf numFmtId="0" fontId="0" fillId="1882" borderId="0" xfId="0" applyFill="1"/>
    <xf numFmtId="0" fontId="0" fillId="1883" borderId="0" xfId="0" applyFill="1"/>
    <xf numFmtId="0" fontId="0" fillId="1884" borderId="0" xfId="0" applyFill="1"/>
    <xf numFmtId="0" fontId="0" fillId="1885" borderId="0" xfId="0" applyFill="1"/>
    <xf numFmtId="0" fontId="0" fillId="1886" borderId="0" xfId="0" applyFill="1"/>
    <xf numFmtId="0" fontId="0" fillId="1887" borderId="0" xfId="0" applyFill="1"/>
    <xf numFmtId="0" fontId="0" fillId="1888" borderId="0" xfId="0" applyFill="1"/>
    <xf numFmtId="0" fontId="0" fillId="1889" borderId="0" xfId="0" applyFill="1"/>
    <xf numFmtId="0" fontId="0" fillId="1890" borderId="0" xfId="0" applyFill="1"/>
    <xf numFmtId="0" fontId="0" fillId="1891" borderId="0" xfId="0" applyFill="1"/>
    <xf numFmtId="0" fontId="0" fillId="1892" borderId="0" xfId="0" applyFill="1"/>
    <xf numFmtId="0" fontId="0" fillId="1893" borderId="0" xfId="0" applyFill="1"/>
    <xf numFmtId="0" fontId="0" fillId="1894" borderId="0" xfId="0" applyFill="1"/>
    <xf numFmtId="0" fontId="0" fillId="1895" borderId="0" xfId="0" applyFill="1"/>
    <xf numFmtId="0" fontId="0" fillId="1896" borderId="0" xfId="0" applyFill="1"/>
    <xf numFmtId="0" fontId="0" fillId="1897" borderId="0" xfId="0" applyFill="1"/>
    <xf numFmtId="0" fontId="0" fillId="1898" borderId="0" xfId="0" applyFill="1"/>
    <xf numFmtId="0" fontId="0" fillId="1899" borderId="0" xfId="0" applyFill="1"/>
    <xf numFmtId="0" fontId="0" fillId="1900" borderId="0" xfId="0" applyFill="1"/>
    <xf numFmtId="0" fontId="0" fillId="1901" borderId="0" xfId="0" applyFill="1"/>
    <xf numFmtId="0" fontId="0" fillId="1902" borderId="0" xfId="0" applyFill="1"/>
    <xf numFmtId="0" fontId="0" fillId="1903" borderId="0" xfId="0" applyFill="1"/>
    <xf numFmtId="0" fontId="0" fillId="1904" borderId="0" xfId="0" applyFill="1"/>
    <xf numFmtId="0" fontId="0" fillId="1905" borderId="0" xfId="0" applyFill="1"/>
    <xf numFmtId="0" fontId="0" fillId="1906" borderId="0" xfId="0" applyFill="1"/>
    <xf numFmtId="0" fontId="0" fillId="1907" borderId="0" xfId="0" applyFill="1"/>
    <xf numFmtId="0" fontId="0" fillId="1908" borderId="0" xfId="0" applyFill="1"/>
    <xf numFmtId="0" fontId="0" fillId="1909" borderId="0" xfId="0" applyFill="1"/>
    <xf numFmtId="0" fontId="0" fillId="1910" borderId="0" xfId="0" applyFill="1"/>
    <xf numFmtId="0" fontId="0" fillId="1911" borderId="0" xfId="0" applyFill="1"/>
    <xf numFmtId="0" fontId="0" fillId="1912" borderId="0" xfId="0" applyFill="1"/>
    <xf numFmtId="0" fontId="0" fillId="1913" borderId="0" xfId="0" applyFill="1"/>
    <xf numFmtId="0" fontId="0" fillId="1914" borderId="0" xfId="0" applyFill="1"/>
    <xf numFmtId="0" fontId="0" fillId="1915" borderId="0" xfId="0" applyFill="1"/>
    <xf numFmtId="0" fontId="0" fillId="1916" borderId="0" xfId="0" applyFill="1"/>
    <xf numFmtId="0" fontId="0" fillId="1917" borderId="0" xfId="0" applyFill="1"/>
    <xf numFmtId="0" fontId="0" fillId="1918" borderId="0" xfId="0" applyFill="1"/>
    <xf numFmtId="0" fontId="0" fillId="1919" borderId="0" xfId="0" applyFill="1"/>
    <xf numFmtId="0" fontId="0" fillId="1920" borderId="0" xfId="0" applyFill="1"/>
    <xf numFmtId="0" fontId="0" fillId="1921" borderId="0" xfId="0" applyFill="1"/>
    <xf numFmtId="0" fontId="0" fillId="1922" borderId="0" xfId="0" applyFill="1"/>
    <xf numFmtId="0" fontId="0" fillId="1923" borderId="0" xfId="0" applyFill="1"/>
    <xf numFmtId="0" fontId="0" fillId="1924" borderId="0" xfId="0" applyFill="1"/>
    <xf numFmtId="0" fontId="0" fillId="1925" borderId="0" xfId="0" applyFill="1"/>
    <xf numFmtId="0" fontId="0" fillId="1926" borderId="0" xfId="0" applyFill="1"/>
    <xf numFmtId="0" fontId="0" fillId="1927" borderId="0" xfId="0" applyFill="1"/>
    <xf numFmtId="0" fontId="0" fillId="1928" borderId="0" xfId="0" applyFill="1"/>
    <xf numFmtId="0" fontId="0" fillId="1929" borderId="0" xfId="0" applyFill="1"/>
    <xf numFmtId="0" fontId="0" fillId="1930" borderId="0" xfId="0" applyFill="1"/>
    <xf numFmtId="0" fontId="0" fillId="1931" borderId="0" xfId="0" applyFill="1"/>
    <xf numFmtId="0" fontId="0" fillId="1932" borderId="0" xfId="0" applyFill="1"/>
    <xf numFmtId="0" fontId="0" fillId="1933" borderId="0" xfId="0" applyFill="1"/>
    <xf numFmtId="0" fontId="0" fillId="1934" borderId="0" xfId="0" applyFill="1"/>
    <xf numFmtId="0" fontId="0" fillId="1935" borderId="0" xfId="0" applyFill="1"/>
    <xf numFmtId="0" fontId="0" fillId="1936" borderId="0" xfId="0" applyFill="1"/>
    <xf numFmtId="0" fontId="0" fillId="1937" borderId="0" xfId="0" applyFill="1"/>
    <xf numFmtId="0" fontId="0" fillId="1938" borderId="0" xfId="0" applyFill="1"/>
    <xf numFmtId="0" fontId="0" fillId="1939" borderId="0" xfId="0" applyFill="1"/>
    <xf numFmtId="0" fontId="0" fillId="1940" borderId="0" xfId="0" applyFill="1"/>
    <xf numFmtId="0" fontId="0" fillId="1941" borderId="0" xfId="0" applyFill="1"/>
    <xf numFmtId="0" fontId="0" fillId="1942" borderId="0" xfId="0" applyFill="1"/>
    <xf numFmtId="0" fontId="0" fillId="1943" borderId="0" xfId="0" applyFill="1"/>
    <xf numFmtId="0" fontId="0" fillId="1944" borderId="0" xfId="0" applyFill="1"/>
    <xf numFmtId="0" fontId="0" fillId="1945" borderId="0" xfId="0" applyFill="1"/>
    <xf numFmtId="0" fontId="0" fillId="1946" borderId="0" xfId="0" applyFill="1"/>
    <xf numFmtId="0" fontId="0" fillId="1947" borderId="0" xfId="0" applyFill="1"/>
    <xf numFmtId="0" fontId="0" fillId="1948" borderId="0" xfId="0" applyFill="1"/>
    <xf numFmtId="0" fontId="0" fillId="1949" borderId="0" xfId="0" applyFill="1"/>
    <xf numFmtId="0" fontId="0" fillId="1950" borderId="0" xfId="0" applyFill="1"/>
    <xf numFmtId="0" fontId="0" fillId="1951" borderId="0" xfId="0" applyFill="1"/>
    <xf numFmtId="0" fontId="0" fillId="1952" borderId="0" xfId="0" applyFill="1"/>
    <xf numFmtId="0" fontId="0" fillId="1953" borderId="0" xfId="0" applyFill="1"/>
    <xf numFmtId="0" fontId="0" fillId="1954" borderId="0" xfId="0" applyFill="1"/>
    <xf numFmtId="0" fontId="0" fillId="1955" borderId="0" xfId="0" applyFill="1"/>
    <xf numFmtId="0" fontId="0" fillId="1956" borderId="0" xfId="0" applyFill="1"/>
    <xf numFmtId="0" fontId="0" fillId="1957" borderId="0" xfId="0" applyFill="1"/>
    <xf numFmtId="0" fontId="0" fillId="1958" borderId="0" xfId="0" applyFill="1"/>
    <xf numFmtId="0" fontId="0" fillId="1959" borderId="0" xfId="0" applyFill="1"/>
    <xf numFmtId="0" fontId="0" fillId="1960" borderId="0" xfId="0" applyFill="1"/>
    <xf numFmtId="0" fontId="0" fillId="1961" borderId="0" xfId="0" applyFill="1"/>
    <xf numFmtId="0" fontId="0" fillId="1962" borderId="0" xfId="0" applyFill="1"/>
    <xf numFmtId="0" fontId="0" fillId="1963" borderId="0" xfId="0" applyFill="1"/>
    <xf numFmtId="0" fontId="0" fillId="1964" borderId="0" xfId="0" applyFill="1"/>
    <xf numFmtId="0" fontId="0" fillId="1965" borderId="0" xfId="0" applyFill="1"/>
    <xf numFmtId="0" fontId="0" fillId="1966" borderId="0" xfId="0" applyFill="1"/>
    <xf numFmtId="0" fontId="0" fillId="1967" borderId="0" xfId="0" applyFill="1"/>
    <xf numFmtId="0" fontId="0" fillId="1968" borderId="0" xfId="0" applyFill="1"/>
    <xf numFmtId="0" fontId="0" fillId="1969" borderId="0" xfId="0" applyFill="1"/>
    <xf numFmtId="0" fontId="0" fillId="1970" borderId="0" xfId="0" applyFill="1"/>
    <xf numFmtId="0" fontId="0" fillId="1971" borderId="0" xfId="0" applyFill="1"/>
    <xf numFmtId="0" fontId="0" fillId="1972" borderId="0" xfId="0" applyFill="1"/>
    <xf numFmtId="0" fontId="0" fillId="1973" borderId="0" xfId="0" applyFill="1"/>
    <xf numFmtId="0" fontId="0" fillId="1974" borderId="0" xfId="0" applyFill="1"/>
    <xf numFmtId="0" fontId="0" fillId="1975" borderId="0" xfId="0" applyFill="1"/>
    <xf numFmtId="0" fontId="0" fillId="1976" borderId="0" xfId="0" applyFill="1"/>
    <xf numFmtId="0" fontId="0" fillId="1977" borderId="0" xfId="0" applyFill="1"/>
    <xf numFmtId="0" fontId="0" fillId="1978" borderId="0" xfId="0" applyFill="1"/>
    <xf numFmtId="0" fontId="0" fillId="1979" borderId="0" xfId="0" applyFill="1"/>
    <xf numFmtId="0" fontId="0" fillId="1980" borderId="0" xfId="0" applyFill="1"/>
    <xf numFmtId="0" fontId="0" fillId="1981" borderId="0" xfId="0" applyFill="1"/>
    <xf numFmtId="0" fontId="0" fillId="1982" borderId="0" xfId="0" applyFill="1"/>
    <xf numFmtId="0" fontId="0" fillId="1983" borderId="0" xfId="0" applyFill="1"/>
    <xf numFmtId="0" fontId="0" fillId="1984" borderId="0" xfId="0" applyFill="1"/>
    <xf numFmtId="0" fontId="0" fillId="1985" borderId="0" xfId="0" applyFill="1"/>
    <xf numFmtId="0" fontId="0" fillId="1986" borderId="0" xfId="0" applyFill="1"/>
    <xf numFmtId="0" fontId="0" fillId="1987" borderId="0" xfId="0" applyFill="1"/>
    <xf numFmtId="0" fontId="0" fillId="1988" borderId="0" xfId="0" applyFill="1"/>
    <xf numFmtId="0" fontId="0" fillId="1989" borderId="0" xfId="0" applyFill="1"/>
    <xf numFmtId="0" fontId="0" fillId="1990" borderId="0" xfId="0" applyFill="1"/>
    <xf numFmtId="0" fontId="0" fillId="1991" borderId="0" xfId="0" applyFill="1"/>
    <xf numFmtId="0" fontId="0" fillId="1992" borderId="0" xfId="0" applyFill="1"/>
    <xf numFmtId="0" fontId="0" fillId="1993" borderId="0" xfId="0" applyFill="1"/>
    <xf numFmtId="0" fontId="0" fillId="1994" borderId="0" xfId="0" applyFill="1"/>
    <xf numFmtId="0" fontId="0" fillId="1995" borderId="0" xfId="0" applyFill="1"/>
    <xf numFmtId="0" fontId="0" fillId="1996" borderId="0" xfId="0" applyFill="1"/>
    <xf numFmtId="0" fontId="0" fillId="1997" borderId="0" xfId="0" applyFill="1"/>
    <xf numFmtId="0" fontId="0" fillId="1998" borderId="0" xfId="0" applyFill="1"/>
    <xf numFmtId="0" fontId="0" fillId="1999" borderId="0" xfId="0" applyFill="1"/>
    <xf numFmtId="0" fontId="0" fillId="2000" borderId="0" xfId="0" applyFill="1"/>
    <xf numFmtId="0" fontId="0" fillId="2001" borderId="0" xfId="0" applyFill="1"/>
    <xf numFmtId="0" fontId="0" fillId="2002" borderId="0" xfId="0" applyFill="1"/>
    <xf numFmtId="0" fontId="0" fillId="2003" borderId="0" xfId="0" applyFill="1"/>
    <xf numFmtId="0" fontId="0" fillId="2004" borderId="0" xfId="0" applyFill="1"/>
    <xf numFmtId="0" fontId="0" fillId="2005" borderId="0" xfId="0" applyFill="1"/>
    <xf numFmtId="0" fontId="0" fillId="2006" borderId="0" xfId="0" applyFill="1"/>
    <xf numFmtId="0" fontId="0" fillId="2007" borderId="0" xfId="0" applyFill="1"/>
    <xf numFmtId="0" fontId="0" fillId="2008" borderId="0" xfId="0" applyFill="1"/>
    <xf numFmtId="0" fontId="0" fillId="2009" borderId="0" xfId="0" applyFill="1"/>
    <xf numFmtId="0" fontId="0" fillId="2010" borderId="0" xfId="0" applyFill="1"/>
    <xf numFmtId="0" fontId="0" fillId="2011" borderId="0" xfId="0" applyFill="1"/>
    <xf numFmtId="0" fontId="0" fillId="2012" borderId="0" xfId="0" applyFill="1"/>
    <xf numFmtId="0" fontId="0" fillId="2013" borderId="0" xfId="0" applyFill="1"/>
    <xf numFmtId="0" fontId="0" fillId="2014" borderId="0" xfId="0" applyFill="1"/>
    <xf numFmtId="0" fontId="0" fillId="2015" borderId="0" xfId="0" applyFill="1"/>
    <xf numFmtId="0" fontId="0" fillId="2016" borderId="0" xfId="0" applyFill="1"/>
    <xf numFmtId="0" fontId="0" fillId="2017" borderId="0" xfId="0" applyFill="1"/>
    <xf numFmtId="0" fontId="0" fillId="2018" borderId="0" xfId="0" applyFill="1"/>
    <xf numFmtId="0" fontId="0" fillId="2019" borderId="0" xfId="0" applyFill="1"/>
    <xf numFmtId="0" fontId="0" fillId="2020" borderId="0" xfId="0" applyFill="1"/>
    <xf numFmtId="0" fontId="0" fillId="2021" borderId="0" xfId="0" applyFill="1"/>
    <xf numFmtId="0" fontId="0" fillId="2022" borderId="0" xfId="0" applyFill="1"/>
    <xf numFmtId="0" fontId="0" fillId="2023" borderId="0" xfId="0" applyFill="1"/>
    <xf numFmtId="0" fontId="0" fillId="2024" borderId="0" xfId="0" applyFill="1"/>
    <xf numFmtId="0" fontId="0" fillId="2025" borderId="0" xfId="0" applyFill="1"/>
    <xf numFmtId="0" fontId="0" fillId="2026" borderId="0" xfId="0" applyFill="1"/>
    <xf numFmtId="0" fontId="0" fillId="2027" borderId="0" xfId="0" applyFill="1"/>
    <xf numFmtId="0" fontId="0" fillId="2028" borderId="0" xfId="0" applyFill="1"/>
    <xf numFmtId="0" fontId="0" fillId="2029" borderId="0" xfId="0" applyFill="1"/>
    <xf numFmtId="0" fontId="0" fillId="2030" borderId="0" xfId="0" applyFill="1"/>
    <xf numFmtId="0" fontId="0" fillId="2031" borderId="0" xfId="0" applyFill="1"/>
    <xf numFmtId="0" fontId="0" fillId="2032" borderId="0" xfId="0" applyFill="1"/>
    <xf numFmtId="0" fontId="0" fillId="2033" borderId="0" xfId="0" applyFill="1"/>
    <xf numFmtId="0" fontId="0" fillId="2034" borderId="0" xfId="0" applyFill="1"/>
    <xf numFmtId="0" fontId="0" fillId="2035" borderId="0" xfId="0" applyFill="1"/>
    <xf numFmtId="0" fontId="0" fillId="2036" borderId="0" xfId="0" applyFill="1"/>
    <xf numFmtId="0" fontId="0" fillId="2037" borderId="0" xfId="0" applyFill="1"/>
    <xf numFmtId="0" fontId="0" fillId="2038" borderId="0" xfId="0" applyFill="1"/>
    <xf numFmtId="0" fontId="0" fillId="2039" borderId="0" xfId="0" applyFill="1"/>
    <xf numFmtId="0" fontId="0" fillId="2040" borderId="0" xfId="0" applyFill="1"/>
    <xf numFmtId="0" fontId="0" fillId="2041" borderId="0" xfId="0" applyFill="1"/>
    <xf numFmtId="0" fontId="0" fillId="2042" borderId="0" xfId="0" applyFill="1"/>
    <xf numFmtId="0" fontId="0" fillId="2043" borderId="0" xfId="0" applyFill="1"/>
    <xf numFmtId="0" fontId="0" fillId="2044" borderId="0" xfId="0" applyFill="1"/>
    <xf numFmtId="0" fontId="0" fillId="2045" borderId="0" xfId="0" applyFill="1"/>
    <xf numFmtId="0" fontId="0" fillId="2046" borderId="0" xfId="0" applyFill="1"/>
    <xf numFmtId="0" fontId="0" fillId="2047" borderId="0" xfId="0" applyFill="1"/>
    <xf numFmtId="0" fontId="0" fillId="2048" borderId="0" xfId="0" applyFill="1"/>
    <xf numFmtId="0" fontId="0" fillId="2049" borderId="0" xfId="0" applyFill="1"/>
    <xf numFmtId="0" fontId="0" fillId="2050" borderId="0" xfId="0" applyFill="1"/>
    <xf numFmtId="0" fontId="0" fillId="2051" borderId="0" xfId="0" applyFill="1"/>
    <xf numFmtId="0" fontId="0" fillId="2052" borderId="0" xfId="0" applyFill="1"/>
    <xf numFmtId="0" fontId="0" fillId="2053" borderId="0" xfId="0" applyFill="1"/>
    <xf numFmtId="0" fontId="0" fillId="2054" borderId="0" xfId="0" applyFill="1"/>
    <xf numFmtId="0" fontId="0" fillId="2055" borderId="0" xfId="0" applyFill="1"/>
    <xf numFmtId="0" fontId="0" fillId="2056" borderId="0" xfId="0" applyFill="1"/>
    <xf numFmtId="0" fontId="0" fillId="2057" borderId="0" xfId="0" applyFill="1"/>
    <xf numFmtId="0" fontId="0" fillId="2058" borderId="0" xfId="0" applyFill="1"/>
    <xf numFmtId="0" fontId="0" fillId="2059" borderId="0" xfId="0" applyFill="1"/>
    <xf numFmtId="0" fontId="0" fillId="2060" borderId="0" xfId="0" applyFill="1"/>
    <xf numFmtId="0" fontId="0" fillId="2061" borderId="0" xfId="0" applyFill="1"/>
    <xf numFmtId="0" fontId="0" fillId="2062" borderId="0" xfId="0" applyFill="1"/>
    <xf numFmtId="0" fontId="0" fillId="2063" borderId="0" xfId="0" applyFill="1"/>
    <xf numFmtId="0" fontId="0" fillId="2064" borderId="0" xfId="0" applyFill="1"/>
    <xf numFmtId="0" fontId="0" fillId="2065" borderId="0" xfId="0" applyFill="1"/>
    <xf numFmtId="0" fontId="0" fillId="2066" borderId="0" xfId="0" applyFill="1"/>
    <xf numFmtId="0" fontId="0" fillId="2067" borderId="0" xfId="0" applyFill="1"/>
    <xf numFmtId="0" fontId="0" fillId="2068" borderId="0" xfId="0" applyFill="1"/>
    <xf numFmtId="0" fontId="0" fillId="2069" borderId="0" xfId="0" applyFill="1"/>
    <xf numFmtId="0" fontId="0" fillId="2070" borderId="0" xfId="0" applyFill="1"/>
    <xf numFmtId="0" fontId="0" fillId="2071" borderId="0" xfId="0" applyFill="1"/>
    <xf numFmtId="0" fontId="0" fillId="2072" borderId="0" xfId="0" applyFill="1"/>
    <xf numFmtId="0" fontId="0" fillId="2073" borderId="0" xfId="0" applyFill="1"/>
    <xf numFmtId="0" fontId="0" fillId="2074" borderId="0" xfId="0" applyFill="1"/>
    <xf numFmtId="0" fontId="0" fillId="2075" borderId="0" xfId="0" applyFill="1"/>
    <xf numFmtId="0" fontId="0" fillId="2076" borderId="0" xfId="0" applyFill="1"/>
    <xf numFmtId="0" fontId="0" fillId="2077" borderId="0" xfId="0" applyFill="1"/>
    <xf numFmtId="0" fontId="0" fillId="2078" borderId="0" xfId="0" applyFill="1"/>
    <xf numFmtId="0" fontId="0" fillId="2079" borderId="0" xfId="0" applyFill="1"/>
    <xf numFmtId="0" fontId="0" fillId="2080" borderId="0" xfId="0" applyFill="1"/>
    <xf numFmtId="0" fontId="0" fillId="2081" borderId="0" xfId="0" applyFill="1"/>
    <xf numFmtId="0" fontId="0" fillId="2082" borderId="0" xfId="0" applyFill="1"/>
    <xf numFmtId="0" fontId="0" fillId="2083" borderId="0" xfId="0" applyFill="1"/>
    <xf numFmtId="0" fontId="0" fillId="2084" borderId="0" xfId="0" applyFill="1"/>
    <xf numFmtId="0" fontId="0" fillId="2085" borderId="0" xfId="0" applyFill="1"/>
    <xf numFmtId="0" fontId="0" fillId="2086" borderId="0" xfId="0" applyFill="1"/>
    <xf numFmtId="0" fontId="0" fillId="2087" borderId="0" xfId="0" applyFill="1"/>
    <xf numFmtId="0" fontId="0" fillId="2088" borderId="0" xfId="0" applyFill="1"/>
    <xf numFmtId="0" fontId="0" fillId="2089" borderId="0" xfId="0" applyFill="1"/>
    <xf numFmtId="0" fontId="0" fillId="2090" borderId="0" xfId="0" applyFill="1"/>
    <xf numFmtId="0" fontId="0" fillId="2091" borderId="0" xfId="0" applyFill="1"/>
    <xf numFmtId="0" fontId="0" fillId="2092" borderId="0" xfId="0" applyFill="1"/>
    <xf numFmtId="0" fontId="0" fillId="2093" borderId="0" xfId="0" applyFill="1"/>
    <xf numFmtId="0" fontId="0" fillId="2094" borderId="0" xfId="0" applyFill="1"/>
    <xf numFmtId="0" fontId="0" fillId="2095" borderId="0" xfId="0" applyFill="1"/>
    <xf numFmtId="0" fontId="0" fillId="2096" borderId="0" xfId="0" applyFill="1"/>
    <xf numFmtId="0" fontId="0" fillId="2097" borderId="0" xfId="0" applyFill="1"/>
    <xf numFmtId="0" fontId="0" fillId="2098" borderId="0" xfId="0" applyFill="1"/>
    <xf numFmtId="0" fontId="0" fillId="2099" borderId="0" xfId="0" applyFill="1"/>
    <xf numFmtId="0" fontId="0" fillId="2100" borderId="0" xfId="0" applyFill="1"/>
    <xf numFmtId="0" fontId="0" fillId="2101" borderId="0" xfId="0" applyFill="1"/>
    <xf numFmtId="0" fontId="0" fillId="2102" borderId="0" xfId="0" applyFill="1"/>
    <xf numFmtId="0" fontId="0" fillId="2103" borderId="0" xfId="0" applyFill="1"/>
    <xf numFmtId="0" fontId="0" fillId="2104" borderId="0" xfId="0" applyFill="1"/>
    <xf numFmtId="0" fontId="0" fillId="2105" borderId="0" xfId="0" applyFill="1"/>
    <xf numFmtId="0" fontId="0" fillId="2106" borderId="0" xfId="0" applyFill="1"/>
    <xf numFmtId="0" fontId="0" fillId="2107" borderId="0" xfId="0" applyFill="1"/>
    <xf numFmtId="0" fontId="0" fillId="2108" borderId="0" xfId="0" applyFill="1"/>
    <xf numFmtId="0" fontId="0" fillId="2109" borderId="0" xfId="0" applyFill="1"/>
    <xf numFmtId="0" fontId="0" fillId="2110" borderId="0" xfId="0" applyFill="1"/>
    <xf numFmtId="0" fontId="0" fillId="2111" borderId="0" xfId="0" applyFill="1"/>
    <xf numFmtId="0" fontId="0" fillId="2112" borderId="0" xfId="0" applyFill="1"/>
    <xf numFmtId="0" fontId="0" fillId="2113" borderId="0" xfId="0" applyFill="1"/>
    <xf numFmtId="0" fontId="0" fillId="2114" borderId="0" xfId="0" applyFill="1"/>
    <xf numFmtId="0" fontId="0" fillId="2115" borderId="0" xfId="0" applyFill="1"/>
    <xf numFmtId="0" fontId="0" fillId="2116" borderId="0" xfId="0" applyFill="1"/>
    <xf numFmtId="0" fontId="0" fillId="2117" borderId="0" xfId="0" applyFill="1"/>
    <xf numFmtId="0" fontId="0" fillId="2118" borderId="0" xfId="0" applyFill="1"/>
    <xf numFmtId="0" fontId="0" fillId="2119" borderId="0" xfId="0" applyFill="1"/>
    <xf numFmtId="0" fontId="0" fillId="2120" borderId="0" xfId="0" applyFill="1"/>
    <xf numFmtId="0" fontId="0" fillId="2121" borderId="0" xfId="0" applyFill="1"/>
    <xf numFmtId="0" fontId="0" fillId="2122" borderId="0" xfId="0" applyFill="1"/>
    <xf numFmtId="0" fontId="0" fillId="2123" borderId="0" xfId="0" applyFill="1"/>
    <xf numFmtId="0" fontId="0" fillId="2124" borderId="0" xfId="0" applyFill="1"/>
    <xf numFmtId="0" fontId="0" fillId="2125" borderId="0" xfId="0" applyFill="1"/>
    <xf numFmtId="0" fontId="0" fillId="2126" borderId="0" xfId="0" applyFill="1"/>
    <xf numFmtId="0" fontId="0" fillId="2127" borderId="0" xfId="0" applyFill="1"/>
    <xf numFmtId="0" fontId="0" fillId="2128" borderId="0" xfId="0" applyFill="1"/>
    <xf numFmtId="0" fontId="0" fillId="2129" borderId="0" xfId="0" applyFill="1"/>
    <xf numFmtId="0" fontId="0" fillId="2130" borderId="0" xfId="0" applyFill="1"/>
    <xf numFmtId="0" fontId="0" fillId="2131" borderId="0" xfId="0" applyFill="1"/>
    <xf numFmtId="0" fontId="0" fillId="2132" borderId="0" xfId="0" applyFill="1"/>
    <xf numFmtId="0" fontId="0" fillId="2133" borderId="0" xfId="0" applyFill="1"/>
    <xf numFmtId="0" fontId="0" fillId="2134" borderId="0" xfId="0" applyFill="1"/>
    <xf numFmtId="0" fontId="0" fillId="2135" borderId="0" xfId="0" applyFill="1"/>
    <xf numFmtId="0" fontId="0" fillId="2136" borderId="0" xfId="0" applyFill="1"/>
    <xf numFmtId="0" fontId="0" fillId="2137" borderId="0" xfId="0" applyFill="1"/>
    <xf numFmtId="0" fontId="0" fillId="2138" borderId="0" xfId="0" applyFill="1"/>
    <xf numFmtId="0" fontId="0" fillId="2139" borderId="0" xfId="0" applyFill="1"/>
    <xf numFmtId="0" fontId="0" fillId="2140" borderId="0" xfId="0" applyFill="1"/>
    <xf numFmtId="0" fontId="0" fillId="2141" borderId="0" xfId="0" applyFill="1"/>
    <xf numFmtId="0" fontId="0" fillId="2142" borderId="0" xfId="0" applyFill="1"/>
    <xf numFmtId="0" fontId="0" fillId="2143" borderId="0" xfId="0" applyFill="1"/>
    <xf numFmtId="0" fontId="0" fillId="2144" borderId="0" xfId="0" applyFill="1"/>
    <xf numFmtId="0" fontId="0" fillId="2145" borderId="0" xfId="0" applyFill="1"/>
    <xf numFmtId="0" fontId="0" fillId="2146" borderId="0" xfId="0" applyFill="1"/>
    <xf numFmtId="0" fontId="0" fillId="2147" borderId="0" xfId="0" applyFill="1"/>
    <xf numFmtId="0" fontId="0" fillId="2148" borderId="0" xfId="0" applyFill="1"/>
    <xf numFmtId="0" fontId="0" fillId="2149" borderId="0" xfId="0" applyFill="1"/>
    <xf numFmtId="0" fontId="0" fillId="2150" borderId="0" xfId="0" applyFill="1"/>
    <xf numFmtId="0" fontId="0" fillId="2151" borderId="0" xfId="0" applyFill="1"/>
    <xf numFmtId="0" fontId="0" fillId="2152" borderId="0" xfId="0" applyFill="1"/>
    <xf numFmtId="0" fontId="0" fillId="2153" borderId="0" xfId="0" applyFill="1"/>
    <xf numFmtId="0" fontId="0" fillId="2154" borderId="0" xfId="0" applyFill="1"/>
    <xf numFmtId="0" fontId="0" fillId="2155" borderId="0" xfId="0" applyFill="1"/>
    <xf numFmtId="0" fontId="0" fillId="2156" borderId="0" xfId="0" applyFill="1"/>
    <xf numFmtId="0" fontId="0" fillId="2157" borderId="0" xfId="0" applyFill="1"/>
    <xf numFmtId="0" fontId="0" fillId="2158" borderId="0" xfId="0" applyFill="1"/>
    <xf numFmtId="0" fontId="0" fillId="2159" borderId="0" xfId="0" applyFill="1"/>
    <xf numFmtId="0" fontId="0" fillId="2160" borderId="0" xfId="0" applyFill="1"/>
    <xf numFmtId="0" fontId="0" fillId="2161" borderId="0" xfId="0" applyFill="1"/>
    <xf numFmtId="0" fontId="0" fillId="2162" borderId="0" xfId="0" applyFill="1"/>
    <xf numFmtId="0" fontId="0" fillId="2163" borderId="0" xfId="0" applyFill="1"/>
    <xf numFmtId="0" fontId="0" fillId="2164" borderId="0" xfId="0" applyFill="1"/>
    <xf numFmtId="0" fontId="0" fillId="2165" borderId="0" xfId="0" applyFill="1"/>
    <xf numFmtId="0" fontId="0" fillId="2166" borderId="0" xfId="0" applyFill="1"/>
    <xf numFmtId="0" fontId="0" fillId="2167" borderId="0" xfId="0" applyFill="1"/>
    <xf numFmtId="0" fontId="0" fillId="2168" borderId="0" xfId="0" applyFill="1"/>
    <xf numFmtId="0" fontId="0" fillId="2169" borderId="0" xfId="0" applyFill="1"/>
    <xf numFmtId="0" fontId="0" fillId="2170" borderId="0" xfId="0" applyFill="1"/>
    <xf numFmtId="0" fontId="0" fillId="2171" borderId="0" xfId="0" applyFill="1"/>
    <xf numFmtId="0" fontId="0" fillId="2172" borderId="0" xfId="0" applyFill="1"/>
    <xf numFmtId="0" fontId="0" fillId="2173" borderId="0" xfId="0" applyFill="1"/>
    <xf numFmtId="0" fontId="0" fillId="2174" borderId="0" xfId="0" applyFill="1"/>
    <xf numFmtId="0" fontId="0" fillId="2175" borderId="0" xfId="0" applyFill="1"/>
    <xf numFmtId="0" fontId="0" fillId="2176" borderId="0" xfId="0" applyFill="1"/>
    <xf numFmtId="0" fontId="0" fillId="2177" borderId="0" xfId="0" applyFill="1"/>
    <xf numFmtId="0" fontId="0" fillId="2178" borderId="0" xfId="0" applyFill="1"/>
    <xf numFmtId="0" fontId="0" fillId="2179" borderId="0" xfId="0" applyFill="1"/>
    <xf numFmtId="0" fontId="0" fillId="2180" borderId="0" xfId="0" applyFill="1"/>
    <xf numFmtId="0" fontId="0" fillId="2181" borderId="0" xfId="0" applyFill="1"/>
    <xf numFmtId="0" fontId="0" fillId="2182" borderId="0" xfId="0" applyFill="1"/>
    <xf numFmtId="0" fontId="0" fillId="2183" borderId="0" xfId="0" applyFill="1"/>
    <xf numFmtId="0" fontId="0" fillId="2184" borderId="0" xfId="0" applyFill="1"/>
    <xf numFmtId="0" fontId="0" fillId="2185" borderId="0" xfId="0" applyFill="1"/>
    <xf numFmtId="0" fontId="0" fillId="2186" borderId="0" xfId="0" applyFill="1"/>
    <xf numFmtId="0" fontId="0" fillId="2187" borderId="0" xfId="0" applyFill="1"/>
    <xf numFmtId="0" fontId="0" fillId="2188" borderId="0" xfId="0" applyFill="1"/>
    <xf numFmtId="0" fontId="0" fillId="2189" borderId="0" xfId="0" applyFill="1"/>
    <xf numFmtId="0" fontId="0" fillId="2190" borderId="0" xfId="0" applyFill="1"/>
    <xf numFmtId="0" fontId="0" fillId="2191" borderId="0" xfId="0" applyFill="1"/>
    <xf numFmtId="0" fontId="0" fillId="2192" borderId="0" xfId="0" applyFill="1"/>
    <xf numFmtId="0" fontId="0" fillId="2193" borderId="0" xfId="0" applyFill="1"/>
    <xf numFmtId="0" fontId="0" fillId="2194" borderId="0" xfId="0" applyFill="1"/>
    <xf numFmtId="0" fontId="0" fillId="2195" borderId="0" xfId="0" applyFill="1"/>
    <xf numFmtId="0" fontId="0" fillId="2196" borderId="0" xfId="0" applyFill="1"/>
    <xf numFmtId="0" fontId="0" fillId="2197" borderId="0" xfId="0" applyFill="1"/>
    <xf numFmtId="0" fontId="0" fillId="2198" borderId="0" xfId="0" applyFill="1"/>
    <xf numFmtId="0" fontId="0" fillId="2199" borderId="0" xfId="0" applyFill="1"/>
    <xf numFmtId="0" fontId="0" fillId="2200" borderId="0" xfId="0" applyFill="1"/>
    <xf numFmtId="0" fontId="0" fillId="2201" borderId="0" xfId="0" applyFill="1"/>
    <xf numFmtId="0" fontId="0" fillId="2202" borderId="0" xfId="0" applyFill="1"/>
    <xf numFmtId="0" fontId="0" fillId="2203" borderId="0" xfId="0" applyFill="1"/>
    <xf numFmtId="0" fontId="0" fillId="2204" borderId="0" xfId="0" applyFill="1"/>
    <xf numFmtId="0" fontId="0" fillId="2205" borderId="0" xfId="0" applyFill="1"/>
    <xf numFmtId="0" fontId="0" fillId="2206" borderId="0" xfId="0" applyFill="1"/>
    <xf numFmtId="0" fontId="0" fillId="2207" borderId="0" xfId="0" applyFill="1"/>
    <xf numFmtId="0" fontId="0" fillId="2208" borderId="0" xfId="0" applyFill="1"/>
    <xf numFmtId="0" fontId="0" fillId="2209" borderId="0" xfId="0" applyFill="1"/>
    <xf numFmtId="0" fontId="0" fillId="2210" borderId="0" xfId="0" applyFill="1"/>
    <xf numFmtId="0" fontId="0" fillId="2211" borderId="0" xfId="0" applyFill="1"/>
    <xf numFmtId="0" fontId="0" fillId="2212" borderId="0" xfId="0" applyFill="1"/>
    <xf numFmtId="0" fontId="0" fillId="2213" borderId="0" xfId="0" applyFill="1"/>
    <xf numFmtId="0" fontId="0" fillId="2214" borderId="0" xfId="0" applyFill="1"/>
    <xf numFmtId="0" fontId="0" fillId="2215" borderId="0" xfId="0" applyFill="1"/>
    <xf numFmtId="0" fontId="0" fillId="2216" borderId="0" xfId="0" applyFill="1"/>
    <xf numFmtId="0" fontId="0" fillId="2217" borderId="0" xfId="0" applyFill="1"/>
    <xf numFmtId="0" fontId="0" fillId="2218" borderId="0" xfId="0" applyFill="1"/>
    <xf numFmtId="0" fontId="0" fillId="2219" borderId="0" xfId="0" applyFill="1"/>
    <xf numFmtId="0" fontId="0" fillId="2220" borderId="0" xfId="0" applyFill="1"/>
    <xf numFmtId="0" fontId="0" fillId="2221" borderId="0" xfId="0" applyFill="1"/>
    <xf numFmtId="0" fontId="0" fillId="2222" borderId="0" xfId="0" applyFill="1"/>
    <xf numFmtId="0" fontId="0" fillId="2223" borderId="0" xfId="0" applyFill="1"/>
    <xf numFmtId="0" fontId="0" fillId="2224" borderId="0" xfId="0" applyFill="1"/>
    <xf numFmtId="0" fontId="0" fillId="2225" borderId="0" xfId="0" applyFill="1"/>
    <xf numFmtId="0" fontId="0" fillId="2226" borderId="0" xfId="0" applyFill="1"/>
    <xf numFmtId="0" fontId="0" fillId="2227" borderId="0" xfId="0" applyFill="1"/>
    <xf numFmtId="0" fontId="0" fillId="2228" borderId="0" xfId="0" applyFill="1"/>
    <xf numFmtId="0" fontId="0" fillId="2229" borderId="0" xfId="0" applyFill="1"/>
    <xf numFmtId="0" fontId="0" fillId="2230" borderId="0" xfId="0" applyFill="1"/>
    <xf numFmtId="0" fontId="0" fillId="2231" borderId="0" xfId="0" applyFill="1"/>
    <xf numFmtId="0" fontId="0" fillId="2232" borderId="0" xfId="0" applyFill="1"/>
    <xf numFmtId="0" fontId="0" fillId="2233" borderId="0" xfId="0" applyFill="1"/>
    <xf numFmtId="0" fontId="0" fillId="2234" borderId="0" xfId="0" applyFill="1"/>
    <xf numFmtId="0" fontId="0" fillId="2235" borderId="0" xfId="0" applyFill="1"/>
    <xf numFmtId="0" fontId="0" fillId="2236" borderId="0" xfId="0" applyFill="1"/>
    <xf numFmtId="0" fontId="0" fillId="2237" borderId="0" xfId="0" applyFill="1"/>
    <xf numFmtId="0" fontId="0" fillId="2238" borderId="0" xfId="0" applyFill="1"/>
    <xf numFmtId="0" fontId="0" fillId="2239" borderId="0" xfId="0" applyFill="1"/>
    <xf numFmtId="0" fontId="0" fillId="2240" borderId="0" xfId="0" applyFill="1"/>
    <xf numFmtId="0" fontId="0" fillId="2241" borderId="0" xfId="0" applyFill="1"/>
    <xf numFmtId="0" fontId="0" fillId="2242" borderId="0" xfId="0" applyFill="1"/>
    <xf numFmtId="0" fontId="0" fillId="2243" borderId="0" xfId="0" applyFill="1"/>
    <xf numFmtId="0" fontId="0" fillId="2244" borderId="0" xfId="0" applyFill="1"/>
    <xf numFmtId="0" fontId="0" fillId="2245" borderId="0" xfId="0" applyFill="1"/>
    <xf numFmtId="0" fontId="0" fillId="2246" borderId="0" xfId="0" applyFill="1"/>
    <xf numFmtId="0" fontId="0" fillId="2247" borderId="0" xfId="0" applyFill="1"/>
    <xf numFmtId="0" fontId="0" fillId="2248" borderId="0" xfId="0" applyFill="1"/>
    <xf numFmtId="0" fontId="0" fillId="2249" borderId="0" xfId="0" applyFill="1"/>
    <xf numFmtId="0" fontId="0" fillId="2250" borderId="0" xfId="0" applyFill="1"/>
    <xf numFmtId="0" fontId="0" fillId="2251" borderId="0" xfId="0" applyFill="1"/>
    <xf numFmtId="0" fontId="0" fillId="2252" borderId="0" xfId="0" applyFill="1"/>
    <xf numFmtId="0" fontId="0" fillId="2253" borderId="0" xfId="0" applyFill="1"/>
    <xf numFmtId="0" fontId="0" fillId="2254" borderId="0" xfId="0" applyFill="1"/>
    <xf numFmtId="0" fontId="0" fillId="2255" borderId="0" xfId="0" applyFill="1"/>
    <xf numFmtId="0" fontId="0" fillId="2256" borderId="0" xfId="0" applyFill="1"/>
    <xf numFmtId="0" fontId="0" fillId="2257" borderId="0" xfId="0" applyFill="1"/>
    <xf numFmtId="0" fontId="0" fillId="2258" borderId="0" xfId="0" applyFill="1"/>
    <xf numFmtId="0" fontId="0" fillId="2259" borderId="0" xfId="0" applyFill="1"/>
    <xf numFmtId="0" fontId="0" fillId="2260" borderId="0" xfId="0" applyFill="1"/>
    <xf numFmtId="0" fontId="0" fillId="2261" borderId="0" xfId="0" applyFill="1"/>
    <xf numFmtId="0" fontId="0" fillId="2262" borderId="0" xfId="0" applyFill="1"/>
    <xf numFmtId="0" fontId="0" fillId="2263" borderId="0" xfId="0" applyFill="1"/>
    <xf numFmtId="0" fontId="0" fillId="2264" borderId="0" xfId="0" applyFill="1"/>
    <xf numFmtId="0" fontId="0" fillId="2265" borderId="0" xfId="0" applyFill="1"/>
    <xf numFmtId="0" fontId="0" fillId="2266" borderId="0" xfId="0" applyFill="1"/>
    <xf numFmtId="0" fontId="0" fillId="2267" borderId="0" xfId="0" applyFill="1"/>
    <xf numFmtId="0" fontId="0" fillId="2268" borderId="0" xfId="0" applyFill="1"/>
    <xf numFmtId="0" fontId="0" fillId="2269" borderId="0" xfId="0" applyFill="1"/>
    <xf numFmtId="0" fontId="0" fillId="2270" borderId="0" xfId="0" applyFill="1"/>
    <xf numFmtId="0" fontId="0" fillId="2271" borderId="0" xfId="0" applyFill="1"/>
    <xf numFmtId="0" fontId="0" fillId="2272" borderId="0" xfId="0" applyFill="1"/>
    <xf numFmtId="0" fontId="0" fillId="2273" borderId="0" xfId="0" applyFill="1"/>
    <xf numFmtId="0" fontId="0" fillId="2274" borderId="0" xfId="0" applyFill="1"/>
    <xf numFmtId="0" fontId="0" fillId="2275" borderId="0" xfId="0" applyFill="1"/>
    <xf numFmtId="0" fontId="0" fillId="2276" borderId="0" xfId="0" applyFill="1"/>
    <xf numFmtId="0" fontId="0" fillId="2277" borderId="0" xfId="0" applyFill="1"/>
    <xf numFmtId="0" fontId="0" fillId="2278" borderId="0" xfId="0" applyFill="1"/>
    <xf numFmtId="0" fontId="0" fillId="2279" borderId="0" xfId="0" applyFill="1"/>
    <xf numFmtId="0" fontId="0" fillId="2280" borderId="0" xfId="0" applyFill="1"/>
    <xf numFmtId="0" fontId="0" fillId="2281" borderId="0" xfId="0" applyFill="1"/>
    <xf numFmtId="0" fontId="0" fillId="2282" borderId="0" xfId="0" applyFill="1"/>
    <xf numFmtId="0" fontId="0" fillId="2283" borderId="0" xfId="0" applyFill="1"/>
    <xf numFmtId="0" fontId="0" fillId="2284" borderId="0" xfId="0" applyFill="1"/>
    <xf numFmtId="0" fontId="0" fillId="2285" borderId="0" xfId="0" applyFill="1"/>
    <xf numFmtId="0" fontId="0" fillId="2286" borderId="0" xfId="0" applyFill="1"/>
    <xf numFmtId="0" fontId="0" fillId="2287" borderId="0" xfId="0" applyFill="1"/>
    <xf numFmtId="0" fontId="0" fillId="2288" borderId="0" xfId="0" applyFill="1"/>
    <xf numFmtId="0" fontId="0" fillId="2289" borderId="0" xfId="0" applyFill="1"/>
    <xf numFmtId="0" fontId="0" fillId="2290" borderId="0" xfId="0" applyFill="1"/>
    <xf numFmtId="0" fontId="0" fillId="2291" borderId="0" xfId="0" applyFill="1"/>
    <xf numFmtId="0" fontId="0" fillId="2292" borderId="0" xfId="0" applyFill="1"/>
    <xf numFmtId="0" fontId="0" fillId="2293" borderId="0" xfId="0" applyFill="1"/>
    <xf numFmtId="0" fontId="0" fillId="2294" borderId="0" xfId="0" applyFill="1"/>
    <xf numFmtId="0" fontId="0" fillId="2295" borderId="0" xfId="0" applyFill="1"/>
    <xf numFmtId="0" fontId="0" fillId="2296" borderId="0" xfId="0" applyFill="1"/>
    <xf numFmtId="0" fontId="0" fillId="2297" borderId="0" xfId="0" applyFill="1"/>
    <xf numFmtId="0" fontId="0" fillId="2298" borderId="0" xfId="0" applyFill="1"/>
    <xf numFmtId="0" fontId="0" fillId="2299" borderId="0" xfId="0" applyFill="1"/>
    <xf numFmtId="0" fontId="0" fillId="2300" borderId="0" xfId="0" applyFill="1"/>
    <xf numFmtId="0" fontId="0" fillId="2301" borderId="0" xfId="0" applyFill="1"/>
    <xf numFmtId="0" fontId="0" fillId="2302" borderId="0" xfId="0" applyFill="1"/>
    <xf numFmtId="0" fontId="0" fillId="2303" borderId="0" xfId="0" applyFill="1"/>
    <xf numFmtId="0" fontId="0" fillId="2304" borderId="0" xfId="0" applyFill="1"/>
    <xf numFmtId="0" fontId="0" fillId="2305" borderId="0" xfId="0" applyFill="1"/>
    <xf numFmtId="0" fontId="0" fillId="2306" borderId="0" xfId="0" applyFill="1"/>
    <xf numFmtId="0" fontId="0" fillId="2307" borderId="0" xfId="0" applyFill="1"/>
    <xf numFmtId="0" fontId="0" fillId="2308" borderId="0" xfId="0" applyFill="1"/>
    <xf numFmtId="0" fontId="0" fillId="2309" borderId="0" xfId="0" applyFill="1"/>
    <xf numFmtId="0" fontId="0" fillId="2310" borderId="0" xfId="0" applyFill="1"/>
    <xf numFmtId="0" fontId="0" fillId="2311" borderId="0" xfId="0" applyFill="1"/>
    <xf numFmtId="0" fontId="0" fillId="2312" borderId="0" xfId="0" applyFill="1"/>
    <xf numFmtId="0" fontId="0" fillId="2313" borderId="0" xfId="0" applyFill="1"/>
    <xf numFmtId="0" fontId="0" fillId="2314" borderId="0" xfId="0" applyFill="1"/>
    <xf numFmtId="0" fontId="0" fillId="2315" borderId="0" xfId="0" applyFill="1"/>
    <xf numFmtId="0" fontId="0" fillId="2316" borderId="0" xfId="0" applyFill="1"/>
    <xf numFmtId="0" fontId="0" fillId="2317" borderId="0" xfId="0" applyFill="1"/>
    <xf numFmtId="0" fontId="0" fillId="2318" borderId="0" xfId="0" applyFill="1"/>
    <xf numFmtId="0" fontId="0" fillId="2319" borderId="0" xfId="0" applyFill="1"/>
    <xf numFmtId="0" fontId="0" fillId="2320" borderId="0" xfId="0" applyFill="1"/>
    <xf numFmtId="0" fontId="0" fillId="2321" borderId="0" xfId="0" applyFill="1"/>
    <xf numFmtId="0" fontId="0" fillId="2322" borderId="0" xfId="0" applyFill="1"/>
    <xf numFmtId="0" fontId="0" fillId="2323" borderId="0" xfId="0" applyFill="1"/>
    <xf numFmtId="0" fontId="0" fillId="2324" borderId="0" xfId="0" applyFill="1"/>
    <xf numFmtId="0" fontId="0" fillId="2325" borderId="0" xfId="0" applyFill="1"/>
    <xf numFmtId="0" fontId="0" fillId="2326" borderId="0" xfId="0" applyFill="1"/>
    <xf numFmtId="0" fontId="0" fillId="2327" borderId="0" xfId="0" applyFill="1"/>
    <xf numFmtId="0" fontId="0" fillId="2328" borderId="0" xfId="0" applyFill="1"/>
    <xf numFmtId="0" fontId="0" fillId="2329" borderId="0" xfId="0" applyFill="1"/>
    <xf numFmtId="0" fontId="0" fillId="2330" borderId="0" xfId="0" applyFill="1"/>
    <xf numFmtId="0" fontId="0" fillId="2331" borderId="0" xfId="0" applyFill="1"/>
    <xf numFmtId="0" fontId="0" fillId="2332" borderId="0" xfId="0" applyFill="1"/>
    <xf numFmtId="0" fontId="0" fillId="2333" borderId="0" xfId="0" applyFill="1"/>
    <xf numFmtId="0" fontId="0" fillId="2334" borderId="0" xfId="0" applyFill="1"/>
    <xf numFmtId="0" fontId="0" fillId="2335" borderId="0" xfId="0" applyFill="1"/>
    <xf numFmtId="0" fontId="0" fillId="2336" borderId="0" xfId="0" applyFill="1"/>
    <xf numFmtId="0" fontId="0" fillId="2337" borderId="0" xfId="0" applyFill="1"/>
    <xf numFmtId="0" fontId="0" fillId="2338" borderId="0" xfId="0" applyFill="1"/>
    <xf numFmtId="0" fontId="0" fillId="2339" borderId="0" xfId="0" applyFill="1"/>
    <xf numFmtId="0" fontId="0" fillId="2340" borderId="0" xfId="0" applyFill="1"/>
    <xf numFmtId="0" fontId="0" fillId="2341" borderId="0" xfId="0" applyFill="1"/>
    <xf numFmtId="0" fontId="0" fillId="2342" borderId="0" xfId="0" applyFill="1"/>
    <xf numFmtId="0" fontId="0" fillId="2343" borderId="0" xfId="0" applyFill="1"/>
    <xf numFmtId="0" fontId="0" fillId="2344" borderId="0" xfId="0" applyFill="1"/>
    <xf numFmtId="0" fontId="0" fillId="2345" borderId="0" xfId="0" applyFill="1"/>
    <xf numFmtId="0" fontId="0" fillId="2346" borderId="0" xfId="0" applyFill="1"/>
    <xf numFmtId="0" fontId="0" fillId="2347" borderId="0" xfId="0" applyFill="1"/>
    <xf numFmtId="0" fontId="0" fillId="2348" borderId="0" xfId="0" applyFill="1"/>
    <xf numFmtId="0" fontId="0" fillId="2349" borderId="0" xfId="0" applyFill="1"/>
    <xf numFmtId="0" fontId="0" fillId="2350" borderId="0" xfId="0" applyFill="1"/>
    <xf numFmtId="0" fontId="0" fillId="2351" borderId="0" xfId="0" applyFill="1"/>
    <xf numFmtId="0" fontId="0" fillId="2352" borderId="0" xfId="0" applyFill="1"/>
    <xf numFmtId="0" fontId="0" fillId="2353" borderId="0" xfId="0" applyFill="1"/>
    <xf numFmtId="0" fontId="0" fillId="2354" borderId="0" xfId="0" applyFill="1"/>
    <xf numFmtId="0" fontId="0" fillId="2355" borderId="0" xfId="0" applyFill="1"/>
    <xf numFmtId="0" fontId="0" fillId="2356" borderId="0" xfId="0" applyFill="1"/>
    <xf numFmtId="0" fontId="0" fillId="2357" borderId="0" xfId="0" applyFill="1"/>
    <xf numFmtId="0" fontId="0" fillId="2358" borderId="0" xfId="0" applyFill="1"/>
    <xf numFmtId="0" fontId="0" fillId="2359" borderId="0" xfId="0" applyFill="1"/>
    <xf numFmtId="0" fontId="0" fillId="2360" borderId="0" xfId="0" applyFill="1"/>
    <xf numFmtId="0" fontId="0" fillId="2361" borderId="0" xfId="0" applyFill="1"/>
    <xf numFmtId="0" fontId="0" fillId="2362" borderId="0" xfId="0" applyFill="1"/>
    <xf numFmtId="0" fontId="0" fillId="2363" borderId="0" xfId="0" applyFill="1"/>
    <xf numFmtId="0" fontId="0" fillId="2364" borderId="0" xfId="0" applyFill="1"/>
    <xf numFmtId="0" fontId="0" fillId="2365" borderId="0" xfId="0" applyFill="1"/>
    <xf numFmtId="0" fontId="0" fillId="2366" borderId="0" xfId="0" applyFill="1"/>
    <xf numFmtId="0" fontId="0" fillId="2367" borderId="0" xfId="0" applyFill="1"/>
    <xf numFmtId="0" fontId="0" fillId="2368" borderId="0" xfId="0" applyFill="1"/>
    <xf numFmtId="0" fontId="0" fillId="2369" borderId="0" xfId="0" applyFill="1"/>
    <xf numFmtId="0" fontId="0" fillId="2370" borderId="0" xfId="0" applyFill="1"/>
    <xf numFmtId="0" fontId="0" fillId="2371" borderId="0" xfId="0" applyFill="1"/>
    <xf numFmtId="0" fontId="0" fillId="2372" borderId="0" xfId="0" applyFill="1"/>
    <xf numFmtId="0" fontId="0" fillId="2373" borderId="0" xfId="0" applyFill="1"/>
    <xf numFmtId="0" fontId="0" fillId="2374" borderId="0" xfId="0" applyFill="1"/>
    <xf numFmtId="0" fontId="0" fillId="2375" borderId="0" xfId="0" applyFill="1"/>
    <xf numFmtId="0" fontId="0" fillId="2376" borderId="0" xfId="0" applyFill="1"/>
    <xf numFmtId="0" fontId="0" fillId="2377" borderId="0" xfId="0" applyFill="1"/>
    <xf numFmtId="0" fontId="0" fillId="2378" borderId="0" xfId="0" applyFill="1"/>
    <xf numFmtId="0" fontId="0" fillId="2379" borderId="0" xfId="0" applyFill="1"/>
    <xf numFmtId="0" fontId="0" fillId="2380" borderId="0" xfId="0" applyFill="1"/>
    <xf numFmtId="0" fontId="0" fillId="2381" borderId="0" xfId="0" applyFill="1"/>
    <xf numFmtId="0" fontId="0" fillId="2382" borderId="0" xfId="0" applyFill="1"/>
    <xf numFmtId="0" fontId="0" fillId="2383" borderId="0" xfId="0" applyFill="1"/>
    <xf numFmtId="0" fontId="0" fillId="2384" borderId="0" xfId="0" applyFill="1"/>
    <xf numFmtId="0" fontId="0" fillId="2385" borderId="0" xfId="0" applyFill="1"/>
    <xf numFmtId="0" fontId="0" fillId="2386" borderId="0" xfId="0" applyFill="1"/>
    <xf numFmtId="0" fontId="0" fillId="2387" borderId="0" xfId="0" applyFill="1"/>
    <xf numFmtId="0" fontId="0" fillId="2388" borderId="0" xfId="0" applyFill="1"/>
    <xf numFmtId="0" fontId="0" fillId="2389" borderId="0" xfId="0" applyFill="1"/>
    <xf numFmtId="0" fontId="0" fillId="2390" borderId="0" xfId="0" applyFill="1"/>
    <xf numFmtId="0" fontId="0" fillId="2391" borderId="0" xfId="0" applyFill="1"/>
    <xf numFmtId="0" fontId="0" fillId="2392" borderId="0" xfId="0" applyFill="1"/>
    <xf numFmtId="0" fontId="0" fillId="2393" borderId="0" xfId="0" applyFill="1"/>
    <xf numFmtId="0" fontId="0" fillId="2394" borderId="0" xfId="0" applyFill="1"/>
    <xf numFmtId="0" fontId="0" fillId="2395" borderId="0" xfId="0" applyFill="1"/>
    <xf numFmtId="0" fontId="0" fillId="2396" borderId="0" xfId="0" applyFill="1"/>
    <xf numFmtId="0" fontId="0" fillId="2397" borderId="0" xfId="0" applyFill="1"/>
    <xf numFmtId="0" fontId="0" fillId="2398" borderId="0" xfId="0" applyFill="1"/>
    <xf numFmtId="0" fontId="0" fillId="2399" borderId="0" xfId="0" applyFill="1"/>
    <xf numFmtId="0" fontId="0" fillId="2400" borderId="0" xfId="0" applyFill="1"/>
    <xf numFmtId="0" fontId="0" fillId="2401" borderId="0" xfId="0" applyFill="1"/>
    <xf numFmtId="0" fontId="0" fillId="2402" borderId="0" xfId="0" applyFill="1"/>
    <xf numFmtId="0" fontId="0" fillId="2403" borderId="0" xfId="0" applyFill="1"/>
    <xf numFmtId="0" fontId="0" fillId="2404" borderId="0" xfId="0" applyFill="1"/>
    <xf numFmtId="0" fontId="0" fillId="2405" borderId="0" xfId="0" applyFill="1"/>
    <xf numFmtId="0" fontId="0" fillId="2406" borderId="0" xfId="0" applyFill="1"/>
    <xf numFmtId="0" fontId="0" fillId="2407" borderId="0" xfId="0" applyFill="1"/>
    <xf numFmtId="0" fontId="0" fillId="2408" borderId="0" xfId="0" applyFill="1"/>
    <xf numFmtId="0" fontId="0" fillId="2409" borderId="0" xfId="0" applyFill="1"/>
    <xf numFmtId="0" fontId="0" fillId="2410" borderId="0" xfId="0" applyFill="1"/>
    <xf numFmtId="0" fontId="0" fillId="2411" borderId="0" xfId="0" applyFill="1"/>
    <xf numFmtId="0" fontId="0" fillId="2412" borderId="0" xfId="0" applyFill="1"/>
    <xf numFmtId="0" fontId="0" fillId="2413" borderId="0" xfId="0" applyFill="1"/>
    <xf numFmtId="0" fontId="0" fillId="2414" borderId="0" xfId="0" applyFill="1"/>
    <xf numFmtId="0" fontId="0" fillId="2415" borderId="0" xfId="0" applyFill="1"/>
    <xf numFmtId="0" fontId="0" fillId="2416" borderId="0" xfId="0" applyFill="1"/>
    <xf numFmtId="0" fontId="0" fillId="2417" borderId="0" xfId="0" applyFill="1"/>
    <xf numFmtId="0" fontId="0" fillId="2418" borderId="0" xfId="0" applyFill="1"/>
    <xf numFmtId="0" fontId="0" fillId="2419" borderId="0" xfId="0" applyFill="1"/>
    <xf numFmtId="0" fontId="0" fillId="2420" borderId="0" xfId="0" applyFill="1"/>
    <xf numFmtId="0" fontId="0" fillId="2421" borderId="0" xfId="0" applyFill="1"/>
    <xf numFmtId="0" fontId="0" fillId="2422" borderId="0" xfId="0" applyFill="1"/>
    <xf numFmtId="0" fontId="0" fillId="2423" borderId="0" xfId="0" applyFill="1"/>
    <xf numFmtId="0" fontId="0" fillId="2424" borderId="0" xfId="0" applyFill="1"/>
    <xf numFmtId="0" fontId="0" fillId="2425" borderId="0" xfId="0" applyFill="1"/>
    <xf numFmtId="0" fontId="0" fillId="2426" borderId="0" xfId="0" applyFill="1"/>
    <xf numFmtId="0" fontId="0" fillId="2427" borderId="0" xfId="0" applyFill="1"/>
    <xf numFmtId="0" fontId="0" fillId="2428" borderId="0" xfId="0" applyFill="1"/>
    <xf numFmtId="0" fontId="0" fillId="2429" borderId="0" xfId="0" applyFill="1"/>
    <xf numFmtId="0" fontId="0" fillId="2430" borderId="0" xfId="0" applyFill="1"/>
    <xf numFmtId="0" fontId="0" fillId="2431" borderId="0" xfId="0" applyFill="1"/>
    <xf numFmtId="0" fontId="0" fillId="2432" borderId="0" xfId="0" applyFill="1"/>
    <xf numFmtId="0" fontId="0" fillId="2433" borderId="0" xfId="0" applyFill="1"/>
    <xf numFmtId="0" fontId="0" fillId="2434" borderId="0" xfId="0" applyFill="1"/>
    <xf numFmtId="0" fontId="0" fillId="2435" borderId="0" xfId="0" applyFill="1"/>
    <xf numFmtId="0" fontId="0" fillId="2436" borderId="0" xfId="0" applyFill="1"/>
    <xf numFmtId="0" fontId="0" fillId="2437" borderId="0" xfId="0" applyFill="1"/>
    <xf numFmtId="0" fontId="0" fillId="2438" borderId="0" xfId="0" applyFill="1"/>
    <xf numFmtId="0" fontId="0" fillId="2439" borderId="0" xfId="0" applyFill="1"/>
    <xf numFmtId="0" fontId="0" fillId="2440" borderId="0" xfId="0" applyFill="1"/>
    <xf numFmtId="0" fontId="0" fillId="2441" borderId="0" xfId="0" applyFill="1"/>
    <xf numFmtId="0" fontId="0" fillId="2442" borderId="0" xfId="0" applyFill="1"/>
    <xf numFmtId="0" fontId="0" fillId="2443" borderId="0" xfId="0" applyFill="1"/>
    <xf numFmtId="0" fontId="0" fillId="2444" borderId="0" xfId="0" applyFill="1"/>
    <xf numFmtId="0" fontId="0" fillId="2445" borderId="0" xfId="0" applyFill="1"/>
    <xf numFmtId="0" fontId="0" fillId="2446" borderId="0" xfId="0" applyFill="1"/>
    <xf numFmtId="0" fontId="0" fillId="2447" borderId="0" xfId="0" applyFill="1"/>
    <xf numFmtId="0" fontId="0" fillId="2448" borderId="0" xfId="0" applyFill="1"/>
    <xf numFmtId="0" fontId="0" fillId="2449" borderId="0" xfId="0" applyFill="1"/>
    <xf numFmtId="0" fontId="0" fillId="2450" borderId="0" xfId="0" applyFill="1"/>
    <xf numFmtId="0" fontId="0" fillId="2451" borderId="0" xfId="0" applyFill="1"/>
    <xf numFmtId="0" fontId="0" fillId="2452" borderId="0" xfId="0" applyFill="1"/>
    <xf numFmtId="0" fontId="0" fillId="2453" borderId="0" xfId="0" applyFill="1"/>
    <xf numFmtId="0" fontId="0" fillId="2454" borderId="0" xfId="0" applyFill="1"/>
    <xf numFmtId="0" fontId="0" fillId="2455" borderId="0" xfId="0" applyFill="1"/>
    <xf numFmtId="0" fontId="0" fillId="2456" borderId="0" xfId="0" applyFill="1"/>
    <xf numFmtId="0" fontId="0" fillId="2457" borderId="0" xfId="0" applyFill="1"/>
    <xf numFmtId="0" fontId="0" fillId="2458" borderId="0" xfId="0" applyFill="1"/>
    <xf numFmtId="0" fontId="0" fillId="2459" borderId="0" xfId="0" applyFill="1"/>
    <xf numFmtId="0" fontId="0" fillId="2460" borderId="0" xfId="0" applyFill="1"/>
    <xf numFmtId="0" fontId="0" fillId="2461" borderId="0" xfId="0" applyFill="1"/>
    <xf numFmtId="0" fontId="0" fillId="2462" borderId="0" xfId="0" applyFill="1"/>
    <xf numFmtId="0" fontId="0" fillId="2463" borderId="0" xfId="0" applyFill="1"/>
    <xf numFmtId="0" fontId="0" fillId="2464" borderId="0" xfId="0" applyFill="1"/>
    <xf numFmtId="0" fontId="0" fillId="2465" borderId="0" xfId="0" applyFill="1"/>
    <xf numFmtId="0" fontId="0" fillId="2466" borderId="0" xfId="0" applyFill="1"/>
    <xf numFmtId="0" fontId="0" fillId="2467" borderId="0" xfId="0" applyFill="1"/>
    <xf numFmtId="0" fontId="0" fillId="2468" borderId="0" xfId="0" applyFill="1"/>
    <xf numFmtId="0" fontId="0" fillId="2469" borderId="0" xfId="0" applyFill="1"/>
    <xf numFmtId="0" fontId="0" fillId="2470" borderId="0" xfId="0" applyFill="1"/>
    <xf numFmtId="0" fontId="0" fillId="2471" borderId="0" xfId="0" applyFill="1"/>
    <xf numFmtId="0" fontId="0" fillId="2472" borderId="0" xfId="0" applyFill="1"/>
    <xf numFmtId="0" fontId="0" fillId="2473" borderId="0" xfId="0" applyFill="1"/>
    <xf numFmtId="0" fontId="0" fillId="2474" borderId="0" xfId="0" applyFill="1"/>
    <xf numFmtId="0" fontId="0" fillId="2475" borderId="0" xfId="0" applyFill="1"/>
    <xf numFmtId="0" fontId="0" fillId="2476" borderId="0" xfId="0" applyFill="1"/>
    <xf numFmtId="0" fontId="0" fillId="2477" borderId="0" xfId="0" applyFill="1"/>
    <xf numFmtId="0" fontId="0" fillId="2478" borderId="0" xfId="0" applyFill="1"/>
    <xf numFmtId="0" fontId="0" fillId="2479" borderId="0" xfId="0" applyFill="1"/>
    <xf numFmtId="0" fontId="0" fillId="2480" borderId="0" xfId="0" applyFill="1"/>
    <xf numFmtId="0" fontId="0" fillId="2481" borderId="0" xfId="0" applyFill="1"/>
    <xf numFmtId="0" fontId="0" fillId="2482" borderId="0" xfId="0" applyFill="1"/>
    <xf numFmtId="0" fontId="0" fillId="2483" borderId="0" xfId="0" applyFill="1"/>
    <xf numFmtId="0" fontId="0" fillId="2484" borderId="0" xfId="0" applyFill="1"/>
    <xf numFmtId="0" fontId="0" fillId="2485" borderId="0" xfId="0" applyFill="1"/>
    <xf numFmtId="0" fontId="0" fillId="2486" borderId="0" xfId="0" applyFill="1"/>
    <xf numFmtId="0" fontId="0" fillId="2487" borderId="0" xfId="0" applyFill="1"/>
    <xf numFmtId="0" fontId="0" fillId="2488" borderId="0" xfId="0" applyFill="1"/>
    <xf numFmtId="0" fontId="0" fillId="2489" borderId="0" xfId="0" applyFill="1"/>
    <xf numFmtId="0" fontId="0" fillId="2490" borderId="0" xfId="0" applyFill="1"/>
    <xf numFmtId="0" fontId="0" fillId="2491" borderId="0" xfId="0" applyFill="1"/>
    <xf numFmtId="0" fontId="0" fillId="2492" borderId="0" xfId="0" applyFill="1"/>
    <xf numFmtId="0" fontId="0" fillId="2493" borderId="0" xfId="0" applyFill="1"/>
    <xf numFmtId="0" fontId="0" fillId="2494" borderId="0" xfId="0" applyFill="1"/>
    <xf numFmtId="0" fontId="0" fillId="2495" borderId="0" xfId="0" applyFill="1"/>
    <xf numFmtId="0" fontId="0" fillId="2496" borderId="0" xfId="0" applyFill="1"/>
    <xf numFmtId="0" fontId="0" fillId="2497" borderId="0" xfId="0" applyFill="1"/>
    <xf numFmtId="0" fontId="0" fillId="2498" borderId="0" xfId="0" applyFill="1"/>
    <xf numFmtId="0" fontId="0" fillId="2499" borderId="0" xfId="0" applyFill="1"/>
    <xf numFmtId="0" fontId="0" fillId="2500" borderId="0" xfId="0" applyFill="1"/>
    <xf numFmtId="0" fontId="0" fillId="2501" borderId="0" xfId="0" applyFill="1"/>
    <xf numFmtId="0" fontId="0" fillId="2502" borderId="0" xfId="0" applyFill="1"/>
    <xf numFmtId="0" fontId="0" fillId="2503" borderId="0" xfId="0" applyFill="1"/>
    <xf numFmtId="0" fontId="0" fillId="2504" borderId="0" xfId="0" applyFill="1"/>
    <xf numFmtId="0" fontId="0" fillId="2505" borderId="0" xfId="0" applyFill="1"/>
    <xf numFmtId="0" fontId="0" fillId="2506" borderId="0" xfId="0" applyFill="1"/>
    <xf numFmtId="0" fontId="0" fillId="2507" borderId="0" xfId="0" applyFill="1"/>
    <xf numFmtId="0" fontId="0" fillId="2508" borderId="0" xfId="0" applyFill="1"/>
    <xf numFmtId="0" fontId="0" fillId="2509" borderId="0" xfId="0" applyFill="1"/>
    <xf numFmtId="0" fontId="0" fillId="2510" borderId="0" xfId="0" applyFill="1"/>
    <xf numFmtId="0" fontId="0" fillId="2511" borderId="0" xfId="0" applyFill="1"/>
    <xf numFmtId="0" fontId="0" fillId="2512" borderId="0" xfId="0" applyFill="1"/>
    <xf numFmtId="0" fontId="0" fillId="2513" borderId="0" xfId="0" applyFill="1"/>
    <xf numFmtId="0" fontId="0" fillId="2514" borderId="0" xfId="0" applyFill="1"/>
    <xf numFmtId="0" fontId="0" fillId="2515" borderId="0" xfId="0" applyFill="1"/>
    <xf numFmtId="0" fontId="0" fillId="2516" borderId="0" xfId="0" applyFill="1"/>
    <xf numFmtId="0" fontId="0" fillId="2517" borderId="0" xfId="0" applyFill="1"/>
    <xf numFmtId="0" fontId="0" fillId="2518" borderId="0" xfId="0" applyFill="1"/>
    <xf numFmtId="0" fontId="0" fillId="2519" borderId="0" xfId="0" applyFill="1"/>
    <xf numFmtId="0" fontId="0" fillId="2520" borderId="0" xfId="0" applyFill="1"/>
    <xf numFmtId="0" fontId="0" fillId="2521" borderId="0" xfId="0" applyFill="1"/>
    <xf numFmtId="0" fontId="0" fillId="2522" borderId="0" xfId="0" applyFill="1"/>
    <xf numFmtId="0" fontId="0" fillId="2523" borderId="0" xfId="0" applyFill="1"/>
    <xf numFmtId="0" fontId="0" fillId="2524" borderId="0" xfId="0" applyFill="1"/>
    <xf numFmtId="0" fontId="0" fillId="2525" borderId="0" xfId="0" applyFill="1"/>
    <xf numFmtId="0" fontId="0" fillId="2526" borderId="0" xfId="0" applyFill="1"/>
    <xf numFmtId="0" fontId="0" fillId="2527" borderId="0" xfId="0" applyFill="1"/>
    <xf numFmtId="0" fontId="0" fillId="2528" borderId="0" xfId="0" applyFill="1"/>
    <xf numFmtId="0" fontId="0" fillId="2529" borderId="0" xfId="0" applyFill="1"/>
    <xf numFmtId="0" fontId="0" fillId="2530" borderId="0" xfId="0" applyFill="1"/>
    <xf numFmtId="0" fontId="0" fillId="2531" borderId="0" xfId="0" applyFill="1"/>
    <xf numFmtId="0" fontId="0" fillId="2532" borderId="0" xfId="0" applyFill="1"/>
    <xf numFmtId="0" fontId="0" fillId="2533" borderId="0" xfId="0" applyFill="1"/>
    <xf numFmtId="0" fontId="0" fillId="2534" borderId="0" xfId="0" applyFill="1"/>
    <xf numFmtId="0" fontId="0" fillId="2535" borderId="0" xfId="0" applyFill="1"/>
    <xf numFmtId="0" fontId="0" fillId="2536" borderId="0" xfId="0" applyFill="1"/>
    <xf numFmtId="0" fontId="0" fillId="2537" borderId="0" xfId="0" applyFill="1"/>
    <xf numFmtId="0" fontId="0" fillId="2538" borderId="0" xfId="0" applyFill="1"/>
    <xf numFmtId="0" fontId="0" fillId="2539" borderId="0" xfId="0" applyFill="1"/>
    <xf numFmtId="0" fontId="0" fillId="2540" borderId="0" xfId="0" applyFill="1"/>
    <xf numFmtId="0" fontId="0" fillId="2541" borderId="0" xfId="0" applyFill="1"/>
    <xf numFmtId="0" fontId="0" fillId="2542" borderId="0" xfId="0" applyFill="1"/>
    <xf numFmtId="0" fontId="0" fillId="2543" borderId="0" xfId="0" applyFill="1"/>
    <xf numFmtId="0" fontId="0" fillId="2544" borderId="0" xfId="0" applyFill="1"/>
    <xf numFmtId="0" fontId="0" fillId="2545" borderId="0" xfId="0" applyFill="1"/>
    <xf numFmtId="0" fontId="0" fillId="2546" borderId="0" xfId="0" applyFill="1"/>
    <xf numFmtId="0" fontId="0" fillId="2547" borderId="0" xfId="0" applyFill="1"/>
    <xf numFmtId="0" fontId="0" fillId="2548" borderId="0" xfId="0" applyFill="1"/>
    <xf numFmtId="0" fontId="0" fillId="2549" borderId="0" xfId="0" applyFill="1"/>
    <xf numFmtId="0" fontId="0" fillId="2550" borderId="0" xfId="0" applyFill="1"/>
    <xf numFmtId="0" fontId="0" fillId="2551" borderId="0" xfId="0" applyFill="1"/>
    <xf numFmtId="0" fontId="0" fillId="2552" borderId="0" xfId="0" applyFill="1"/>
    <xf numFmtId="0" fontId="0" fillId="2553" borderId="0" xfId="0" applyFill="1"/>
    <xf numFmtId="0" fontId="0" fillId="2554" borderId="0" xfId="0" applyFill="1"/>
    <xf numFmtId="0" fontId="0" fillId="2555" borderId="0" xfId="0" applyFill="1"/>
    <xf numFmtId="0" fontId="0" fillId="2556" borderId="0" xfId="0" applyFill="1"/>
    <xf numFmtId="0" fontId="0" fillId="2557" borderId="0" xfId="0" applyFill="1"/>
    <xf numFmtId="0" fontId="0" fillId="2558" borderId="0" xfId="0" applyFill="1"/>
    <xf numFmtId="0" fontId="0" fillId="2559" borderId="0" xfId="0" applyFill="1"/>
    <xf numFmtId="0" fontId="0" fillId="2560" borderId="0" xfId="0" applyFill="1"/>
    <xf numFmtId="0" fontId="0" fillId="2561" borderId="0" xfId="0" applyFill="1"/>
    <xf numFmtId="0" fontId="0" fillId="2562" borderId="0" xfId="0" applyFill="1"/>
    <xf numFmtId="0" fontId="0" fillId="2563" borderId="0" xfId="0" applyFill="1"/>
    <xf numFmtId="0" fontId="0" fillId="2564" borderId="0" xfId="0" applyFill="1"/>
    <xf numFmtId="0" fontId="0" fillId="2565" borderId="0" xfId="0" applyFill="1"/>
    <xf numFmtId="0" fontId="0" fillId="2566" borderId="0" xfId="0" applyFill="1"/>
    <xf numFmtId="0" fontId="0" fillId="2567" borderId="0" xfId="0" applyFill="1"/>
    <xf numFmtId="0" fontId="0" fillId="2568" borderId="0" xfId="0" applyFill="1"/>
    <xf numFmtId="0" fontId="0" fillId="2569" borderId="0" xfId="0" applyFill="1"/>
    <xf numFmtId="0" fontId="0" fillId="2570" borderId="0" xfId="0" applyFill="1"/>
    <xf numFmtId="0" fontId="0" fillId="2571" borderId="0" xfId="0" applyFill="1"/>
    <xf numFmtId="0" fontId="0" fillId="2572" borderId="0" xfId="0" applyFill="1"/>
    <xf numFmtId="0" fontId="0" fillId="2573" borderId="0" xfId="0" applyFill="1"/>
    <xf numFmtId="0" fontId="0" fillId="2574" borderId="0" xfId="0" applyFill="1"/>
    <xf numFmtId="0" fontId="0" fillId="2575" borderId="0" xfId="0" applyFill="1"/>
    <xf numFmtId="0" fontId="0" fillId="2576" borderId="0" xfId="0" applyFill="1"/>
    <xf numFmtId="0" fontId="0" fillId="2577" borderId="0" xfId="0" applyFill="1"/>
    <xf numFmtId="0" fontId="0" fillId="2578" borderId="0" xfId="0" applyFill="1"/>
    <xf numFmtId="0" fontId="0" fillId="2579" borderId="0" xfId="0" applyFill="1"/>
    <xf numFmtId="0" fontId="0" fillId="2580" borderId="0" xfId="0" applyFill="1"/>
    <xf numFmtId="0" fontId="0" fillId="2581" borderId="0" xfId="0" applyFill="1"/>
    <xf numFmtId="0" fontId="0" fillId="2582" borderId="0" xfId="0" applyFill="1"/>
    <xf numFmtId="0" fontId="0" fillId="2583" borderId="0" xfId="0" applyFill="1"/>
    <xf numFmtId="0" fontId="0" fillId="2584" borderId="0" xfId="0" applyFill="1"/>
    <xf numFmtId="0" fontId="0" fillId="2585" borderId="0" xfId="0" applyFill="1"/>
    <xf numFmtId="0" fontId="0" fillId="2586" borderId="0" xfId="0" applyFill="1"/>
    <xf numFmtId="0" fontId="0" fillId="2587" borderId="0" xfId="0" applyFill="1"/>
    <xf numFmtId="0" fontId="0" fillId="2588" borderId="0" xfId="0" applyFill="1"/>
    <xf numFmtId="0" fontId="0" fillId="2589" borderId="0" xfId="0" applyFill="1"/>
    <xf numFmtId="0" fontId="0" fillId="2590" borderId="0" xfId="0" applyFill="1"/>
    <xf numFmtId="0" fontId="0" fillId="2591" borderId="0" xfId="0" applyFill="1"/>
    <xf numFmtId="0" fontId="0" fillId="2592" borderId="0" xfId="0" applyFill="1"/>
    <xf numFmtId="0" fontId="0" fillId="2593" borderId="0" xfId="0" applyFill="1"/>
    <xf numFmtId="0" fontId="0" fillId="2594" borderId="0" xfId="0" applyFill="1"/>
    <xf numFmtId="0" fontId="0" fillId="2595" borderId="0" xfId="0" applyFill="1"/>
    <xf numFmtId="0" fontId="0" fillId="2596" borderId="0" xfId="0" applyFill="1"/>
    <xf numFmtId="0" fontId="0" fillId="2597" borderId="0" xfId="0" applyFill="1"/>
    <xf numFmtId="0" fontId="0" fillId="2598" borderId="0" xfId="0" applyFill="1"/>
    <xf numFmtId="0" fontId="0" fillId="2599" borderId="0" xfId="0" applyFill="1"/>
    <xf numFmtId="0" fontId="0" fillId="2600" borderId="0" xfId="0" applyFill="1"/>
    <xf numFmtId="0" fontId="0" fillId="2601" borderId="0" xfId="0" applyFill="1"/>
    <xf numFmtId="0" fontId="0" fillId="2602" borderId="0" xfId="0" applyFill="1"/>
    <xf numFmtId="0" fontId="0" fillId="2603" borderId="0" xfId="0" applyFill="1"/>
    <xf numFmtId="0" fontId="0" fillId="2604" borderId="0" xfId="0" applyFill="1"/>
    <xf numFmtId="0" fontId="0" fillId="2605" borderId="0" xfId="0" applyFill="1"/>
    <xf numFmtId="0" fontId="0" fillId="2606" borderId="0" xfId="0" applyFill="1"/>
    <xf numFmtId="0" fontId="0" fillId="2607" borderId="0" xfId="0" applyFill="1"/>
    <xf numFmtId="0" fontId="0" fillId="2608" borderId="0" xfId="0" applyFill="1"/>
    <xf numFmtId="0" fontId="0" fillId="2609" borderId="0" xfId="0" applyFill="1"/>
    <xf numFmtId="0" fontId="0" fillId="2610" borderId="0" xfId="0" applyFill="1"/>
    <xf numFmtId="0" fontId="0" fillId="2611" borderId="0" xfId="0" applyFill="1"/>
    <xf numFmtId="0" fontId="0" fillId="2612" borderId="0" xfId="0" applyFill="1"/>
    <xf numFmtId="0" fontId="0" fillId="2613" borderId="0" xfId="0" applyFill="1"/>
    <xf numFmtId="0" fontId="0" fillId="2614" borderId="0" xfId="0" applyFill="1"/>
    <xf numFmtId="0" fontId="0" fillId="2615" borderId="0" xfId="0" applyFill="1"/>
    <xf numFmtId="0" fontId="0" fillId="2616" borderId="0" xfId="0" applyFill="1"/>
    <xf numFmtId="0" fontId="0" fillId="2617" borderId="0" xfId="0" applyFill="1"/>
    <xf numFmtId="0" fontId="0" fillId="2618" borderId="0" xfId="0" applyFill="1"/>
    <xf numFmtId="0" fontId="0" fillId="2619" borderId="0" xfId="0" applyFill="1"/>
    <xf numFmtId="0" fontId="0" fillId="2620" borderId="0" xfId="0" applyFill="1"/>
    <xf numFmtId="0" fontId="0" fillId="2621" borderId="0" xfId="0" applyFill="1"/>
    <xf numFmtId="0" fontId="0" fillId="2622" borderId="0" xfId="0" applyFill="1"/>
    <xf numFmtId="0" fontId="0" fillId="2623" borderId="0" xfId="0" applyFill="1"/>
    <xf numFmtId="0" fontId="0" fillId="2624" borderId="0" xfId="0" applyFill="1"/>
    <xf numFmtId="0" fontId="0" fillId="2625" borderId="0" xfId="0" applyFill="1"/>
    <xf numFmtId="0" fontId="0" fillId="2626" borderId="0" xfId="0" applyFill="1"/>
    <xf numFmtId="0" fontId="0" fillId="2627" borderId="0" xfId="0" applyFill="1"/>
    <xf numFmtId="0" fontId="0" fillId="2628" borderId="0" xfId="0" applyFill="1"/>
    <xf numFmtId="0" fontId="0" fillId="2629" borderId="0" xfId="0" applyFill="1"/>
    <xf numFmtId="0" fontId="0" fillId="2630" borderId="0" xfId="0" applyFill="1"/>
    <xf numFmtId="0" fontId="0" fillId="2631" borderId="0" xfId="0" applyFill="1"/>
    <xf numFmtId="0" fontId="0" fillId="2632" borderId="0" xfId="0" applyFill="1"/>
    <xf numFmtId="0" fontId="0" fillId="2633" borderId="0" xfId="0" applyFill="1"/>
    <xf numFmtId="0" fontId="0" fillId="2634" borderId="0" xfId="0" applyFill="1"/>
    <xf numFmtId="0" fontId="0" fillId="2635" borderId="0" xfId="0" applyFill="1"/>
    <xf numFmtId="0" fontId="0" fillId="2636" borderId="0" xfId="0" applyFill="1"/>
    <xf numFmtId="0" fontId="0" fillId="2637" borderId="0" xfId="0" applyFill="1"/>
    <xf numFmtId="0" fontId="0" fillId="2638" borderId="0" xfId="0" applyFill="1"/>
    <xf numFmtId="0" fontId="0" fillId="2639" borderId="0" xfId="0" applyFill="1"/>
    <xf numFmtId="0" fontId="0" fillId="2640" borderId="0" xfId="0" applyFill="1"/>
    <xf numFmtId="0" fontId="0" fillId="2641" borderId="0" xfId="0" applyFill="1"/>
    <xf numFmtId="0" fontId="0" fillId="2642" borderId="0" xfId="0" applyFill="1"/>
    <xf numFmtId="0" fontId="0" fillId="2643" borderId="0" xfId="0" applyFill="1"/>
    <xf numFmtId="0" fontId="0" fillId="2644" borderId="0" xfId="0" applyFill="1"/>
    <xf numFmtId="0" fontId="0" fillId="2645" borderId="0" xfId="0" applyFill="1"/>
    <xf numFmtId="0" fontId="0" fillId="2646" borderId="0" xfId="0" applyFill="1"/>
    <xf numFmtId="0" fontId="0" fillId="2647" borderId="0" xfId="0" applyFill="1"/>
    <xf numFmtId="0" fontId="0" fillId="2648" borderId="0" xfId="0" applyFill="1"/>
    <xf numFmtId="0" fontId="0" fillId="2649" borderId="0" xfId="0" applyFill="1"/>
    <xf numFmtId="0" fontId="0" fillId="2650" borderId="0" xfId="0" applyFill="1"/>
    <xf numFmtId="0" fontId="0" fillId="2651" borderId="0" xfId="0" applyFill="1"/>
    <xf numFmtId="0" fontId="0" fillId="2652" borderId="0" xfId="0" applyFill="1"/>
    <xf numFmtId="0" fontId="0" fillId="2653" borderId="0" xfId="0" applyFill="1"/>
    <xf numFmtId="0" fontId="0" fillId="2654" borderId="0" xfId="0" applyFill="1"/>
    <xf numFmtId="0" fontId="0" fillId="2655" borderId="0" xfId="0" applyFill="1"/>
    <xf numFmtId="0" fontId="0" fillId="2656" borderId="0" xfId="0" applyFill="1"/>
    <xf numFmtId="0" fontId="0" fillId="2657" borderId="0" xfId="0" applyFill="1"/>
    <xf numFmtId="0" fontId="0" fillId="2658" borderId="0" xfId="0" applyFill="1"/>
    <xf numFmtId="0" fontId="0" fillId="2659" borderId="0" xfId="0" applyFill="1"/>
    <xf numFmtId="0" fontId="0" fillId="2660" borderId="0" xfId="0" applyFill="1"/>
    <xf numFmtId="0" fontId="0" fillId="2661" borderId="0" xfId="0" applyFill="1"/>
    <xf numFmtId="0" fontId="0" fillId="2662" borderId="0" xfId="0" applyFill="1"/>
    <xf numFmtId="0" fontId="0" fillId="2663" borderId="0" xfId="0" applyFill="1"/>
    <xf numFmtId="0" fontId="0" fillId="2664" borderId="0" xfId="0" applyFill="1"/>
    <xf numFmtId="0" fontId="0" fillId="2665" borderId="0" xfId="0" applyFill="1"/>
    <xf numFmtId="0" fontId="0" fillId="2666" borderId="0" xfId="0" applyFill="1"/>
    <xf numFmtId="0" fontId="0" fillId="2667" borderId="0" xfId="0" applyFill="1"/>
    <xf numFmtId="0" fontId="0" fillId="2668" borderId="0" xfId="0" applyFill="1"/>
    <xf numFmtId="0" fontId="0" fillId="2669" borderId="0" xfId="0" applyFill="1"/>
    <xf numFmtId="0" fontId="0" fillId="2670" borderId="0" xfId="0" applyFill="1"/>
    <xf numFmtId="0" fontId="0" fillId="2671" borderId="0" xfId="0" applyFill="1"/>
    <xf numFmtId="0" fontId="0" fillId="2672" borderId="0" xfId="0" applyFill="1"/>
    <xf numFmtId="0" fontId="0" fillId="2673" borderId="0" xfId="0" applyFill="1"/>
    <xf numFmtId="0" fontId="0" fillId="2674" borderId="0" xfId="0" applyFill="1"/>
    <xf numFmtId="0" fontId="0" fillId="2675" borderId="0" xfId="0" applyFill="1"/>
    <xf numFmtId="0" fontId="0" fillId="2676" borderId="0" xfId="0" applyFill="1"/>
    <xf numFmtId="0" fontId="0" fillId="2677" borderId="0" xfId="0" applyFill="1"/>
    <xf numFmtId="0" fontId="0" fillId="2678" borderId="0" xfId="0" applyFill="1"/>
    <xf numFmtId="0" fontId="0" fillId="2679" borderId="0" xfId="0" applyFill="1"/>
    <xf numFmtId="0" fontId="0" fillId="2680" borderId="0" xfId="0" applyFill="1"/>
    <xf numFmtId="0" fontId="0" fillId="2681" borderId="0" xfId="0" applyFill="1"/>
    <xf numFmtId="0" fontId="0" fillId="2682" borderId="0" xfId="0" applyFill="1"/>
    <xf numFmtId="0" fontId="0" fillId="2683" borderId="0" xfId="0" applyFill="1"/>
    <xf numFmtId="0" fontId="0" fillId="2684" borderId="0" xfId="0" applyFill="1"/>
    <xf numFmtId="0" fontId="0" fillId="2685" borderId="0" xfId="0" applyFill="1"/>
    <xf numFmtId="0" fontId="0" fillId="2686" borderId="0" xfId="0" applyFill="1"/>
    <xf numFmtId="0" fontId="0" fillId="2687" borderId="0" xfId="0" applyFill="1"/>
    <xf numFmtId="0" fontId="0" fillId="2688" borderId="0" xfId="0" applyFill="1"/>
    <xf numFmtId="0" fontId="0" fillId="2689" borderId="0" xfId="0" applyFill="1"/>
    <xf numFmtId="0" fontId="0" fillId="2690" borderId="0" xfId="0" applyFill="1"/>
    <xf numFmtId="0" fontId="0" fillId="2691" borderId="0" xfId="0" applyFill="1"/>
    <xf numFmtId="0" fontId="0" fillId="2692" borderId="0" xfId="0" applyFill="1"/>
    <xf numFmtId="0" fontId="0" fillId="2693" borderId="0" xfId="0" applyFill="1"/>
    <xf numFmtId="0" fontId="0" fillId="2694" borderId="0" xfId="0" applyFill="1"/>
    <xf numFmtId="0" fontId="0" fillId="2695" borderId="0" xfId="0" applyFill="1"/>
    <xf numFmtId="0" fontId="0" fillId="2696" borderId="0" xfId="0" applyFill="1"/>
    <xf numFmtId="0" fontId="0" fillId="2697" borderId="0" xfId="0" applyFill="1"/>
    <xf numFmtId="0" fontId="0" fillId="2698" borderId="0" xfId="0" applyFill="1"/>
    <xf numFmtId="0" fontId="0" fillId="2699" borderId="0" xfId="0" applyFill="1"/>
    <xf numFmtId="0" fontId="0" fillId="2700" borderId="0" xfId="0" applyFill="1"/>
    <xf numFmtId="0" fontId="0" fillId="2701" borderId="0" xfId="0" applyFill="1"/>
    <xf numFmtId="0" fontId="0" fillId="2702" borderId="0" xfId="0" applyFill="1"/>
    <xf numFmtId="0" fontId="0" fillId="2703" borderId="0" xfId="0" applyFill="1"/>
    <xf numFmtId="0" fontId="0" fillId="2704" borderId="0" xfId="0" applyFill="1"/>
    <xf numFmtId="0" fontId="0" fillId="2705" borderId="0" xfId="0" applyFill="1"/>
    <xf numFmtId="0" fontId="0" fillId="2706" borderId="0" xfId="0" applyFill="1"/>
    <xf numFmtId="0" fontId="0" fillId="2707" borderId="0" xfId="0" applyFill="1"/>
    <xf numFmtId="0" fontId="0" fillId="2708" borderId="0" xfId="0" applyFill="1"/>
    <xf numFmtId="0" fontId="0" fillId="2709" borderId="0" xfId="0" applyFill="1"/>
    <xf numFmtId="0" fontId="0" fillId="2710" borderId="0" xfId="0" applyFill="1"/>
    <xf numFmtId="0" fontId="0" fillId="2711" borderId="0" xfId="0" applyFill="1"/>
    <xf numFmtId="0" fontId="0" fillId="2712" borderId="0" xfId="0" applyFill="1"/>
    <xf numFmtId="0" fontId="0" fillId="2713" borderId="0" xfId="0" applyFill="1"/>
    <xf numFmtId="0" fontId="0" fillId="2714" borderId="0" xfId="0" applyFill="1"/>
    <xf numFmtId="0" fontId="0" fillId="2715" borderId="0" xfId="0" applyFill="1"/>
    <xf numFmtId="0" fontId="0" fillId="2716" borderId="0" xfId="0" applyFill="1"/>
    <xf numFmtId="0" fontId="0" fillId="2717" borderId="0" xfId="0" applyFill="1"/>
    <xf numFmtId="0" fontId="0" fillId="2718" borderId="0" xfId="0" applyFill="1"/>
    <xf numFmtId="0" fontId="0" fillId="2719" borderId="0" xfId="0" applyFill="1"/>
    <xf numFmtId="0" fontId="0" fillId="2720" borderId="0" xfId="0" applyFill="1"/>
    <xf numFmtId="0" fontId="0" fillId="2721" borderId="0" xfId="0" applyFill="1"/>
    <xf numFmtId="0" fontId="0" fillId="2722" borderId="0" xfId="0" applyFill="1"/>
    <xf numFmtId="0" fontId="0" fillId="2723" borderId="0" xfId="0" applyFill="1"/>
    <xf numFmtId="0" fontId="0" fillId="2724" borderId="0" xfId="0" applyFill="1"/>
    <xf numFmtId="0" fontId="0" fillId="2725" borderId="0" xfId="0" applyFill="1"/>
    <xf numFmtId="0" fontId="0" fillId="2726" borderId="0" xfId="0" applyFill="1"/>
    <xf numFmtId="0" fontId="0" fillId="2727" borderId="0" xfId="0" applyFill="1"/>
    <xf numFmtId="0" fontId="0" fillId="2728" borderId="0" xfId="0" applyFill="1"/>
    <xf numFmtId="0" fontId="0" fillId="2729" borderId="0" xfId="0" applyFill="1"/>
    <xf numFmtId="0" fontId="0" fillId="2730" borderId="0" xfId="0" applyFill="1"/>
    <xf numFmtId="0" fontId="0" fillId="2731" borderId="0" xfId="0" applyFill="1"/>
    <xf numFmtId="0" fontId="0" fillId="2732" borderId="0" xfId="0" applyFill="1"/>
    <xf numFmtId="0" fontId="0" fillId="2733" borderId="0" xfId="0" applyFill="1"/>
    <xf numFmtId="0" fontId="0" fillId="2734" borderId="0" xfId="0" applyFill="1"/>
    <xf numFmtId="0" fontId="0" fillId="2735" borderId="0" xfId="0" applyFill="1"/>
    <xf numFmtId="0" fontId="0" fillId="2736" borderId="0" xfId="0" applyFill="1"/>
    <xf numFmtId="0" fontId="0" fillId="2737" borderId="0" xfId="0" applyFill="1"/>
    <xf numFmtId="0" fontId="0" fillId="2738" borderId="0" xfId="0" applyFill="1"/>
    <xf numFmtId="0" fontId="0" fillId="2739" borderId="0" xfId="0" applyFill="1"/>
    <xf numFmtId="0" fontId="0" fillId="2740" borderId="0" xfId="0" applyFill="1"/>
    <xf numFmtId="0" fontId="0" fillId="2741" borderId="0" xfId="0" applyFill="1"/>
    <xf numFmtId="0" fontId="0" fillId="2742" borderId="0" xfId="0" applyFill="1"/>
    <xf numFmtId="0" fontId="0" fillId="2743" borderId="0" xfId="0" applyFill="1"/>
    <xf numFmtId="0" fontId="0" fillId="2744" borderId="0" xfId="0" applyFill="1"/>
    <xf numFmtId="0" fontId="0" fillId="2745" borderId="0" xfId="0" applyFill="1"/>
    <xf numFmtId="0" fontId="0" fillId="2746" borderId="0" xfId="0" applyFill="1"/>
    <xf numFmtId="0" fontId="0" fillId="2747" borderId="0" xfId="0" applyFill="1"/>
    <xf numFmtId="0" fontId="0" fillId="2748" borderId="0" xfId="0" applyFill="1"/>
    <xf numFmtId="0" fontId="0" fillId="2749" borderId="0" xfId="0" applyFill="1"/>
    <xf numFmtId="0" fontId="0" fillId="2750" borderId="0" xfId="0" applyFill="1"/>
    <xf numFmtId="0" fontId="0" fillId="2751" borderId="0" xfId="0" applyFill="1"/>
    <xf numFmtId="0" fontId="0" fillId="2752" borderId="0" xfId="0" applyFill="1"/>
    <xf numFmtId="0" fontId="0" fillId="2753" borderId="0" xfId="0" applyFill="1"/>
    <xf numFmtId="0" fontId="0" fillId="2754" borderId="0" xfId="0" applyFill="1"/>
    <xf numFmtId="0" fontId="0" fillId="2755" borderId="0" xfId="0" applyFill="1"/>
    <xf numFmtId="0" fontId="0" fillId="2756" borderId="0" xfId="0" applyFill="1"/>
    <xf numFmtId="0" fontId="0" fillId="2757" borderId="0" xfId="0" applyFill="1"/>
    <xf numFmtId="0" fontId="0" fillId="2758" borderId="0" xfId="0" applyFill="1"/>
    <xf numFmtId="0" fontId="0" fillId="2759" borderId="0" xfId="0" applyFill="1"/>
    <xf numFmtId="0" fontId="0" fillId="2760" borderId="0" xfId="0" applyFill="1"/>
    <xf numFmtId="0" fontId="0" fillId="2761" borderId="0" xfId="0" applyFill="1"/>
    <xf numFmtId="0" fontId="0" fillId="2762" borderId="0" xfId="0" applyFill="1"/>
    <xf numFmtId="0" fontId="0" fillId="2763" borderId="0" xfId="0" applyFill="1"/>
    <xf numFmtId="0" fontId="0" fillId="2764" borderId="0" xfId="0" applyFill="1"/>
    <xf numFmtId="0" fontId="0" fillId="2765" borderId="0" xfId="0" applyFill="1"/>
    <xf numFmtId="0" fontId="0" fillId="2766" borderId="0" xfId="0" applyFill="1"/>
    <xf numFmtId="0" fontId="0" fillId="2767" borderId="0" xfId="0" applyFill="1"/>
    <xf numFmtId="0" fontId="0" fillId="2768" borderId="0" xfId="0" applyFill="1"/>
    <xf numFmtId="0" fontId="0" fillId="2769" borderId="0" xfId="0" applyFill="1"/>
    <xf numFmtId="0" fontId="0" fillId="2770" borderId="0" xfId="0" applyFill="1"/>
    <xf numFmtId="0" fontId="0" fillId="2771" borderId="0" xfId="0" applyFill="1"/>
    <xf numFmtId="0" fontId="0" fillId="2772" borderId="0" xfId="0" applyFill="1"/>
    <xf numFmtId="0" fontId="0" fillId="2773" borderId="0" xfId="0" applyFill="1"/>
    <xf numFmtId="0" fontId="0" fillId="2774" borderId="0" xfId="0" applyFill="1"/>
    <xf numFmtId="0" fontId="0" fillId="2775" borderId="0" xfId="0" applyFill="1"/>
    <xf numFmtId="0" fontId="0" fillId="2776" borderId="0" xfId="0" applyFill="1"/>
    <xf numFmtId="0" fontId="0" fillId="2777" borderId="0" xfId="0" applyFill="1"/>
    <xf numFmtId="0" fontId="0" fillId="2778" borderId="0" xfId="0" applyFill="1"/>
    <xf numFmtId="0" fontId="0" fillId="2779" borderId="0" xfId="0" applyFill="1"/>
    <xf numFmtId="0" fontId="0" fillId="2780" borderId="0" xfId="0" applyFill="1"/>
    <xf numFmtId="0" fontId="0" fillId="2781" borderId="0" xfId="0" applyFill="1"/>
    <xf numFmtId="0" fontId="0" fillId="2782" borderId="0" xfId="0" applyFill="1"/>
    <xf numFmtId="0" fontId="0" fillId="2783" borderId="0" xfId="0" applyFill="1"/>
    <xf numFmtId="0" fontId="0" fillId="2784" borderId="0" xfId="0" applyFill="1"/>
    <xf numFmtId="0" fontId="0" fillId="2785" borderId="0" xfId="0" applyFill="1"/>
    <xf numFmtId="0" fontId="0" fillId="2786" borderId="0" xfId="0" applyFill="1"/>
    <xf numFmtId="0" fontId="0" fillId="2787" borderId="0" xfId="0" applyFill="1"/>
    <xf numFmtId="0" fontId="0" fillId="2788" borderId="0" xfId="0" applyFill="1"/>
    <xf numFmtId="0" fontId="0" fillId="2789" borderId="0" xfId="0" applyFill="1"/>
    <xf numFmtId="0" fontId="0" fillId="2790" borderId="0" xfId="0" applyFill="1"/>
    <xf numFmtId="0" fontId="0" fillId="2791" borderId="0" xfId="0" applyFill="1"/>
    <xf numFmtId="0" fontId="0" fillId="2792" borderId="0" xfId="0" applyFill="1"/>
    <xf numFmtId="0" fontId="0" fillId="2793" borderId="0" xfId="0" applyFill="1"/>
    <xf numFmtId="0" fontId="0" fillId="2794" borderId="0" xfId="0" applyFill="1"/>
    <xf numFmtId="0" fontId="0" fillId="2795" borderId="0" xfId="0" applyFill="1"/>
    <xf numFmtId="0" fontId="0" fillId="2796" borderId="0" xfId="0" applyFill="1"/>
    <xf numFmtId="0" fontId="0" fillId="2797" borderId="0" xfId="0" applyFill="1"/>
    <xf numFmtId="0" fontId="0" fillId="2798" borderId="0" xfId="0" applyFill="1"/>
    <xf numFmtId="0" fontId="0" fillId="2799" borderId="0" xfId="0" applyFill="1"/>
    <xf numFmtId="0" fontId="0" fillId="2800" borderId="0" xfId="0" applyFill="1"/>
    <xf numFmtId="0" fontId="0" fillId="2801" borderId="0" xfId="0" applyFill="1"/>
    <xf numFmtId="0" fontId="0" fillId="2802" borderId="0" xfId="0" applyFill="1"/>
    <xf numFmtId="0" fontId="0" fillId="2803" borderId="0" xfId="0" applyFill="1"/>
    <xf numFmtId="0" fontId="0" fillId="2804" borderId="0" xfId="0" applyFill="1"/>
    <xf numFmtId="0" fontId="0" fillId="2805" borderId="0" xfId="0" applyFill="1"/>
    <xf numFmtId="0" fontId="0" fillId="2806" borderId="0" xfId="0" applyFill="1"/>
    <xf numFmtId="0" fontId="0" fillId="2807" borderId="0" xfId="0" applyFill="1"/>
    <xf numFmtId="0" fontId="0" fillId="2808" borderId="0" xfId="0" applyFill="1"/>
    <xf numFmtId="0" fontId="0" fillId="2809" borderId="0" xfId="0" applyFill="1"/>
    <xf numFmtId="0" fontId="0" fillId="2810" borderId="0" xfId="0" applyFill="1"/>
    <xf numFmtId="0" fontId="0" fillId="2811" borderId="0" xfId="0" applyFill="1"/>
    <xf numFmtId="0" fontId="0" fillId="2812" borderId="0" xfId="0" applyFill="1"/>
    <xf numFmtId="0" fontId="0" fillId="2813" borderId="0" xfId="0" applyFill="1"/>
    <xf numFmtId="0" fontId="0" fillId="2814" borderId="0" xfId="0" applyFill="1"/>
    <xf numFmtId="0" fontId="0" fillId="2815" borderId="0" xfId="0" applyFill="1"/>
    <xf numFmtId="0" fontId="0" fillId="2816" borderId="0" xfId="0" applyFill="1"/>
    <xf numFmtId="0" fontId="0" fillId="2817" borderId="0" xfId="0" applyFill="1"/>
    <xf numFmtId="0" fontId="0" fillId="2818" borderId="0" xfId="0" applyFill="1"/>
    <xf numFmtId="0" fontId="0" fillId="2819" borderId="0" xfId="0" applyFill="1"/>
    <xf numFmtId="0" fontId="0" fillId="2820" borderId="0" xfId="0" applyFill="1"/>
    <xf numFmtId="0" fontId="0" fillId="2821" borderId="0" xfId="0" applyFill="1"/>
    <xf numFmtId="0" fontId="0" fillId="2822" borderId="0" xfId="0" applyFill="1"/>
    <xf numFmtId="0" fontId="0" fillId="2823" borderId="0" xfId="0" applyFill="1"/>
    <xf numFmtId="0" fontId="0" fillId="2824" borderId="0" xfId="0" applyFill="1"/>
    <xf numFmtId="0" fontId="0" fillId="2825" borderId="0" xfId="0" applyFill="1"/>
    <xf numFmtId="0" fontId="0" fillId="2826" borderId="0" xfId="0" applyFill="1"/>
    <xf numFmtId="0" fontId="0" fillId="2827" borderId="0" xfId="0" applyFill="1"/>
    <xf numFmtId="0" fontId="0" fillId="2828" borderId="0" xfId="0" applyFill="1"/>
    <xf numFmtId="0" fontId="0" fillId="2829" borderId="0" xfId="0" applyFill="1"/>
    <xf numFmtId="0" fontId="0" fillId="2830" borderId="0" xfId="0" applyFill="1"/>
    <xf numFmtId="0" fontId="0" fillId="2831" borderId="0" xfId="0" applyFill="1"/>
    <xf numFmtId="0" fontId="0" fillId="2832" borderId="0" xfId="0" applyFill="1"/>
    <xf numFmtId="0" fontId="0" fillId="2833" borderId="0" xfId="0" applyFill="1"/>
    <xf numFmtId="0" fontId="0" fillId="2834" borderId="0" xfId="0" applyFill="1"/>
    <xf numFmtId="0" fontId="0" fillId="2835" borderId="0" xfId="0" applyFill="1"/>
    <xf numFmtId="0" fontId="0" fillId="2836" borderId="0" xfId="0" applyFill="1"/>
    <xf numFmtId="0" fontId="0" fillId="2837" borderId="0" xfId="0" applyFill="1"/>
    <xf numFmtId="0" fontId="0" fillId="2838" borderId="0" xfId="0" applyFill="1"/>
    <xf numFmtId="0" fontId="0" fillId="2839" borderId="0" xfId="0" applyFill="1"/>
    <xf numFmtId="0" fontId="0" fillId="2840" borderId="0" xfId="0" applyFill="1"/>
    <xf numFmtId="0" fontId="0" fillId="2841" borderId="0" xfId="0" applyFill="1"/>
    <xf numFmtId="0" fontId="0" fillId="2842" borderId="0" xfId="0" applyFill="1"/>
    <xf numFmtId="0" fontId="0" fillId="2843" borderId="0" xfId="0" applyFill="1"/>
    <xf numFmtId="0" fontId="0" fillId="2844" borderId="0" xfId="0" applyFill="1"/>
    <xf numFmtId="0" fontId="0" fillId="2845" borderId="0" xfId="0" applyFill="1"/>
    <xf numFmtId="0" fontId="0" fillId="2846" borderId="0" xfId="0" applyFill="1"/>
    <xf numFmtId="0" fontId="0" fillId="2847" borderId="0" xfId="0" applyFill="1"/>
    <xf numFmtId="0" fontId="0" fillId="2848" borderId="0" xfId="0" applyFill="1"/>
    <xf numFmtId="0" fontId="0" fillId="2849" borderId="0" xfId="0" applyFill="1"/>
    <xf numFmtId="0" fontId="0" fillId="2850" borderId="0" xfId="0" applyFill="1"/>
    <xf numFmtId="0" fontId="0" fillId="2851" borderId="0" xfId="0" applyFill="1"/>
    <xf numFmtId="0" fontId="0" fillId="2852" borderId="0" xfId="0" applyFill="1"/>
    <xf numFmtId="0" fontId="0" fillId="2853" borderId="0" xfId="0" applyFill="1"/>
    <xf numFmtId="0" fontId="0" fillId="2854" borderId="0" xfId="0" applyFill="1"/>
    <xf numFmtId="0" fontId="0" fillId="2855" borderId="0" xfId="0" applyFill="1"/>
    <xf numFmtId="0" fontId="0" fillId="2856" borderId="0" xfId="0" applyFill="1"/>
    <xf numFmtId="0" fontId="0" fillId="2857" borderId="0" xfId="0" applyFill="1"/>
    <xf numFmtId="0" fontId="0" fillId="2858" borderId="0" xfId="0" applyFill="1"/>
    <xf numFmtId="0" fontId="0" fillId="2859" borderId="0" xfId="0" applyFill="1"/>
    <xf numFmtId="0" fontId="0" fillId="2860" borderId="0" xfId="0" applyFill="1"/>
    <xf numFmtId="0" fontId="0" fillId="2861" borderId="0" xfId="0" applyFill="1"/>
    <xf numFmtId="0" fontId="0" fillId="2862" borderId="0" xfId="0" applyFill="1"/>
    <xf numFmtId="0" fontId="0" fillId="2863" borderId="0" xfId="0" applyFill="1"/>
    <xf numFmtId="0" fontId="0" fillId="2864" borderId="0" xfId="0" applyFill="1"/>
    <xf numFmtId="0" fontId="0" fillId="2865" borderId="0" xfId="0" applyFill="1"/>
    <xf numFmtId="0" fontId="0" fillId="2866" borderId="0" xfId="0" applyFill="1"/>
    <xf numFmtId="0" fontId="0" fillId="2867" borderId="0" xfId="0" applyFill="1"/>
    <xf numFmtId="0" fontId="0" fillId="2868" borderId="0" xfId="0" applyFill="1"/>
    <xf numFmtId="0" fontId="0" fillId="2869" borderId="0" xfId="0" applyFill="1"/>
    <xf numFmtId="0" fontId="0" fillId="2870" borderId="0" xfId="0" applyFill="1"/>
    <xf numFmtId="0" fontId="0" fillId="2871" borderId="0" xfId="0" applyFill="1"/>
    <xf numFmtId="0" fontId="0" fillId="2872" borderId="0" xfId="0" applyFill="1"/>
    <xf numFmtId="0" fontId="0" fillId="2873" borderId="0" xfId="0" applyFill="1"/>
    <xf numFmtId="0" fontId="0" fillId="2874" borderId="0" xfId="0" applyFill="1"/>
    <xf numFmtId="0" fontId="0" fillId="2875" borderId="0" xfId="0" applyFill="1"/>
    <xf numFmtId="0" fontId="0" fillId="2876" borderId="0" xfId="0" applyFill="1"/>
    <xf numFmtId="0" fontId="0" fillId="2877" borderId="0" xfId="0" applyFill="1"/>
    <xf numFmtId="0" fontId="0" fillId="2878" borderId="0" xfId="0" applyFill="1"/>
    <xf numFmtId="0" fontId="0" fillId="2879" borderId="0" xfId="0" applyFill="1"/>
    <xf numFmtId="0" fontId="0" fillId="2880" borderId="0" xfId="0" applyFill="1"/>
    <xf numFmtId="0" fontId="0" fillId="2881" borderId="0" xfId="0" applyFill="1"/>
    <xf numFmtId="0" fontId="0" fillId="2882" borderId="0" xfId="0" applyFill="1"/>
    <xf numFmtId="0" fontId="0" fillId="2883" borderId="0" xfId="0" applyFill="1"/>
    <xf numFmtId="0" fontId="0" fillId="2884" borderId="0" xfId="0" applyFill="1"/>
    <xf numFmtId="0" fontId="0" fillId="2885" borderId="0" xfId="0" applyFill="1"/>
    <xf numFmtId="0" fontId="0" fillId="2886" borderId="0" xfId="0" applyFill="1"/>
    <xf numFmtId="0" fontId="0" fillId="2887" borderId="0" xfId="0" applyFill="1"/>
    <xf numFmtId="0" fontId="0" fillId="2888" borderId="0" xfId="0" applyFill="1"/>
    <xf numFmtId="0" fontId="0" fillId="2889" borderId="0" xfId="0" applyFill="1"/>
    <xf numFmtId="0" fontId="0" fillId="2890" borderId="0" xfId="0" applyFill="1"/>
    <xf numFmtId="0" fontId="0" fillId="2891" borderId="0" xfId="0" applyFill="1"/>
    <xf numFmtId="0" fontId="0" fillId="2892" borderId="0" xfId="0" applyFill="1"/>
    <xf numFmtId="0" fontId="0" fillId="2893" borderId="0" xfId="0" applyFill="1"/>
    <xf numFmtId="0" fontId="0" fillId="2894" borderId="0" xfId="0" applyFill="1"/>
    <xf numFmtId="0" fontId="0" fillId="2895" borderId="0" xfId="0" applyFill="1"/>
    <xf numFmtId="0" fontId="0" fillId="2896" borderId="0" xfId="0" applyFill="1"/>
    <xf numFmtId="0" fontId="0" fillId="2897" borderId="0" xfId="0" applyFill="1"/>
    <xf numFmtId="0" fontId="0" fillId="2898" borderId="0" xfId="0" applyFill="1"/>
    <xf numFmtId="0" fontId="0" fillId="2899" borderId="0" xfId="0" applyFill="1"/>
    <xf numFmtId="0" fontId="0" fillId="2900" borderId="0" xfId="0" applyFill="1"/>
    <xf numFmtId="0" fontId="0" fillId="2901" borderId="0" xfId="0" applyFill="1"/>
    <xf numFmtId="0" fontId="0" fillId="2902" borderId="0" xfId="0" applyFill="1"/>
    <xf numFmtId="0" fontId="0" fillId="2903" borderId="0" xfId="0" applyFill="1"/>
    <xf numFmtId="0" fontId="0" fillId="2904" borderId="0" xfId="0" applyFill="1"/>
    <xf numFmtId="0" fontId="0" fillId="2905" borderId="0" xfId="0" applyFill="1"/>
    <xf numFmtId="0" fontId="0" fillId="2906" borderId="0" xfId="0" applyFill="1"/>
    <xf numFmtId="0" fontId="0" fillId="2907" borderId="0" xfId="0" applyFill="1"/>
    <xf numFmtId="0" fontId="0" fillId="2908" borderId="0" xfId="0" applyFill="1"/>
    <xf numFmtId="0" fontId="0" fillId="2909" borderId="0" xfId="0" applyFill="1"/>
    <xf numFmtId="0" fontId="0" fillId="2910" borderId="0" xfId="0" applyFill="1"/>
    <xf numFmtId="0" fontId="0" fillId="2911" borderId="0" xfId="0" applyFill="1"/>
    <xf numFmtId="0" fontId="0" fillId="2912" borderId="0" xfId="0" applyFill="1"/>
    <xf numFmtId="0" fontId="0" fillId="2913" borderId="0" xfId="0" applyFill="1"/>
    <xf numFmtId="0" fontId="0" fillId="2914" borderId="0" xfId="0" applyFill="1"/>
    <xf numFmtId="0" fontId="0" fillId="2915" borderId="0" xfId="0" applyFill="1"/>
    <xf numFmtId="0" fontId="0" fillId="2916" borderId="0" xfId="0" applyFill="1"/>
    <xf numFmtId="0" fontId="0" fillId="2917" borderId="0" xfId="0" applyFill="1"/>
    <xf numFmtId="0" fontId="0" fillId="2918" borderId="0" xfId="0" applyFill="1"/>
    <xf numFmtId="0" fontId="0" fillId="2919" borderId="0" xfId="0" applyFill="1"/>
    <xf numFmtId="0" fontId="0" fillId="2920" borderId="0" xfId="0" applyFill="1"/>
    <xf numFmtId="0" fontId="0" fillId="2921" borderId="0" xfId="0" applyFill="1"/>
    <xf numFmtId="0" fontId="0" fillId="2922" borderId="0" xfId="0" applyFill="1"/>
    <xf numFmtId="0" fontId="0" fillId="2923" borderId="0" xfId="0" applyFill="1"/>
    <xf numFmtId="0" fontId="0" fillId="2924" borderId="0" xfId="0" applyFill="1"/>
    <xf numFmtId="0" fontId="0" fillId="2925" borderId="0" xfId="0" applyFill="1"/>
    <xf numFmtId="0" fontId="0" fillId="2926" borderId="0" xfId="0" applyFill="1"/>
    <xf numFmtId="0" fontId="0" fillId="2927" borderId="0" xfId="0" applyFill="1"/>
    <xf numFmtId="0" fontId="0" fillId="2928" borderId="0" xfId="0" applyFill="1"/>
    <xf numFmtId="0" fontId="0" fillId="2929" borderId="0" xfId="0" applyFill="1"/>
    <xf numFmtId="0" fontId="0" fillId="2930" borderId="0" xfId="0" applyFill="1"/>
    <xf numFmtId="0" fontId="0" fillId="2931" borderId="0" xfId="0" applyFill="1"/>
    <xf numFmtId="0" fontId="0" fillId="2932" borderId="0" xfId="0" applyFill="1"/>
    <xf numFmtId="0" fontId="0" fillId="2933" borderId="0" xfId="0" applyFill="1"/>
    <xf numFmtId="0" fontId="0" fillId="2934" borderId="0" xfId="0" applyFill="1"/>
    <xf numFmtId="0" fontId="0" fillId="2935" borderId="0" xfId="0" applyFill="1"/>
    <xf numFmtId="0" fontId="0" fillId="2936" borderId="0" xfId="0" applyFill="1"/>
    <xf numFmtId="0" fontId="0" fillId="2937" borderId="0" xfId="0" applyFill="1"/>
    <xf numFmtId="0" fontId="0" fillId="2938" borderId="0" xfId="0" applyFill="1"/>
    <xf numFmtId="0" fontId="0" fillId="2939" borderId="0" xfId="0" applyFill="1"/>
    <xf numFmtId="0" fontId="0" fillId="2940" borderId="0" xfId="0" applyFill="1"/>
    <xf numFmtId="0" fontId="0" fillId="2941" borderId="0" xfId="0" applyFill="1"/>
    <xf numFmtId="0" fontId="0" fillId="2942" borderId="0" xfId="0" applyFill="1"/>
    <xf numFmtId="0" fontId="0" fillId="2943" borderId="0" xfId="0" applyFill="1"/>
    <xf numFmtId="0" fontId="0" fillId="2944" borderId="0" xfId="0" applyFill="1"/>
    <xf numFmtId="0" fontId="0" fillId="2945" borderId="0" xfId="0" applyFill="1"/>
    <xf numFmtId="0" fontId="0" fillId="2946" borderId="0" xfId="0" applyFill="1"/>
    <xf numFmtId="0" fontId="0" fillId="2947" borderId="0" xfId="0" applyFill="1"/>
    <xf numFmtId="0" fontId="0" fillId="2948" borderId="0" xfId="0" applyFill="1"/>
    <xf numFmtId="0" fontId="0" fillId="2949" borderId="0" xfId="0" applyFill="1"/>
    <xf numFmtId="0" fontId="0" fillId="2950" borderId="0" xfId="0" applyFill="1"/>
    <xf numFmtId="0" fontId="0" fillId="2951" borderId="0" xfId="0" applyFill="1"/>
    <xf numFmtId="0" fontId="0" fillId="2952" borderId="0" xfId="0" applyFill="1"/>
    <xf numFmtId="0" fontId="0" fillId="2953" borderId="0" xfId="0" applyFill="1"/>
    <xf numFmtId="0" fontId="0" fillId="2954" borderId="0" xfId="0" applyFill="1"/>
    <xf numFmtId="0" fontId="0" fillId="2955" borderId="0" xfId="0" applyFill="1"/>
    <xf numFmtId="0" fontId="0" fillId="2956" borderId="0" xfId="0" applyFill="1"/>
    <xf numFmtId="0" fontId="0" fillId="2957" borderId="0" xfId="0" applyFill="1"/>
    <xf numFmtId="0" fontId="0" fillId="2958" borderId="0" xfId="0" applyFill="1"/>
    <xf numFmtId="0" fontId="0" fillId="2959" borderId="0" xfId="0" applyFill="1"/>
    <xf numFmtId="0" fontId="0" fillId="2960" borderId="0" xfId="0" applyFill="1"/>
    <xf numFmtId="0" fontId="0" fillId="2961" borderId="0" xfId="0" applyFill="1"/>
    <xf numFmtId="0" fontId="0" fillId="2962" borderId="0" xfId="0" applyFill="1"/>
    <xf numFmtId="0" fontId="0" fillId="2963" borderId="0" xfId="0" applyFill="1"/>
    <xf numFmtId="0" fontId="0" fillId="2964" borderId="0" xfId="0" applyFill="1"/>
    <xf numFmtId="0" fontId="0" fillId="2965" borderId="0" xfId="0" applyFill="1"/>
    <xf numFmtId="0" fontId="0" fillId="2966" borderId="0" xfId="0" applyFill="1"/>
    <xf numFmtId="0" fontId="0" fillId="2967" borderId="0" xfId="0" applyFill="1"/>
    <xf numFmtId="0" fontId="0" fillId="2968" borderId="0" xfId="0" applyFill="1"/>
    <xf numFmtId="0" fontId="0" fillId="2969" borderId="0" xfId="0" applyFill="1"/>
    <xf numFmtId="0" fontId="0" fillId="2970" borderId="0" xfId="0" applyFill="1"/>
    <xf numFmtId="0" fontId="0" fillId="2971" borderId="0" xfId="0" applyFill="1"/>
    <xf numFmtId="0" fontId="0" fillId="2972" borderId="0" xfId="0" applyFill="1"/>
    <xf numFmtId="0" fontId="0" fillId="2973" borderId="0" xfId="0" applyFill="1"/>
    <xf numFmtId="0" fontId="0" fillId="2974" borderId="0" xfId="0" applyFill="1"/>
    <xf numFmtId="0" fontId="0" fillId="2975" borderId="0" xfId="0" applyFill="1"/>
    <xf numFmtId="0" fontId="0" fillId="2976" borderId="0" xfId="0" applyFill="1"/>
    <xf numFmtId="0" fontId="0" fillId="2977" borderId="0" xfId="0" applyFill="1"/>
    <xf numFmtId="0" fontId="0" fillId="2978" borderId="0" xfId="0" applyFill="1"/>
    <xf numFmtId="0" fontId="0" fillId="2979" borderId="0" xfId="0" applyFill="1"/>
    <xf numFmtId="0" fontId="0" fillId="2980" borderId="0" xfId="0" applyFill="1"/>
    <xf numFmtId="0" fontId="0" fillId="2981" borderId="0" xfId="0" applyFill="1"/>
    <xf numFmtId="0" fontId="0" fillId="2982" borderId="0" xfId="0" applyFill="1"/>
    <xf numFmtId="0" fontId="0" fillId="2983" borderId="0" xfId="0" applyFill="1"/>
    <xf numFmtId="0" fontId="0" fillId="2984" borderId="0" xfId="0" applyFill="1"/>
    <xf numFmtId="0" fontId="0" fillId="2985" borderId="0" xfId="0" applyFill="1"/>
    <xf numFmtId="0" fontId="0" fillId="2986" borderId="0" xfId="0" applyFill="1"/>
    <xf numFmtId="0" fontId="0" fillId="2987" borderId="0" xfId="0" applyFill="1"/>
    <xf numFmtId="0" fontId="0" fillId="2988" borderId="0" xfId="0" applyFill="1"/>
    <xf numFmtId="0" fontId="0" fillId="2989" borderId="0" xfId="0" applyFill="1"/>
    <xf numFmtId="0" fontId="0" fillId="2990" borderId="0" xfId="0" applyFill="1"/>
    <xf numFmtId="0" fontId="0" fillId="2991" borderId="0" xfId="0" applyFill="1"/>
    <xf numFmtId="0" fontId="0" fillId="2992" borderId="0" xfId="0" applyFill="1"/>
    <xf numFmtId="0" fontId="0" fillId="2993" borderId="0" xfId="0" applyFill="1"/>
    <xf numFmtId="0" fontId="0" fillId="2994" borderId="0" xfId="0" applyFill="1"/>
    <xf numFmtId="0" fontId="0" fillId="2995" borderId="0" xfId="0" applyFill="1"/>
    <xf numFmtId="0" fontId="0" fillId="2996" borderId="0" xfId="0" applyFill="1"/>
    <xf numFmtId="0" fontId="0" fillId="2997" borderId="0" xfId="0" applyFill="1"/>
    <xf numFmtId="0" fontId="0" fillId="2998" borderId="0" xfId="0" applyFill="1"/>
    <xf numFmtId="0" fontId="0" fillId="2999" borderId="0" xfId="0" applyFill="1"/>
    <xf numFmtId="0" fontId="0" fillId="3000" borderId="0" xfId="0" applyFill="1"/>
    <xf numFmtId="0" fontId="0" fillId="3001" borderId="0" xfId="0" applyFill="1"/>
    <xf numFmtId="0" fontId="0" fillId="3002" borderId="0" xfId="0" applyFill="1"/>
    <xf numFmtId="0" fontId="0" fillId="3003" borderId="0" xfId="0" applyFill="1"/>
    <xf numFmtId="0" fontId="0" fillId="3004" borderId="0" xfId="0" applyFill="1"/>
    <xf numFmtId="0" fontId="0" fillId="3005" borderId="0" xfId="0" applyFill="1"/>
    <xf numFmtId="0" fontId="0" fillId="3006" borderId="0" xfId="0" applyFill="1"/>
    <xf numFmtId="0" fontId="0" fillId="3007" borderId="0" xfId="0" applyFill="1"/>
    <xf numFmtId="0" fontId="0" fillId="3008" borderId="0" xfId="0" applyFill="1"/>
    <xf numFmtId="0" fontId="0" fillId="3009" borderId="0" xfId="0" applyFill="1"/>
    <xf numFmtId="0" fontId="0" fillId="3010" borderId="0" xfId="0" applyFill="1"/>
    <xf numFmtId="0" fontId="0" fillId="3011" borderId="0" xfId="0" applyFill="1"/>
    <xf numFmtId="0" fontId="0" fillId="3012" borderId="0" xfId="0" applyFill="1"/>
    <xf numFmtId="0" fontId="0" fillId="3013" borderId="0" xfId="0" applyFill="1"/>
    <xf numFmtId="0" fontId="0" fillId="3014" borderId="0" xfId="0" applyFill="1"/>
    <xf numFmtId="0" fontId="0" fillId="3015" borderId="0" xfId="0" applyFill="1"/>
    <xf numFmtId="0" fontId="0" fillId="3016" borderId="0" xfId="0" applyFill="1"/>
    <xf numFmtId="0" fontId="0" fillId="3017" borderId="0" xfId="0" applyFill="1"/>
    <xf numFmtId="0" fontId="0" fillId="3018" borderId="0" xfId="0" applyFill="1"/>
    <xf numFmtId="0" fontId="0" fillId="3019" borderId="0" xfId="0" applyFill="1"/>
    <xf numFmtId="0" fontId="0" fillId="3020" borderId="0" xfId="0" applyFill="1"/>
    <xf numFmtId="0" fontId="0" fillId="3021" borderId="0" xfId="0" applyFill="1"/>
    <xf numFmtId="0" fontId="0" fillId="3022" borderId="0" xfId="0" applyFill="1"/>
    <xf numFmtId="0" fontId="0" fillId="3023" borderId="0" xfId="0" applyFill="1"/>
    <xf numFmtId="0" fontId="0" fillId="3024" borderId="0" xfId="0" applyFill="1"/>
    <xf numFmtId="0" fontId="0" fillId="3025" borderId="0" xfId="0" applyFill="1"/>
    <xf numFmtId="0" fontId="0" fillId="3026" borderId="0" xfId="0" applyFill="1"/>
    <xf numFmtId="0" fontId="0" fillId="3027" borderId="0" xfId="0" applyFill="1"/>
    <xf numFmtId="0" fontId="0" fillId="3028" borderId="0" xfId="0" applyFill="1"/>
    <xf numFmtId="0" fontId="0" fillId="3029" borderId="0" xfId="0" applyFill="1"/>
    <xf numFmtId="0" fontId="0" fillId="3030" borderId="0" xfId="0" applyFill="1"/>
    <xf numFmtId="0" fontId="0" fillId="3031" borderId="0" xfId="0" applyFill="1"/>
    <xf numFmtId="0" fontId="0" fillId="3032" borderId="0" xfId="0" applyFill="1"/>
    <xf numFmtId="0" fontId="0" fillId="3033" borderId="0" xfId="0" applyFill="1"/>
    <xf numFmtId="0" fontId="0" fillId="3034" borderId="0" xfId="0" applyFill="1"/>
    <xf numFmtId="0" fontId="0" fillId="3035" borderId="0" xfId="0" applyFill="1"/>
    <xf numFmtId="0" fontId="0" fillId="3036" borderId="0" xfId="0" applyFill="1"/>
    <xf numFmtId="0" fontId="0" fillId="3037" borderId="0" xfId="0" applyFill="1"/>
    <xf numFmtId="0" fontId="0" fillId="3038" borderId="0" xfId="0" applyFill="1"/>
    <xf numFmtId="0" fontId="0" fillId="3039" borderId="0" xfId="0" applyFill="1"/>
    <xf numFmtId="0" fontId="0" fillId="3040" borderId="0" xfId="0" applyFill="1"/>
    <xf numFmtId="0" fontId="0" fillId="3041" borderId="0" xfId="0" applyFill="1"/>
    <xf numFmtId="0" fontId="0" fillId="3042" borderId="0" xfId="0" applyFill="1"/>
    <xf numFmtId="0" fontId="0" fillId="3043" borderId="0" xfId="0" applyFill="1"/>
    <xf numFmtId="0" fontId="0" fillId="3044" borderId="0" xfId="0" applyFill="1"/>
    <xf numFmtId="0" fontId="0" fillId="3045" borderId="0" xfId="0" applyFill="1"/>
    <xf numFmtId="0" fontId="0" fillId="3046" borderId="0" xfId="0" applyFill="1"/>
    <xf numFmtId="0" fontId="0" fillId="3047" borderId="0" xfId="0" applyFill="1"/>
    <xf numFmtId="0" fontId="0" fillId="3048" borderId="0" xfId="0" applyFill="1"/>
    <xf numFmtId="0" fontId="0" fillId="3049" borderId="0" xfId="0" applyFill="1"/>
    <xf numFmtId="0" fontId="0" fillId="3050" borderId="0" xfId="0" applyFill="1"/>
    <xf numFmtId="0" fontId="0" fillId="3051" borderId="0" xfId="0" applyFill="1"/>
    <xf numFmtId="0" fontId="0" fillId="3052" borderId="0" xfId="0" applyFill="1"/>
    <xf numFmtId="0" fontId="0" fillId="3053" borderId="0" xfId="0" applyFill="1"/>
    <xf numFmtId="0" fontId="0" fillId="3054" borderId="0" xfId="0" applyFill="1"/>
    <xf numFmtId="0" fontId="0" fillId="3055" borderId="0" xfId="0" applyFill="1"/>
    <xf numFmtId="0" fontId="0" fillId="3056" borderId="0" xfId="0" applyFill="1"/>
    <xf numFmtId="0" fontId="0" fillId="3057" borderId="0" xfId="0" applyFill="1"/>
    <xf numFmtId="0" fontId="0" fillId="3058" borderId="0" xfId="0" applyFill="1"/>
    <xf numFmtId="0" fontId="0" fillId="3059" borderId="0" xfId="0" applyFill="1"/>
    <xf numFmtId="0" fontId="0" fillId="3060" borderId="0" xfId="0" applyFill="1"/>
    <xf numFmtId="0" fontId="0" fillId="3061" borderId="0" xfId="0" applyFill="1"/>
    <xf numFmtId="0" fontId="0" fillId="3062" borderId="0" xfId="0" applyFill="1"/>
    <xf numFmtId="0" fontId="0" fillId="3063" borderId="0" xfId="0" applyFill="1"/>
    <xf numFmtId="0" fontId="0" fillId="3064" borderId="0" xfId="0" applyFill="1"/>
    <xf numFmtId="0" fontId="0" fillId="3065" borderId="0" xfId="0" applyFill="1"/>
    <xf numFmtId="0" fontId="0" fillId="3066" borderId="0" xfId="0" applyFill="1"/>
    <xf numFmtId="0" fontId="0" fillId="3067" borderId="0" xfId="0" applyFill="1"/>
    <xf numFmtId="0" fontId="0" fillId="3068" borderId="0" xfId="0" applyFill="1"/>
    <xf numFmtId="0" fontId="0" fillId="3069" borderId="0" xfId="0" applyFill="1"/>
    <xf numFmtId="0" fontId="0" fillId="3070" borderId="0" xfId="0" applyFill="1"/>
    <xf numFmtId="0" fontId="0" fillId="3071" borderId="0" xfId="0" applyFill="1"/>
    <xf numFmtId="0" fontId="0" fillId="3072" borderId="0" xfId="0" applyFill="1"/>
    <xf numFmtId="0" fontId="0" fillId="3073" borderId="0" xfId="0" applyFill="1"/>
    <xf numFmtId="0" fontId="0" fillId="3074" borderId="0" xfId="0" applyFill="1"/>
    <xf numFmtId="0" fontId="0" fillId="3075" borderId="0" xfId="0" applyFill="1"/>
    <xf numFmtId="0" fontId="0" fillId="3076" borderId="0" xfId="0" applyFill="1"/>
    <xf numFmtId="0" fontId="0" fillId="3077" borderId="0" xfId="0" applyFill="1"/>
    <xf numFmtId="0" fontId="0" fillId="3078" borderId="0" xfId="0" applyFill="1"/>
    <xf numFmtId="0" fontId="0" fillId="3079" borderId="0" xfId="0" applyFill="1"/>
    <xf numFmtId="0" fontId="0" fillId="3080" borderId="0" xfId="0" applyFill="1"/>
    <xf numFmtId="0" fontId="0" fillId="3081" borderId="0" xfId="0" applyFill="1"/>
    <xf numFmtId="0" fontId="0" fillId="3082" borderId="0" xfId="0" applyFill="1"/>
    <xf numFmtId="0" fontId="0" fillId="3083" borderId="0" xfId="0" applyFill="1"/>
    <xf numFmtId="0" fontId="0" fillId="3084" borderId="0" xfId="0" applyFill="1"/>
    <xf numFmtId="0" fontId="0" fillId="3085" borderId="0" xfId="0" applyFill="1"/>
    <xf numFmtId="0" fontId="0" fillId="3086" borderId="0" xfId="0" applyFill="1"/>
    <xf numFmtId="0" fontId="0" fillId="3087" borderId="0" xfId="0" applyFill="1"/>
    <xf numFmtId="0" fontId="0" fillId="3088" borderId="0" xfId="0" applyFill="1"/>
    <xf numFmtId="0" fontId="0" fillId="3089" borderId="0" xfId="0" applyFill="1"/>
    <xf numFmtId="0" fontId="0" fillId="3090" borderId="0" xfId="0" applyFill="1"/>
    <xf numFmtId="0" fontId="0" fillId="3091" borderId="0" xfId="0" applyFill="1"/>
    <xf numFmtId="0" fontId="0" fillId="3092" borderId="0" xfId="0" applyFill="1"/>
    <xf numFmtId="0" fontId="0" fillId="3093" borderId="0" xfId="0" applyFill="1"/>
    <xf numFmtId="0" fontId="0" fillId="3094" borderId="0" xfId="0" applyFill="1"/>
    <xf numFmtId="0" fontId="0" fillId="3095" borderId="0" xfId="0" applyFill="1"/>
    <xf numFmtId="0" fontId="0" fillId="3096" borderId="0" xfId="0" applyFill="1"/>
    <xf numFmtId="0" fontId="0" fillId="3097" borderId="0" xfId="0" applyFill="1"/>
    <xf numFmtId="0" fontId="0" fillId="3098" borderId="0" xfId="0" applyFill="1"/>
    <xf numFmtId="0" fontId="0" fillId="3099" borderId="0" xfId="0" applyFill="1"/>
    <xf numFmtId="0" fontId="0" fillId="3100" borderId="0" xfId="0" applyFill="1"/>
    <xf numFmtId="0" fontId="0" fillId="3101" borderId="0" xfId="0" applyFill="1"/>
    <xf numFmtId="0" fontId="0" fillId="3102" borderId="0" xfId="0" applyFill="1"/>
    <xf numFmtId="0" fontId="0" fillId="3103" borderId="0" xfId="0" applyFill="1"/>
    <xf numFmtId="0" fontId="0" fillId="3104" borderId="0" xfId="0" applyFill="1"/>
    <xf numFmtId="0" fontId="0" fillId="3105" borderId="0" xfId="0" applyFill="1"/>
    <xf numFmtId="0" fontId="0" fillId="3106" borderId="0" xfId="0" applyFill="1"/>
    <xf numFmtId="0" fontId="0" fillId="3107" borderId="0" xfId="0" applyFill="1"/>
    <xf numFmtId="0" fontId="0" fillId="3108" borderId="0" xfId="0" applyFill="1"/>
    <xf numFmtId="0" fontId="0" fillId="3109" borderId="0" xfId="0" applyFill="1"/>
    <xf numFmtId="0" fontId="0" fillId="3110" borderId="0" xfId="0" applyFill="1"/>
    <xf numFmtId="0" fontId="0" fillId="3111" borderId="0" xfId="0" applyFill="1"/>
    <xf numFmtId="0" fontId="0" fillId="3112" borderId="0" xfId="0" applyFill="1"/>
    <xf numFmtId="0" fontId="0" fillId="3113" borderId="0" xfId="0" applyFill="1"/>
    <xf numFmtId="0" fontId="0" fillId="3114" borderId="0" xfId="0" applyFill="1"/>
    <xf numFmtId="0" fontId="0" fillId="3115" borderId="0" xfId="0" applyFill="1"/>
    <xf numFmtId="0" fontId="0" fillId="3116" borderId="0" xfId="0" applyFill="1"/>
    <xf numFmtId="0" fontId="0" fillId="3117" borderId="0" xfId="0" applyFill="1"/>
    <xf numFmtId="0" fontId="0" fillId="3118" borderId="0" xfId="0" applyFill="1"/>
    <xf numFmtId="0" fontId="0" fillId="3119" borderId="0" xfId="0" applyFill="1"/>
    <xf numFmtId="0" fontId="0" fillId="3120" borderId="0" xfId="0" applyFill="1"/>
    <xf numFmtId="0" fontId="0" fillId="3121" borderId="0" xfId="0" applyFill="1"/>
    <xf numFmtId="0" fontId="0" fillId="3122" borderId="0" xfId="0" applyFill="1"/>
    <xf numFmtId="0" fontId="0" fillId="3123" borderId="0" xfId="0" applyFill="1"/>
    <xf numFmtId="0" fontId="0" fillId="3124" borderId="0" xfId="0" applyFill="1"/>
    <xf numFmtId="0" fontId="0" fillId="3125" borderId="0" xfId="0" applyFill="1"/>
    <xf numFmtId="0" fontId="0" fillId="3126" borderId="0" xfId="0" applyFill="1"/>
    <xf numFmtId="0" fontId="0" fillId="3127" borderId="0" xfId="0" applyFill="1"/>
    <xf numFmtId="0" fontId="0" fillId="3128" borderId="0" xfId="0" applyFill="1"/>
    <xf numFmtId="0" fontId="0" fillId="3129" borderId="0" xfId="0" applyFill="1"/>
    <xf numFmtId="0" fontId="0" fillId="3130" borderId="0" xfId="0" applyFill="1"/>
    <xf numFmtId="0" fontId="0" fillId="3131" borderId="0" xfId="0" applyFill="1"/>
    <xf numFmtId="0" fontId="0" fillId="3132" borderId="0" xfId="0" applyFill="1"/>
    <xf numFmtId="0" fontId="0" fillId="3133" borderId="0" xfId="0" applyFill="1"/>
    <xf numFmtId="0" fontId="0" fillId="3134" borderId="0" xfId="0" applyFill="1"/>
    <xf numFmtId="0" fontId="0" fillId="3135" borderId="0" xfId="0" applyFill="1"/>
    <xf numFmtId="0" fontId="0" fillId="3136" borderId="0" xfId="0" applyFill="1"/>
    <xf numFmtId="0" fontId="0" fillId="3137" borderId="0" xfId="0" applyFill="1"/>
    <xf numFmtId="0" fontId="0" fillId="3138" borderId="0" xfId="0" applyFill="1"/>
    <xf numFmtId="0" fontId="0" fillId="3139" borderId="0" xfId="0" applyFill="1"/>
    <xf numFmtId="0" fontId="0" fillId="3140" borderId="0" xfId="0" applyFill="1"/>
    <xf numFmtId="0" fontId="0" fillId="3141" borderId="0" xfId="0" applyFill="1"/>
    <xf numFmtId="0" fontId="0" fillId="3142" borderId="0" xfId="0" applyFill="1"/>
    <xf numFmtId="0" fontId="0" fillId="3143" borderId="0" xfId="0" applyFill="1"/>
    <xf numFmtId="0" fontId="0" fillId="3144" borderId="0" xfId="0" applyFill="1"/>
    <xf numFmtId="0" fontId="0" fillId="3145" borderId="0" xfId="0" applyFill="1"/>
    <xf numFmtId="0" fontId="0" fillId="3146" borderId="0" xfId="0" applyFill="1"/>
    <xf numFmtId="0" fontId="0" fillId="3147" borderId="0" xfId="0" applyFill="1"/>
    <xf numFmtId="0" fontId="0" fillId="3148" borderId="0" xfId="0" applyFill="1"/>
    <xf numFmtId="0" fontId="0" fillId="3149" borderId="0" xfId="0" applyFill="1"/>
    <xf numFmtId="0" fontId="0" fillId="3150" borderId="0" xfId="0" applyFill="1"/>
    <xf numFmtId="0" fontId="0" fillId="3151" borderId="0" xfId="0" applyFill="1"/>
    <xf numFmtId="0" fontId="0" fillId="3152" borderId="0" xfId="0" applyFill="1"/>
    <xf numFmtId="0" fontId="0" fillId="3153" borderId="0" xfId="0" applyFill="1"/>
    <xf numFmtId="0" fontId="0" fillId="3154" borderId="0" xfId="0" applyFill="1"/>
    <xf numFmtId="0" fontId="0" fillId="3155" borderId="0" xfId="0" applyFill="1"/>
    <xf numFmtId="0" fontId="0" fillId="3156" borderId="0" xfId="0" applyFill="1"/>
    <xf numFmtId="0" fontId="0" fillId="3157" borderId="0" xfId="0" applyFill="1"/>
    <xf numFmtId="0" fontId="0" fillId="3158" borderId="0" xfId="0" applyFill="1"/>
    <xf numFmtId="0" fontId="0" fillId="3159" borderId="0" xfId="0" applyFill="1"/>
    <xf numFmtId="0" fontId="0" fillId="3160" borderId="0" xfId="0" applyFill="1"/>
    <xf numFmtId="0" fontId="0" fillId="3161" borderId="0" xfId="0" applyFill="1"/>
    <xf numFmtId="0" fontId="0" fillId="3162" borderId="0" xfId="0" applyFill="1"/>
    <xf numFmtId="0" fontId="0" fillId="3163" borderId="0" xfId="0" applyFill="1"/>
    <xf numFmtId="0" fontId="0" fillId="3164" borderId="0" xfId="0" applyFill="1"/>
    <xf numFmtId="0" fontId="0" fillId="3165" borderId="0" xfId="0" applyFill="1"/>
    <xf numFmtId="0" fontId="0" fillId="3166" borderId="0" xfId="0" applyFill="1"/>
    <xf numFmtId="0" fontId="0" fillId="3167" borderId="0" xfId="0" applyFill="1"/>
    <xf numFmtId="0" fontId="0" fillId="3168" borderId="0" xfId="0" applyFill="1"/>
    <xf numFmtId="0" fontId="0" fillId="3169" borderId="0" xfId="0" applyFill="1"/>
    <xf numFmtId="0" fontId="0" fillId="3170" borderId="0" xfId="0" applyFill="1"/>
    <xf numFmtId="0" fontId="0" fillId="3171" borderId="0" xfId="0" applyFill="1"/>
    <xf numFmtId="0" fontId="0" fillId="3172" borderId="0" xfId="0" applyFill="1"/>
    <xf numFmtId="0" fontId="0" fillId="3173" borderId="0" xfId="0" applyFill="1"/>
    <xf numFmtId="0" fontId="0" fillId="3174" borderId="0" xfId="0" applyFill="1"/>
    <xf numFmtId="0" fontId="0" fillId="3175" borderId="0" xfId="0" applyFill="1"/>
    <xf numFmtId="0" fontId="0" fillId="3176" borderId="0" xfId="0" applyFill="1"/>
    <xf numFmtId="0" fontId="0" fillId="3177" borderId="0" xfId="0" applyFill="1"/>
    <xf numFmtId="0" fontId="0" fillId="3178" borderId="0" xfId="0" applyFill="1"/>
    <xf numFmtId="0" fontId="0" fillId="3179" borderId="0" xfId="0" applyFill="1"/>
    <xf numFmtId="0" fontId="0" fillId="3180" borderId="0" xfId="0" applyFill="1"/>
    <xf numFmtId="0" fontId="0" fillId="3181" borderId="0" xfId="0" applyFill="1"/>
    <xf numFmtId="0" fontId="0" fillId="3182" borderId="0" xfId="0" applyFill="1"/>
    <xf numFmtId="0" fontId="0" fillId="3183" borderId="0" xfId="0" applyFill="1"/>
    <xf numFmtId="0" fontId="0" fillId="3184" borderId="0" xfId="0" applyFill="1"/>
    <xf numFmtId="0" fontId="0" fillId="3185" borderId="0" xfId="0" applyFill="1"/>
    <xf numFmtId="0" fontId="0" fillId="3186" borderId="0" xfId="0" applyFill="1"/>
    <xf numFmtId="0" fontId="0" fillId="3187" borderId="0" xfId="0" applyFill="1"/>
    <xf numFmtId="0" fontId="0" fillId="3188" borderId="0" xfId="0" applyFill="1"/>
    <xf numFmtId="0" fontId="0" fillId="3189" borderId="0" xfId="0" applyFill="1"/>
    <xf numFmtId="0" fontId="0" fillId="3190" borderId="0" xfId="0" applyFill="1"/>
    <xf numFmtId="0" fontId="0" fillId="3191" borderId="0" xfId="0" applyFill="1"/>
    <xf numFmtId="0" fontId="0" fillId="3192" borderId="0" xfId="0" applyFill="1"/>
    <xf numFmtId="0" fontId="0" fillId="3193" borderId="0" xfId="0" applyFill="1"/>
    <xf numFmtId="0" fontId="0" fillId="3194" borderId="0" xfId="0" applyFill="1"/>
    <xf numFmtId="0" fontId="0" fillId="3195" borderId="0" xfId="0" applyFill="1"/>
    <xf numFmtId="0" fontId="0" fillId="3196" borderId="0" xfId="0" applyFill="1"/>
    <xf numFmtId="0" fontId="0" fillId="3197" borderId="0" xfId="0" applyFill="1"/>
    <xf numFmtId="0" fontId="0" fillId="3198" borderId="0" xfId="0" applyFill="1"/>
    <xf numFmtId="0" fontId="0" fillId="3199" borderId="0" xfId="0" applyFill="1"/>
    <xf numFmtId="0" fontId="0" fillId="3200" borderId="0" xfId="0" applyFill="1"/>
    <xf numFmtId="0" fontId="0" fillId="3201" borderId="0" xfId="0" applyFill="1"/>
    <xf numFmtId="0" fontId="0" fillId="3202" borderId="0" xfId="0" applyFill="1"/>
    <xf numFmtId="0" fontId="0" fillId="3203" borderId="0" xfId="0" applyFill="1"/>
    <xf numFmtId="0" fontId="0" fillId="3204" borderId="0" xfId="0" applyFill="1"/>
    <xf numFmtId="0" fontId="0" fillId="3205" borderId="0" xfId="0" applyFill="1"/>
    <xf numFmtId="0" fontId="0" fillId="3206" borderId="0" xfId="0" applyFill="1"/>
    <xf numFmtId="0" fontId="0" fillId="3207" borderId="0" xfId="0" applyFill="1"/>
    <xf numFmtId="0" fontId="0" fillId="3208" borderId="0" xfId="0" applyFill="1"/>
    <xf numFmtId="0" fontId="0" fillId="3209" borderId="0" xfId="0" applyFill="1"/>
    <xf numFmtId="0" fontId="0" fillId="3210" borderId="0" xfId="0" applyFill="1"/>
    <xf numFmtId="0" fontId="0" fillId="3211" borderId="0" xfId="0" applyFill="1"/>
    <xf numFmtId="0" fontId="0" fillId="3212" borderId="0" xfId="0" applyFill="1"/>
    <xf numFmtId="0" fontId="0" fillId="3213" borderId="0" xfId="0" applyFill="1"/>
    <xf numFmtId="0" fontId="0" fillId="3214" borderId="0" xfId="0" applyFill="1"/>
    <xf numFmtId="0" fontId="0" fillId="3215" borderId="0" xfId="0" applyFill="1"/>
    <xf numFmtId="0" fontId="0" fillId="3216" borderId="0" xfId="0" applyFill="1"/>
    <xf numFmtId="0" fontId="0" fillId="3217" borderId="0" xfId="0" applyFill="1"/>
    <xf numFmtId="0" fontId="0" fillId="3218" borderId="0" xfId="0" applyFill="1"/>
    <xf numFmtId="0" fontId="0" fillId="3219" borderId="0" xfId="0" applyFill="1"/>
    <xf numFmtId="0" fontId="0" fillId="3220" borderId="0" xfId="0" applyFill="1"/>
    <xf numFmtId="0" fontId="0" fillId="3221" borderId="0" xfId="0" applyFill="1"/>
    <xf numFmtId="0" fontId="0" fillId="3222" borderId="0" xfId="0" applyFill="1"/>
    <xf numFmtId="0" fontId="0" fillId="3223" borderId="0" xfId="0" applyFill="1"/>
    <xf numFmtId="0" fontId="0" fillId="3224" borderId="0" xfId="0" applyFill="1"/>
    <xf numFmtId="0" fontId="0" fillId="3225" borderId="0" xfId="0" applyFill="1"/>
    <xf numFmtId="0" fontId="0" fillId="3226" borderId="0" xfId="0" applyFill="1"/>
    <xf numFmtId="0" fontId="0" fillId="3227" borderId="0" xfId="0" applyFill="1"/>
    <xf numFmtId="0" fontId="0" fillId="3228" borderId="0" xfId="0" applyFill="1"/>
    <xf numFmtId="0" fontId="0" fillId="3229" borderId="0" xfId="0" applyFill="1"/>
    <xf numFmtId="0" fontId="0" fillId="3230" borderId="0" xfId="0" applyFill="1"/>
    <xf numFmtId="0" fontId="0" fillId="3231" borderId="0" xfId="0" applyFill="1"/>
    <xf numFmtId="0" fontId="0" fillId="3232" borderId="0" xfId="0" applyFill="1"/>
    <xf numFmtId="0" fontId="0" fillId="3233" borderId="0" xfId="0" applyFill="1"/>
    <xf numFmtId="0" fontId="0" fillId="3234" borderId="0" xfId="0" applyFill="1"/>
    <xf numFmtId="0" fontId="0" fillId="3235" borderId="0" xfId="0" applyFill="1"/>
    <xf numFmtId="0" fontId="0" fillId="3236" borderId="0" xfId="0" applyFill="1"/>
    <xf numFmtId="0" fontId="0" fillId="3237" borderId="0" xfId="0" applyFill="1"/>
    <xf numFmtId="0" fontId="0" fillId="3238" borderId="0" xfId="0" applyFill="1"/>
    <xf numFmtId="0" fontId="0" fillId="3239" borderId="0" xfId="0" applyFill="1"/>
    <xf numFmtId="0" fontId="0" fillId="3240" borderId="0" xfId="0" applyFill="1"/>
    <xf numFmtId="0" fontId="0" fillId="3241" borderId="0" xfId="0" applyFill="1"/>
    <xf numFmtId="0" fontId="0" fillId="3242" borderId="0" xfId="0" applyFill="1"/>
    <xf numFmtId="0" fontId="0" fillId="3243" borderId="0" xfId="0" applyFill="1"/>
    <xf numFmtId="0" fontId="0" fillId="3244" borderId="0" xfId="0" applyFill="1"/>
    <xf numFmtId="0" fontId="0" fillId="3245" borderId="0" xfId="0" applyFill="1"/>
    <xf numFmtId="0" fontId="0" fillId="3246" borderId="0" xfId="0" applyFill="1"/>
    <xf numFmtId="0" fontId="0" fillId="3247" borderId="0" xfId="0" applyFill="1"/>
    <xf numFmtId="0" fontId="0" fillId="3248" borderId="0" xfId="0" applyFill="1"/>
    <xf numFmtId="0" fontId="0" fillId="3249" borderId="0" xfId="0" applyFill="1"/>
    <xf numFmtId="0" fontId="0" fillId="3250" borderId="0" xfId="0" applyFill="1"/>
    <xf numFmtId="0" fontId="0" fillId="3251" borderId="0" xfId="0" applyFill="1"/>
    <xf numFmtId="0" fontId="0" fillId="3252" borderId="0" xfId="0" applyFill="1"/>
    <xf numFmtId="0" fontId="0" fillId="3253" borderId="0" xfId="0" applyFill="1"/>
    <xf numFmtId="0" fontId="0" fillId="3254" borderId="0" xfId="0" applyFill="1"/>
    <xf numFmtId="0" fontId="0" fillId="3255" borderId="0" xfId="0" applyFill="1"/>
    <xf numFmtId="0" fontId="0" fillId="3256" borderId="0" xfId="0" applyFill="1"/>
    <xf numFmtId="0" fontId="0" fillId="3257" borderId="0" xfId="0" applyFill="1"/>
    <xf numFmtId="0" fontId="0" fillId="3258" borderId="0" xfId="0" applyFill="1"/>
    <xf numFmtId="0" fontId="0" fillId="3259" borderId="0" xfId="0" applyFill="1"/>
    <xf numFmtId="0" fontId="0" fillId="3260" borderId="0" xfId="0" applyFill="1"/>
    <xf numFmtId="0" fontId="0" fillId="3261" borderId="0" xfId="0" applyFill="1"/>
    <xf numFmtId="0" fontId="0" fillId="3262" borderId="0" xfId="0" applyFill="1"/>
    <xf numFmtId="0" fontId="0" fillId="3263" borderId="0" xfId="0" applyFill="1"/>
    <xf numFmtId="0" fontId="0" fillId="3264" borderId="0" xfId="0" applyFill="1"/>
    <xf numFmtId="0" fontId="0" fillId="3265" borderId="0" xfId="0" applyFill="1"/>
    <xf numFmtId="0" fontId="0" fillId="3266" borderId="0" xfId="0" applyFill="1"/>
    <xf numFmtId="0" fontId="0" fillId="3267" borderId="0" xfId="0" applyFill="1"/>
    <xf numFmtId="0" fontId="0" fillId="3268" borderId="0" xfId="0" applyFill="1"/>
    <xf numFmtId="0" fontId="0" fillId="3269" borderId="0" xfId="0" applyFill="1"/>
    <xf numFmtId="0" fontId="0" fillId="3270" borderId="0" xfId="0" applyFill="1"/>
    <xf numFmtId="0" fontId="0" fillId="3271" borderId="0" xfId="0" applyFill="1"/>
    <xf numFmtId="0" fontId="0" fillId="3272" borderId="0" xfId="0" applyFill="1"/>
    <xf numFmtId="0" fontId="0" fillId="3273" borderId="0" xfId="0" applyFill="1"/>
    <xf numFmtId="0" fontId="0" fillId="3274" borderId="0" xfId="0" applyFill="1"/>
    <xf numFmtId="0" fontId="0" fillId="3275" borderId="0" xfId="0" applyFill="1"/>
    <xf numFmtId="0" fontId="0" fillId="3276" borderId="0" xfId="0" applyFill="1"/>
    <xf numFmtId="0" fontId="0" fillId="3277" borderId="0" xfId="0" applyFill="1"/>
    <xf numFmtId="0" fontId="0" fillId="3278" borderId="0" xfId="0" applyFill="1"/>
    <xf numFmtId="0" fontId="0" fillId="3279" borderId="0" xfId="0" applyFill="1"/>
    <xf numFmtId="0" fontId="0" fillId="3280" borderId="0" xfId="0" applyFill="1"/>
    <xf numFmtId="0" fontId="0" fillId="3281" borderId="0" xfId="0" applyFill="1"/>
    <xf numFmtId="0" fontId="0" fillId="3282" borderId="0" xfId="0" applyFill="1"/>
    <xf numFmtId="0" fontId="0" fillId="3283" borderId="0" xfId="0" applyFill="1"/>
    <xf numFmtId="0" fontId="0" fillId="3284" borderId="0" xfId="0" applyFill="1"/>
    <xf numFmtId="0" fontId="0" fillId="3285" borderId="0" xfId="0" applyFill="1"/>
    <xf numFmtId="0" fontId="0" fillId="3286" borderId="0" xfId="0" applyFill="1"/>
    <xf numFmtId="0" fontId="0" fillId="3287" borderId="0" xfId="0" applyFill="1"/>
    <xf numFmtId="0" fontId="0" fillId="3288" borderId="0" xfId="0" applyFill="1"/>
    <xf numFmtId="0" fontId="0" fillId="3289" borderId="0" xfId="0" applyFill="1"/>
    <xf numFmtId="0" fontId="0" fillId="3290" borderId="0" xfId="0" applyFill="1"/>
    <xf numFmtId="0" fontId="0" fillId="3291" borderId="0" xfId="0" applyFill="1"/>
    <xf numFmtId="0" fontId="0" fillId="3292" borderId="0" xfId="0" applyFill="1"/>
    <xf numFmtId="0" fontId="0" fillId="3293" borderId="0" xfId="0" applyFill="1"/>
    <xf numFmtId="0" fontId="0" fillId="3294" borderId="0" xfId="0" applyFill="1"/>
    <xf numFmtId="0" fontId="0" fillId="3295" borderId="0" xfId="0" applyFill="1"/>
    <xf numFmtId="0" fontId="0" fillId="3296" borderId="0" xfId="0" applyFill="1"/>
    <xf numFmtId="0" fontId="0" fillId="3297" borderId="0" xfId="0" applyFill="1"/>
    <xf numFmtId="0" fontId="0" fillId="3298" borderId="0" xfId="0" applyFill="1"/>
    <xf numFmtId="0" fontId="0" fillId="3299" borderId="0" xfId="0" applyFill="1"/>
    <xf numFmtId="0" fontId="0" fillId="3300" borderId="0" xfId="0" applyFill="1"/>
    <xf numFmtId="0" fontId="0" fillId="3301" borderId="0" xfId="0" applyFill="1"/>
    <xf numFmtId="0" fontId="0" fillId="3302" borderId="0" xfId="0" applyFill="1"/>
    <xf numFmtId="0" fontId="0" fillId="3303" borderId="0" xfId="0" applyFill="1"/>
    <xf numFmtId="0" fontId="0" fillId="3304" borderId="0" xfId="0" applyFill="1"/>
    <xf numFmtId="0" fontId="0" fillId="3305" borderId="0" xfId="0" applyFill="1"/>
    <xf numFmtId="0" fontId="0" fillId="3306" borderId="0" xfId="0" applyFill="1"/>
    <xf numFmtId="0" fontId="0" fillId="3307" borderId="0" xfId="0" applyFill="1"/>
    <xf numFmtId="0" fontId="0" fillId="3308" borderId="0" xfId="0" applyFill="1"/>
    <xf numFmtId="0" fontId="0" fillId="3309" borderId="0" xfId="0" applyFill="1"/>
    <xf numFmtId="0" fontId="0" fillId="3310" borderId="0" xfId="0" applyFill="1"/>
    <xf numFmtId="0" fontId="0" fillId="3311" borderId="0" xfId="0" applyFill="1"/>
    <xf numFmtId="0" fontId="0" fillId="3312" borderId="0" xfId="0" applyFill="1"/>
    <xf numFmtId="0" fontId="0" fillId="3313" borderId="0" xfId="0" applyFill="1"/>
    <xf numFmtId="0" fontId="0" fillId="3314" borderId="0" xfId="0" applyFill="1"/>
    <xf numFmtId="0" fontId="0" fillId="3315" borderId="0" xfId="0" applyFill="1"/>
    <xf numFmtId="0" fontId="0" fillId="3316" borderId="0" xfId="0" applyFill="1"/>
    <xf numFmtId="0" fontId="0" fillId="3317" borderId="0" xfId="0" applyFill="1"/>
    <xf numFmtId="0" fontId="0" fillId="3318" borderId="0" xfId="0" applyFill="1"/>
    <xf numFmtId="0" fontId="0" fillId="3319" borderId="0" xfId="0" applyFill="1"/>
    <xf numFmtId="0" fontId="0" fillId="3320" borderId="0" xfId="0" applyFill="1"/>
    <xf numFmtId="0" fontId="0" fillId="3321" borderId="0" xfId="0" applyFill="1"/>
    <xf numFmtId="0" fontId="0" fillId="3322" borderId="0" xfId="0" applyFill="1"/>
    <xf numFmtId="0" fontId="0" fillId="3323" borderId="0" xfId="0" applyFill="1"/>
    <xf numFmtId="0" fontId="0" fillId="3324" borderId="0" xfId="0" applyFill="1"/>
    <xf numFmtId="0" fontId="0" fillId="3325" borderId="0" xfId="0" applyFill="1"/>
    <xf numFmtId="0" fontId="0" fillId="3326" borderId="0" xfId="0" applyFill="1"/>
    <xf numFmtId="0" fontId="0" fillId="3327" borderId="0" xfId="0" applyFill="1"/>
    <xf numFmtId="0" fontId="0" fillId="3328" borderId="0" xfId="0" applyFill="1"/>
    <xf numFmtId="0" fontId="0" fillId="3329" borderId="0" xfId="0" applyFill="1"/>
    <xf numFmtId="0" fontId="0" fillId="3330" borderId="0" xfId="0" applyFill="1"/>
    <xf numFmtId="0" fontId="0" fillId="3331" borderId="0" xfId="0" applyFill="1"/>
    <xf numFmtId="0" fontId="0" fillId="3332" borderId="0" xfId="0" applyFill="1"/>
    <xf numFmtId="0" fontId="0" fillId="3333" borderId="0" xfId="0" applyFill="1"/>
    <xf numFmtId="0" fontId="0" fillId="3334" borderId="0" xfId="0" applyFill="1"/>
    <xf numFmtId="0" fontId="0" fillId="3335" borderId="0" xfId="0" applyFill="1"/>
    <xf numFmtId="0" fontId="0" fillId="3336" borderId="0" xfId="0" applyFill="1"/>
    <xf numFmtId="0" fontId="0" fillId="3337" borderId="0" xfId="0" applyFill="1"/>
    <xf numFmtId="0" fontId="0" fillId="3338" borderId="0" xfId="0" applyFill="1"/>
    <xf numFmtId="0" fontId="0" fillId="3339" borderId="0" xfId="0" applyFill="1"/>
    <xf numFmtId="0" fontId="0" fillId="3340" borderId="0" xfId="0" applyFill="1"/>
    <xf numFmtId="0" fontId="0" fillId="3341" borderId="0" xfId="0" applyFill="1"/>
    <xf numFmtId="0" fontId="0" fillId="3342" borderId="0" xfId="0" applyFill="1"/>
    <xf numFmtId="0" fontId="0" fillId="3343" borderId="0" xfId="0" applyFill="1"/>
    <xf numFmtId="0" fontId="0" fillId="3344" borderId="0" xfId="0" applyFill="1"/>
    <xf numFmtId="0" fontId="0" fillId="3345" borderId="0" xfId="0" applyFill="1"/>
    <xf numFmtId="0" fontId="0" fillId="3346" borderId="0" xfId="0" applyFill="1"/>
    <xf numFmtId="0" fontId="0" fillId="3347" borderId="0" xfId="0" applyFill="1"/>
    <xf numFmtId="0" fontId="0" fillId="3348" borderId="0" xfId="0" applyFill="1"/>
    <xf numFmtId="0" fontId="0" fillId="3349" borderId="0" xfId="0" applyFill="1"/>
    <xf numFmtId="0" fontId="0" fillId="3350" borderId="0" xfId="0" applyFill="1"/>
    <xf numFmtId="0" fontId="0" fillId="3351" borderId="0" xfId="0" applyFill="1"/>
    <xf numFmtId="0" fontId="0" fillId="3352" borderId="0" xfId="0" applyFill="1"/>
    <xf numFmtId="0" fontId="0" fillId="3353" borderId="0" xfId="0" applyFill="1"/>
    <xf numFmtId="0" fontId="0" fillId="3354" borderId="0" xfId="0" applyFill="1"/>
    <xf numFmtId="0" fontId="0" fillId="3355" borderId="0" xfId="0" applyFill="1"/>
    <xf numFmtId="0" fontId="0" fillId="3356" borderId="0" xfId="0" applyFill="1"/>
    <xf numFmtId="0" fontId="0" fillId="3357" borderId="0" xfId="0" applyFill="1"/>
    <xf numFmtId="0" fontId="0" fillId="3358" borderId="0" xfId="0" applyFill="1"/>
    <xf numFmtId="0" fontId="0" fillId="3359" borderId="0" xfId="0" applyFill="1"/>
    <xf numFmtId="0" fontId="0" fillId="3360" borderId="0" xfId="0" applyFill="1"/>
    <xf numFmtId="0" fontId="0" fillId="3361" borderId="0" xfId="0" applyFill="1"/>
    <xf numFmtId="0" fontId="0" fillId="3362" borderId="0" xfId="0" applyFill="1"/>
    <xf numFmtId="0" fontId="0" fillId="3363" borderId="0" xfId="0" applyFill="1"/>
    <xf numFmtId="0" fontId="0" fillId="3364" borderId="0" xfId="0" applyFill="1"/>
    <xf numFmtId="0" fontId="0" fillId="3365" borderId="0" xfId="0" applyFill="1"/>
    <xf numFmtId="0" fontId="0" fillId="3366" borderId="0" xfId="0" applyFill="1"/>
    <xf numFmtId="0" fontId="0" fillId="3367" borderId="0" xfId="0" applyFill="1"/>
    <xf numFmtId="0" fontId="0" fillId="3368" borderId="0" xfId="0" applyFill="1"/>
    <xf numFmtId="0" fontId="0" fillId="3369" borderId="0" xfId="0" applyFill="1"/>
    <xf numFmtId="0" fontId="0" fillId="3370" borderId="0" xfId="0" applyFill="1"/>
    <xf numFmtId="0" fontId="0" fillId="3371" borderId="0" xfId="0" applyFill="1"/>
    <xf numFmtId="0" fontId="0" fillId="3372" borderId="0" xfId="0" applyFill="1"/>
    <xf numFmtId="0" fontId="0" fillId="3373" borderId="0" xfId="0" applyFill="1"/>
    <xf numFmtId="0" fontId="0" fillId="3374" borderId="0" xfId="0" applyFill="1"/>
    <xf numFmtId="0" fontId="0" fillId="3375" borderId="0" xfId="0" applyFill="1"/>
    <xf numFmtId="0" fontId="0" fillId="3376" borderId="0" xfId="0" applyFill="1"/>
    <xf numFmtId="0" fontId="0" fillId="3377" borderId="0" xfId="0" applyFill="1"/>
    <xf numFmtId="0" fontId="0" fillId="3378" borderId="0" xfId="0" applyFill="1"/>
    <xf numFmtId="0" fontId="0" fillId="3379" borderId="0" xfId="0" applyFill="1"/>
    <xf numFmtId="0" fontId="0" fillId="3380" borderId="0" xfId="0" applyFill="1"/>
    <xf numFmtId="0" fontId="0" fillId="3381" borderId="0" xfId="0" applyFill="1"/>
    <xf numFmtId="0" fontId="0" fillId="3382" borderId="0" xfId="0" applyFill="1"/>
    <xf numFmtId="0" fontId="0" fillId="3383" borderId="0" xfId="0" applyFill="1"/>
    <xf numFmtId="0" fontId="0" fillId="3384" borderId="0" xfId="0" applyFill="1"/>
    <xf numFmtId="0" fontId="0" fillId="3385" borderId="0" xfId="0" applyFill="1"/>
    <xf numFmtId="0" fontId="0" fillId="3386" borderId="0" xfId="0" applyFill="1"/>
    <xf numFmtId="0" fontId="0" fillId="3387" borderId="0" xfId="0" applyFill="1"/>
    <xf numFmtId="0" fontId="0" fillId="3388" borderId="0" xfId="0" applyFill="1"/>
    <xf numFmtId="0" fontId="0" fillId="3389" borderId="0" xfId="0" applyFill="1"/>
    <xf numFmtId="0" fontId="0" fillId="3390" borderId="0" xfId="0" applyFill="1"/>
    <xf numFmtId="0" fontId="0" fillId="3391" borderId="0" xfId="0" applyFill="1"/>
    <xf numFmtId="0" fontId="0" fillId="3392" borderId="0" xfId="0" applyFill="1"/>
    <xf numFmtId="0" fontId="0" fillId="3393" borderId="0" xfId="0" applyFill="1"/>
    <xf numFmtId="0" fontId="0" fillId="3394" borderId="0" xfId="0" applyFill="1"/>
    <xf numFmtId="0" fontId="0" fillId="3395" borderId="0" xfId="0" applyFill="1"/>
    <xf numFmtId="0" fontId="0" fillId="3396" borderId="0" xfId="0" applyFill="1"/>
    <xf numFmtId="0" fontId="0" fillId="3397" borderId="0" xfId="0" applyFill="1"/>
    <xf numFmtId="0" fontId="0" fillId="3398" borderId="0" xfId="0" applyFill="1"/>
    <xf numFmtId="0" fontId="0" fillId="3399" borderId="0" xfId="0" applyFill="1"/>
    <xf numFmtId="0" fontId="0" fillId="3400" borderId="0" xfId="0" applyFill="1"/>
    <xf numFmtId="0" fontId="0" fillId="3401" borderId="0" xfId="0" applyFill="1"/>
    <xf numFmtId="0" fontId="0" fillId="3402" borderId="0" xfId="0" applyFill="1"/>
    <xf numFmtId="0" fontId="0" fillId="3403" borderId="0" xfId="0" applyFill="1"/>
    <xf numFmtId="0" fontId="0" fillId="3404" borderId="0" xfId="0" applyFill="1"/>
    <xf numFmtId="0" fontId="0" fillId="3405" borderId="0" xfId="0" applyFill="1"/>
    <xf numFmtId="0" fontId="0" fillId="3406" borderId="0" xfId="0" applyFill="1"/>
    <xf numFmtId="0" fontId="0" fillId="3407" borderId="0" xfId="0" applyFill="1"/>
    <xf numFmtId="0" fontId="0" fillId="3408" borderId="0" xfId="0" applyFill="1"/>
    <xf numFmtId="0" fontId="0" fillId="3409" borderId="0" xfId="0" applyFill="1"/>
    <xf numFmtId="0" fontId="0" fillId="3410" borderId="0" xfId="0" applyFill="1"/>
    <xf numFmtId="0" fontId="0" fillId="3411" borderId="0" xfId="0" applyFill="1"/>
    <xf numFmtId="0" fontId="0" fillId="3412" borderId="0" xfId="0" applyFill="1"/>
    <xf numFmtId="0" fontId="0" fillId="3413" borderId="0" xfId="0" applyFill="1"/>
    <xf numFmtId="0" fontId="0" fillId="3414" borderId="0" xfId="0" applyFill="1"/>
    <xf numFmtId="0" fontId="0" fillId="3415" borderId="0" xfId="0" applyFill="1"/>
    <xf numFmtId="0" fontId="0" fillId="3416" borderId="0" xfId="0" applyFill="1"/>
    <xf numFmtId="0" fontId="0" fillId="3417" borderId="0" xfId="0" applyFill="1"/>
    <xf numFmtId="0" fontId="0" fillId="3418" borderId="0" xfId="0" applyFill="1"/>
    <xf numFmtId="0" fontId="0" fillId="3419" borderId="0" xfId="0" applyFill="1"/>
    <xf numFmtId="0" fontId="0" fillId="3420" borderId="0" xfId="0" applyFill="1"/>
    <xf numFmtId="0" fontId="0" fillId="3421" borderId="0" xfId="0" applyFill="1"/>
    <xf numFmtId="0" fontId="0" fillId="3422" borderId="0" xfId="0" applyFill="1"/>
    <xf numFmtId="0" fontId="0" fillId="3423" borderId="0" xfId="0" applyFill="1"/>
    <xf numFmtId="0" fontId="0" fillId="3424" borderId="0" xfId="0" applyFill="1"/>
    <xf numFmtId="0" fontId="0" fillId="3425" borderId="0" xfId="0" applyFill="1"/>
    <xf numFmtId="0" fontId="0" fillId="3426" borderId="0" xfId="0" applyFill="1"/>
    <xf numFmtId="0" fontId="0" fillId="3427" borderId="0" xfId="0" applyFill="1"/>
    <xf numFmtId="0" fontId="0" fillId="3428" borderId="0" xfId="0" applyFill="1"/>
    <xf numFmtId="0" fontId="0" fillId="3429" borderId="0" xfId="0" applyFill="1"/>
    <xf numFmtId="0" fontId="0" fillId="3430" borderId="0" xfId="0" applyFill="1"/>
    <xf numFmtId="0" fontId="0" fillId="3431" borderId="0" xfId="0" applyFill="1"/>
    <xf numFmtId="0" fontId="0" fillId="3432" borderId="0" xfId="0" applyFill="1"/>
    <xf numFmtId="0" fontId="0" fillId="3433" borderId="0" xfId="0" applyFill="1"/>
    <xf numFmtId="0" fontId="0" fillId="3434" borderId="0" xfId="0" applyFill="1"/>
    <xf numFmtId="0" fontId="0" fillId="3435" borderId="0" xfId="0" applyFill="1"/>
    <xf numFmtId="0" fontId="0" fillId="3436" borderId="0" xfId="0" applyFill="1"/>
    <xf numFmtId="0" fontId="0" fillId="3437" borderId="0" xfId="0" applyFill="1"/>
    <xf numFmtId="0" fontId="0" fillId="3438" borderId="0" xfId="0" applyFill="1"/>
    <xf numFmtId="0" fontId="0" fillId="3439" borderId="0" xfId="0" applyFill="1"/>
    <xf numFmtId="0" fontId="0" fillId="3440" borderId="0" xfId="0" applyFill="1"/>
    <xf numFmtId="0" fontId="0" fillId="3441" borderId="0" xfId="0" applyFill="1"/>
    <xf numFmtId="0" fontId="0" fillId="3442" borderId="0" xfId="0" applyFill="1"/>
    <xf numFmtId="0" fontId="0" fillId="3443" borderId="0" xfId="0" applyFill="1"/>
    <xf numFmtId="0" fontId="0" fillId="3444" borderId="0" xfId="0" applyFill="1"/>
    <xf numFmtId="0" fontId="0" fillId="3445" borderId="0" xfId="0" applyFill="1"/>
    <xf numFmtId="0" fontId="0" fillId="3446" borderId="0" xfId="0" applyFill="1"/>
    <xf numFmtId="0" fontId="0" fillId="3447" borderId="0" xfId="0" applyFill="1"/>
    <xf numFmtId="0" fontId="0" fillId="3448" borderId="0" xfId="0" applyFill="1"/>
    <xf numFmtId="0" fontId="0" fillId="3449" borderId="0" xfId="0" applyFill="1"/>
    <xf numFmtId="0" fontId="0" fillId="3450" borderId="0" xfId="0" applyFill="1"/>
    <xf numFmtId="0" fontId="0" fillId="3451" borderId="0" xfId="0" applyFill="1"/>
    <xf numFmtId="0" fontId="0" fillId="3452" borderId="0" xfId="0" applyFill="1"/>
    <xf numFmtId="0" fontId="0" fillId="3453" borderId="0" xfId="0" applyFill="1"/>
    <xf numFmtId="0" fontId="0" fillId="3454" borderId="0" xfId="0" applyFill="1"/>
    <xf numFmtId="0" fontId="0" fillId="3455" borderId="0" xfId="0" applyFill="1"/>
    <xf numFmtId="0" fontId="0" fillId="3456" borderId="0" xfId="0" applyFill="1"/>
    <xf numFmtId="0" fontId="0" fillId="3457" borderId="0" xfId="0" applyFill="1"/>
    <xf numFmtId="0" fontId="0" fillId="3458" borderId="0" xfId="0" applyFill="1"/>
    <xf numFmtId="0" fontId="0" fillId="3459" borderId="0" xfId="0" applyFill="1"/>
    <xf numFmtId="0" fontId="0" fillId="3460" borderId="0" xfId="0" applyFill="1"/>
    <xf numFmtId="0" fontId="0" fillId="3461" borderId="0" xfId="0" applyFill="1"/>
    <xf numFmtId="0" fontId="0" fillId="3462" borderId="0" xfId="0" applyFill="1"/>
    <xf numFmtId="0" fontId="0" fillId="3463" borderId="0" xfId="0" applyFill="1"/>
    <xf numFmtId="0" fontId="0" fillId="3464" borderId="0" xfId="0" applyFill="1"/>
    <xf numFmtId="0" fontId="0" fillId="3465" borderId="0" xfId="0" applyFill="1"/>
    <xf numFmtId="0" fontId="0" fillId="3466" borderId="0" xfId="0" applyFill="1"/>
    <xf numFmtId="0" fontId="0" fillId="3467" borderId="0" xfId="0" applyFill="1"/>
    <xf numFmtId="0" fontId="0" fillId="3468" borderId="0" xfId="0" applyFill="1"/>
    <xf numFmtId="0" fontId="0" fillId="3469" borderId="0" xfId="0" applyFill="1"/>
    <xf numFmtId="0" fontId="0" fillId="3470" borderId="0" xfId="0" applyFill="1"/>
    <xf numFmtId="0" fontId="0" fillId="3471" borderId="0" xfId="0" applyFill="1"/>
    <xf numFmtId="0" fontId="0" fillId="3472" borderId="0" xfId="0" applyFill="1"/>
    <xf numFmtId="0" fontId="0" fillId="3473" borderId="0" xfId="0" applyFill="1"/>
    <xf numFmtId="0" fontId="0" fillId="3474" borderId="0" xfId="0" applyFill="1"/>
    <xf numFmtId="0" fontId="0" fillId="3475" borderId="0" xfId="0" applyFill="1"/>
    <xf numFmtId="0" fontId="0" fillId="3476" borderId="0" xfId="0" applyFill="1"/>
    <xf numFmtId="0" fontId="0" fillId="3477" borderId="0" xfId="0" applyFill="1"/>
    <xf numFmtId="0" fontId="0" fillId="3478" borderId="0" xfId="0" applyFill="1"/>
    <xf numFmtId="0" fontId="0" fillId="3479" borderId="0" xfId="0" applyFill="1"/>
    <xf numFmtId="0" fontId="0" fillId="3480" borderId="0" xfId="0" applyFill="1"/>
    <xf numFmtId="0" fontId="0" fillId="3481" borderId="0" xfId="0" applyFill="1"/>
    <xf numFmtId="0" fontId="0" fillId="3482" borderId="0" xfId="0" applyFill="1"/>
    <xf numFmtId="0" fontId="0" fillId="3483" borderId="0" xfId="0" applyFill="1"/>
    <xf numFmtId="0" fontId="0" fillId="3484" borderId="0" xfId="0" applyFill="1"/>
    <xf numFmtId="0" fontId="0" fillId="3485" borderId="0" xfId="0" applyFill="1"/>
    <xf numFmtId="0" fontId="0" fillId="3486" borderId="0" xfId="0" applyFill="1"/>
    <xf numFmtId="0" fontId="0" fillId="3487" borderId="0" xfId="0" applyFill="1"/>
    <xf numFmtId="0" fontId="0" fillId="3488" borderId="0" xfId="0" applyFill="1"/>
    <xf numFmtId="0" fontId="0" fillId="3489" borderId="0" xfId="0" applyFill="1"/>
    <xf numFmtId="0" fontId="0" fillId="3490" borderId="0" xfId="0" applyFill="1"/>
    <xf numFmtId="0" fontId="0" fillId="3491" borderId="0" xfId="0" applyFill="1"/>
    <xf numFmtId="0" fontId="0" fillId="3492" borderId="0" xfId="0" applyFill="1"/>
    <xf numFmtId="0" fontId="0" fillId="3493" borderId="0" xfId="0" applyFill="1"/>
    <xf numFmtId="0" fontId="0" fillId="3494" borderId="0" xfId="0" applyFill="1"/>
    <xf numFmtId="0" fontId="0" fillId="3495" borderId="0" xfId="0" applyFill="1"/>
    <xf numFmtId="0" fontId="0" fillId="3496" borderId="0" xfId="0" applyFill="1"/>
    <xf numFmtId="0" fontId="0" fillId="3497" borderId="0" xfId="0" applyFill="1"/>
    <xf numFmtId="0" fontId="0" fillId="3498" borderId="0" xfId="0" applyFill="1"/>
    <xf numFmtId="0" fontId="0" fillId="3499" borderId="0" xfId="0" applyFill="1"/>
    <xf numFmtId="0" fontId="0" fillId="3500" borderId="0" xfId="0" applyFill="1"/>
    <xf numFmtId="0" fontId="0" fillId="3501" borderId="0" xfId="0" applyFill="1"/>
    <xf numFmtId="0" fontId="0" fillId="3502" borderId="0" xfId="0" applyFill="1"/>
    <xf numFmtId="0" fontId="0" fillId="3503" borderId="0" xfId="0" applyFill="1"/>
    <xf numFmtId="0" fontId="0" fillId="3504" borderId="0" xfId="0" applyFill="1"/>
    <xf numFmtId="0" fontId="0" fillId="3505" borderId="0" xfId="0" applyFill="1"/>
    <xf numFmtId="0" fontId="0" fillId="3506" borderId="0" xfId="0" applyFill="1"/>
    <xf numFmtId="0" fontId="0" fillId="3507" borderId="0" xfId="0" applyFill="1"/>
    <xf numFmtId="0" fontId="0" fillId="3508" borderId="0" xfId="0" applyFill="1"/>
    <xf numFmtId="0" fontId="0" fillId="3509" borderId="0" xfId="0" applyFill="1"/>
    <xf numFmtId="0" fontId="0" fillId="3510" borderId="0" xfId="0" applyFill="1"/>
    <xf numFmtId="0" fontId="0" fillId="3511" borderId="0" xfId="0" applyFill="1"/>
    <xf numFmtId="0" fontId="0" fillId="3512" borderId="0" xfId="0" applyFill="1"/>
    <xf numFmtId="0" fontId="0" fillId="3513" borderId="0" xfId="0" applyFill="1"/>
    <xf numFmtId="0" fontId="0" fillId="3514" borderId="0" xfId="0" applyFill="1"/>
    <xf numFmtId="0" fontId="0" fillId="3515" borderId="0" xfId="0" applyFill="1"/>
    <xf numFmtId="0" fontId="0" fillId="3516" borderId="0" xfId="0" applyFill="1"/>
    <xf numFmtId="0" fontId="0" fillId="3517" borderId="0" xfId="0" applyFill="1"/>
    <xf numFmtId="0" fontId="0" fillId="3518" borderId="0" xfId="0" applyFill="1"/>
    <xf numFmtId="0" fontId="0" fillId="3519" borderId="0" xfId="0" applyFill="1"/>
    <xf numFmtId="0" fontId="0" fillId="3520" borderId="0" xfId="0" applyFill="1"/>
    <xf numFmtId="0" fontId="0" fillId="3521" borderId="0" xfId="0" applyFill="1"/>
    <xf numFmtId="0" fontId="0" fillId="3522" borderId="0" xfId="0" applyFill="1"/>
    <xf numFmtId="0" fontId="0" fillId="3523" borderId="0" xfId="0" applyFill="1"/>
    <xf numFmtId="0" fontId="0" fillId="3524" borderId="0" xfId="0" applyFill="1"/>
    <xf numFmtId="0" fontId="0" fillId="3525" borderId="0" xfId="0" applyFill="1"/>
    <xf numFmtId="0" fontId="0" fillId="3526" borderId="0" xfId="0" applyFill="1"/>
    <xf numFmtId="0" fontId="0" fillId="3527" borderId="0" xfId="0" applyFill="1"/>
    <xf numFmtId="0" fontId="0" fillId="3528" borderId="0" xfId="0" applyFill="1"/>
    <xf numFmtId="0" fontId="0" fillId="3529" borderId="0" xfId="0" applyFill="1"/>
    <xf numFmtId="0" fontId="0" fillId="3530" borderId="0" xfId="0" applyFill="1"/>
    <xf numFmtId="0" fontId="0" fillId="3531" borderId="0" xfId="0" applyFill="1"/>
    <xf numFmtId="0" fontId="0" fillId="3532" borderId="0" xfId="0" applyFill="1"/>
    <xf numFmtId="0" fontId="0" fillId="3533" borderId="0" xfId="0" applyFill="1"/>
    <xf numFmtId="0" fontId="0" fillId="3534" borderId="0" xfId="0" applyFill="1"/>
    <xf numFmtId="0" fontId="0" fillId="3535" borderId="0" xfId="0" applyFill="1"/>
    <xf numFmtId="0" fontId="0" fillId="3536" borderId="0" xfId="0" applyFill="1"/>
    <xf numFmtId="0" fontId="0" fillId="3537" borderId="0" xfId="0" applyFill="1"/>
    <xf numFmtId="0" fontId="0" fillId="3538" borderId="0" xfId="0" applyFill="1"/>
    <xf numFmtId="0" fontId="0" fillId="3539" borderId="0" xfId="0" applyFill="1"/>
    <xf numFmtId="0" fontId="0" fillId="3540" borderId="0" xfId="0" applyFill="1"/>
    <xf numFmtId="0" fontId="0" fillId="3541" borderId="0" xfId="0" applyFill="1"/>
    <xf numFmtId="0" fontId="0" fillId="3542" borderId="0" xfId="0" applyFill="1"/>
    <xf numFmtId="0" fontId="0" fillId="3543" borderId="0" xfId="0" applyFill="1"/>
    <xf numFmtId="0" fontId="0" fillId="3544" borderId="0" xfId="0" applyFill="1"/>
    <xf numFmtId="0" fontId="0" fillId="3545" borderId="0" xfId="0" applyFill="1"/>
    <xf numFmtId="0" fontId="0" fillId="3546" borderId="0" xfId="0" applyFill="1"/>
    <xf numFmtId="0" fontId="0" fillId="3547" borderId="0" xfId="0" applyFill="1"/>
    <xf numFmtId="0" fontId="0" fillId="3548" borderId="0" xfId="0" applyFill="1"/>
    <xf numFmtId="0" fontId="0" fillId="3549" borderId="0" xfId="0" applyFill="1"/>
    <xf numFmtId="0" fontId="0" fillId="3550" borderId="0" xfId="0" applyFill="1"/>
    <xf numFmtId="0" fontId="0" fillId="3551" borderId="0" xfId="0" applyFill="1"/>
    <xf numFmtId="0" fontId="0" fillId="3552" borderId="0" xfId="0" applyFill="1"/>
    <xf numFmtId="0" fontId="0" fillId="3553" borderId="0" xfId="0" applyFill="1"/>
    <xf numFmtId="0" fontId="0" fillId="3554" borderId="0" xfId="0" applyFill="1"/>
    <xf numFmtId="0" fontId="0" fillId="3555" borderId="0" xfId="0" applyFill="1"/>
    <xf numFmtId="0" fontId="0" fillId="3556" borderId="0" xfId="0" applyFill="1"/>
    <xf numFmtId="0" fontId="0" fillId="3557" borderId="0" xfId="0" applyFill="1"/>
    <xf numFmtId="0" fontId="0" fillId="3558" borderId="0" xfId="0" applyFill="1"/>
    <xf numFmtId="0" fontId="0" fillId="3559" borderId="0" xfId="0" applyFill="1"/>
    <xf numFmtId="0" fontId="0" fillId="3560" borderId="0" xfId="0" applyFill="1"/>
    <xf numFmtId="0" fontId="0" fillId="3561" borderId="0" xfId="0" applyFill="1"/>
    <xf numFmtId="0" fontId="0" fillId="3562" borderId="0" xfId="0" applyFill="1"/>
    <xf numFmtId="0" fontId="0" fillId="3563" borderId="0" xfId="0" applyFill="1"/>
    <xf numFmtId="0" fontId="0" fillId="3564" borderId="0" xfId="0" applyFill="1"/>
    <xf numFmtId="0" fontId="0" fillId="3565" borderId="0" xfId="0" applyFill="1"/>
    <xf numFmtId="0" fontId="0" fillId="3566" borderId="0" xfId="0" applyFill="1"/>
    <xf numFmtId="0" fontId="0" fillId="3567" borderId="0" xfId="0" applyFill="1"/>
    <xf numFmtId="0" fontId="0" fillId="3568" borderId="0" xfId="0" applyFill="1"/>
    <xf numFmtId="0" fontId="0" fillId="3569" borderId="0" xfId="0" applyFill="1"/>
    <xf numFmtId="0" fontId="0" fillId="3570" borderId="0" xfId="0" applyFill="1"/>
    <xf numFmtId="0" fontId="0" fillId="3571" borderId="0" xfId="0" applyFill="1"/>
    <xf numFmtId="0" fontId="0" fillId="3572" borderId="0" xfId="0" applyFill="1"/>
    <xf numFmtId="0" fontId="0" fillId="3573" borderId="0" xfId="0" applyFill="1"/>
    <xf numFmtId="0" fontId="0" fillId="3574" borderId="0" xfId="0" applyFill="1"/>
    <xf numFmtId="0" fontId="0" fillId="3575" borderId="0" xfId="0" applyFill="1"/>
    <xf numFmtId="0" fontId="0" fillId="3576" borderId="0" xfId="0" applyFill="1"/>
    <xf numFmtId="0" fontId="0" fillId="3577" borderId="0" xfId="0" applyFill="1"/>
    <xf numFmtId="0" fontId="0" fillId="3578" borderId="0" xfId="0" applyFill="1"/>
    <xf numFmtId="0" fontId="0" fillId="3579" borderId="0" xfId="0" applyFill="1"/>
    <xf numFmtId="0" fontId="0" fillId="3580" borderId="0" xfId="0" applyFill="1"/>
    <xf numFmtId="0" fontId="0" fillId="3581" borderId="0" xfId="0" applyFill="1"/>
    <xf numFmtId="0" fontId="0" fillId="3582" borderId="0" xfId="0" applyFill="1"/>
    <xf numFmtId="0" fontId="0" fillId="3583" borderId="0" xfId="0" applyFill="1"/>
    <xf numFmtId="0" fontId="0" fillId="3584" borderId="0" xfId="0" applyFill="1"/>
    <xf numFmtId="0" fontId="0" fillId="3585" borderId="0" xfId="0" applyFill="1"/>
    <xf numFmtId="0" fontId="0" fillId="3586" borderId="0" xfId="0" applyFill="1"/>
    <xf numFmtId="0" fontId="0" fillId="3587" borderId="0" xfId="0" applyFill="1"/>
    <xf numFmtId="0" fontId="0" fillId="3588" borderId="0" xfId="0" applyFill="1"/>
    <xf numFmtId="0" fontId="0" fillId="3589" borderId="0" xfId="0" applyFill="1"/>
    <xf numFmtId="0" fontId="0" fillId="3590" borderId="0" xfId="0" applyFill="1"/>
    <xf numFmtId="0" fontId="0" fillId="3591" borderId="0" xfId="0" applyFill="1"/>
    <xf numFmtId="0" fontId="0" fillId="3592" borderId="0" xfId="0" applyFill="1"/>
    <xf numFmtId="0" fontId="0" fillId="3593" borderId="0" xfId="0" applyFill="1"/>
    <xf numFmtId="0" fontId="0" fillId="3594" borderId="0" xfId="0" applyFill="1"/>
    <xf numFmtId="0" fontId="0" fillId="3595" borderId="0" xfId="0" applyFill="1"/>
    <xf numFmtId="0" fontId="0" fillId="3596" borderId="0" xfId="0" applyFill="1"/>
    <xf numFmtId="0" fontId="0" fillId="3597" borderId="0" xfId="0" applyFill="1"/>
    <xf numFmtId="0" fontId="0" fillId="3598" borderId="0" xfId="0" applyFill="1"/>
    <xf numFmtId="0" fontId="0" fillId="3599" borderId="0" xfId="0" applyFill="1"/>
    <xf numFmtId="0" fontId="0" fillId="3600" borderId="0" xfId="0" applyFill="1"/>
    <xf numFmtId="0" fontId="0" fillId="3601" borderId="0" xfId="0" applyFill="1"/>
    <xf numFmtId="0" fontId="0" fillId="3602" borderId="0" xfId="0" applyFill="1"/>
    <xf numFmtId="0" fontId="0" fillId="3603" borderId="0" xfId="0" applyFill="1"/>
    <xf numFmtId="0" fontId="0" fillId="3604" borderId="0" xfId="0" applyFill="1"/>
    <xf numFmtId="0" fontId="0" fillId="3605" borderId="0" xfId="0" applyFill="1"/>
    <xf numFmtId="0" fontId="0" fillId="3606" borderId="0" xfId="0" applyFill="1"/>
    <xf numFmtId="0" fontId="0" fillId="3607" borderId="0" xfId="0" applyFill="1"/>
    <xf numFmtId="0" fontId="0" fillId="3608" borderId="0" xfId="0" applyFill="1"/>
    <xf numFmtId="0" fontId="0" fillId="3609" borderId="0" xfId="0" applyFill="1"/>
    <xf numFmtId="0" fontId="0" fillId="3610" borderId="0" xfId="0" applyFill="1"/>
    <xf numFmtId="0" fontId="0" fillId="3611" borderId="0" xfId="0" applyFill="1"/>
    <xf numFmtId="0" fontId="0" fillId="3612" borderId="0" xfId="0" applyFill="1"/>
    <xf numFmtId="0" fontId="0" fillId="3613" borderId="0" xfId="0" applyFill="1"/>
    <xf numFmtId="0" fontId="0" fillId="3614" borderId="0" xfId="0" applyFill="1"/>
    <xf numFmtId="0" fontId="0" fillId="3615" borderId="0" xfId="0" applyFill="1"/>
    <xf numFmtId="0" fontId="0" fillId="3616" borderId="0" xfId="0" applyFill="1"/>
    <xf numFmtId="0" fontId="0" fillId="3617" borderId="0" xfId="0" applyFill="1"/>
    <xf numFmtId="0" fontId="0" fillId="3618" borderId="0" xfId="0" applyFill="1"/>
    <xf numFmtId="0" fontId="0" fillId="3619" borderId="0" xfId="0" applyFill="1"/>
    <xf numFmtId="0" fontId="0" fillId="3620" borderId="0" xfId="0" applyFill="1"/>
    <xf numFmtId="0" fontId="0" fillId="3621" borderId="0" xfId="0" applyFill="1"/>
    <xf numFmtId="0" fontId="0" fillId="3622" borderId="0" xfId="0" applyFill="1"/>
    <xf numFmtId="0" fontId="0" fillId="3623" borderId="0" xfId="0" applyFill="1"/>
    <xf numFmtId="0" fontId="0" fillId="3624" borderId="0" xfId="0" applyFill="1"/>
    <xf numFmtId="0" fontId="0" fillId="3625" borderId="0" xfId="0" applyFill="1"/>
    <xf numFmtId="0" fontId="0" fillId="3626" borderId="0" xfId="0" applyFill="1"/>
    <xf numFmtId="0" fontId="0" fillId="3627" borderId="0" xfId="0" applyFill="1"/>
    <xf numFmtId="0" fontId="0" fillId="3628" borderId="0" xfId="0" applyFill="1"/>
    <xf numFmtId="0" fontId="0" fillId="3629" borderId="0" xfId="0" applyFill="1"/>
    <xf numFmtId="0" fontId="0" fillId="3630" borderId="0" xfId="0" applyFill="1"/>
    <xf numFmtId="0" fontId="0" fillId="3631" borderId="0" xfId="0" applyFill="1"/>
    <xf numFmtId="0" fontId="0" fillId="3632" borderId="0" xfId="0" applyFill="1"/>
    <xf numFmtId="0" fontId="0" fillId="3633" borderId="0" xfId="0" applyFill="1"/>
    <xf numFmtId="0" fontId="0" fillId="3634" borderId="0" xfId="0" applyFill="1"/>
    <xf numFmtId="0" fontId="0" fillId="3635" borderId="0" xfId="0" applyFill="1"/>
    <xf numFmtId="0" fontId="0" fillId="3636" borderId="0" xfId="0" applyFill="1"/>
    <xf numFmtId="0" fontId="0" fillId="3637" borderId="0" xfId="0" applyFill="1"/>
    <xf numFmtId="0" fontId="0" fillId="3638" borderId="0" xfId="0" applyFill="1"/>
    <xf numFmtId="0" fontId="0" fillId="3639" borderId="0" xfId="0" applyFill="1"/>
    <xf numFmtId="0" fontId="0" fillId="3640" borderId="0" xfId="0" applyFill="1"/>
    <xf numFmtId="0" fontId="0" fillId="3641" borderId="0" xfId="0" applyFill="1"/>
    <xf numFmtId="0" fontId="0" fillId="3642" borderId="0" xfId="0" applyFill="1"/>
    <xf numFmtId="0" fontId="0" fillId="3643" borderId="0" xfId="0" applyFill="1"/>
    <xf numFmtId="0" fontId="0" fillId="3644" borderId="0" xfId="0" applyFill="1"/>
    <xf numFmtId="0" fontId="0" fillId="3645" borderId="0" xfId="0" applyFill="1"/>
    <xf numFmtId="0" fontId="0" fillId="3646" borderId="0" xfId="0" applyFill="1"/>
    <xf numFmtId="0" fontId="0" fillId="3647" borderId="0" xfId="0" applyFill="1"/>
    <xf numFmtId="0" fontId="0" fillId="3648" borderId="0" xfId="0" applyFill="1"/>
    <xf numFmtId="0" fontId="0" fillId="3649" borderId="0" xfId="0" applyFill="1"/>
    <xf numFmtId="0" fontId="0" fillId="3650" borderId="0" xfId="0" applyFill="1"/>
    <xf numFmtId="0" fontId="0" fillId="3651" borderId="0" xfId="0" applyFill="1"/>
    <xf numFmtId="0" fontId="0" fillId="3652" borderId="0" xfId="0" applyFill="1"/>
    <xf numFmtId="0" fontId="0" fillId="3653" borderId="0" xfId="0" applyFill="1"/>
    <xf numFmtId="0" fontId="0" fillId="3654" borderId="0" xfId="0" applyFill="1"/>
    <xf numFmtId="0" fontId="0" fillId="3655" borderId="0" xfId="0" applyFill="1"/>
    <xf numFmtId="0" fontId="0" fillId="3656" borderId="0" xfId="0" applyFill="1"/>
    <xf numFmtId="0" fontId="0" fillId="3657" borderId="0" xfId="0" applyFill="1"/>
    <xf numFmtId="0" fontId="0" fillId="3658" borderId="0" xfId="0" applyFill="1"/>
    <xf numFmtId="0" fontId="0" fillId="3659" borderId="0" xfId="0" applyFill="1"/>
    <xf numFmtId="0" fontId="0" fillId="3660" borderId="0" xfId="0" applyFill="1"/>
    <xf numFmtId="0" fontId="0" fillId="3661" borderId="0" xfId="0" applyFill="1"/>
    <xf numFmtId="0" fontId="0" fillId="3662" borderId="0" xfId="0" applyFill="1"/>
    <xf numFmtId="0" fontId="0" fillId="3663" borderId="0" xfId="0" applyFill="1"/>
    <xf numFmtId="0" fontId="0" fillId="3664" borderId="0" xfId="0" applyFill="1"/>
    <xf numFmtId="0" fontId="0" fillId="3665" borderId="0" xfId="0" applyFill="1"/>
    <xf numFmtId="0" fontId="0" fillId="3666" borderId="0" xfId="0" applyFill="1"/>
    <xf numFmtId="0" fontId="0" fillId="3667" borderId="0" xfId="0" applyFill="1"/>
    <xf numFmtId="0" fontId="0" fillId="3668" borderId="0" xfId="0" applyFill="1"/>
    <xf numFmtId="0" fontId="0" fillId="3669" borderId="0" xfId="0" applyFill="1"/>
    <xf numFmtId="0" fontId="0" fillId="3670" borderId="0" xfId="0" applyFill="1"/>
    <xf numFmtId="0" fontId="0" fillId="3671" borderId="0" xfId="0" applyFill="1"/>
    <xf numFmtId="0" fontId="0" fillId="3672" borderId="0" xfId="0" applyFill="1"/>
    <xf numFmtId="0" fontId="0" fillId="3673" borderId="0" xfId="0" applyFill="1"/>
    <xf numFmtId="0" fontId="0" fillId="3674" borderId="0" xfId="0" applyFill="1"/>
    <xf numFmtId="0" fontId="0" fillId="3675" borderId="0" xfId="0" applyFill="1"/>
    <xf numFmtId="0" fontId="0" fillId="3676" borderId="0" xfId="0" applyFill="1"/>
    <xf numFmtId="0" fontId="0" fillId="3677" borderId="0" xfId="0" applyFill="1"/>
    <xf numFmtId="0" fontId="0" fillId="3678" borderId="0" xfId="0" applyFill="1"/>
    <xf numFmtId="0" fontId="0" fillId="3679" borderId="0" xfId="0" applyFill="1"/>
    <xf numFmtId="0" fontId="0" fillId="3680" borderId="0" xfId="0" applyFill="1"/>
    <xf numFmtId="0" fontId="0" fillId="3681" borderId="0" xfId="0" applyFill="1"/>
    <xf numFmtId="0" fontId="0" fillId="3682" borderId="0" xfId="0" applyFill="1"/>
    <xf numFmtId="0" fontId="0" fillId="3683" borderId="0" xfId="0" applyFill="1"/>
    <xf numFmtId="0" fontId="0" fillId="3684" borderId="0" xfId="0" applyFill="1"/>
    <xf numFmtId="0" fontId="0" fillId="3685" borderId="0" xfId="0" applyFill="1"/>
    <xf numFmtId="0" fontId="0" fillId="3686" borderId="0" xfId="0" applyFill="1"/>
    <xf numFmtId="0" fontId="0" fillId="3687" borderId="0" xfId="0" applyFill="1"/>
    <xf numFmtId="0" fontId="0" fillId="3688" borderId="0" xfId="0" applyFill="1"/>
    <xf numFmtId="0" fontId="0" fillId="3689" borderId="0" xfId="0" applyFill="1"/>
    <xf numFmtId="0" fontId="0" fillId="3690" borderId="0" xfId="0" applyFill="1"/>
    <xf numFmtId="0" fontId="0" fillId="3691" borderId="0" xfId="0" applyFill="1"/>
    <xf numFmtId="0" fontId="0" fillId="3692" borderId="0" xfId="0" applyFill="1"/>
    <xf numFmtId="0" fontId="0" fillId="3693" borderId="0" xfId="0" applyFill="1"/>
    <xf numFmtId="0" fontId="0" fillId="3694" borderId="0" xfId="0" applyFill="1"/>
    <xf numFmtId="0" fontId="0" fillId="3695" borderId="0" xfId="0" applyFill="1"/>
    <xf numFmtId="0" fontId="0" fillId="3696" borderId="0" xfId="0" applyFill="1"/>
    <xf numFmtId="0" fontId="0" fillId="3697" borderId="0" xfId="0" applyFill="1"/>
    <xf numFmtId="0" fontId="0" fillId="3698" borderId="0" xfId="0" applyFill="1"/>
    <xf numFmtId="0" fontId="0" fillId="3699" borderId="0" xfId="0" applyFill="1"/>
    <xf numFmtId="0" fontId="0" fillId="3700" borderId="0" xfId="0" applyFill="1"/>
    <xf numFmtId="0" fontId="0" fillId="3701" borderId="0" xfId="0" applyFill="1"/>
    <xf numFmtId="0" fontId="0" fillId="3702" borderId="0" xfId="0" applyFill="1"/>
    <xf numFmtId="0" fontId="0" fillId="3703" borderId="0" xfId="0" applyFill="1"/>
    <xf numFmtId="0" fontId="0" fillId="3704" borderId="0" xfId="0" applyFill="1"/>
    <xf numFmtId="0" fontId="0" fillId="3705" borderId="0" xfId="0" applyFill="1"/>
    <xf numFmtId="0" fontId="0" fillId="3706" borderId="0" xfId="0" applyFill="1"/>
    <xf numFmtId="0" fontId="0" fillId="3707" borderId="0" xfId="0" applyFill="1"/>
    <xf numFmtId="0" fontId="0" fillId="3708" borderId="0" xfId="0" applyFill="1"/>
    <xf numFmtId="0" fontId="0" fillId="3709" borderId="0" xfId="0" applyFill="1"/>
    <xf numFmtId="0" fontId="0" fillId="3710" borderId="0" xfId="0" applyFill="1"/>
    <xf numFmtId="0" fontId="0" fillId="3711" borderId="0" xfId="0" applyFill="1"/>
    <xf numFmtId="0" fontId="0" fillId="3712" borderId="0" xfId="0" applyFill="1"/>
    <xf numFmtId="0" fontId="0" fillId="3713" borderId="0" xfId="0" applyFill="1"/>
    <xf numFmtId="0" fontId="0" fillId="3714" borderId="0" xfId="0" applyFill="1"/>
    <xf numFmtId="0" fontId="0" fillId="3715" borderId="0" xfId="0" applyFill="1"/>
    <xf numFmtId="0" fontId="0" fillId="3716" borderId="0" xfId="0" applyFill="1"/>
    <xf numFmtId="0" fontId="0" fillId="3717" borderId="0" xfId="0" applyFill="1"/>
    <xf numFmtId="0" fontId="0" fillId="3718" borderId="0" xfId="0" applyFill="1"/>
    <xf numFmtId="0" fontId="0" fillId="3719" borderId="0" xfId="0" applyFill="1"/>
    <xf numFmtId="0" fontId="0" fillId="3720" borderId="0" xfId="0" applyFill="1"/>
    <xf numFmtId="0" fontId="0" fillId="3721" borderId="0" xfId="0" applyFill="1"/>
    <xf numFmtId="0" fontId="0" fillId="3722" borderId="0" xfId="0" applyFill="1"/>
    <xf numFmtId="0" fontId="0" fillId="3723" borderId="0" xfId="0" applyFill="1"/>
    <xf numFmtId="0" fontId="0" fillId="3724" borderId="0" xfId="0" applyFill="1"/>
    <xf numFmtId="0" fontId="0" fillId="3725" borderId="0" xfId="0" applyFill="1"/>
    <xf numFmtId="0" fontId="0" fillId="3726" borderId="0" xfId="0" applyFill="1"/>
    <xf numFmtId="0" fontId="0" fillId="3727" borderId="0" xfId="0" applyFill="1"/>
    <xf numFmtId="0" fontId="0" fillId="3728" borderId="0" xfId="0" applyFill="1"/>
    <xf numFmtId="0" fontId="0" fillId="3729" borderId="0" xfId="0" applyFill="1"/>
    <xf numFmtId="0" fontId="0" fillId="3730" borderId="0" xfId="0" applyFill="1"/>
    <xf numFmtId="0" fontId="0" fillId="3731" borderId="0" xfId="0" applyFill="1"/>
    <xf numFmtId="0" fontId="0" fillId="3732" borderId="0" xfId="0" applyFill="1"/>
    <xf numFmtId="0" fontId="0" fillId="3733" borderId="0" xfId="0" applyFill="1"/>
    <xf numFmtId="0" fontId="0" fillId="3734" borderId="0" xfId="0" applyFill="1"/>
    <xf numFmtId="0" fontId="0" fillId="3735" borderId="0" xfId="0" applyFill="1"/>
    <xf numFmtId="0" fontId="0" fillId="3736" borderId="0" xfId="0" applyFill="1"/>
    <xf numFmtId="0" fontId="0" fillId="3737" borderId="0" xfId="0" applyFill="1"/>
    <xf numFmtId="0" fontId="0" fillId="3738" borderId="0" xfId="0" applyFill="1"/>
    <xf numFmtId="0" fontId="0" fillId="3739" borderId="0" xfId="0" applyFill="1"/>
    <xf numFmtId="0" fontId="0" fillId="3740" borderId="0" xfId="0" applyFill="1"/>
    <xf numFmtId="0" fontId="0" fillId="3741" borderId="0" xfId="0" applyFill="1"/>
    <xf numFmtId="0" fontId="0" fillId="3742" borderId="0" xfId="0" applyFill="1"/>
    <xf numFmtId="0" fontId="0" fillId="3743" borderId="0" xfId="0" applyFill="1"/>
    <xf numFmtId="0" fontId="0" fillId="3744" borderId="0" xfId="0" applyFill="1"/>
    <xf numFmtId="0" fontId="0" fillId="3745" borderId="0" xfId="0" applyFill="1"/>
    <xf numFmtId="0" fontId="0" fillId="3746" borderId="0" xfId="0" applyFill="1"/>
    <xf numFmtId="0" fontId="0" fillId="3747" borderId="0" xfId="0" applyFill="1"/>
    <xf numFmtId="0" fontId="0" fillId="3748" borderId="0" xfId="0" applyFill="1"/>
    <xf numFmtId="0" fontId="0" fillId="3749" borderId="0" xfId="0" applyFill="1"/>
    <xf numFmtId="0" fontId="0" fillId="3750" borderId="0" xfId="0" applyFill="1"/>
    <xf numFmtId="0" fontId="0" fillId="3751" borderId="0" xfId="0" applyFill="1"/>
    <xf numFmtId="0" fontId="0" fillId="3752" borderId="0" xfId="0" applyFill="1"/>
    <xf numFmtId="0" fontId="0" fillId="3753" borderId="0" xfId="0" applyFill="1"/>
    <xf numFmtId="0" fontId="0" fillId="3754" borderId="0" xfId="0" applyFill="1"/>
    <xf numFmtId="0" fontId="0" fillId="3755" borderId="0" xfId="0" applyFill="1"/>
    <xf numFmtId="0" fontId="0" fillId="3756" borderId="0" xfId="0" applyFill="1"/>
    <xf numFmtId="0" fontId="0" fillId="3757" borderId="0" xfId="0" applyFill="1"/>
    <xf numFmtId="0" fontId="0" fillId="3758" borderId="0" xfId="0" applyFill="1"/>
    <xf numFmtId="0" fontId="0" fillId="3759" borderId="0" xfId="0" applyFill="1"/>
    <xf numFmtId="0" fontId="0" fillId="3760" borderId="0" xfId="0" applyFill="1"/>
    <xf numFmtId="0" fontId="0" fillId="3761" borderId="0" xfId="0" applyFill="1"/>
    <xf numFmtId="0" fontId="0" fillId="3762" borderId="0" xfId="0" applyFill="1"/>
    <xf numFmtId="0" fontId="0" fillId="3763" borderId="0" xfId="0" applyFill="1"/>
    <xf numFmtId="0" fontId="0" fillId="3764" borderId="0" xfId="0" applyFill="1"/>
    <xf numFmtId="0" fontId="0" fillId="3765" borderId="0" xfId="0" applyFill="1"/>
    <xf numFmtId="0" fontId="0" fillId="3766" borderId="0" xfId="0" applyFill="1"/>
    <xf numFmtId="0" fontId="0" fillId="3767" borderId="0" xfId="0" applyFill="1"/>
    <xf numFmtId="0" fontId="0" fillId="3768" borderId="0" xfId="0" applyFill="1"/>
    <xf numFmtId="0" fontId="0" fillId="3769" borderId="0" xfId="0" applyFill="1"/>
    <xf numFmtId="0" fontId="0" fillId="3770" borderId="0" xfId="0" applyFill="1"/>
    <xf numFmtId="0" fontId="0" fillId="3771" borderId="0" xfId="0" applyFill="1"/>
    <xf numFmtId="0" fontId="0" fillId="3772" borderId="0" xfId="0" applyFill="1"/>
    <xf numFmtId="0" fontId="0" fillId="3773" borderId="0" xfId="0" applyFill="1"/>
    <xf numFmtId="0" fontId="0" fillId="3774" borderId="0" xfId="0" applyFill="1"/>
    <xf numFmtId="0" fontId="0" fillId="3775" borderId="0" xfId="0" applyFill="1"/>
    <xf numFmtId="0" fontId="0" fillId="3776" borderId="0" xfId="0" applyFill="1"/>
    <xf numFmtId="0" fontId="0" fillId="3777" borderId="0" xfId="0" applyFill="1"/>
    <xf numFmtId="0" fontId="0" fillId="3778" borderId="0" xfId="0" applyFill="1"/>
    <xf numFmtId="0" fontId="0" fillId="3779" borderId="0" xfId="0" applyFill="1"/>
    <xf numFmtId="0" fontId="0" fillId="3780" borderId="0" xfId="0" applyFill="1"/>
    <xf numFmtId="0" fontId="0" fillId="3781" borderId="0" xfId="0" applyFill="1"/>
    <xf numFmtId="0" fontId="0" fillId="3782" borderId="0" xfId="0" applyFill="1"/>
    <xf numFmtId="0" fontId="0" fillId="3783" borderId="0" xfId="0" applyFill="1"/>
    <xf numFmtId="0" fontId="0" fillId="3784" borderId="0" xfId="0" applyFill="1"/>
    <xf numFmtId="0" fontId="0" fillId="3785" borderId="0" xfId="0" applyFill="1"/>
    <xf numFmtId="0" fontId="0" fillId="3786" borderId="0" xfId="0" applyFill="1"/>
    <xf numFmtId="0" fontId="0" fillId="3787" borderId="0" xfId="0" applyFill="1"/>
    <xf numFmtId="0" fontId="0" fillId="3788" borderId="0" xfId="0" applyFill="1"/>
    <xf numFmtId="0" fontId="0" fillId="3789" borderId="0" xfId="0" applyFill="1"/>
    <xf numFmtId="0" fontId="0" fillId="3790" borderId="0" xfId="0" applyFill="1"/>
    <xf numFmtId="0" fontId="0" fillId="3791" borderId="0" xfId="0" applyFill="1"/>
    <xf numFmtId="0" fontId="0" fillId="3792" borderId="0" xfId="0" applyFill="1"/>
    <xf numFmtId="0" fontId="0" fillId="3793" borderId="0" xfId="0" applyFill="1"/>
    <xf numFmtId="0" fontId="0" fillId="3794" borderId="0" xfId="0" applyFill="1"/>
    <xf numFmtId="0" fontId="0" fillId="3795" borderId="0" xfId="0" applyFill="1"/>
    <xf numFmtId="0" fontId="0" fillId="3796" borderId="0" xfId="0" applyFill="1"/>
    <xf numFmtId="0" fontId="0" fillId="3797" borderId="0" xfId="0" applyFill="1"/>
    <xf numFmtId="0" fontId="0" fillId="3798" borderId="0" xfId="0" applyFill="1"/>
    <xf numFmtId="0" fontId="0" fillId="3799" borderId="0" xfId="0" applyFill="1"/>
    <xf numFmtId="0" fontId="0" fillId="3800" borderId="0" xfId="0" applyFill="1"/>
    <xf numFmtId="0" fontId="0" fillId="3801" borderId="0" xfId="0" applyFill="1"/>
    <xf numFmtId="0" fontId="0" fillId="3802" borderId="0" xfId="0" applyFill="1"/>
    <xf numFmtId="0" fontId="0" fillId="3803" borderId="0" xfId="0" applyFill="1"/>
    <xf numFmtId="0" fontId="0" fillId="3804" borderId="0" xfId="0" applyFill="1"/>
    <xf numFmtId="0" fontId="0" fillId="3805" borderId="0" xfId="0" applyFill="1"/>
    <xf numFmtId="0" fontId="0" fillId="3806" borderId="0" xfId="0" applyFill="1"/>
    <xf numFmtId="0" fontId="0" fillId="3807" borderId="0" xfId="0" applyFill="1"/>
    <xf numFmtId="0" fontId="0" fillId="3808" borderId="0" xfId="0" applyFill="1"/>
    <xf numFmtId="0" fontId="0" fillId="3809" borderId="0" xfId="0" applyFill="1"/>
    <xf numFmtId="0" fontId="0" fillId="3810" borderId="0" xfId="0" applyFill="1"/>
    <xf numFmtId="0" fontId="0" fillId="3811" borderId="0" xfId="0" applyFill="1"/>
    <xf numFmtId="0" fontId="0" fillId="3812" borderId="0" xfId="0" applyFill="1"/>
    <xf numFmtId="0" fontId="0" fillId="3813" borderId="0" xfId="0" applyFill="1"/>
    <xf numFmtId="0" fontId="0" fillId="3814" borderId="0" xfId="0" applyFill="1"/>
    <xf numFmtId="0" fontId="0" fillId="3815" borderId="0" xfId="0" applyFill="1"/>
    <xf numFmtId="0" fontId="0" fillId="3816" borderId="0" xfId="0" applyFill="1"/>
    <xf numFmtId="0" fontId="0" fillId="3817" borderId="0" xfId="0" applyFill="1"/>
    <xf numFmtId="0" fontId="0" fillId="3818" borderId="0" xfId="0" applyFill="1"/>
    <xf numFmtId="0" fontId="0" fillId="3819" borderId="0" xfId="0" applyFill="1"/>
    <xf numFmtId="0" fontId="0" fillId="3820" borderId="0" xfId="0" applyFill="1"/>
    <xf numFmtId="0" fontId="0" fillId="3821" borderId="0" xfId="0" applyFill="1"/>
    <xf numFmtId="0" fontId="0" fillId="3822" borderId="0" xfId="0" applyFill="1"/>
    <xf numFmtId="0" fontId="0" fillId="3823" borderId="0" xfId="0" applyFill="1"/>
    <xf numFmtId="0" fontId="0" fillId="3824" borderId="0" xfId="0" applyFill="1"/>
    <xf numFmtId="0" fontId="0" fillId="3825" borderId="0" xfId="0" applyFill="1"/>
    <xf numFmtId="0" fontId="0" fillId="3826" borderId="0" xfId="0" applyFill="1"/>
    <xf numFmtId="0" fontId="0" fillId="3827" borderId="0" xfId="0" applyFill="1"/>
    <xf numFmtId="0" fontId="0" fillId="3828" borderId="0" xfId="0" applyFill="1"/>
    <xf numFmtId="0" fontId="0" fillId="3829" borderId="0" xfId="0" applyFill="1"/>
    <xf numFmtId="0" fontId="0" fillId="3830" borderId="0" xfId="0" applyFill="1"/>
    <xf numFmtId="0" fontId="0" fillId="3831" borderId="0" xfId="0" applyFill="1"/>
    <xf numFmtId="0" fontId="0" fillId="3832" borderId="0" xfId="0" applyFill="1"/>
    <xf numFmtId="0" fontId="0" fillId="3833" borderId="0" xfId="0" applyFill="1"/>
    <xf numFmtId="0" fontId="0" fillId="3834" borderId="0" xfId="0" applyFill="1"/>
    <xf numFmtId="0" fontId="0" fillId="3835" borderId="0" xfId="0" applyFill="1"/>
    <xf numFmtId="0" fontId="0" fillId="3836" borderId="0" xfId="0" applyFill="1"/>
    <xf numFmtId="0" fontId="0" fillId="3837" borderId="0" xfId="0" applyFill="1"/>
    <xf numFmtId="0" fontId="0" fillId="3838" borderId="0" xfId="0" applyFill="1"/>
    <xf numFmtId="0" fontId="0" fillId="3839" borderId="0" xfId="0" applyFill="1"/>
    <xf numFmtId="0" fontId="0" fillId="3840" borderId="0" xfId="0" applyFill="1"/>
    <xf numFmtId="0" fontId="0" fillId="3841" borderId="0" xfId="0" applyFill="1"/>
    <xf numFmtId="0" fontId="0" fillId="3842" borderId="0" xfId="0" applyFill="1"/>
    <xf numFmtId="0" fontId="0" fillId="3843" borderId="0" xfId="0" applyFill="1"/>
    <xf numFmtId="0" fontId="0" fillId="3844" borderId="0" xfId="0" applyFill="1"/>
    <xf numFmtId="0" fontId="0" fillId="3845" borderId="0" xfId="0" applyFill="1"/>
    <xf numFmtId="0" fontId="0" fillId="3846" borderId="0" xfId="0" applyFill="1"/>
    <xf numFmtId="0" fontId="0" fillId="3847" borderId="0" xfId="0" applyFill="1"/>
    <xf numFmtId="0" fontId="0" fillId="3848" borderId="0" xfId="0" applyFill="1"/>
    <xf numFmtId="0" fontId="0" fillId="3849" borderId="0" xfId="0" applyFill="1"/>
    <xf numFmtId="0" fontId="0" fillId="3850" borderId="0" xfId="0" applyFill="1"/>
    <xf numFmtId="0" fontId="0" fillId="3851" borderId="0" xfId="0" applyFill="1"/>
    <xf numFmtId="0" fontId="0" fillId="3852" borderId="0" xfId="0" applyFill="1"/>
    <xf numFmtId="0" fontId="0" fillId="3853" borderId="0" xfId="0" applyFill="1"/>
    <xf numFmtId="0" fontId="0" fillId="3854" borderId="0" xfId="0" applyFill="1"/>
    <xf numFmtId="0" fontId="0" fillId="3855" borderId="0" xfId="0" applyFill="1"/>
    <xf numFmtId="0" fontId="0" fillId="3856" borderId="0" xfId="0" applyFill="1"/>
    <xf numFmtId="0" fontId="0" fillId="3857" borderId="0" xfId="0" applyFill="1"/>
    <xf numFmtId="0" fontId="0" fillId="3858" borderId="0" xfId="0" applyFill="1"/>
    <xf numFmtId="0" fontId="0" fillId="3859" borderId="0" xfId="0" applyFill="1"/>
    <xf numFmtId="0" fontId="0" fillId="3860" borderId="0" xfId="0" applyFill="1"/>
    <xf numFmtId="0" fontId="0" fillId="3861" borderId="0" xfId="0" applyFill="1"/>
    <xf numFmtId="0" fontId="0" fillId="3862" borderId="0" xfId="0" applyFill="1"/>
    <xf numFmtId="0" fontId="0" fillId="3863" borderId="0" xfId="0" applyFill="1"/>
    <xf numFmtId="0" fontId="0" fillId="3864" borderId="0" xfId="0" applyFill="1"/>
    <xf numFmtId="0" fontId="0" fillId="3865" borderId="0" xfId="0" applyFill="1"/>
    <xf numFmtId="0" fontId="0" fillId="3866" borderId="0" xfId="0" applyFill="1"/>
    <xf numFmtId="0" fontId="0" fillId="3867" borderId="0" xfId="0" applyFill="1"/>
    <xf numFmtId="0" fontId="0" fillId="3868" borderId="0" xfId="0" applyFill="1"/>
    <xf numFmtId="0" fontId="0" fillId="3869" borderId="0" xfId="0" applyFill="1"/>
    <xf numFmtId="0" fontId="0" fillId="3870" borderId="0" xfId="0" applyFill="1"/>
    <xf numFmtId="0" fontId="0" fillId="3871" borderId="0" xfId="0" applyFill="1"/>
    <xf numFmtId="0" fontId="0" fillId="3872" borderId="0" xfId="0" applyFill="1"/>
    <xf numFmtId="0" fontId="0" fillId="3873" borderId="0" xfId="0" applyFill="1"/>
    <xf numFmtId="0" fontId="0" fillId="3874" borderId="0" xfId="0" applyFill="1"/>
    <xf numFmtId="0" fontId="0" fillId="3875" borderId="0" xfId="0" applyFill="1"/>
    <xf numFmtId="0" fontId="0" fillId="3876" borderId="0" xfId="0" applyFill="1"/>
    <xf numFmtId="0" fontId="0" fillId="3877" borderId="0" xfId="0" applyFill="1"/>
    <xf numFmtId="0" fontId="0" fillId="3878" borderId="0" xfId="0" applyFill="1"/>
    <xf numFmtId="0" fontId="0" fillId="3879" borderId="0" xfId="0" applyFill="1"/>
    <xf numFmtId="0" fontId="0" fillId="3880" borderId="0" xfId="0" applyFill="1"/>
    <xf numFmtId="0" fontId="0" fillId="3881" borderId="0" xfId="0" applyFill="1"/>
    <xf numFmtId="0" fontId="0" fillId="3882" borderId="0" xfId="0" applyFill="1"/>
    <xf numFmtId="0" fontId="0" fillId="3883" borderId="0" xfId="0" applyFill="1"/>
    <xf numFmtId="0" fontId="0" fillId="3884" borderId="0" xfId="0" applyFill="1"/>
    <xf numFmtId="0" fontId="0" fillId="3885" borderId="0" xfId="0" applyFill="1"/>
    <xf numFmtId="0" fontId="0" fillId="3886" borderId="0" xfId="0" applyFill="1"/>
    <xf numFmtId="0" fontId="0" fillId="3887" borderId="0" xfId="0" applyFill="1"/>
    <xf numFmtId="0" fontId="0" fillId="3888" borderId="0" xfId="0" applyFill="1"/>
    <xf numFmtId="0" fontId="0" fillId="3889" borderId="0" xfId="0" applyFill="1"/>
    <xf numFmtId="0" fontId="0" fillId="3890" borderId="0" xfId="0" applyFill="1"/>
    <xf numFmtId="0" fontId="0" fillId="3891" borderId="0" xfId="0" applyFill="1"/>
    <xf numFmtId="0" fontId="0" fillId="3892" borderId="0" xfId="0" applyFill="1"/>
    <xf numFmtId="0" fontId="0" fillId="3893" borderId="0" xfId="0" applyFill="1"/>
    <xf numFmtId="0" fontId="0" fillId="3894" borderId="0" xfId="0" applyFill="1"/>
    <xf numFmtId="0" fontId="0" fillId="3895" borderId="0" xfId="0" applyFill="1"/>
    <xf numFmtId="0" fontId="0" fillId="3896" borderId="0" xfId="0" applyFill="1"/>
    <xf numFmtId="0" fontId="0" fillId="3897" borderId="0" xfId="0" applyFill="1"/>
    <xf numFmtId="0" fontId="0" fillId="3898" borderId="0" xfId="0" applyFill="1"/>
    <xf numFmtId="0" fontId="0" fillId="3899" borderId="0" xfId="0" applyFill="1"/>
    <xf numFmtId="0" fontId="0" fillId="3900" borderId="0" xfId="0" applyFill="1"/>
    <xf numFmtId="0" fontId="0" fillId="3901" borderId="0" xfId="0" applyFill="1"/>
    <xf numFmtId="0" fontId="0" fillId="3902" borderId="0" xfId="0" applyFill="1"/>
    <xf numFmtId="0" fontId="0" fillId="3903" borderId="0" xfId="0" applyFill="1"/>
    <xf numFmtId="0" fontId="0" fillId="3904" borderId="0" xfId="0" applyFill="1"/>
    <xf numFmtId="0" fontId="0" fillId="3905" borderId="0" xfId="0" applyFill="1"/>
    <xf numFmtId="0" fontId="0" fillId="3906" borderId="0" xfId="0" applyFill="1"/>
    <xf numFmtId="0" fontId="0" fillId="3907" borderId="0" xfId="0" applyFill="1"/>
    <xf numFmtId="0" fontId="0" fillId="3908" borderId="0" xfId="0" applyFill="1"/>
    <xf numFmtId="0" fontId="0" fillId="3909" borderId="0" xfId="0" applyFill="1"/>
    <xf numFmtId="0" fontId="0" fillId="3910" borderId="0" xfId="0" applyFill="1"/>
    <xf numFmtId="0" fontId="0" fillId="3911" borderId="0" xfId="0" applyFill="1"/>
    <xf numFmtId="0" fontId="0" fillId="3912" borderId="0" xfId="0" applyFill="1"/>
    <xf numFmtId="0" fontId="0" fillId="3913" borderId="0" xfId="0" applyFill="1"/>
    <xf numFmtId="0" fontId="0" fillId="3914" borderId="0" xfId="0" applyFill="1"/>
    <xf numFmtId="0" fontId="0" fillId="3915" borderId="0" xfId="0" applyFill="1"/>
    <xf numFmtId="0" fontId="0" fillId="3916" borderId="0" xfId="0" applyFill="1"/>
    <xf numFmtId="0" fontId="0" fillId="3917" borderId="0" xfId="0" applyFill="1"/>
    <xf numFmtId="0" fontId="0" fillId="3918" borderId="0" xfId="0" applyFill="1"/>
    <xf numFmtId="0" fontId="0" fillId="3919" borderId="0" xfId="0" applyFill="1"/>
    <xf numFmtId="0" fontId="0" fillId="3920" borderId="0" xfId="0" applyFill="1"/>
    <xf numFmtId="0" fontId="0" fillId="3921" borderId="0" xfId="0" applyFill="1"/>
    <xf numFmtId="0" fontId="0" fillId="3922" borderId="0" xfId="0" applyFill="1"/>
    <xf numFmtId="0" fontId="0" fillId="3923" borderId="0" xfId="0" applyFill="1"/>
    <xf numFmtId="0" fontId="0" fillId="3924" borderId="0" xfId="0" applyFill="1"/>
    <xf numFmtId="0" fontId="0" fillId="3925" borderId="0" xfId="0" applyFill="1"/>
    <xf numFmtId="0" fontId="0" fillId="3926" borderId="0" xfId="0" applyFill="1"/>
    <xf numFmtId="0" fontId="0" fillId="3927" borderId="0" xfId="0" applyFill="1"/>
    <xf numFmtId="0" fontId="0" fillId="3928" borderId="0" xfId="0" applyFill="1"/>
    <xf numFmtId="0" fontId="0" fillId="3929" borderId="0" xfId="0" applyFill="1"/>
    <xf numFmtId="0" fontId="0" fillId="3930" borderId="0" xfId="0" applyFill="1"/>
    <xf numFmtId="0" fontId="0" fillId="3931" borderId="0" xfId="0" applyFill="1"/>
    <xf numFmtId="0" fontId="0" fillId="3932" borderId="0" xfId="0" applyFill="1"/>
    <xf numFmtId="0" fontId="0" fillId="3933" borderId="0" xfId="0" applyFill="1"/>
    <xf numFmtId="0" fontId="0" fillId="3934" borderId="0" xfId="0" applyFill="1"/>
    <xf numFmtId="0" fontId="0" fillId="3935" borderId="0" xfId="0" applyFill="1"/>
    <xf numFmtId="0" fontId="0" fillId="3936" borderId="0" xfId="0" applyFill="1"/>
    <xf numFmtId="0" fontId="0" fillId="3937" borderId="0" xfId="0" applyFill="1"/>
    <xf numFmtId="0" fontId="0" fillId="3938" borderId="0" xfId="0" applyFill="1"/>
    <xf numFmtId="0" fontId="0" fillId="3939" borderId="0" xfId="0" applyFill="1"/>
    <xf numFmtId="0" fontId="0" fillId="3940" borderId="0" xfId="0" applyFill="1"/>
    <xf numFmtId="0" fontId="0" fillId="3941" borderId="0" xfId="0" applyFill="1"/>
    <xf numFmtId="0" fontId="0" fillId="3942" borderId="0" xfId="0" applyFill="1"/>
    <xf numFmtId="0" fontId="0" fillId="3943" borderId="0" xfId="0" applyFill="1"/>
    <xf numFmtId="0" fontId="0" fillId="3944" borderId="0" xfId="0" applyFill="1"/>
    <xf numFmtId="0" fontId="0" fillId="3945" borderId="0" xfId="0" applyFill="1"/>
    <xf numFmtId="0" fontId="0" fillId="3946" borderId="0" xfId="0" applyFill="1"/>
    <xf numFmtId="0" fontId="0" fillId="3947" borderId="0" xfId="0" applyFill="1"/>
    <xf numFmtId="0" fontId="0" fillId="3948" borderId="0" xfId="0" applyFill="1"/>
    <xf numFmtId="0" fontId="0" fillId="3949" borderId="0" xfId="0" applyFill="1"/>
    <xf numFmtId="0" fontId="0" fillId="3950" borderId="0" xfId="0" applyFill="1"/>
    <xf numFmtId="0" fontId="0" fillId="3951" borderId="0" xfId="0" applyFill="1"/>
    <xf numFmtId="0" fontId="0" fillId="3952" borderId="0" xfId="0" applyFill="1"/>
    <xf numFmtId="0" fontId="0" fillId="3953" borderId="0" xfId="0" applyFill="1"/>
    <xf numFmtId="0" fontId="0" fillId="3954" borderId="0" xfId="0" applyFill="1"/>
    <xf numFmtId="0" fontId="0" fillId="3955" borderId="0" xfId="0" applyFill="1"/>
    <xf numFmtId="0" fontId="0" fillId="3956" borderId="0" xfId="0" applyFill="1"/>
    <xf numFmtId="0" fontId="0" fillId="3957" borderId="0" xfId="0" applyFill="1"/>
    <xf numFmtId="0" fontId="0" fillId="3958" borderId="0" xfId="0" applyFill="1"/>
    <xf numFmtId="0" fontId="0" fillId="3959" borderId="0" xfId="0" applyFill="1"/>
    <xf numFmtId="0" fontId="0" fillId="3960" borderId="0" xfId="0" applyFill="1"/>
    <xf numFmtId="0" fontId="0" fillId="3961" borderId="0" xfId="0" applyFill="1"/>
    <xf numFmtId="0" fontId="0" fillId="3962" borderId="0" xfId="0" applyFill="1"/>
    <xf numFmtId="0" fontId="0" fillId="3963" borderId="0" xfId="0" applyFill="1"/>
    <xf numFmtId="0" fontId="0" fillId="3964" borderId="0" xfId="0" applyFill="1"/>
    <xf numFmtId="0" fontId="0" fillId="3965" borderId="0" xfId="0" applyFill="1"/>
    <xf numFmtId="0" fontId="0" fillId="3966" borderId="0" xfId="0" applyFill="1"/>
    <xf numFmtId="0" fontId="0" fillId="3967" borderId="0" xfId="0" applyFill="1"/>
    <xf numFmtId="0" fontId="0" fillId="3968" borderId="0" xfId="0" applyFill="1"/>
    <xf numFmtId="0" fontId="0" fillId="3969" borderId="0" xfId="0" applyFill="1"/>
    <xf numFmtId="0" fontId="0" fillId="3970" borderId="0" xfId="0" applyFill="1"/>
    <xf numFmtId="0" fontId="0" fillId="3971" borderId="0" xfId="0" applyFill="1"/>
    <xf numFmtId="0" fontId="0" fillId="3972" borderId="0" xfId="0" applyFill="1"/>
    <xf numFmtId="0" fontId="0" fillId="3973" borderId="0" xfId="0" applyFill="1"/>
    <xf numFmtId="0" fontId="0" fillId="3974" borderId="0" xfId="0" applyFill="1"/>
    <xf numFmtId="0" fontId="0" fillId="3975" borderId="0" xfId="0" applyFill="1"/>
    <xf numFmtId="0" fontId="0" fillId="3976" borderId="0" xfId="0" applyFill="1"/>
    <xf numFmtId="0" fontId="0" fillId="3977" borderId="0" xfId="0" applyFill="1"/>
    <xf numFmtId="0" fontId="0" fillId="3978" borderId="0" xfId="0" applyFill="1"/>
    <xf numFmtId="0" fontId="0" fillId="3979" borderId="0" xfId="0" applyFill="1"/>
    <xf numFmtId="0" fontId="0" fillId="3980" borderId="0" xfId="0" applyFill="1"/>
    <xf numFmtId="0" fontId="0" fillId="3981" borderId="0" xfId="0" applyFill="1"/>
    <xf numFmtId="0" fontId="0" fillId="3982" borderId="0" xfId="0" applyFill="1"/>
    <xf numFmtId="0" fontId="0" fillId="3983" borderId="0" xfId="0" applyFill="1"/>
    <xf numFmtId="0" fontId="0" fillId="3984" borderId="0" xfId="0" applyFill="1"/>
    <xf numFmtId="0" fontId="0" fillId="3985" borderId="0" xfId="0" applyFill="1"/>
    <xf numFmtId="0" fontId="0" fillId="3986" borderId="0" xfId="0" applyFill="1"/>
    <xf numFmtId="0" fontId="0" fillId="3987" borderId="0" xfId="0" applyFill="1"/>
    <xf numFmtId="0" fontId="0" fillId="3988" borderId="0" xfId="0" applyFill="1"/>
    <xf numFmtId="0" fontId="0" fillId="3989" borderId="0" xfId="0" applyFill="1"/>
    <xf numFmtId="0" fontId="0" fillId="3990" borderId="0" xfId="0" applyFill="1"/>
    <xf numFmtId="0" fontId="0" fillId="3991" borderId="0" xfId="0" applyFill="1"/>
    <xf numFmtId="0" fontId="0" fillId="3992" borderId="0" xfId="0" applyFill="1"/>
    <xf numFmtId="0" fontId="0" fillId="3993" borderId="0" xfId="0" applyFill="1"/>
    <xf numFmtId="0" fontId="0" fillId="3994" borderId="0" xfId="0" applyFill="1"/>
    <xf numFmtId="0" fontId="0" fillId="3995" borderId="0" xfId="0" applyFill="1"/>
    <xf numFmtId="0" fontId="0" fillId="3996" borderId="0" xfId="0" applyFill="1"/>
    <xf numFmtId="0" fontId="0" fillId="3997" borderId="0" xfId="0" applyFill="1"/>
    <xf numFmtId="0" fontId="0" fillId="3998" borderId="0" xfId="0" applyFill="1"/>
    <xf numFmtId="0" fontId="0" fillId="3999" borderId="0" xfId="0" applyFill="1"/>
    <xf numFmtId="0" fontId="0" fillId="4000" borderId="0" xfId="0" applyFill="1"/>
    <xf numFmtId="0" fontId="0" fillId="4001" borderId="0" xfId="0" applyFill="1"/>
    <xf numFmtId="0" fontId="0" fillId="4002" borderId="0" xfId="0" applyFill="1"/>
    <xf numFmtId="0" fontId="0" fillId="4003" borderId="0" xfId="0" applyFill="1"/>
    <xf numFmtId="0" fontId="0" fillId="4004" borderId="0" xfId="0" applyFill="1"/>
    <xf numFmtId="0" fontId="0" fillId="4005" borderId="0" xfId="0" applyFill="1"/>
    <xf numFmtId="0" fontId="0" fillId="4006" borderId="0" xfId="0" applyFill="1"/>
    <xf numFmtId="0" fontId="0" fillId="4007" borderId="0" xfId="0" applyFill="1"/>
    <xf numFmtId="0" fontId="0" fillId="4008" borderId="0" xfId="0" applyFill="1"/>
    <xf numFmtId="0" fontId="0" fillId="4009" borderId="0" xfId="0" applyFill="1"/>
    <xf numFmtId="0" fontId="0" fillId="4010" borderId="0" xfId="0" applyFill="1"/>
    <xf numFmtId="0" fontId="0" fillId="4011" borderId="0" xfId="0" applyFill="1"/>
    <xf numFmtId="0" fontId="0" fillId="4012" borderId="0" xfId="0" applyFill="1"/>
    <xf numFmtId="0" fontId="0" fillId="4013" borderId="0" xfId="0" applyFill="1"/>
    <xf numFmtId="0" fontId="0" fillId="4014" borderId="0" xfId="0" applyFill="1"/>
    <xf numFmtId="0" fontId="0" fillId="4015" borderId="0" xfId="0" applyFill="1"/>
    <xf numFmtId="0" fontId="0" fillId="4016" borderId="0" xfId="0" applyFill="1"/>
    <xf numFmtId="0" fontId="0" fillId="4017" borderId="0" xfId="0" applyFill="1"/>
    <xf numFmtId="0" fontId="0" fillId="4018" borderId="0" xfId="0" applyFill="1"/>
    <xf numFmtId="0" fontId="0" fillId="4019" borderId="0" xfId="0" applyFill="1"/>
    <xf numFmtId="0" fontId="0" fillId="4020" borderId="0" xfId="0" applyFill="1"/>
    <xf numFmtId="0" fontId="0" fillId="4021" borderId="0" xfId="0" applyFill="1"/>
    <xf numFmtId="0" fontId="0" fillId="4022" borderId="0" xfId="0" applyFill="1"/>
    <xf numFmtId="0" fontId="0" fillId="4023" borderId="0" xfId="0" applyFill="1"/>
    <xf numFmtId="0" fontId="0" fillId="4024" borderId="0" xfId="0" applyFill="1"/>
    <xf numFmtId="0" fontId="0" fillId="4025" borderId="0" xfId="0" applyFill="1"/>
    <xf numFmtId="0" fontId="0" fillId="4026" borderId="0" xfId="0" applyFill="1"/>
    <xf numFmtId="0" fontId="0" fillId="4027" borderId="0" xfId="0" applyFill="1"/>
    <xf numFmtId="0" fontId="0" fillId="4028" borderId="0" xfId="0" applyFill="1"/>
    <xf numFmtId="0" fontId="0" fillId="4029" borderId="0" xfId="0" applyFill="1"/>
    <xf numFmtId="0" fontId="0" fillId="4030" borderId="0" xfId="0" applyFill="1"/>
    <xf numFmtId="0" fontId="0" fillId="4031" borderId="0" xfId="0" applyFill="1"/>
    <xf numFmtId="0" fontId="0" fillId="4032" borderId="0" xfId="0" applyFill="1"/>
    <xf numFmtId="0" fontId="0" fillId="4033" borderId="0" xfId="0" applyFill="1"/>
    <xf numFmtId="0" fontId="0" fillId="4034" borderId="0" xfId="0" applyFill="1"/>
    <xf numFmtId="0" fontId="0" fillId="4035" borderId="0" xfId="0" applyFill="1"/>
    <xf numFmtId="0" fontId="0" fillId="4036" borderId="0" xfId="0" applyFill="1"/>
    <xf numFmtId="0" fontId="0" fillId="4037" borderId="0" xfId="0" applyFill="1"/>
    <xf numFmtId="0" fontId="0" fillId="4038" borderId="0" xfId="0" applyFill="1"/>
    <xf numFmtId="0" fontId="0" fillId="4039" borderId="0" xfId="0" applyFill="1"/>
    <xf numFmtId="0" fontId="0" fillId="4040" borderId="0" xfId="0" applyFill="1"/>
    <xf numFmtId="0" fontId="0" fillId="4041" borderId="0" xfId="0" applyFill="1"/>
    <xf numFmtId="0" fontId="0" fillId="4042" borderId="0" xfId="0" applyFill="1"/>
    <xf numFmtId="0" fontId="0" fillId="4043" borderId="0" xfId="0" applyFill="1"/>
    <xf numFmtId="0" fontId="0" fillId="4044" borderId="0" xfId="0" applyFill="1"/>
    <xf numFmtId="0" fontId="0" fillId="4045" borderId="0" xfId="0" applyFill="1"/>
    <xf numFmtId="0" fontId="0" fillId="4046" borderId="0" xfId="0" applyFill="1"/>
    <xf numFmtId="0" fontId="0" fillId="4047" borderId="0" xfId="0" applyFill="1"/>
    <xf numFmtId="0" fontId="0" fillId="4048" borderId="0" xfId="0" applyFill="1"/>
    <xf numFmtId="0" fontId="0" fillId="4049" borderId="0" xfId="0" applyFill="1"/>
    <xf numFmtId="0" fontId="0" fillId="4050" borderId="0" xfId="0" applyFill="1"/>
    <xf numFmtId="0" fontId="0" fillId="4051" borderId="0" xfId="0" applyFill="1"/>
    <xf numFmtId="0" fontId="0" fillId="4052" borderId="0" xfId="0" applyFill="1"/>
    <xf numFmtId="0" fontId="0" fillId="4053" borderId="0" xfId="0" applyFill="1"/>
    <xf numFmtId="0" fontId="0" fillId="4054" borderId="0" xfId="0" applyFill="1"/>
    <xf numFmtId="0" fontId="0" fillId="4055" borderId="0" xfId="0" applyFill="1"/>
    <xf numFmtId="0" fontId="0" fillId="4056" borderId="0" xfId="0" applyFill="1"/>
    <xf numFmtId="0" fontId="0" fillId="4057" borderId="0" xfId="0" applyFill="1"/>
    <xf numFmtId="0" fontId="0" fillId="4058" borderId="0" xfId="0" applyFill="1"/>
    <xf numFmtId="0" fontId="0" fillId="4059" borderId="0" xfId="0" applyFill="1"/>
    <xf numFmtId="0" fontId="0" fillId="4060" borderId="0" xfId="0" applyFill="1"/>
    <xf numFmtId="0" fontId="0" fillId="4061" borderId="0" xfId="0" applyFill="1"/>
    <xf numFmtId="0" fontId="0" fillId="4062" borderId="0" xfId="0" applyFill="1"/>
    <xf numFmtId="0" fontId="0" fillId="4063" borderId="0" xfId="0" applyFill="1"/>
    <xf numFmtId="0" fontId="0" fillId="4064" borderId="0" xfId="0" applyFill="1"/>
    <xf numFmtId="0" fontId="0" fillId="4065" borderId="0" xfId="0" applyFill="1"/>
    <xf numFmtId="0" fontId="0" fillId="4066" borderId="0" xfId="0" applyFill="1"/>
    <xf numFmtId="0" fontId="0" fillId="4067" borderId="0" xfId="0" applyFill="1"/>
    <xf numFmtId="0" fontId="0" fillId="4068" borderId="0" xfId="0" applyFill="1"/>
    <xf numFmtId="0" fontId="0" fillId="4069" borderId="0" xfId="0" applyFill="1"/>
    <xf numFmtId="0" fontId="0" fillId="4070" borderId="0" xfId="0" applyFill="1"/>
    <xf numFmtId="0" fontId="0" fillId="4071" borderId="0" xfId="0" applyFill="1"/>
    <xf numFmtId="0" fontId="0" fillId="4072" borderId="0" xfId="0" applyFill="1"/>
    <xf numFmtId="0" fontId="0" fillId="4073" borderId="0" xfId="0" applyFill="1"/>
    <xf numFmtId="0" fontId="0" fillId="4074" borderId="0" xfId="0" applyFill="1"/>
    <xf numFmtId="0" fontId="0" fillId="4075" borderId="0" xfId="0" applyFill="1"/>
    <xf numFmtId="0" fontId="0" fillId="4076" borderId="0" xfId="0" applyFill="1"/>
    <xf numFmtId="0" fontId="0" fillId="4077" borderId="0" xfId="0" applyFill="1"/>
    <xf numFmtId="0" fontId="0" fillId="4078" borderId="0" xfId="0" applyFill="1"/>
    <xf numFmtId="0" fontId="0" fillId="4079" borderId="0" xfId="0" applyFill="1"/>
    <xf numFmtId="0" fontId="0" fillId="4080" borderId="0" xfId="0" applyFill="1"/>
    <xf numFmtId="0" fontId="0" fillId="4081" borderId="0" xfId="0" applyFill="1"/>
    <xf numFmtId="0" fontId="0" fillId="4082" borderId="0" xfId="0" applyFill="1"/>
    <xf numFmtId="0" fontId="0" fillId="4083" borderId="0" xfId="0" applyFill="1"/>
    <xf numFmtId="0" fontId="0" fillId="4084" borderId="0" xfId="0" applyFill="1"/>
    <xf numFmtId="0" fontId="0" fillId="4085" borderId="0" xfId="0" applyFill="1"/>
    <xf numFmtId="0" fontId="0" fillId="4086" borderId="0" xfId="0" applyFill="1"/>
    <xf numFmtId="0" fontId="0" fillId="4087" borderId="0" xfId="0" applyFill="1"/>
    <xf numFmtId="0" fontId="0" fillId="4088" borderId="0" xfId="0" applyFill="1"/>
    <xf numFmtId="0" fontId="0" fillId="4089" borderId="0" xfId="0" applyFill="1"/>
    <xf numFmtId="0" fontId="0" fillId="4090" borderId="0" xfId="0" applyFill="1"/>
    <xf numFmtId="0" fontId="0" fillId="4091" borderId="0" xfId="0" applyFill="1"/>
    <xf numFmtId="0" fontId="0" fillId="4092" borderId="0" xfId="0" applyFill="1"/>
    <xf numFmtId="0" fontId="0" fillId="4093" borderId="0" xfId="0" applyFill="1"/>
    <xf numFmtId="0" fontId="0" fillId="4094" borderId="0" xfId="0" applyFill="1"/>
    <xf numFmtId="0" fontId="0" fillId="4095" borderId="0" xfId="0" applyFill="1"/>
    <xf numFmtId="0" fontId="0" fillId="4096" borderId="0" xfId="0" applyFill="1"/>
    <xf numFmtId="0" fontId="0" fillId="4097" borderId="0" xfId="0" applyFill="1"/>
    <xf numFmtId="0" fontId="0" fillId="4098" borderId="0" xfId="0" applyFill="1"/>
    <xf numFmtId="0" fontId="0" fillId="4099" borderId="0" xfId="0" applyFill="1"/>
    <xf numFmtId="0" fontId="0" fillId="4100" borderId="0" xfId="0" applyFill="1"/>
    <xf numFmtId="0" fontId="0" fillId="4101" borderId="0" xfId="0" applyFill="1"/>
    <xf numFmtId="0" fontId="0" fillId="4102" borderId="0" xfId="0" applyFill="1"/>
    <xf numFmtId="0" fontId="0" fillId="4103" borderId="0" xfId="0" applyFill="1"/>
    <xf numFmtId="0" fontId="0" fillId="4104" borderId="0" xfId="0" applyFill="1"/>
    <xf numFmtId="0" fontId="0" fillId="4105" borderId="0" xfId="0" applyFill="1"/>
    <xf numFmtId="0" fontId="0" fillId="4106" borderId="0" xfId="0" applyFill="1"/>
    <xf numFmtId="0" fontId="0" fillId="4107" borderId="0" xfId="0" applyFill="1"/>
    <xf numFmtId="0" fontId="0" fillId="4108" borderId="0" xfId="0" applyFill="1"/>
    <xf numFmtId="0" fontId="0" fillId="4109" borderId="0" xfId="0" applyFill="1"/>
    <xf numFmtId="0" fontId="0" fillId="4110" borderId="0" xfId="0" applyFill="1"/>
    <xf numFmtId="0" fontId="0" fillId="4111" borderId="0" xfId="0" applyFill="1"/>
    <xf numFmtId="0" fontId="0" fillId="4112" borderId="0" xfId="0" applyFill="1"/>
    <xf numFmtId="0" fontId="0" fillId="4113" borderId="0" xfId="0" applyFill="1"/>
    <xf numFmtId="0" fontId="0" fillId="4114" borderId="0" xfId="0" applyFill="1"/>
    <xf numFmtId="0" fontId="0" fillId="4115" borderId="0" xfId="0" applyFill="1"/>
    <xf numFmtId="0" fontId="0" fillId="4116" borderId="0" xfId="0" applyFill="1"/>
    <xf numFmtId="0" fontId="0" fillId="4117" borderId="0" xfId="0" applyFill="1"/>
    <xf numFmtId="0" fontId="0" fillId="4118" borderId="0" xfId="0" applyFill="1"/>
    <xf numFmtId="0" fontId="0" fillId="4119" borderId="0" xfId="0" applyFill="1"/>
    <xf numFmtId="0" fontId="0" fillId="4120" borderId="0" xfId="0" applyFill="1"/>
    <xf numFmtId="0" fontId="0" fillId="4121" borderId="0" xfId="0" applyFill="1"/>
    <xf numFmtId="0" fontId="0" fillId="4122" borderId="0" xfId="0" applyFill="1"/>
    <xf numFmtId="0" fontId="0" fillId="4123" borderId="0" xfId="0" applyFill="1"/>
    <xf numFmtId="0" fontId="0" fillId="4124" borderId="0" xfId="0" applyFill="1"/>
    <xf numFmtId="0" fontId="0" fillId="4125" borderId="0" xfId="0" applyFill="1"/>
    <xf numFmtId="0" fontId="0" fillId="4126" borderId="0" xfId="0" applyFill="1"/>
    <xf numFmtId="0" fontId="0" fillId="4127" borderId="0" xfId="0" applyFill="1"/>
    <xf numFmtId="0" fontId="0" fillId="4128" borderId="0" xfId="0" applyFill="1"/>
    <xf numFmtId="0" fontId="0" fillId="4129" borderId="0" xfId="0" applyFill="1"/>
    <xf numFmtId="0" fontId="0" fillId="4130" borderId="0" xfId="0" applyFill="1"/>
    <xf numFmtId="0" fontId="0" fillId="4131" borderId="0" xfId="0" applyFill="1"/>
    <xf numFmtId="0" fontId="0" fillId="4132" borderId="0" xfId="0" applyFill="1"/>
    <xf numFmtId="0" fontId="0" fillId="4133" borderId="0" xfId="0" applyFill="1"/>
    <xf numFmtId="0" fontId="0" fillId="4134" borderId="0" xfId="0" applyFill="1"/>
    <xf numFmtId="0" fontId="0" fillId="4135" borderId="0" xfId="0" applyFill="1"/>
    <xf numFmtId="0" fontId="0" fillId="4136" borderId="0" xfId="0" applyFill="1"/>
    <xf numFmtId="0" fontId="0" fillId="4137" borderId="0" xfId="0" applyFill="1"/>
    <xf numFmtId="0" fontId="0" fillId="4138" borderId="0" xfId="0" applyFill="1"/>
    <xf numFmtId="0" fontId="0" fillId="4139" borderId="0" xfId="0" applyFill="1"/>
    <xf numFmtId="0" fontId="0" fillId="4140" borderId="0" xfId="0" applyFill="1"/>
    <xf numFmtId="0" fontId="0" fillId="4141" borderId="0" xfId="0" applyFill="1"/>
    <xf numFmtId="0" fontId="0" fillId="4142" borderId="0" xfId="0" applyFill="1"/>
    <xf numFmtId="0" fontId="0" fillId="4143" borderId="0" xfId="0" applyFill="1"/>
    <xf numFmtId="0" fontId="0" fillId="4144" borderId="0" xfId="0" applyFill="1"/>
    <xf numFmtId="0" fontId="0" fillId="4145" borderId="0" xfId="0" applyFill="1"/>
    <xf numFmtId="0" fontId="0" fillId="4146" borderId="0" xfId="0" applyFill="1"/>
    <xf numFmtId="0" fontId="0" fillId="4147" borderId="0" xfId="0" applyFill="1"/>
    <xf numFmtId="0" fontId="0" fillId="4148" borderId="0" xfId="0" applyFill="1"/>
    <xf numFmtId="0" fontId="0" fillId="4149" borderId="0" xfId="0" applyFill="1"/>
    <xf numFmtId="0" fontId="0" fillId="4150" borderId="0" xfId="0" applyFill="1"/>
    <xf numFmtId="0" fontId="0" fillId="4151" borderId="0" xfId="0" applyFill="1"/>
    <xf numFmtId="0" fontId="0" fillId="4152" borderId="0" xfId="0" applyFill="1"/>
    <xf numFmtId="0" fontId="0" fillId="4153" borderId="0" xfId="0" applyFill="1"/>
    <xf numFmtId="0" fontId="0" fillId="4154" borderId="0" xfId="0" applyFill="1"/>
    <xf numFmtId="0" fontId="0" fillId="4155" borderId="0" xfId="0" applyFill="1"/>
    <xf numFmtId="0" fontId="0" fillId="4156" borderId="0" xfId="0" applyFill="1"/>
    <xf numFmtId="0" fontId="0" fillId="4157" borderId="0" xfId="0" applyFill="1"/>
    <xf numFmtId="0" fontId="0" fillId="4158" borderId="0" xfId="0" applyFill="1"/>
    <xf numFmtId="0" fontId="0" fillId="4159" borderId="0" xfId="0" applyFill="1"/>
    <xf numFmtId="0" fontId="0" fillId="4160" borderId="0" xfId="0" applyFill="1"/>
    <xf numFmtId="0" fontId="0" fillId="4161" borderId="0" xfId="0" applyFill="1"/>
    <xf numFmtId="0" fontId="0" fillId="4162" borderId="0" xfId="0" applyFill="1"/>
    <xf numFmtId="0" fontId="0" fillId="4163" borderId="0" xfId="0" applyFill="1"/>
    <xf numFmtId="0" fontId="0" fillId="4164" borderId="0" xfId="0" applyFill="1"/>
    <xf numFmtId="0" fontId="0" fillId="4165" borderId="0" xfId="0" applyFill="1"/>
    <xf numFmtId="0" fontId="0" fillId="4166" borderId="0" xfId="0" applyFill="1"/>
    <xf numFmtId="0" fontId="0" fillId="4167" borderId="0" xfId="0" applyFill="1"/>
    <xf numFmtId="0" fontId="0" fillId="4168" borderId="0" xfId="0" applyFill="1"/>
    <xf numFmtId="0" fontId="0" fillId="4169" borderId="0" xfId="0" applyFill="1"/>
    <xf numFmtId="0" fontId="0" fillId="4170" borderId="0" xfId="0" applyFill="1"/>
    <xf numFmtId="0" fontId="0" fillId="4171" borderId="0" xfId="0" applyFill="1"/>
    <xf numFmtId="0" fontId="0" fillId="4172" borderId="0" xfId="0" applyFill="1"/>
    <xf numFmtId="0" fontId="0" fillId="4173" borderId="0" xfId="0" applyFill="1"/>
    <xf numFmtId="0" fontId="0" fillId="4174" borderId="0" xfId="0" applyFill="1"/>
    <xf numFmtId="0" fontId="0" fillId="4175" borderId="0" xfId="0" applyFill="1"/>
    <xf numFmtId="0" fontId="0" fillId="4176" borderId="0" xfId="0" applyFill="1"/>
    <xf numFmtId="0" fontId="0" fillId="4177" borderId="0" xfId="0" applyFill="1"/>
    <xf numFmtId="0" fontId="0" fillId="4178" borderId="0" xfId="0" applyFill="1"/>
    <xf numFmtId="0" fontId="0" fillId="4179" borderId="0" xfId="0" applyFill="1"/>
    <xf numFmtId="0" fontId="0" fillId="4180" borderId="0" xfId="0" applyFill="1"/>
    <xf numFmtId="0" fontId="0" fillId="4181" borderId="0" xfId="0" applyFill="1"/>
    <xf numFmtId="0" fontId="0" fillId="4182" borderId="0" xfId="0" applyFill="1"/>
    <xf numFmtId="0" fontId="0" fillId="4183" borderId="0" xfId="0" applyFill="1"/>
    <xf numFmtId="0" fontId="0" fillId="4184" borderId="0" xfId="0" applyFill="1"/>
    <xf numFmtId="0" fontId="0" fillId="4185" borderId="0" xfId="0" applyFill="1"/>
    <xf numFmtId="0" fontId="0" fillId="4186" borderId="0" xfId="0" applyFill="1"/>
    <xf numFmtId="0" fontId="0" fillId="4187" borderId="0" xfId="0" applyFill="1"/>
    <xf numFmtId="0" fontId="0" fillId="4188" borderId="0" xfId="0" applyFill="1"/>
    <xf numFmtId="0" fontId="0" fillId="4189" borderId="0" xfId="0" applyFill="1"/>
    <xf numFmtId="0" fontId="0" fillId="4190" borderId="0" xfId="0" applyFill="1"/>
    <xf numFmtId="0" fontId="0" fillId="4191" borderId="0" xfId="0" applyFill="1"/>
    <xf numFmtId="0" fontId="0" fillId="4192" borderId="0" xfId="0" applyFill="1"/>
    <xf numFmtId="0" fontId="0" fillId="4193" borderId="0" xfId="0" applyFill="1"/>
    <xf numFmtId="0" fontId="0" fillId="4194" borderId="0" xfId="0" applyFill="1"/>
    <xf numFmtId="0" fontId="0" fillId="4195" borderId="0" xfId="0" applyFill="1"/>
    <xf numFmtId="0" fontId="0" fillId="4196" borderId="0" xfId="0" applyFill="1"/>
    <xf numFmtId="0" fontId="0" fillId="4197" borderId="0" xfId="0" applyFill="1"/>
    <xf numFmtId="0" fontId="0" fillId="4198" borderId="0" xfId="0" applyFill="1"/>
    <xf numFmtId="0" fontId="0" fillId="4199" borderId="0" xfId="0" applyFill="1"/>
    <xf numFmtId="0" fontId="0" fillId="4200" borderId="0" xfId="0" applyFill="1"/>
    <xf numFmtId="0" fontId="0" fillId="4201" borderId="0" xfId="0" applyFill="1"/>
    <xf numFmtId="0" fontId="0" fillId="4202" borderId="0" xfId="0" applyFill="1"/>
    <xf numFmtId="0" fontId="0" fillId="4203" borderId="0" xfId="0" applyFill="1"/>
    <xf numFmtId="0" fontId="0" fillId="4204" borderId="0" xfId="0" applyFill="1"/>
    <xf numFmtId="0" fontId="0" fillId="4205" borderId="0" xfId="0" applyFill="1"/>
    <xf numFmtId="0" fontId="0" fillId="4206" borderId="0" xfId="0" applyFill="1"/>
    <xf numFmtId="0" fontId="0" fillId="4207" borderId="0" xfId="0" applyFill="1"/>
    <xf numFmtId="0" fontId="0" fillId="4208" borderId="0" xfId="0" applyFill="1"/>
    <xf numFmtId="0" fontId="0" fillId="4209" borderId="0" xfId="0" applyFill="1"/>
    <xf numFmtId="0" fontId="0" fillId="4210" borderId="0" xfId="0" applyFill="1"/>
    <xf numFmtId="0" fontId="0" fillId="4211" borderId="0" xfId="0" applyFill="1"/>
    <xf numFmtId="0" fontId="0" fillId="4212" borderId="0" xfId="0" applyFill="1"/>
    <xf numFmtId="0" fontId="0" fillId="4213" borderId="0" xfId="0" applyFill="1"/>
    <xf numFmtId="0" fontId="0" fillId="4214" borderId="0" xfId="0" applyFill="1"/>
    <xf numFmtId="0" fontId="0" fillId="4215" borderId="0" xfId="0" applyFill="1"/>
    <xf numFmtId="0" fontId="0" fillId="4216" borderId="0" xfId="0" applyFill="1"/>
    <xf numFmtId="0" fontId="0" fillId="4217" borderId="0" xfId="0" applyFill="1"/>
    <xf numFmtId="0" fontId="0" fillId="4218" borderId="0" xfId="0" applyFill="1"/>
    <xf numFmtId="0" fontId="0" fillId="4219" borderId="0" xfId="0" applyFill="1"/>
    <xf numFmtId="0" fontId="0" fillId="4220" borderId="0" xfId="0" applyFill="1"/>
    <xf numFmtId="0" fontId="0" fillId="4221" borderId="0" xfId="0" applyFill="1"/>
    <xf numFmtId="0" fontId="0" fillId="4222" borderId="0" xfId="0" applyFill="1"/>
    <xf numFmtId="0" fontId="0" fillId="4223" borderId="0" xfId="0" applyFill="1"/>
    <xf numFmtId="0" fontId="0" fillId="4224" borderId="0" xfId="0" applyFill="1"/>
    <xf numFmtId="0" fontId="0" fillId="4225" borderId="0" xfId="0" applyFill="1"/>
    <xf numFmtId="0" fontId="0" fillId="4226" borderId="0" xfId="0" applyFill="1"/>
    <xf numFmtId="0" fontId="0" fillId="4227" borderId="0" xfId="0" applyFill="1"/>
    <xf numFmtId="0" fontId="0" fillId="4228" borderId="0" xfId="0" applyFill="1"/>
    <xf numFmtId="0" fontId="0" fillId="4229" borderId="0" xfId="0" applyFill="1"/>
    <xf numFmtId="0" fontId="0" fillId="4230" borderId="0" xfId="0" applyFill="1"/>
    <xf numFmtId="0" fontId="0" fillId="4231" borderId="0" xfId="0" applyFill="1"/>
    <xf numFmtId="0" fontId="0" fillId="4232" borderId="0" xfId="0" applyFill="1"/>
    <xf numFmtId="0" fontId="0" fillId="4233" borderId="0" xfId="0" applyFill="1"/>
    <xf numFmtId="0" fontId="0" fillId="4234" borderId="0" xfId="0" applyFill="1"/>
    <xf numFmtId="0" fontId="0" fillId="4235" borderId="0" xfId="0" applyFill="1"/>
    <xf numFmtId="0" fontId="0" fillId="4236" borderId="0" xfId="0" applyFill="1"/>
    <xf numFmtId="0" fontId="0" fillId="4237" borderId="0" xfId="0" applyFill="1"/>
    <xf numFmtId="0" fontId="0" fillId="4238" borderId="0" xfId="0" applyFill="1"/>
    <xf numFmtId="0" fontId="0" fillId="4239" borderId="0" xfId="0" applyFill="1"/>
    <xf numFmtId="0" fontId="0" fillId="4240" borderId="0" xfId="0" applyFill="1"/>
    <xf numFmtId="0" fontId="0" fillId="4241" borderId="0" xfId="0" applyFill="1"/>
    <xf numFmtId="0" fontId="0" fillId="4242" borderId="0" xfId="0" applyFill="1"/>
    <xf numFmtId="0" fontId="0" fillId="4243" borderId="0" xfId="0" applyFill="1"/>
    <xf numFmtId="0" fontId="0" fillId="4244" borderId="0" xfId="0" applyFill="1"/>
    <xf numFmtId="0" fontId="0" fillId="4245" borderId="0" xfId="0" applyFill="1"/>
    <xf numFmtId="0" fontId="0" fillId="4246" borderId="0" xfId="0" applyFill="1"/>
    <xf numFmtId="0" fontId="0" fillId="4247" borderId="0" xfId="0" applyFill="1"/>
    <xf numFmtId="0" fontId="0" fillId="4248" borderId="0" xfId="0" applyFill="1"/>
    <xf numFmtId="0" fontId="0" fillId="4249" borderId="0" xfId="0" applyFill="1"/>
    <xf numFmtId="0" fontId="0" fillId="4250" borderId="0" xfId="0" applyFill="1"/>
    <xf numFmtId="0" fontId="0" fillId="4251" borderId="0" xfId="0" applyFill="1"/>
    <xf numFmtId="0" fontId="0" fillId="4252" borderId="0" xfId="0" applyFill="1"/>
    <xf numFmtId="0" fontId="0" fillId="4253" borderId="0" xfId="0" applyFill="1"/>
    <xf numFmtId="0" fontId="0" fillId="4254" borderId="0" xfId="0" applyFill="1"/>
    <xf numFmtId="0" fontId="0" fillId="4255" borderId="0" xfId="0" applyFill="1"/>
    <xf numFmtId="0" fontId="0" fillId="4256" borderId="0" xfId="0" applyFill="1"/>
    <xf numFmtId="0" fontId="0" fillId="4257" borderId="0" xfId="0" applyFill="1"/>
    <xf numFmtId="0" fontId="0" fillId="4258" borderId="0" xfId="0" applyFill="1"/>
    <xf numFmtId="0" fontId="0" fillId="4259" borderId="0" xfId="0" applyFill="1"/>
    <xf numFmtId="0" fontId="0" fillId="4260" borderId="0" xfId="0" applyFill="1"/>
    <xf numFmtId="0" fontId="0" fillId="4261" borderId="0" xfId="0" applyFill="1"/>
    <xf numFmtId="0" fontId="0" fillId="4262" borderId="0" xfId="0" applyFill="1"/>
    <xf numFmtId="0" fontId="0" fillId="4263" borderId="0" xfId="0" applyFill="1"/>
    <xf numFmtId="0" fontId="0" fillId="4264" borderId="0" xfId="0" applyFill="1"/>
    <xf numFmtId="0" fontId="0" fillId="4265" borderId="0" xfId="0" applyFill="1"/>
    <xf numFmtId="0" fontId="0" fillId="4266" borderId="0" xfId="0" applyFill="1"/>
    <xf numFmtId="0" fontId="0" fillId="4267" borderId="0" xfId="0" applyFill="1"/>
    <xf numFmtId="0" fontId="0" fillId="4268" borderId="0" xfId="0" applyFill="1"/>
    <xf numFmtId="0" fontId="0" fillId="4269" borderId="0" xfId="0" applyFill="1"/>
    <xf numFmtId="0" fontId="0" fillId="4270" borderId="0" xfId="0" applyFill="1"/>
    <xf numFmtId="0" fontId="0" fillId="4271" borderId="0" xfId="0" applyFill="1"/>
    <xf numFmtId="0" fontId="0" fillId="4272" borderId="0" xfId="0" applyFill="1"/>
    <xf numFmtId="0" fontId="0" fillId="4273" borderId="0" xfId="0" applyFill="1"/>
    <xf numFmtId="0" fontId="0" fillId="4274" borderId="0" xfId="0" applyFill="1"/>
    <xf numFmtId="0" fontId="0" fillId="4275" borderId="0" xfId="0" applyFill="1"/>
    <xf numFmtId="0" fontId="0" fillId="4276" borderId="0" xfId="0" applyFill="1"/>
    <xf numFmtId="0" fontId="0" fillId="4277" borderId="0" xfId="0" applyFill="1"/>
    <xf numFmtId="0" fontId="0" fillId="4278" borderId="0" xfId="0" applyFill="1"/>
    <xf numFmtId="0" fontId="0" fillId="4279" borderId="0" xfId="0" applyFill="1"/>
    <xf numFmtId="0" fontId="0" fillId="4280" borderId="0" xfId="0" applyFill="1"/>
    <xf numFmtId="0" fontId="0" fillId="4281" borderId="0" xfId="0" applyFill="1"/>
    <xf numFmtId="0" fontId="0" fillId="4282" borderId="0" xfId="0" applyFill="1"/>
    <xf numFmtId="0" fontId="0" fillId="4283" borderId="0" xfId="0" applyFill="1"/>
    <xf numFmtId="0" fontId="0" fillId="4284" borderId="0" xfId="0" applyFill="1"/>
    <xf numFmtId="0" fontId="0" fillId="4285" borderId="0" xfId="0" applyFill="1"/>
    <xf numFmtId="0" fontId="0" fillId="4286" borderId="0" xfId="0" applyFill="1"/>
    <xf numFmtId="0" fontId="0" fillId="4287" borderId="0" xfId="0" applyFill="1"/>
    <xf numFmtId="0" fontId="0" fillId="4288" borderId="0" xfId="0" applyFill="1"/>
    <xf numFmtId="0" fontId="0" fillId="4289" borderId="0" xfId="0" applyFill="1"/>
    <xf numFmtId="0" fontId="0" fillId="4290" borderId="0" xfId="0" applyFill="1"/>
    <xf numFmtId="0" fontId="0" fillId="4291" borderId="0" xfId="0" applyFill="1"/>
    <xf numFmtId="0" fontId="0" fillId="4292" borderId="0" xfId="0" applyFill="1"/>
    <xf numFmtId="0" fontId="0" fillId="4293" borderId="0" xfId="0" applyFill="1"/>
    <xf numFmtId="0" fontId="0" fillId="4294" borderId="0" xfId="0" applyFill="1"/>
    <xf numFmtId="0" fontId="0" fillId="4295" borderId="0" xfId="0" applyFill="1"/>
    <xf numFmtId="0" fontId="0" fillId="4296" borderId="0" xfId="0" applyFill="1"/>
    <xf numFmtId="0" fontId="0" fillId="4297" borderId="0" xfId="0" applyFill="1"/>
    <xf numFmtId="0" fontId="0" fillId="4298" borderId="0" xfId="0" applyFill="1"/>
    <xf numFmtId="0" fontId="0" fillId="4299" borderId="0" xfId="0" applyFill="1"/>
    <xf numFmtId="0" fontId="0" fillId="4300" borderId="0" xfId="0" applyFill="1"/>
    <xf numFmtId="0" fontId="0" fillId="4301" borderId="0" xfId="0" applyFill="1"/>
    <xf numFmtId="0" fontId="0" fillId="4302" borderId="0" xfId="0" applyFill="1"/>
    <xf numFmtId="0" fontId="0" fillId="4303" borderId="0" xfId="0" applyFill="1"/>
    <xf numFmtId="0" fontId="0" fillId="4304" borderId="0" xfId="0" applyFill="1"/>
    <xf numFmtId="0" fontId="0" fillId="4305" borderId="0" xfId="0" applyFill="1"/>
    <xf numFmtId="0" fontId="0" fillId="4306" borderId="0" xfId="0" applyFill="1"/>
    <xf numFmtId="0" fontId="0" fillId="4307" borderId="0" xfId="0" applyFill="1"/>
    <xf numFmtId="0" fontId="0" fillId="4308" borderId="0" xfId="0" applyFill="1"/>
    <xf numFmtId="0" fontId="0" fillId="4309" borderId="0" xfId="0" applyFill="1"/>
    <xf numFmtId="0" fontId="0" fillId="4310" borderId="0" xfId="0" applyFill="1"/>
    <xf numFmtId="0" fontId="0" fillId="4311" borderId="0" xfId="0" applyFill="1"/>
    <xf numFmtId="0" fontId="0" fillId="4312" borderId="0" xfId="0" applyFill="1"/>
    <xf numFmtId="0" fontId="0" fillId="4313" borderId="0" xfId="0" applyFill="1"/>
    <xf numFmtId="0" fontId="0" fillId="4314" borderId="0" xfId="0" applyFill="1"/>
    <xf numFmtId="0" fontId="0" fillId="4315" borderId="0" xfId="0" applyFill="1"/>
    <xf numFmtId="0" fontId="0" fillId="4316" borderId="0" xfId="0" applyFill="1"/>
    <xf numFmtId="0" fontId="0" fillId="4317" borderId="0" xfId="0" applyFill="1"/>
    <xf numFmtId="0" fontId="0" fillId="4318" borderId="0" xfId="0" applyFill="1"/>
    <xf numFmtId="0" fontId="0" fillId="4319" borderId="0" xfId="0" applyFill="1"/>
    <xf numFmtId="0" fontId="0" fillId="4320" borderId="0" xfId="0" applyFill="1"/>
    <xf numFmtId="0" fontId="0" fillId="4321" borderId="0" xfId="0" applyFill="1"/>
    <xf numFmtId="0" fontId="0" fillId="4322" borderId="0" xfId="0" applyFill="1"/>
    <xf numFmtId="0" fontId="0" fillId="4323" borderId="0" xfId="0" applyFill="1"/>
    <xf numFmtId="0" fontId="0" fillId="4324" borderId="0" xfId="0" applyFill="1"/>
    <xf numFmtId="0" fontId="0" fillId="4325" borderId="0" xfId="0" applyFill="1"/>
    <xf numFmtId="0" fontId="0" fillId="4326" borderId="0" xfId="0" applyFill="1"/>
    <xf numFmtId="0" fontId="0" fillId="4327" borderId="0" xfId="0" applyFill="1"/>
    <xf numFmtId="0" fontId="0" fillId="4328" borderId="0" xfId="0" applyFill="1"/>
    <xf numFmtId="0" fontId="0" fillId="4329" borderId="0" xfId="0" applyFill="1"/>
    <xf numFmtId="0" fontId="0" fillId="4330" borderId="0" xfId="0" applyFill="1"/>
    <xf numFmtId="0" fontId="0" fillId="4331" borderId="0" xfId="0" applyFill="1"/>
    <xf numFmtId="0" fontId="0" fillId="4332" borderId="0" xfId="0" applyFill="1"/>
    <xf numFmtId="0" fontId="0" fillId="4333" borderId="0" xfId="0" applyFill="1"/>
    <xf numFmtId="0" fontId="0" fillId="4334" borderId="0" xfId="0" applyFill="1"/>
    <xf numFmtId="0" fontId="0" fillId="4335" borderId="0" xfId="0" applyFill="1"/>
    <xf numFmtId="0" fontId="0" fillId="4336" borderId="0" xfId="0" applyFill="1"/>
    <xf numFmtId="0" fontId="0" fillId="4337" borderId="0" xfId="0" applyFill="1"/>
    <xf numFmtId="0" fontId="0" fillId="4338" borderId="0" xfId="0" applyFill="1"/>
    <xf numFmtId="0" fontId="0" fillId="4339" borderId="0" xfId="0" applyFill="1"/>
    <xf numFmtId="0" fontId="0" fillId="4340" borderId="0" xfId="0" applyFill="1"/>
    <xf numFmtId="0" fontId="0" fillId="4341" borderId="0" xfId="0" applyFill="1"/>
    <xf numFmtId="0" fontId="0" fillId="4342" borderId="0" xfId="0" applyFill="1"/>
    <xf numFmtId="0" fontId="0" fillId="4343" borderId="0" xfId="0" applyFill="1"/>
    <xf numFmtId="0" fontId="0" fillId="4344" borderId="0" xfId="0" applyFill="1"/>
    <xf numFmtId="0" fontId="0" fillId="4345" borderId="0" xfId="0" applyFill="1"/>
    <xf numFmtId="0" fontId="0" fillId="4346" borderId="0" xfId="0" applyFill="1"/>
    <xf numFmtId="0" fontId="0" fillId="4347" borderId="0" xfId="0" applyFill="1"/>
    <xf numFmtId="0" fontId="0" fillId="4348" borderId="0" xfId="0" applyFill="1"/>
    <xf numFmtId="0" fontId="0" fillId="4349" borderId="0" xfId="0" applyFill="1"/>
    <xf numFmtId="0" fontId="0" fillId="4350" borderId="0" xfId="0" applyFill="1"/>
    <xf numFmtId="0" fontId="0" fillId="4351" borderId="0" xfId="0" applyFill="1"/>
    <xf numFmtId="0" fontId="0" fillId="4352" borderId="0" xfId="0" applyFill="1"/>
    <xf numFmtId="0" fontId="0" fillId="4353" borderId="0" xfId="0" applyFill="1"/>
    <xf numFmtId="0" fontId="0" fillId="4354" borderId="0" xfId="0" applyFill="1"/>
    <xf numFmtId="0" fontId="0" fillId="4355" borderId="0" xfId="0" applyFill="1"/>
    <xf numFmtId="0" fontId="0" fillId="4356" borderId="0" xfId="0" applyFill="1"/>
    <xf numFmtId="0" fontId="0" fillId="4357" borderId="0" xfId="0" applyFill="1"/>
    <xf numFmtId="0" fontId="0" fillId="4358" borderId="0" xfId="0" applyFill="1"/>
    <xf numFmtId="0" fontId="0" fillId="4359" borderId="0" xfId="0" applyFill="1"/>
    <xf numFmtId="0" fontId="0" fillId="4360" borderId="0" xfId="0" applyFill="1"/>
    <xf numFmtId="0" fontId="0" fillId="4361" borderId="0" xfId="0" applyFill="1"/>
    <xf numFmtId="0" fontId="0" fillId="4362" borderId="0" xfId="0" applyFill="1"/>
    <xf numFmtId="0" fontId="0" fillId="4363" borderId="0" xfId="0" applyFill="1"/>
    <xf numFmtId="0" fontId="0" fillId="4364" borderId="0" xfId="0" applyFill="1"/>
    <xf numFmtId="0" fontId="0" fillId="4365" borderId="0" xfId="0" applyFill="1"/>
    <xf numFmtId="0" fontId="0" fillId="4366" borderId="0" xfId="0" applyFill="1"/>
    <xf numFmtId="0" fontId="0" fillId="4367" borderId="0" xfId="0" applyFill="1"/>
    <xf numFmtId="0" fontId="0" fillId="4368" borderId="0" xfId="0" applyFill="1"/>
    <xf numFmtId="0" fontId="0" fillId="4369" borderId="0" xfId="0" applyFill="1"/>
    <xf numFmtId="0" fontId="0" fillId="4370" borderId="0" xfId="0" applyFill="1"/>
    <xf numFmtId="0" fontId="0" fillId="4371" borderId="0" xfId="0" applyFill="1"/>
    <xf numFmtId="0" fontId="0" fillId="4372" borderId="0" xfId="0" applyFill="1"/>
    <xf numFmtId="0" fontId="0" fillId="4373" borderId="0" xfId="0" applyFill="1"/>
    <xf numFmtId="0" fontId="0" fillId="4374" borderId="0" xfId="0" applyFill="1"/>
    <xf numFmtId="0" fontId="0" fillId="4375" borderId="0" xfId="0" applyFill="1"/>
    <xf numFmtId="0" fontId="0" fillId="4376" borderId="0" xfId="0" applyFill="1"/>
    <xf numFmtId="0" fontId="0" fillId="4377" borderId="0" xfId="0" applyFill="1"/>
    <xf numFmtId="0" fontId="0" fillId="4378" borderId="0" xfId="0" applyFill="1"/>
    <xf numFmtId="0" fontId="0" fillId="4379" borderId="0" xfId="0" applyFill="1"/>
    <xf numFmtId="0" fontId="0" fillId="4380" borderId="0" xfId="0" applyFill="1"/>
    <xf numFmtId="0" fontId="0" fillId="4381" borderId="0" xfId="0" applyFill="1"/>
    <xf numFmtId="0" fontId="0" fillId="4382" borderId="0" xfId="0" applyFill="1"/>
    <xf numFmtId="0" fontId="0" fillId="4383" borderId="0" xfId="0" applyFill="1"/>
    <xf numFmtId="0" fontId="0" fillId="4384" borderId="0" xfId="0" applyFill="1"/>
    <xf numFmtId="0" fontId="0" fillId="4385" borderId="0" xfId="0" applyFill="1"/>
    <xf numFmtId="0" fontId="0" fillId="4386" borderId="0" xfId="0" applyFill="1"/>
    <xf numFmtId="0" fontId="0" fillId="4387" borderId="0" xfId="0" applyFill="1"/>
    <xf numFmtId="0" fontId="0" fillId="4388" borderId="0" xfId="0" applyFill="1"/>
    <xf numFmtId="0" fontId="0" fillId="4389" borderId="0" xfId="0" applyFill="1"/>
    <xf numFmtId="0" fontId="0" fillId="4390" borderId="0" xfId="0" applyFill="1"/>
    <xf numFmtId="0" fontId="0" fillId="4391" borderId="0" xfId="0" applyFill="1"/>
    <xf numFmtId="0" fontId="0" fillId="4392" borderId="0" xfId="0" applyFill="1"/>
    <xf numFmtId="0" fontId="0" fillId="4393" borderId="0" xfId="0" applyFill="1"/>
    <xf numFmtId="0" fontId="0" fillId="4394" borderId="0" xfId="0" applyFill="1"/>
    <xf numFmtId="0" fontId="0" fillId="4395" borderId="0" xfId="0" applyFill="1"/>
    <xf numFmtId="0" fontId="0" fillId="4396" borderId="0" xfId="0" applyFill="1"/>
    <xf numFmtId="0" fontId="0" fillId="4397" borderId="0" xfId="0" applyFill="1"/>
    <xf numFmtId="0" fontId="0" fillId="4398" borderId="0" xfId="0" applyFill="1"/>
    <xf numFmtId="0" fontId="0" fillId="4399" borderId="0" xfId="0" applyFill="1"/>
    <xf numFmtId="0" fontId="0" fillId="4400" borderId="0" xfId="0" applyFill="1"/>
    <xf numFmtId="0" fontId="0" fillId="4401" borderId="0" xfId="0" applyFill="1"/>
    <xf numFmtId="0" fontId="0" fillId="4402" borderId="0" xfId="0" applyFill="1"/>
    <xf numFmtId="0" fontId="0" fillId="4403" borderId="0" xfId="0" applyFill="1"/>
    <xf numFmtId="0" fontId="0" fillId="4404" borderId="0" xfId="0" applyFill="1"/>
    <xf numFmtId="0" fontId="0" fillId="4405" borderId="0" xfId="0" applyFill="1"/>
    <xf numFmtId="0" fontId="0" fillId="4406" borderId="0" xfId="0" applyFill="1"/>
    <xf numFmtId="0" fontId="0" fillId="4407" borderId="0" xfId="0" applyFill="1"/>
    <xf numFmtId="0" fontId="0" fillId="4408" borderId="0" xfId="0" applyFill="1"/>
    <xf numFmtId="0" fontId="0" fillId="4409" borderId="0" xfId="0" applyFill="1"/>
    <xf numFmtId="0" fontId="0" fillId="4410" borderId="0" xfId="0" applyFill="1"/>
    <xf numFmtId="0" fontId="0" fillId="4411" borderId="0" xfId="0" applyFill="1"/>
    <xf numFmtId="0" fontId="0" fillId="4412" borderId="0" xfId="0" applyFill="1"/>
    <xf numFmtId="0" fontId="0" fillId="4413" borderId="0" xfId="0" applyFill="1"/>
    <xf numFmtId="0" fontId="0" fillId="4414" borderId="0" xfId="0" applyFill="1"/>
    <xf numFmtId="0" fontId="0" fillId="4415" borderId="0" xfId="0" applyFill="1"/>
    <xf numFmtId="0" fontId="0" fillId="4416" borderId="0" xfId="0" applyFill="1"/>
    <xf numFmtId="0" fontId="0" fillId="4417" borderId="0" xfId="0" applyFill="1"/>
    <xf numFmtId="0" fontId="0" fillId="4418" borderId="0" xfId="0" applyFill="1"/>
    <xf numFmtId="0" fontId="0" fillId="4419" borderId="0" xfId="0" applyFill="1"/>
    <xf numFmtId="0" fontId="0" fillId="4420" borderId="0" xfId="0" applyFill="1"/>
    <xf numFmtId="0" fontId="0" fillId="4421" borderId="0" xfId="0" applyFill="1"/>
    <xf numFmtId="0" fontId="0" fillId="4422" borderId="0" xfId="0" applyFill="1"/>
    <xf numFmtId="0" fontId="0" fillId="4423" borderId="0" xfId="0" applyFill="1"/>
    <xf numFmtId="0" fontId="0" fillId="4424" borderId="0" xfId="0" applyFill="1"/>
    <xf numFmtId="0" fontId="0" fillId="4425" borderId="0" xfId="0" applyFill="1"/>
    <xf numFmtId="0" fontId="0" fillId="4426" borderId="0" xfId="0" applyFill="1"/>
    <xf numFmtId="0" fontId="0" fillId="4427" borderId="0" xfId="0" applyFill="1"/>
    <xf numFmtId="0" fontId="0" fillId="4428" borderId="0" xfId="0" applyFill="1"/>
    <xf numFmtId="0" fontId="0" fillId="4429" borderId="0" xfId="0" applyFill="1"/>
    <xf numFmtId="0" fontId="0" fillId="4430" borderId="0" xfId="0" applyFill="1"/>
    <xf numFmtId="0" fontId="0" fillId="4431" borderId="0" xfId="0" applyFill="1"/>
    <xf numFmtId="0" fontId="0" fillId="4432" borderId="0" xfId="0" applyFill="1"/>
    <xf numFmtId="0" fontId="0" fillId="4433" borderId="0" xfId="0" applyFill="1"/>
    <xf numFmtId="0" fontId="0" fillId="4434" borderId="0" xfId="0" applyFill="1"/>
    <xf numFmtId="0" fontId="0" fillId="4435" borderId="0" xfId="0" applyFill="1"/>
    <xf numFmtId="0" fontId="0" fillId="4436" borderId="0" xfId="0" applyFill="1"/>
    <xf numFmtId="0" fontId="0" fillId="4437" borderId="0" xfId="0" applyFill="1"/>
    <xf numFmtId="0" fontId="0" fillId="4438" borderId="0" xfId="0" applyFill="1"/>
    <xf numFmtId="0" fontId="0" fillId="4439" borderId="0" xfId="0" applyFill="1"/>
    <xf numFmtId="0" fontId="0" fillId="4440" borderId="0" xfId="0" applyFill="1"/>
    <xf numFmtId="0" fontId="0" fillId="4441" borderId="0" xfId="0" applyFill="1"/>
    <xf numFmtId="0" fontId="0" fillId="4442" borderId="0" xfId="0" applyFill="1"/>
    <xf numFmtId="0" fontId="0" fillId="4443" borderId="0" xfId="0" applyFill="1"/>
    <xf numFmtId="0" fontId="0" fillId="4444" borderId="0" xfId="0" applyFill="1"/>
    <xf numFmtId="0" fontId="0" fillId="4445" borderId="0" xfId="0" applyFill="1"/>
    <xf numFmtId="0" fontId="0" fillId="4446" borderId="0" xfId="0" applyFill="1"/>
    <xf numFmtId="0" fontId="0" fillId="4447" borderId="0" xfId="0" applyFill="1"/>
    <xf numFmtId="0" fontId="0" fillId="4448" borderId="0" xfId="0" applyFill="1"/>
    <xf numFmtId="0" fontId="0" fillId="4449" borderId="0" xfId="0" applyFill="1"/>
    <xf numFmtId="0" fontId="0" fillId="4450" borderId="0" xfId="0" applyFill="1"/>
    <xf numFmtId="0" fontId="0" fillId="4451" borderId="0" xfId="0" applyFill="1"/>
    <xf numFmtId="0" fontId="0" fillId="4452" borderId="0" xfId="0" applyFill="1"/>
    <xf numFmtId="0" fontId="0" fillId="4453" borderId="0" xfId="0" applyFill="1"/>
    <xf numFmtId="0" fontId="0" fillId="4454" borderId="0" xfId="0" applyFill="1"/>
    <xf numFmtId="0" fontId="0" fillId="4455" borderId="0" xfId="0" applyFill="1"/>
    <xf numFmtId="0" fontId="0" fillId="4456" borderId="0" xfId="0" applyFill="1"/>
    <xf numFmtId="0" fontId="0" fillId="4457" borderId="0" xfId="0" applyFill="1"/>
    <xf numFmtId="0" fontId="0" fillId="4458" borderId="0" xfId="0" applyFill="1"/>
    <xf numFmtId="0" fontId="0" fillId="4459" borderId="0" xfId="0" applyFill="1"/>
    <xf numFmtId="0" fontId="0" fillId="4460" borderId="0" xfId="0" applyFill="1"/>
    <xf numFmtId="0" fontId="0" fillId="4461" borderId="0" xfId="0" applyFill="1"/>
    <xf numFmtId="0" fontId="0" fillId="4462" borderId="0" xfId="0" applyFill="1"/>
    <xf numFmtId="0" fontId="0" fillId="4463" borderId="0" xfId="0" applyFill="1"/>
    <xf numFmtId="0" fontId="0" fillId="4464" borderId="0" xfId="0" applyFill="1"/>
    <xf numFmtId="0" fontId="0" fillId="4465" borderId="0" xfId="0" applyFill="1"/>
    <xf numFmtId="0" fontId="0" fillId="4466" borderId="0" xfId="0" applyFill="1"/>
    <xf numFmtId="0" fontId="0" fillId="4467" borderId="0" xfId="0" applyFill="1"/>
    <xf numFmtId="0" fontId="0" fillId="4468" borderId="0" xfId="0" applyFill="1"/>
    <xf numFmtId="0" fontId="0" fillId="4469" borderId="0" xfId="0" applyFill="1"/>
    <xf numFmtId="0" fontId="0" fillId="4470" borderId="0" xfId="0" applyFill="1"/>
    <xf numFmtId="0" fontId="0" fillId="4471" borderId="0" xfId="0" applyFill="1"/>
    <xf numFmtId="0" fontId="0" fillId="4472" borderId="0" xfId="0" applyFill="1"/>
    <xf numFmtId="0" fontId="0" fillId="4473" borderId="0" xfId="0" applyFill="1"/>
    <xf numFmtId="0" fontId="0" fillId="4474" borderId="0" xfId="0" applyFill="1"/>
    <xf numFmtId="0" fontId="0" fillId="4475" borderId="0" xfId="0" applyFill="1"/>
    <xf numFmtId="0" fontId="0" fillId="4476" borderId="0" xfId="0" applyFill="1"/>
    <xf numFmtId="0" fontId="0" fillId="4477" borderId="0" xfId="0" applyFill="1"/>
    <xf numFmtId="0" fontId="0" fillId="4478" borderId="0" xfId="0" applyFill="1"/>
    <xf numFmtId="0" fontId="0" fillId="4479" borderId="0" xfId="0" applyFill="1"/>
    <xf numFmtId="0" fontId="0" fillId="4480" borderId="0" xfId="0" applyFill="1"/>
    <xf numFmtId="0" fontId="0" fillId="4481" borderId="0" xfId="0" applyFill="1"/>
    <xf numFmtId="0" fontId="0" fillId="4482" borderId="0" xfId="0" applyFill="1"/>
    <xf numFmtId="0" fontId="0" fillId="4483" borderId="0" xfId="0" applyFill="1"/>
    <xf numFmtId="0" fontId="0" fillId="4484" borderId="0" xfId="0" applyFill="1"/>
    <xf numFmtId="0" fontId="0" fillId="4485" borderId="0" xfId="0" applyFill="1"/>
    <xf numFmtId="0" fontId="0" fillId="4486" borderId="0" xfId="0" applyFill="1"/>
    <xf numFmtId="0" fontId="0" fillId="4487" borderId="0" xfId="0" applyFill="1"/>
    <xf numFmtId="0" fontId="0" fillId="4488" borderId="0" xfId="0" applyFill="1"/>
    <xf numFmtId="0" fontId="0" fillId="4489" borderId="0" xfId="0" applyFill="1"/>
    <xf numFmtId="0" fontId="0" fillId="4490" borderId="0" xfId="0" applyFill="1"/>
    <xf numFmtId="0" fontId="0" fillId="4491" borderId="0" xfId="0" applyFill="1"/>
    <xf numFmtId="0" fontId="0" fillId="4492" borderId="0" xfId="0" applyFill="1"/>
    <xf numFmtId="0" fontId="0" fillId="4493" borderId="0" xfId="0" applyFill="1"/>
    <xf numFmtId="0" fontId="0" fillId="4494" borderId="0" xfId="0" applyFill="1"/>
    <xf numFmtId="0" fontId="0" fillId="4495" borderId="0" xfId="0" applyFill="1"/>
    <xf numFmtId="0" fontId="0" fillId="4496" borderId="0" xfId="0" applyFill="1"/>
    <xf numFmtId="0" fontId="0" fillId="4497" borderId="0" xfId="0" applyFill="1"/>
    <xf numFmtId="0" fontId="0" fillId="4498" borderId="0" xfId="0" applyFill="1"/>
    <xf numFmtId="0" fontId="0" fillId="4499" borderId="0" xfId="0" applyFill="1"/>
    <xf numFmtId="0" fontId="0" fillId="4500" borderId="0" xfId="0" applyFill="1"/>
    <xf numFmtId="0" fontId="0" fillId="4501" borderId="0" xfId="0" applyFill="1"/>
    <xf numFmtId="0" fontId="0" fillId="4502" borderId="0" xfId="0" applyFill="1"/>
    <xf numFmtId="0" fontId="0" fillId="4503" borderId="0" xfId="0" applyFill="1"/>
    <xf numFmtId="0" fontId="0" fillId="4504" borderId="0" xfId="0" applyFill="1"/>
    <xf numFmtId="0" fontId="0" fillId="4505" borderId="0" xfId="0" applyFill="1"/>
    <xf numFmtId="0" fontId="0" fillId="4506" borderId="0" xfId="0" applyFill="1"/>
    <xf numFmtId="0" fontId="0" fillId="4507" borderId="0" xfId="0" applyFill="1"/>
    <xf numFmtId="0" fontId="0" fillId="4508" borderId="0" xfId="0" applyFill="1"/>
    <xf numFmtId="0" fontId="0" fillId="4509" borderId="0" xfId="0" applyFill="1"/>
    <xf numFmtId="0" fontId="0" fillId="4510" borderId="0" xfId="0" applyFill="1"/>
    <xf numFmtId="0" fontId="0" fillId="4511" borderId="0" xfId="0" applyFill="1"/>
    <xf numFmtId="0" fontId="0" fillId="4512" borderId="0" xfId="0" applyFill="1"/>
    <xf numFmtId="0" fontId="0" fillId="4513" borderId="0" xfId="0" applyFill="1"/>
    <xf numFmtId="0" fontId="0" fillId="4514" borderId="0" xfId="0" applyFill="1"/>
    <xf numFmtId="0" fontId="0" fillId="4515" borderId="0" xfId="0" applyFill="1"/>
    <xf numFmtId="0" fontId="0" fillId="4516" borderId="0" xfId="0" applyFill="1"/>
    <xf numFmtId="0" fontId="0" fillId="4517" borderId="0" xfId="0" applyFill="1"/>
    <xf numFmtId="0" fontId="0" fillId="4518" borderId="0" xfId="0" applyFill="1"/>
    <xf numFmtId="0" fontId="0" fillId="4519" borderId="0" xfId="0" applyFill="1"/>
    <xf numFmtId="0" fontId="0" fillId="4520" borderId="0" xfId="0" applyFill="1"/>
    <xf numFmtId="0" fontId="0" fillId="4521" borderId="0" xfId="0" applyFill="1"/>
    <xf numFmtId="0" fontId="0" fillId="4522" borderId="0" xfId="0" applyFill="1"/>
    <xf numFmtId="0" fontId="0" fillId="4523" borderId="0" xfId="0" applyFill="1"/>
    <xf numFmtId="0" fontId="0" fillId="4524" borderId="0" xfId="0" applyFill="1"/>
    <xf numFmtId="0" fontId="0" fillId="4525" borderId="0" xfId="0" applyFill="1"/>
    <xf numFmtId="0" fontId="0" fillId="4526" borderId="0" xfId="0" applyFill="1"/>
    <xf numFmtId="0" fontId="0" fillId="4527" borderId="0" xfId="0" applyFill="1"/>
    <xf numFmtId="0" fontId="0" fillId="4528" borderId="0" xfId="0" applyFill="1"/>
    <xf numFmtId="0" fontId="0" fillId="4529" borderId="0" xfId="0" applyFill="1"/>
    <xf numFmtId="0" fontId="0" fillId="4530" borderId="0" xfId="0" applyFill="1"/>
    <xf numFmtId="0" fontId="0" fillId="4531" borderId="0" xfId="0" applyFill="1"/>
    <xf numFmtId="0" fontId="0" fillId="4532" borderId="0" xfId="0" applyFill="1"/>
    <xf numFmtId="0" fontId="0" fillId="4533" borderId="0" xfId="0" applyFill="1"/>
    <xf numFmtId="0" fontId="0" fillId="4534" borderId="0" xfId="0" applyFill="1"/>
    <xf numFmtId="0" fontId="0" fillId="4535" borderId="0" xfId="0" applyFill="1"/>
    <xf numFmtId="0" fontId="0" fillId="4536" borderId="0" xfId="0" applyFill="1"/>
    <xf numFmtId="0" fontId="0" fillId="4537" borderId="0" xfId="0" applyFill="1"/>
    <xf numFmtId="0" fontId="0" fillId="4538" borderId="0" xfId="0" applyFill="1"/>
    <xf numFmtId="0" fontId="0" fillId="4539" borderId="0" xfId="0" applyFill="1"/>
    <xf numFmtId="0" fontId="0" fillId="4540" borderId="0" xfId="0" applyFill="1"/>
    <xf numFmtId="0" fontId="0" fillId="4541" borderId="0" xfId="0" applyFill="1"/>
    <xf numFmtId="0" fontId="0" fillId="4542" borderId="0" xfId="0" applyFill="1"/>
    <xf numFmtId="0" fontId="0" fillId="4543" borderId="0" xfId="0" applyFill="1"/>
    <xf numFmtId="0" fontId="0" fillId="4544" borderId="0" xfId="0" applyFill="1"/>
    <xf numFmtId="0" fontId="0" fillId="4545" borderId="0" xfId="0" applyFill="1"/>
    <xf numFmtId="0" fontId="0" fillId="4546" borderId="0" xfId="0" applyFill="1"/>
    <xf numFmtId="0" fontId="0" fillId="4547" borderId="0" xfId="0" applyFill="1"/>
    <xf numFmtId="0" fontId="0" fillId="4548" borderId="0" xfId="0" applyFill="1"/>
    <xf numFmtId="0" fontId="0" fillId="4549" borderId="0" xfId="0" applyFill="1"/>
    <xf numFmtId="0" fontId="0" fillId="4550" borderId="0" xfId="0" applyFill="1"/>
    <xf numFmtId="0" fontId="0" fillId="4551" borderId="0" xfId="0" applyFill="1"/>
    <xf numFmtId="0" fontId="0" fillId="4552" borderId="0" xfId="0" applyFill="1"/>
    <xf numFmtId="0" fontId="0" fillId="4553" borderId="0" xfId="0" applyFill="1"/>
    <xf numFmtId="0" fontId="0" fillId="4554" borderId="0" xfId="0" applyFill="1"/>
    <xf numFmtId="0" fontId="0" fillId="4555" borderId="0" xfId="0" applyFill="1"/>
    <xf numFmtId="0" fontId="0" fillId="4556" borderId="0" xfId="0" applyFill="1"/>
    <xf numFmtId="0" fontId="0" fillId="4557" borderId="0" xfId="0" applyFill="1"/>
    <xf numFmtId="0" fontId="0" fillId="4558" borderId="0" xfId="0" applyFill="1"/>
    <xf numFmtId="0" fontId="0" fillId="4559" borderId="0" xfId="0" applyFill="1"/>
    <xf numFmtId="0" fontId="0" fillId="4560" borderId="0" xfId="0" applyFill="1"/>
    <xf numFmtId="0" fontId="0" fillId="4561" borderId="0" xfId="0" applyFill="1"/>
    <xf numFmtId="0" fontId="0" fillId="4562" borderId="0" xfId="0" applyFill="1"/>
    <xf numFmtId="0" fontId="0" fillId="4563" borderId="0" xfId="0" applyFill="1"/>
    <xf numFmtId="0" fontId="0" fillId="4564" borderId="0" xfId="0" applyFill="1"/>
    <xf numFmtId="0" fontId="0" fillId="4565" borderId="0" xfId="0" applyFill="1"/>
    <xf numFmtId="0" fontId="0" fillId="4566" borderId="0" xfId="0" applyFill="1"/>
    <xf numFmtId="0" fontId="0" fillId="4567" borderId="0" xfId="0" applyFill="1"/>
    <xf numFmtId="0" fontId="0" fillId="4568" borderId="0" xfId="0" applyFill="1"/>
    <xf numFmtId="0" fontId="0" fillId="4569" borderId="0" xfId="0" applyFill="1"/>
    <xf numFmtId="0" fontId="0" fillId="4570" borderId="0" xfId="0" applyFill="1"/>
    <xf numFmtId="0" fontId="0" fillId="4571" borderId="0" xfId="0" applyFill="1"/>
    <xf numFmtId="0" fontId="0" fillId="4572" borderId="0" xfId="0" applyFill="1"/>
    <xf numFmtId="0" fontId="0" fillId="4573" borderId="0" xfId="0" applyFill="1"/>
    <xf numFmtId="0" fontId="0" fillId="4574" borderId="0" xfId="0" applyFill="1"/>
    <xf numFmtId="0" fontId="0" fillId="4575" borderId="0" xfId="0" applyFill="1"/>
    <xf numFmtId="0" fontId="0" fillId="4576" borderId="0" xfId="0" applyFill="1"/>
    <xf numFmtId="0" fontId="0" fillId="4577" borderId="0" xfId="0" applyFill="1"/>
    <xf numFmtId="0" fontId="0" fillId="4578" borderId="0" xfId="0" applyFill="1"/>
    <xf numFmtId="0" fontId="0" fillId="4579" borderId="0" xfId="0" applyFill="1"/>
    <xf numFmtId="0" fontId="0" fillId="4580" borderId="0" xfId="0" applyFill="1"/>
    <xf numFmtId="0" fontId="0" fillId="4581" borderId="0" xfId="0" applyFill="1"/>
    <xf numFmtId="0" fontId="0" fillId="4582" borderId="0" xfId="0" applyFill="1"/>
    <xf numFmtId="0" fontId="0" fillId="4583" borderId="0" xfId="0" applyFill="1"/>
    <xf numFmtId="0" fontId="0" fillId="4584" borderId="0" xfId="0" applyFill="1"/>
    <xf numFmtId="0" fontId="0" fillId="4585" borderId="0" xfId="0" applyFill="1"/>
    <xf numFmtId="0" fontId="0" fillId="4586" borderId="0" xfId="0" applyFill="1"/>
    <xf numFmtId="0" fontId="0" fillId="4587" borderId="0" xfId="0" applyFill="1"/>
    <xf numFmtId="0" fontId="0" fillId="4588" borderId="0" xfId="0" applyFill="1"/>
    <xf numFmtId="0" fontId="0" fillId="4589" borderId="0" xfId="0" applyFill="1"/>
    <xf numFmtId="0" fontId="0" fillId="4590" borderId="0" xfId="0" applyFill="1"/>
    <xf numFmtId="0" fontId="0" fillId="4591" borderId="0" xfId="0" applyFill="1"/>
    <xf numFmtId="0" fontId="0" fillId="4592" borderId="0" xfId="0" applyFill="1"/>
    <xf numFmtId="0" fontId="0" fillId="4593" borderId="0" xfId="0" applyFill="1"/>
    <xf numFmtId="0" fontId="0" fillId="4594" borderId="0" xfId="0" applyFill="1"/>
    <xf numFmtId="0" fontId="0" fillId="4595" borderId="0" xfId="0" applyFill="1"/>
    <xf numFmtId="0" fontId="0" fillId="4596" borderId="0" xfId="0" applyFill="1"/>
    <xf numFmtId="0" fontId="0" fillId="4597" borderId="0" xfId="0" applyFill="1"/>
    <xf numFmtId="0" fontId="0" fillId="4598" borderId="0" xfId="0" applyFill="1"/>
    <xf numFmtId="0" fontId="0" fillId="4599" borderId="0" xfId="0" applyFill="1"/>
    <xf numFmtId="0" fontId="0" fillId="4600" borderId="0" xfId="0" applyFill="1"/>
    <xf numFmtId="0" fontId="0" fillId="4601" borderId="0" xfId="0" applyFill="1"/>
    <xf numFmtId="0" fontId="0" fillId="4602" borderId="0" xfId="0" applyFill="1"/>
    <xf numFmtId="0" fontId="0" fillId="4603" borderId="0" xfId="0" applyFill="1"/>
    <xf numFmtId="0" fontId="0" fillId="4604" borderId="0" xfId="0" applyFill="1"/>
    <xf numFmtId="0" fontId="0" fillId="4605" borderId="0" xfId="0" applyFill="1"/>
    <xf numFmtId="0" fontId="0" fillId="4606" borderId="0" xfId="0" applyFill="1"/>
    <xf numFmtId="0" fontId="0" fillId="4607" borderId="0" xfId="0" applyFill="1"/>
    <xf numFmtId="0" fontId="0" fillId="4608" borderId="0" xfId="0" applyFill="1"/>
    <xf numFmtId="0" fontId="0" fillId="4609" borderId="0" xfId="0" applyFill="1"/>
    <xf numFmtId="0" fontId="0" fillId="4610" borderId="0" xfId="0" applyFill="1"/>
    <xf numFmtId="0" fontId="0" fillId="4611" borderId="0" xfId="0" applyFill="1"/>
    <xf numFmtId="0" fontId="0" fillId="4612" borderId="0" xfId="0" applyFill="1"/>
    <xf numFmtId="0" fontId="0" fillId="4613" borderId="0" xfId="0" applyFill="1"/>
    <xf numFmtId="0" fontId="0" fillId="4614" borderId="0" xfId="0" applyFill="1"/>
    <xf numFmtId="0" fontId="0" fillId="4615" borderId="0" xfId="0" applyFill="1"/>
    <xf numFmtId="0" fontId="0" fillId="4616" borderId="0" xfId="0" applyFill="1"/>
    <xf numFmtId="0" fontId="0" fillId="4617" borderId="0" xfId="0" applyFill="1"/>
    <xf numFmtId="0" fontId="0" fillId="4618" borderId="0" xfId="0" applyFill="1"/>
    <xf numFmtId="0" fontId="0" fillId="4619" borderId="0" xfId="0" applyFill="1"/>
    <xf numFmtId="0" fontId="0" fillId="4620" borderId="0" xfId="0" applyFill="1"/>
    <xf numFmtId="0" fontId="0" fillId="4621" borderId="0" xfId="0" applyFill="1"/>
    <xf numFmtId="0" fontId="0" fillId="4622" borderId="0" xfId="0" applyFill="1"/>
    <xf numFmtId="0" fontId="0" fillId="4623" borderId="0" xfId="0" applyFill="1"/>
    <xf numFmtId="0" fontId="0" fillId="4624" borderId="0" xfId="0" applyFill="1"/>
    <xf numFmtId="0" fontId="0" fillId="4625" borderId="0" xfId="0" applyFill="1"/>
    <xf numFmtId="0" fontId="0" fillId="4626" borderId="0" xfId="0" applyFill="1"/>
    <xf numFmtId="0" fontId="0" fillId="4627" borderId="0" xfId="0" applyFill="1"/>
    <xf numFmtId="0" fontId="0" fillId="4628" borderId="0" xfId="0" applyFill="1"/>
    <xf numFmtId="0" fontId="0" fillId="4629" borderId="0" xfId="0" applyFill="1"/>
    <xf numFmtId="0" fontId="0" fillId="4630" borderId="0" xfId="0" applyFill="1"/>
    <xf numFmtId="0" fontId="0" fillId="4631" borderId="0" xfId="0" applyFill="1"/>
    <xf numFmtId="0" fontId="0" fillId="4632" borderId="0" xfId="0" applyFill="1"/>
    <xf numFmtId="0" fontId="0" fillId="4633" borderId="0" xfId="0" applyFill="1"/>
    <xf numFmtId="0" fontId="0" fillId="4634" borderId="0" xfId="0" applyFill="1"/>
    <xf numFmtId="0" fontId="0" fillId="4635" borderId="0" xfId="0" applyFill="1"/>
    <xf numFmtId="0" fontId="0" fillId="4636" borderId="0" xfId="0" applyFill="1"/>
    <xf numFmtId="0" fontId="0" fillId="4637" borderId="0" xfId="0" applyFill="1"/>
    <xf numFmtId="0" fontId="0" fillId="4638" borderId="0" xfId="0" applyFill="1"/>
    <xf numFmtId="0" fontId="0" fillId="4639" borderId="0" xfId="0" applyFill="1"/>
    <xf numFmtId="0" fontId="0" fillId="4640" borderId="0" xfId="0" applyFill="1"/>
    <xf numFmtId="0" fontId="0" fillId="4641" borderId="0" xfId="0" applyFill="1"/>
    <xf numFmtId="0" fontId="0" fillId="4642" borderId="0" xfId="0" applyFill="1"/>
    <xf numFmtId="0" fontId="0" fillId="4643" borderId="0" xfId="0" applyFill="1"/>
    <xf numFmtId="0" fontId="0" fillId="4644" borderId="0" xfId="0" applyFill="1"/>
    <xf numFmtId="0" fontId="0" fillId="4645" borderId="0" xfId="0" applyFill="1"/>
    <xf numFmtId="0" fontId="0" fillId="4646" borderId="0" xfId="0" applyFill="1"/>
    <xf numFmtId="0" fontId="0" fillId="4647" borderId="0" xfId="0" applyFill="1"/>
    <xf numFmtId="0" fontId="0" fillId="4648" borderId="0" xfId="0" applyFill="1"/>
    <xf numFmtId="0" fontId="0" fillId="4649" borderId="0" xfId="0" applyFill="1"/>
    <xf numFmtId="0" fontId="0" fillId="4650" borderId="0" xfId="0" applyFill="1"/>
    <xf numFmtId="0" fontId="0" fillId="4651" borderId="0" xfId="0" applyFill="1"/>
    <xf numFmtId="0" fontId="0" fillId="4652" borderId="0" xfId="0" applyFill="1"/>
    <xf numFmtId="0" fontId="0" fillId="4653" borderId="0" xfId="0" applyFill="1"/>
    <xf numFmtId="0" fontId="0" fillId="4654" borderId="0" xfId="0" applyFill="1"/>
    <xf numFmtId="0" fontId="0" fillId="4655" borderId="0" xfId="0" applyFill="1"/>
    <xf numFmtId="0" fontId="0" fillId="4656" borderId="0" xfId="0" applyFill="1"/>
    <xf numFmtId="0" fontId="0" fillId="4657" borderId="0" xfId="0" applyFill="1"/>
    <xf numFmtId="0" fontId="0" fillId="4658" borderId="0" xfId="0" applyFill="1"/>
    <xf numFmtId="0" fontId="0" fillId="4659" borderId="0" xfId="0" applyFill="1"/>
    <xf numFmtId="0" fontId="0" fillId="4660" borderId="0" xfId="0" applyFill="1"/>
    <xf numFmtId="0" fontId="0" fillId="4661" borderId="0" xfId="0" applyFill="1"/>
    <xf numFmtId="0" fontId="0" fillId="4662" borderId="0" xfId="0" applyFill="1"/>
    <xf numFmtId="0" fontId="0" fillId="4663" borderId="0" xfId="0" applyFill="1"/>
    <xf numFmtId="0" fontId="0" fillId="4664" borderId="0" xfId="0" applyFill="1"/>
    <xf numFmtId="0" fontId="0" fillId="4665" borderId="0" xfId="0" applyFill="1"/>
    <xf numFmtId="0" fontId="0" fillId="4666" borderId="0" xfId="0" applyFill="1"/>
    <xf numFmtId="0" fontId="0" fillId="4667" borderId="0" xfId="0" applyFill="1"/>
    <xf numFmtId="0" fontId="0" fillId="4668" borderId="0" xfId="0" applyFill="1"/>
    <xf numFmtId="0" fontId="0" fillId="4669" borderId="0" xfId="0" applyFill="1"/>
    <xf numFmtId="0" fontId="0" fillId="4670" borderId="0" xfId="0" applyFill="1"/>
    <xf numFmtId="0" fontId="0" fillId="4671" borderId="0" xfId="0" applyFill="1"/>
    <xf numFmtId="0" fontId="0" fillId="4672" borderId="0" xfId="0" applyFill="1"/>
    <xf numFmtId="0" fontId="0" fillId="4673" borderId="0" xfId="0" applyFill="1"/>
    <xf numFmtId="0" fontId="0" fillId="4674" borderId="0" xfId="0" applyFill="1"/>
    <xf numFmtId="0" fontId="0" fillId="4675" borderId="0" xfId="0" applyFill="1"/>
    <xf numFmtId="0" fontId="0" fillId="4676" borderId="0" xfId="0" applyFill="1"/>
    <xf numFmtId="0" fontId="0" fillId="4677" borderId="0" xfId="0" applyFill="1"/>
    <xf numFmtId="0" fontId="0" fillId="4678" borderId="0" xfId="0" applyFill="1"/>
    <xf numFmtId="0" fontId="0" fillId="4679" borderId="0" xfId="0" applyFill="1"/>
    <xf numFmtId="0" fontId="0" fillId="4680" borderId="0" xfId="0" applyFill="1"/>
    <xf numFmtId="0" fontId="0" fillId="4681" borderId="0" xfId="0" applyFill="1"/>
    <xf numFmtId="0" fontId="0" fillId="4682" borderId="0" xfId="0" applyFill="1"/>
    <xf numFmtId="0" fontId="0" fillId="4683" borderId="0" xfId="0" applyFill="1"/>
    <xf numFmtId="0" fontId="0" fillId="4684" borderId="0" xfId="0" applyFill="1"/>
    <xf numFmtId="0" fontId="0" fillId="4685" borderId="0" xfId="0" applyFill="1"/>
    <xf numFmtId="0" fontId="0" fillId="4686" borderId="0" xfId="0" applyFill="1"/>
    <xf numFmtId="0" fontId="0" fillId="4687" borderId="0" xfId="0" applyFill="1"/>
    <xf numFmtId="0" fontId="0" fillId="4688" borderId="0" xfId="0" applyFill="1"/>
    <xf numFmtId="0" fontId="0" fillId="4689" borderId="0" xfId="0" applyFill="1"/>
    <xf numFmtId="0" fontId="0" fillId="4690" borderId="0" xfId="0" applyFill="1"/>
    <xf numFmtId="0" fontId="0" fillId="4691" borderId="0" xfId="0" applyFill="1"/>
    <xf numFmtId="0" fontId="0" fillId="4692" borderId="0" xfId="0" applyFill="1"/>
    <xf numFmtId="0" fontId="0" fillId="4693" borderId="0" xfId="0" applyFill="1"/>
    <xf numFmtId="0" fontId="0" fillId="4694" borderId="0" xfId="0" applyFill="1"/>
    <xf numFmtId="0" fontId="0" fillId="4695" borderId="0" xfId="0" applyFill="1"/>
    <xf numFmtId="0" fontId="0" fillId="4696" borderId="0" xfId="0" applyFill="1"/>
    <xf numFmtId="0" fontId="0" fillId="4697" borderId="0" xfId="0" applyFill="1"/>
    <xf numFmtId="0" fontId="0" fillId="4698" borderId="0" xfId="0" applyFill="1"/>
    <xf numFmtId="0" fontId="0" fillId="4699" borderId="0" xfId="0" applyFill="1"/>
    <xf numFmtId="0" fontId="0" fillId="4700" borderId="0" xfId="0" applyFill="1"/>
    <xf numFmtId="0" fontId="0" fillId="4701" borderId="0" xfId="0" applyFill="1"/>
    <xf numFmtId="0" fontId="0" fillId="4702" borderId="0" xfId="0" applyFill="1"/>
    <xf numFmtId="0" fontId="0" fillId="4703" borderId="0" xfId="0" applyFill="1"/>
    <xf numFmtId="0" fontId="0" fillId="4704" borderId="0" xfId="0" applyFill="1"/>
    <xf numFmtId="0" fontId="0" fillId="4705" borderId="0" xfId="0" applyFill="1"/>
    <xf numFmtId="0" fontId="0" fillId="4706" borderId="0" xfId="0" applyFill="1"/>
    <xf numFmtId="0" fontId="0" fillId="4707" borderId="0" xfId="0" applyFill="1"/>
    <xf numFmtId="0" fontId="0" fillId="4708" borderId="0" xfId="0" applyFill="1"/>
    <xf numFmtId="0" fontId="0" fillId="4709" borderId="0" xfId="0" applyFill="1"/>
    <xf numFmtId="0" fontId="0" fillId="4710" borderId="0" xfId="0" applyFill="1"/>
    <xf numFmtId="0" fontId="0" fillId="4711" borderId="0" xfId="0" applyFill="1"/>
    <xf numFmtId="0" fontId="0" fillId="4712" borderId="0" xfId="0" applyFill="1"/>
    <xf numFmtId="0" fontId="0" fillId="4713" borderId="0" xfId="0" applyFill="1"/>
    <xf numFmtId="0" fontId="0" fillId="4714" borderId="0" xfId="0" applyFill="1"/>
    <xf numFmtId="0" fontId="0" fillId="4715" borderId="0" xfId="0" applyFill="1"/>
    <xf numFmtId="0" fontId="0" fillId="4716" borderId="0" xfId="0" applyFill="1"/>
    <xf numFmtId="0" fontId="0" fillId="4717" borderId="0" xfId="0" applyFill="1"/>
    <xf numFmtId="0" fontId="0" fillId="4718" borderId="0" xfId="0" applyFill="1"/>
    <xf numFmtId="0" fontId="0" fillId="4719" borderId="0" xfId="0" applyFill="1"/>
    <xf numFmtId="0" fontId="0" fillId="4720" borderId="0" xfId="0" applyFill="1"/>
    <xf numFmtId="0" fontId="0" fillId="4721" borderId="0" xfId="0" applyFill="1"/>
    <xf numFmtId="0" fontId="0" fillId="4722" borderId="0" xfId="0" applyFill="1"/>
    <xf numFmtId="0" fontId="0" fillId="4723" borderId="0" xfId="0" applyFill="1"/>
    <xf numFmtId="0" fontId="0" fillId="4724" borderId="0" xfId="0" applyFill="1"/>
    <xf numFmtId="0" fontId="0" fillId="4725" borderId="0" xfId="0" applyFill="1"/>
    <xf numFmtId="0" fontId="0" fillId="4726" borderId="0" xfId="0" applyFill="1"/>
    <xf numFmtId="0" fontId="0" fillId="4727" borderId="0" xfId="0" applyFill="1"/>
    <xf numFmtId="0" fontId="0" fillId="4728" borderId="0" xfId="0" applyFill="1"/>
    <xf numFmtId="0" fontId="0" fillId="4729" borderId="0" xfId="0" applyFill="1"/>
    <xf numFmtId="0" fontId="0" fillId="4730" borderId="0" xfId="0" applyFill="1"/>
    <xf numFmtId="0" fontId="0" fillId="4731" borderId="0" xfId="0" applyFill="1"/>
    <xf numFmtId="0" fontId="0" fillId="4732" borderId="0" xfId="0" applyFill="1"/>
    <xf numFmtId="0" fontId="0" fillId="4733" borderId="0" xfId="0" applyFill="1"/>
    <xf numFmtId="0" fontId="0" fillId="4734" borderId="0" xfId="0" applyFill="1"/>
    <xf numFmtId="0" fontId="0" fillId="4735" borderId="0" xfId="0" applyFill="1"/>
    <xf numFmtId="0" fontId="0" fillId="4736" borderId="0" xfId="0" applyFill="1"/>
    <xf numFmtId="0" fontId="0" fillId="4737" borderId="0" xfId="0" applyFill="1"/>
    <xf numFmtId="0" fontId="0" fillId="4738" borderId="0" xfId="0" applyFill="1"/>
    <xf numFmtId="0" fontId="0" fillId="4739" borderId="0" xfId="0" applyFill="1"/>
    <xf numFmtId="0" fontId="0" fillId="4740" borderId="0" xfId="0" applyFill="1"/>
    <xf numFmtId="0" fontId="0" fillId="4741" borderId="0" xfId="0" applyFill="1"/>
    <xf numFmtId="0" fontId="0" fillId="4742" borderId="0" xfId="0" applyFill="1"/>
    <xf numFmtId="0" fontId="0" fillId="4743" borderId="0" xfId="0" applyFill="1"/>
    <xf numFmtId="0" fontId="0" fillId="4744" borderId="0" xfId="0" applyFill="1"/>
    <xf numFmtId="0" fontId="0" fillId="4745" borderId="0" xfId="0" applyFill="1"/>
    <xf numFmtId="0" fontId="0" fillId="4746" borderId="0" xfId="0" applyFill="1"/>
    <xf numFmtId="0" fontId="0" fillId="4747" borderId="0" xfId="0" applyFill="1"/>
    <xf numFmtId="0" fontId="0" fillId="4748" borderId="0" xfId="0" applyFill="1"/>
    <xf numFmtId="0" fontId="0" fillId="4749" borderId="0" xfId="0" applyFill="1"/>
    <xf numFmtId="0" fontId="0" fillId="4750" borderId="0" xfId="0" applyFill="1"/>
    <xf numFmtId="0" fontId="0" fillId="4751" borderId="0" xfId="0" applyFill="1"/>
    <xf numFmtId="0" fontId="0" fillId="4752" borderId="0" xfId="0" applyFill="1"/>
    <xf numFmtId="0" fontId="0" fillId="4753" borderId="0" xfId="0" applyFill="1"/>
    <xf numFmtId="0" fontId="0" fillId="4754" borderId="0" xfId="0" applyFill="1"/>
    <xf numFmtId="0" fontId="0" fillId="4755" borderId="0" xfId="0" applyFill="1"/>
    <xf numFmtId="0" fontId="0" fillId="4756" borderId="0" xfId="0" applyFill="1"/>
    <xf numFmtId="0" fontId="0" fillId="4757" borderId="0" xfId="0" applyFill="1"/>
    <xf numFmtId="0" fontId="0" fillId="4758" borderId="0" xfId="0" applyFill="1"/>
    <xf numFmtId="0" fontId="0" fillId="4759" borderId="0" xfId="0" applyFill="1"/>
    <xf numFmtId="0" fontId="0" fillId="4760" borderId="0" xfId="0" applyFill="1"/>
    <xf numFmtId="0" fontId="0" fillId="4761" borderId="0" xfId="0" applyFill="1"/>
    <xf numFmtId="0" fontId="0" fillId="4762" borderId="0" xfId="0" applyFill="1"/>
    <xf numFmtId="0" fontId="0" fillId="4763" borderId="0" xfId="0" applyFill="1"/>
    <xf numFmtId="0" fontId="0" fillId="4764" borderId="0" xfId="0" applyFill="1"/>
    <xf numFmtId="0" fontId="0" fillId="4765" borderId="0" xfId="0" applyFill="1"/>
    <xf numFmtId="0" fontId="0" fillId="4766" borderId="0" xfId="0" applyFill="1"/>
    <xf numFmtId="0" fontId="0" fillId="4767" borderId="0" xfId="0" applyFill="1"/>
    <xf numFmtId="0" fontId="0" fillId="4768" borderId="0" xfId="0" applyFill="1"/>
    <xf numFmtId="0" fontId="0" fillId="4769" borderId="0" xfId="0" applyFill="1"/>
    <xf numFmtId="0" fontId="0" fillId="4770" borderId="0" xfId="0" applyFill="1"/>
    <xf numFmtId="0" fontId="0" fillId="4771" borderId="0" xfId="0" applyFill="1"/>
    <xf numFmtId="0" fontId="0" fillId="4772" borderId="0" xfId="0" applyFill="1"/>
    <xf numFmtId="0" fontId="0" fillId="4773" borderId="0" xfId="0" applyFill="1"/>
    <xf numFmtId="0" fontId="0" fillId="4774" borderId="0" xfId="0" applyFill="1"/>
    <xf numFmtId="0" fontId="0" fillId="4775" borderId="0" xfId="0" applyFill="1"/>
    <xf numFmtId="0" fontId="0" fillId="4776" borderId="0" xfId="0" applyFill="1"/>
    <xf numFmtId="0" fontId="0" fillId="4777" borderId="0" xfId="0" applyFill="1"/>
    <xf numFmtId="0" fontId="0" fillId="4778" borderId="0" xfId="0" applyFill="1"/>
    <xf numFmtId="0" fontId="0" fillId="4779" borderId="0" xfId="0" applyFill="1"/>
    <xf numFmtId="0" fontId="0" fillId="4780" borderId="0" xfId="0" applyFill="1"/>
    <xf numFmtId="0" fontId="0" fillId="4781" borderId="0" xfId="0" applyFill="1"/>
    <xf numFmtId="0" fontId="0" fillId="4782" borderId="0" xfId="0" applyFill="1"/>
    <xf numFmtId="0" fontId="0" fillId="4783" borderId="0" xfId="0" applyFill="1"/>
    <xf numFmtId="0" fontId="0" fillId="4784" borderId="0" xfId="0" applyFill="1"/>
    <xf numFmtId="0" fontId="0" fillId="4785" borderId="0" xfId="0" applyFill="1"/>
    <xf numFmtId="0" fontId="0" fillId="4786" borderId="0" xfId="0" applyFill="1"/>
    <xf numFmtId="0" fontId="0" fillId="4787" borderId="0" xfId="0" applyFill="1"/>
    <xf numFmtId="0" fontId="0" fillId="4788" borderId="0" xfId="0" applyFill="1"/>
    <xf numFmtId="0" fontId="0" fillId="4789" borderId="0" xfId="0" applyFill="1"/>
    <xf numFmtId="0" fontId="0" fillId="4790" borderId="0" xfId="0" applyFill="1"/>
    <xf numFmtId="0" fontId="0" fillId="4791" borderId="0" xfId="0" applyFill="1"/>
    <xf numFmtId="0" fontId="0" fillId="4792" borderId="0" xfId="0" applyFill="1"/>
    <xf numFmtId="0" fontId="0" fillId="4793" borderId="0" xfId="0" applyFill="1"/>
    <xf numFmtId="0" fontId="0" fillId="4794" borderId="0" xfId="0" applyFill="1"/>
    <xf numFmtId="0" fontId="0" fillId="4795" borderId="0" xfId="0" applyFill="1"/>
    <xf numFmtId="0" fontId="0" fillId="4796" borderId="0" xfId="0" applyFill="1"/>
    <xf numFmtId="0" fontId="0" fillId="4797" borderId="0" xfId="0" applyFill="1"/>
    <xf numFmtId="0" fontId="0" fillId="4798" borderId="0" xfId="0" applyFill="1"/>
    <xf numFmtId="0" fontId="0" fillId="4799" borderId="0" xfId="0" applyFill="1"/>
    <xf numFmtId="0" fontId="0" fillId="4800" borderId="0" xfId="0" applyFill="1"/>
    <xf numFmtId="0" fontId="0" fillId="4801" borderId="0" xfId="0" applyFill="1"/>
    <xf numFmtId="0" fontId="0" fillId="4802" borderId="0" xfId="0" applyFill="1"/>
    <xf numFmtId="0" fontId="0" fillId="4803" borderId="0" xfId="0" applyFill="1"/>
    <xf numFmtId="0" fontId="0" fillId="4804" borderId="0" xfId="0" applyFill="1"/>
    <xf numFmtId="0" fontId="0" fillId="4805" borderId="0" xfId="0" applyFill="1"/>
    <xf numFmtId="0" fontId="0" fillId="4806" borderId="0" xfId="0" applyFill="1"/>
    <xf numFmtId="0" fontId="0" fillId="4807" borderId="0" xfId="0" applyFill="1"/>
    <xf numFmtId="0" fontId="0" fillId="4808" borderId="0" xfId="0" applyFill="1"/>
    <xf numFmtId="0" fontId="0" fillId="4809" borderId="0" xfId="0" applyFill="1"/>
    <xf numFmtId="0" fontId="0" fillId="4810" borderId="0" xfId="0" applyFill="1"/>
    <xf numFmtId="0" fontId="0" fillId="4811" borderId="0" xfId="0" applyFill="1"/>
    <xf numFmtId="0" fontId="0" fillId="4812" borderId="0" xfId="0" applyFill="1"/>
    <xf numFmtId="0" fontId="0" fillId="4813" borderId="0" xfId="0" applyFill="1"/>
    <xf numFmtId="0" fontId="0" fillId="4814" borderId="0" xfId="0" applyFill="1"/>
    <xf numFmtId="0" fontId="0" fillId="4815" borderId="0" xfId="0" applyFill="1"/>
    <xf numFmtId="0" fontId="0" fillId="4816" borderId="0" xfId="0" applyFill="1"/>
    <xf numFmtId="0" fontId="0" fillId="4817" borderId="0" xfId="0" applyFill="1"/>
    <xf numFmtId="0" fontId="0" fillId="4818" borderId="0" xfId="0" applyFill="1"/>
    <xf numFmtId="0" fontId="0" fillId="4819" borderId="0" xfId="0" applyFill="1"/>
    <xf numFmtId="0" fontId="0" fillId="4820" borderId="0" xfId="0" applyFill="1"/>
    <xf numFmtId="0" fontId="0" fillId="4821" borderId="0" xfId="0" applyFill="1"/>
    <xf numFmtId="0" fontId="0" fillId="4822" borderId="0" xfId="0" applyFill="1"/>
    <xf numFmtId="0" fontId="0" fillId="4823" borderId="0" xfId="0" applyFill="1"/>
    <xf numFmtId="0" fontId="0" fillId="4824" borderId="0" xfId="0" applyFill="1"/>
    <xf numFmtId="0" fontId="0" fillId="4825" borderId="0" xfId="0" applyFill="1"/>
    <xf numFmtId="0" fontId="0" fillId="4826" borderId="0" xfId="0" applyFill="1"/>
    <xf numFmtId="0" fontId="0" fillId="4827" borderId="0" xfId="0" applyFill="1"/>
    <xf numFmtId="0" fontId="0" fillId="4828" borderId="0" xfId="0" applyFill="1"/>
    <xf numFmtId="0" fontId="0" fillId="4829" borderId="0" xfId="0" applyFill="1"/>
    <xf numFmtId="0" fontId="0" fillId="4830" borderId="0" xfId="0" applyFill="1"/>
    <xf numFmtId="0" fontId="0" fillId="4831" borderId="0" xfId="0" applyFill="1"/>
    <xf numFmtId="0" fontId="0" fillId="4832" borderId="0" xfId="0" applyFill="1"/>
    <xf numFmtId="0" fontId="0" fillId="4833" borderId="0" xfId="0" applyFill="1"/>
    <xf numFmtId="0" fontId="0" fillId="4834" borderId="0" xfId="0" applyFill="1"/>
    <xf numFmtId="0" fontId="0" fillId="4835" borderId="0" xfId="0" applyFill="1"/>
    <xf numFmtId="0" fontId="0" fillId="4836" borderId="0" xfId="0" applyFill="1"/>
    <xf numFmtId="0" fontId="0" fillId="4837" borderId="0" xfId="0" applyFill="1"/>
    <xf numFmtId="0" fontId="0" fillId="4838" borderId="0" xfId="0" applyFill="1"/>
    <xf numFmtId="0" fontId="0" fillId="4839" borderId="0" xfId="0" applyFill="1"/>
    <xf numFmtId="0" fontId="0" fillId="4840" borderId="0" xfId="0" applyFill="1"/>
    <xf numFmtId="0" fontId="0" fillId="4841" borderId="0" xfId="0" applyFill="1"/>
    <xf numFmtId="0" fontId="0" fillId="4842" borderId="0" xfId="0" applyFill="1"/>
    <xf numFmtId="0" fontId="0" fillId="4843" borderId="0" xfId="0" applyFill="1"/>
    <xf numFmtId="0" fontId="0" fillId="4844" borderId="0" xfId="0" applyFill="1"/>
    <xf numFmtId="0" fontId="0" fillId="4845" borderId="0" xfId="0" applyFill="1"/>
    <xf numFmtId="0" fontId="0" fillId="4846" borderId="0" xfId="0" applyFill="1"/>
    <xf numFmtId="0" fontId="0" fillId="4847" borderId="0" xfId="0" applyFill="1"/>
    <xf numFmtId="0" fontId="0" fillId="4848" borderId="0" xfId="0" applyFill="1"/>
    <xf numFmtId="0" fontId="0" fillId="4849" borderId="0" xfId="0" applyFill="1"/>
    <xf numFmtId="0" fontId="0" fillId="4850" borderId="0" xfId="0" applyFill="1"/>
    <xf numFmtId="0" fontId="0" fillId="4851" borderId="0" xfId="0" applyFill="1"/>
    <xf numFmtId="0" fontId="0" fillId="4852" borderId="0" xfId="0" applyFill="1"/>
    <xf numFmtId="0" fontId="0" fillId="4853" borderId="0" xfId="0" applyFill="1"/>
    <xf numFmtId="0" fontId="0" fillId="4854" borderId="0" xfId="0" applyFill="1"/>
    <xf numFmtId="0" fontId="0" fillId="4855" borderId="0" xfId="0" applyFill="1"/>
    <xf numFmtId="0" fontId="0" fillId="4856" borderId="0" xfId="0" applyFill="1"/>
    <xf numFmtId="0" fontId="0" fillId="4857" borderId="0" xfId="0" applyFill="1"/>
    <xf numFmtId="0" fontId="0" fillId="4858" borderId="0" xfId="0" applyFill="1"/>
    <xf numFmtId="0" fontId="0" fillId="4859" borderId="0" xfId="0" applyFill="1"/>
    <xf numFmtId="0" fontId="0" fillId="4860" borderId="0" xfId="0" applyFill="1"/>
    <xf numFmtId="0" fontId="0" fillId="4861" borderId="0" xfId="0" applyFill="1"/>
    <xf numFmtId="0" fontId="0" fillId="4862" borderId="0" xfId="0" applyFill="1"/>
    <xf numFmtId="0" fontId="0" fillId="4863" borderId="0" xfId="0" applyFill="1"/>
    <xf numFmtId="0" fontId="0" fillId="4864" borderId="0" xfId="0" applyFill="1"/>
    <xf numFmtId="0" fontId="0" fillId="4865" borderId="0" xfId="0" applyFill="1"/>
    <xf numFmtId="0" fontId="0" fillId="4866" borderId="0" xfId="0" applyFill="1"/>
    <xf numFmtId="0" fontId="0" fillId="4867" borderId="0" xfId="0" applyFill="1"/>
    <xf numFmtId="0" fontId="0" fillId="4868" borderId="0" xfId="0" applyFill="1"/>
    <xf numFmtId="0" fontId="0" fillId="4869" borderId="0" xfId="0" applyFill="1"/>
    <xf numFmtId="0" fontId="0" fillId="4870" borderId="0" xfId="0" applyFill="1"/>
    <xf numFmtId="0" fontId="0" fillId="4871" borderId="0" xfId="0" applyFill="1"/>
    <xf numFmtId="0" fontId="0" fillId="4872" borderId="0" xfId="0" applyFill="1"/>
    <xf numFmtId="0" fontId="0" fillId="4873" borderId="0" xfId="0" applyFill="1"/>
    <xf numFmtId="0" fontId="0" fillId="4874" borderId="0" xfId="0" applyFill="1"/>
    <xf numFmtId="0" fontId="0" fillId="4875" borderId="0" xfId="0" applyFill="1"/>
    <xf numFmtId="0" fontId="0" fillId="4876" borderId="0" xfId="0" applyFill="1"/>
    <xf numFmtId="0" fontId="0" fillId="4877" borderId="0" xfId="0" applyFill="1"/>
    <xf numFmtId="0" fontId="0" fillId="4878" borderId="0" xfId="0" applyFill="1"/>
    <xf numFmtId="0" fontId="0" fillId="4879" borderId="0" xfId="0" applyFill="1"/>
    <xf numFmtId="0" fontId="0" fillId="4880" borderId="0" xfId="0" applyFill="1"/>
    <xf numFmtId="0" fontId="0" fillId="4881" borderId="0" xfId="0" applyFill="1"/>
    <xf numFmtId="0" fontId="0" fillId="4882" borderId="0" xfId="0" applyFill="1"/>
    <xf numFmtId="0" fontId="0" fillId="4883" borderId="0" xfId="0" applyFill="1"/>
    <xf numFmtId="0" fontId="0" fillId="4884" borderId="0" xfId="0" applyFill="1"/>
    <xf numFmtId="0" fontId="0" fillId="4885" borderId="0" xfId="0" applyFill="1"/>
    <xf numFmtId="0" fontId="0" fillId="4886" borderId="0" xfId="0" applyFill="1"/>
    <xf numFmtId="0" fontId="0" fillId="4887" borderId="0" xfId="0" applyFill="1"/>
    <xf numFmtId="0" fontId="0" fillId="4888" borderId="0" xfId="0" applyFill="1"/>
    <xf numFmtId="0" fontId="0" fillId="4889" borderId="0" xfId="0" applyFill="1"/>
    <xf numFmtId="0" fontId="0" fillId="4890" borderId="0" xfId="0" applyFill="1"/>
    <xf numFmtId="0" fontId="0" fillId="4891" borderId="0" xfId="0" applyFill="1"/>
    <xf numFmtId="0" fontId="0" fillId="4892" borderId="0" xfId="0" applyFill="1"/>
    <xf numFmtId="0" fontId="0" fillId="4893" borderId="0" xfId="0" applyFill="1"/>
    <xf numFmtId="0" fontId="0" fillId="4894" borderId="0" xfId="0" applyFill="1"/>
    <xf numFmtId="0" fontId="0" fillId="4895" borderId="0" xfId="0" applyFill="1"/>
    <xf numFmtId="0" fontId="0" fillId="4896" borderId="0" xfId="0" applyFill="1"/>
    <xf numFmtId="0" fontId="0" fillId="4897" borderId="0" xfId="0" applyFill="1"/>
    <xf numFmtId="0" fontId="0" fillId="4898" borderId="0" xfId="0" applyFill="1"/>
    <xf numFmtId="0" fontId="0" fillId="4899" borderId="0" xfId="0" applyFill="1"/>
    <xf numFmtId="0" fontId="0" fillId="4900" borderId="0" xfId="0" applyFill="1"/>
    <xf numFmtId="0" fontId="0" fillId="4901" borderId="0" xfId="0" applyFill="1"/>
    <xf numFmtId="0" fontId="0" fillId="4902" borderId="0" xfId="0" applyFill="1"/>
    <xf numFmtId="0" fontId="0" fillId="4903" borderId="0" xfId="0" applyFill="1"/>
    <xf numFmtId="0" fontId="0" fillId="4904" borderId="0" xfId="0" applyFill="1"/>
    <xf numFmtId="0" fontId="0" fillId="4905" borderId="0" xfId="0" applyFill="1"/>
    <xf numFmtId="0" fontId="0" fillId="4906" borderId="0" xfId="0" applyFill="1"/>
    <xf numFmtId="0" fontId="0" fillId="4907" borderId="0" xfId="0" applyFill="1"/>
    <xf numFmtId="0" fontId="0" fillId="4908" borderId="0" xfId="0" applyFill="1"/>
    <xf numFmtId="0" fontId="0" fillId="4909" borderId="0" xfId="0" applyFill="1"/>
    <xf numFmtId="0" fontId="0" fillId="4910" borderId="0" xfId="0" applyFill="1"/>
    <xf numFmtId="0" fontId="0" fillId="4911" borderId="0" xfId="0" applyFill="1"/>
    <xf numFmtId="0" fontId="0" fillId="4912" borderId="0" xfId="0" applyFill="1"/>
    <xf numFmtId="0" fontId="0" fillId="4913" borderId="0" xfId="0" applyFill="1"/>
    <xf numFmtId="0" fontId="0" fillId="4914" borderId="0" xfId="0" applyFill="1"/>
    <xf numFmtId="0" fontId="0" fillId="4915" borderId="0" xfId="0" applyFill="1"/>
    <xf numFmtId="0" fontId="0" fillId="4916" borderId="0" xfId="0" applyFill="1"/>
    <xf numFmtId="0" fontId="0" fillId="4917" borderId="0" xfId="0" applyFill="1"/>
    <xf numFmtId="0" fontId="0" fillId="4918" borderId="0" xfId="0" applyFill="1"/>
    <xf numFmtId="0" fontId="0" fillId="4919" borderId="0" xfId="0" applyFill="1"/>
    <xf numFmtId="0" fontId="0" fillId="4920" borderId="0" xfId="0" applyFill="1"/>
    <xf numFmtId="0" fontId="0" fillId="4921" borderId="0" xfId="0" applyFill="1"/>
    <xf numFmtId="0" fontId="0" fillId="4922" borderId="0" xfId="0" applyFill="1"/>
    <xf numFmtId="0" fontId="0" fillId="4923" borderId="0" xfId="0" applyFill="1"/>
    <xf numFmtId="0" fontId="0" fillId="4924" borderId="0" xfId="0" applyFill="1"/>
    <xf numFmtId="0" fontId="0" fillId="4925" borderId="0" xfId="0" applyFill="1"/>
    <xf numFmtId="0" fontId="0" fillId="4926" borderId="0" xfId="0" applyFill="1"/>
    <xf numFmtId="0" fontId="0" fillId="4927" borderId="0" xfId="0" applyFill="1"/>
    <xf numFmtId="0" fontId="0" fillId="4928" borderId="0" xfId="0" applyFill="1"/>
    <xf numFmtId="0" fontId="0" fillId="4929" borderId="0" xfId="0" applyFill="1"/>
    <xf numFmtId="0" fontId="0" fillId="4930" borderId="0" xfId="0" applyFill="1"/>
    <xf numFmtId="0" fontId="0" fillId="4931" borderId="0" xfId="0" applyFill="1"/>
    <xf numFmtId="0" fontId="0" fillId="4932" borderId="0" xfId="0" applyFill="1"/>
    <xf numFmtId="0" fontId="0" fillId="4933" borderId="0" xfId="0" applyFill="1"/>
    <xf numFmtId="0" fontId="0" fillId="4934" borderId="0" xfId="0" applyFill="1"/>
    <xf numFmtId="0" fontId="0" fillId="4935" borderId="0" xfId="0" applyFill="1"/>
    <xf numFmtId="0" fontId="0" fillId="4936" borderId="0" xfId="0" applyFill="1"/>
    <xf numFmtId="0" fontId="0" fillId="4937" borderId="0" xfId="0" applyFill="1"/>
    <xf numFmtId="0" fontId="0" fillId="4938" borderId="0" xfId="0" applyFill="1"/>
    <xf numFmtId="0" fontId="0" fillId="4939" borderId="0" xfId="0" applyFill="1"/>
    <xf numFmtId="0" fontId="0" fillId="4940" borderId="0" xfId="0" applyFill="1"/>
    <xf numFmtId="0" fontId="0" fillId="4941" borderId="0" xfId="0" applyFill="1"/>
    <xf numFmtId="0" fontId="0" fillId="4942" borderId="0" xfId="0" applyFill="1"/>
    <xf numFmtId="0" fontId="0" fillId="4943" borderId="0" xfId="0" applyFill="1"/>
    <xf numFmtId="0" fontId="0" fillId="4944" borderId="0" xfId="0" applyFill="1"/>
    <xf numFmtId="0" fontId="0" fillId="4945" borderId="0" xfId="0" applyFill="1"/>
    <xf numFmtId="0" fontId="0" fillId="4946" borderId="0" xfId="0" applyFill="1"/>
    <xf numFmtId="0" fontId="0" fillId="4947" borderId="0" xfId="0" applyFill="1"/>
    <xf numFmtId="0" fontId="0" fillId="4948" borderId="0" xfId="0" applyFill="1"/>
    <xf numFmtId="0" fontId="0" fillId="4949" borderId="0" xfId="0" applyFill="1"/>
    <xf numFmtId="0" fontId="0" fillId="4950" borderId="0" xfId="0" applyFill="1"/>
    <xf numFmtId="0" fontId="0" fillId="4951" borderId="0" xfId="0" applyFill="1"/>
    <xf numFmtId="0" fontId="0" fillId="4952" borderId="0" xfId="0" applyFill="1"/>
    <xf numFmtId="0" fontId="0" fillId="4953" borderId="0" xfId="0" applyFill="1"/>
    <xf numFmtId="0" fontId="0" fillId="4954" borderId="0" xfId="0" applyFill="1"/>
    <xf numFmtId="0" fontId="0" fillId="4955" borderId="0" xfId="0" applyFill="1"/>
    <xf numFmtId="0" fontId="0" fillId="4956" borderId="0" xfId="0" applyFill="1"/>
    <xf numFmtId="0" fontId="0" fillId="4957" borderId="0" xfId="0" applyFill="1"/>
    <xf numFmtId="0" fontId="0" fillId="4958" borderId="0" xfId="0" applyFill="1"/>
    <xf numFmtId="0" fontId="0" fillId="4959" borderId="0" xfId="0" applyFill="1"/>
    <xf numFmtId="0" fontId="0" fillId="4960" borderId="0" xfId="0" applyFill="1"/>
    <xf numFmtId="0" fontId="0" fillId="4961" borderId="0" xfId="0" applyFill="1"/>
    <xf numFmtId="0" fontId="0" fillId="4962" borderId="0" xfId="0" applyFill="1"/>
    <xf numFmtId="0" fontId="0" fillId="4963" borderId="0" xfId="0" applyFill="1"/>
    <xf numFmtId="0" fontId="0" fillId="4964" borderId="0" xfId="0" applyFill="1"/>
    <xf numFmtId="0" fontId="0" fillId="4965" borderId="0" xfId="0" applyFill="1"/>
    <xf numFmtId="0" fontId="0" fillId="4966" borderId="0" xfId="0" applyFill="1"/>
    <xf numFmtId="0" fontId="0" fillId="4967" borderId="0" xfId="0" applyFill="1"/>
    <xf numFmtId="0" fontId="0" fillId="4968" borderId="0" xfId="0" applyFill="1"/>
    <xf numFmtId="0" fontId="0" fillId="4969" borderId="0" xfId="0" applyFill="1"/>
    <xf numFmtId="0" fontId="0" fillId="4970" borderId="0" xfId="0" applyFill="1"/>
    <xf numFmtId="0" fontId="0" fillId="4971" borderId="0" xfId="0" applyFill="1"/>
    <xf numFmtId="0" fontId="0" fillId="4972" borderId="0" xfId="0" applyFill="1"/>
    <xf numFmtId="0" fontId="0" fillId="4973" borderId="0" xfId="0" applyFill="1"/>
    <xf numFmtId="0" fontId="0" fillId="4974" borderId="0" xfId="0" applyFill="1"/>
    <xf numFmtId="0" fontId="0" fillId="4975" borderId="0" xfId="0" applyFill="1"/>
    <xf numFmtId="0" fontId="0" fillId="4976" borderId="0" xfId="0" applyFill="1"/>
    <xf numFmtId="0" fontId="0" fillId="4977" borderId="0" xfId="0" applyFill="1"/>
    <xf numFmtId="0" fontId="0" fillId="4978" borderId="0" xfId="0" applyFill="1"/>
    <xf numFmtId="0" fontId="0" fillId="4979" borderId="0" xfId="0" applyFill="1"/>
    <xf numFmtId="0" fontId="0" fillId="4980" borderId="0" xfId="0" applyFill="1"/>
    <xf numFmtId="0" fontId="0" fillId="4981" borderId="0" xfId="0" applyFill="1"/>
    <xf numFmtId="0" fontId="0" fillId="4982" borderId="0" xfId="0" applyFill="1"/>
    <xf numFmtId="0" fontId="0" fillId="4983" borderId="0" xfId="0" applyFill="1"/>
    <xf numFmtId="0" fontId="0" fillId="4984" borderId="0" xfId="0" applyFill="1"/>
    <xf numFmtId="0" fontId="0" fillId="4985" borderId="0" xfId="0" applyFill="1"/>
    <xf numFmtId="0" fontId="0" fillId="4986" borderId="0" xfId="0" applyFill="1"/>
    <xf numFmtId="0" fontId="0" fillId="4987" borderId="0" xfId="0" applyFill="1"/>
    <xf numFmtId="0" fontId="0" fillId="4988" borderId="0" xfId="0" applyFill="1"/>
    <xf numFmtId="0" fontId="0" fillId="4989" borderId="0" xfId="0" applyFill="1"/>
    <xf numFmtId="0" fontId="0" fillId="4990" borderId="0" xfId="0" applyFill="1"/>
    <xf numFmtId="0" fontId="0" fillId="4991" borderId="0" xfId="0" applyFill="1"/>
    <xf numFmtId="0" fontId="0" fillId="4992" borderId="0" xfId="0" applyFill="1"/>
    <xf numFmtId="0" fontId="0" fillId="4993" borderId="0" xfId="0" applyFill="1"/>
    <xf numFmtId="0" fontId="0" fillId="4994" borderId="0" xfId="0" applyFill="1"/>
    <xf numFmtId="0" fontId="0" fillId="4995" borderId="0" xfId="0" applyFill="1"/>
    <xf numFmtId="0" fontId="0" fillId="4996" borderId="0" xfId="0" applyFill="1"/>
    <xf numFmtId="0" fontId="0" fillId="4997" borderId="0" xfId="0" applyFill="1"/>
    <xf numFmtId="0" fontId="0" fillId="4998" borderId="0" xfId="0" applyFill="1"/>
    <xf numFmtId="0" fontId="0" fillId="4999" borderId="0" xfId="0" applyFill="1"/>
    <xf numFmtId="0" fontId="0" fillId="5000" borderId="0" xfId="0" applyFill="1"/>
    <xf numFmtId="0" fontId="0" fillId="5001" borderId="0" xfId="0" applyFill="1"/>
    <xf numFmtId="0" fontId="0" fillId="5002" borderId="0" xfId="0" applyFill="1"/>
    <xf numFmtId="0" fontId="0" fillId="5003" borderId="0" xfId="0" applyFill="1"/>
    <xf numFmtId="0" fontId="0" fillId="5004" borderId="0" xfId="0" applyFill="1"/>
    <xf numFmtId="0" fontId="0" fillId="5005" borderId="0" xfId="0" applyFill="1"/>
    <xf numFmtId="0" fontId="0" fillId="5006" borderId="0" xfId="0" applyFill="1"/>
    <xf numFmtId="0" fontId="0" fillId="5007" borderId="0" xfId="0" applyFill="1"/>
    <xf numFmtId="0" fontId="0" fillId="5008" borderId="0" xfId="0" applyFill="1"/>
    <xf numFmtId="0" fontId="0" fillId="5009" borderId="0" xfId="0" applyFill="1"/>
    <xf numFmtId="0" fontId="0" fillId="5010" borderId="0" xfId="0" applyFill="1"/>
    <xf numFmtId="0" fontId="0" fillId="5011" borderId="0" xfId="0" applyFill="1"/>
    <xf numFmtId="0" fontId="0" fillId="5012" borderId="0" xfId="0" applyFill="1"/>
    <xf numFmtId="0" fontId="0" fillId="5013" borderId="0" xfId="0" applyFill="1"/>
    <xf numFmtId="0" fontId="0" fillId="5014" borderId="0" xfId="0" applyFill="1"/>
    <xf numFmtId="0" fontId="0" fillId="5015" borderId="0" xfId="0" applyFill="1"/>
    <xf numFmtId="0" fontId="0" fillId="5016" borderId="0" xfId="0" applyFill="1"/>
    <xf numFmtId="0" fontId="0" fillId="5017" borderId="0" xfId="0" applyFill="1"/>
    <xf numFmtId="0" fontId="0" fillId="5018" borderId="0" xfId="0" applyFill="1"/>
    <xf numFmtId="0" fontId="0" fillId="5019" borderId="0" xfId="0" applyFill="1"/>
    <xf numFmtId="0" fontId="0" fillId="5020" borderId="0" xfId="0" applyFill="1"/>
    <xf numFmtId="0" fontId="0" fillId="5021" borderId="0" xfId="0" applyFill="1"/>
    <xf numFmtId="0" fontId="0" fillId="5022" borderId="0" xfId="0" applyFill="1"/>
    <xf numFmtId="0" fontId="0" fillId="5023" borderId="0" xfId="0" applyFill="1"/>
    <xf numFmtId="0" fontId="0" fillId="5024" borderId="0" xfId="0" applyFill="1"/>
    <xf numFmtId="0" fontId="0" fillId="5025" borderId="0" xfId="0" applyFill="1"/>
    <xf numFmtId="0" fontId="0" fillId="5026" borderId="0" xfId="0" applyFill="1"/>
    <xf numFmtId="0" fontId="0" fillId="5027" borderId="0" xfId="0" applyFill="1"/>
    <xf numFmtId="0" fontId="0" fillId="5028" borderId="0" xfId="0" applyFill="1"/>
    <xf numFmtId="0" fontId="0" fillId="5029" borderId="0" xfId="0" applyFill="1"/>
    <xf numFmtId="0" fontId="0" fillId="5030" borderId="0" xfId="0" applyFill="1"/>
    <xf numFmtId="0" fontId="0" fillId="5031" borderId="0" xfId="0" applyFill="1"/>
    <xf numFmtId="0" fontId="0" fillId="5032" borderId="0" xfId="0" applyFill="1"/>
    <xf numFmtId="0" fontId="0" fillId="5033" borderId="0" xfId="0" applyFill="1"/>
    <xf numFmtId="0" fontId="0" fillId="5034" borderId="0" xfId="0" applyFill="1"/>
    <xf numFmtId="0" fontId="0" fillId="5035" borderId="0" xfId="0" applyFill="1"/>
    <xf numFmtId="0" fontId="0" fillId="5036" borderId="0" xfId="0" applyFill="1"/>
    <xf numFmtId="0" fontId="0" fillId="5037" borderId="0" xfId="0" applyFill="1"/>
    <xf numFmtId="0" fontId="0" fillId="5038" borderId="0" xfId="0" applyFill="1"/>
    <xf numFmtId="0" fontId="0" fillId="5039" borderId="0" xfId="0" applyFill="1"/>
    <xf numFmtId="0" fontId="0" fillId="5040" borderId="0" xfId="0" applyFill="1"/>
    <xf numFmtId="0" fontId="0" fillId="5041" borderId="0" xfId="0" applyFill="1"/>
    <xf numFmtId="0" fontId="0" fillId="5042" borderId="0" xfId="0" applyFill="1"/>
    <xf numFmtId="0" fontId="0" fillId="5043" borderId="0" xfId="0" applyFill="1"/>
    <xf numFmtId="0" fontId="0" fillId="5044" borderId="0" xfId="0" applyFill="1"/>
    <xf numFmtId="0" fontId="0" fillId="5045" borderId="0" xfId="0" applyFill="1"/>
    <xf numFmtId="0" fontId="0" fillId="5046" borderId="0" xfId="0" applyFill="1"/>
    <xf numFmtId="0" fontId="0" fillId="5047" borderId="0" xfId="0" applyFill="1"/>
    <xf numFmtId="0" fontId="0" fillId="5048" borderId="0" xfId="0" applyFill="1"/>
    <xf numFmtId="0" fontId="0" fillId="5049" borderId="0" xfId="0" applyFill="1"/>
    <xf numFmtId="0" fontId="0" fillId="5050" borderId="0" xfId="0" applyFill="1"/>
    <xf numFmtId="0" fontId="0" fillId="5051" borderId="0" xfId="0" applyFill="1"/>
    <xf numFmtId="0" fontId="0" fillId="5052" borderId="0" xfId="0" applyFill="1"/>
    <xf numFmtId="0" fontId="0" fillId="5053" borderId="0" xfId="0" applyFill="1"/>
    <xf numFmtId="0" fontId="0" fillId="5054" borderId="0" xfId="0" applyFill="1"/>
    <xf numFmtId="0" fontId="0" fillId="5055" borderId="0" xfId="0" applyFill="1"/>
    <xf numFmtId="0" fontId="0" fillId="5056" borderId="0" xfId="0" applyFill="1"/>
    <xf numFmtId="0" fontId="0" fillId="5057" borderId="0" xfId="0" applyFill="1"/>
    <xf numFmtId="0" fontId="0" fillId="5058" borderId="0" xfId="0" applyFill="1"/>
    <xf numFmtId="0" fontId="0" fillId="5059" borderId="0" xfId="0" applyFill="1"/>
    <xf numFmtId="0" fontId="0" fillId="5060" borderId="0" xfId="0" applyFill="1"/>
    <xf numFmtId="0" fontId="0" fillId="5061" borderId="0" xfId="0" applyFill="1"/>
    <xf numFmtId="0" fontId="0" fillId="5062" borderId="0" xfId="0" applyFill="1"/>
    <xf numFmtId="0" fontId="0" fillId="5063" borderId="0" xfId="0" applyFill="1"/>
    <xf numFmtId="0" fontId="0" fillId="5064" borderId="0" xfId="0" applyFill="1"/>
    <xf numFmtId="0" fontId="0" fillId="5065" borderId="0" xfId="0" applyFill="1"/>
    <xf numFmtId="0" fontId="0" fillId="5066" borderId="0" xfId="0" applyFill="1"/>
    <xf numFmtId="0" fontId="0" fillId="5067" borderId="0" xfId="0" applyFill="1"/>
    <xf numFmtId="0" fontId="0" fillId="5068" borderId="0" xfId="0" applyFill="1"/>
    <xf numFmtId="0" fontId="0" fillId="5069" borderId="0" xfId="0" applyFill="1"/>
    <xf numFmtId="0" fontId="0" fillId="5070" borderId="0" xfId="0" applyFill="1"/>
    <xf numFmtId="0" fontId="0" fillId="5071" borderId="0" xfId="0" applyFill="1"/>
    <xf numFmtId="0" fontId="0" fillId="5072" borderId="0" xfId="0" applyFill="1"/>
    <xf numFmtId="0" fontId="0" fillId="5073" borderId="0" xfId="0" applyFill="1"/>
    <xf numFmtId="0" fontId="0" fillId="5074" borderId="0" xfId="0" applyFill="1"/>
    <xf numFmtId="0" fontId="0" fillId="5075" borderId="0" xfId="0" applyFill="1"/>
    <xf numFmtId="0" fontId="0" fillId="5076" borderId="0" xfId="0" applyFill="1"/>
    <xf numFmtId="0" fontId="0" fillId="5077" borderId="0" xfId="0" applyFill="1"/>
    <xf numFmtId="0" fontId="0" fillId="5078" borderId="0" xfId="0" applyFill="1"/>
    <xf numFmtId="0" fontId="0" fillId="5079" borderId="0" xfId="0" applyFill="1"/>
    <xf numFmtId="0" fontId="0" fillId="5080" borderId="0" xfId="0" applyFill="1"/>
    <xf numFmtId="0" fontId="0" fillId="5081" borderId="0" xfId="0" applyFill="1"/>
    <xf numFmtId="0" fontId="0" fillId="5082" borderId="0" xfId="0" applyFill="1"/>
    <xf numFmtId="0" fontId="0" fillId="5083" borderId="0" xfId="0" applyFill="1"/>
    <xf numFmtId="0" fontId="0" fillId="5084" borderId="0" xfId="0" applyFill="1"/>
    <xf numFmtId="0" fontId="0" fillId="5085" borderId="0" xfId="0" applyFill="1"/>
    <xf numFmtId="0" fontId="0" fillId="5086" borderId="0" xfId="0" applyFill="1"/>
    <xf numFmtId="0" fontId="0" fillId="5087" borderId="0" xfId="0" applyFill="1"/>
    <xf numFmtId="0" fontId="0" fillId="5088" borderId="0" xfId="0" applyFill="1"/>
    <xf numFmtId="0" fontId="0" fillId="5089" borderId="0" xfId="0" applyFill="1"/>
    <xf numFmtId="0" fontId="0" fillId="5090" borderId="0" xfId="0" applyFill="1"/>
    <xf numFmtId="0" fontId="0" fillId="5091" borderId="0" xfId="0" applyFill="1"/>
    <xf numFmtId="0" fontId="0" fillId="5092" borderId="0" xfId="0" applyFill="1"/>
    <xf numFmtId="0" fontId="0" fillId="5093" borderId="0" xfId="0" applyFill="1"/>
    <xf numFmtId="0" fontId="0" fillId="5094" borderId="0" xfId="0" applyFill="1"/>
    <xf numFmtId="0" fontId="0" fillId="5095" borderId="0" xfId="0" applyFill="1"/>
    <xf numFmtId="0" fontId="0" fillId="5096" borderId="0" xfId="0" applyFill="1"/>
    <xf numFmtId="0" fontId="0" fillId="5097" borderId="0" xfId="0" applyFill="1"/>
    <xf numFmtId="0" fontId="0" fillId="5098" borderId="0" xfId="0" applyFill="1"/>
    <xf numFmtId="0" fontId="0" fillId="5099" borderId="0" xfId="0" applyFill="1"/>
    <xf numFmtId="0" fontId="0" fillId="5100" borderId="0" xfId="0" applyFill="1"/>
    <xf numFmtId="0" fontId="0" fillId="5101" borderId="0" xfId="0" applyFill="1"/>
    <xf numFmtId="0" fontId="0" fillId="5102" borderId="0" xfId="0" applyFill="1"/>
    <xf numFmtId="0" fontId="0" fillId="5103" borderId="0" xfId="0" applyFill="1"/>
    <xf numFmtId="0" fontId="0" fillId="5104" borderId="0" xfId="0" applyFill="1"/>
    <xf numFmtId="0" fontId="0" fillId="5105" borderId="0" xfId="0" applyFill="1"/>
    <xf numFmtId="0" fontId="0" fillId="5106" borderId="0" xfId="0" applyFill="1"/>
    <xf numFmtId="0" fontId="0" fillId="5107" borderId="0" xfId="0" applyFill="1"/>
    <xf numFmtId="0" fontId="0" fillId="5108" borderId="0" xfId="0" applyFill="1"/>
    <xf numFmtId="0" fontId="0" fillId="5109" borderId="0" xfId="0" applyFill="1"/>
    <xf numFmtId="0" fontId="0" fillId="5110" borderId="0" xfId="0" applyFill="1"/>
    <xf numFmtId="0" fontId="0" fillId="5111" borderId="0" xfId="0" applyFill="1"/>
    <xf numFmtId="0" fontId="0" fillId="5112" borderId="0" xfId="0" applyFill="1"/>
    <xf numFmtId="0" fontId="0" fillId="5113" borderId="0" xfId="0" applyFill="1"/>
    <xf numFmtId="0" fontId="0" fillId="5114" borderId="0" xfId="0" applyFill="1"/>
    <xf numFmtId="0" fontId="0" fillId="5115" borderId="0" xfId="0" applyFill="1"/>
    <xf numFmtId="0" fontId="0" fillId="5116" borderId="0" xfId="0" applyFill="1"/>
    <xf numFmtId="0" fontId="0" fillId="5117" borderId="0" xfId="0" applyFill="1"/>
    <xf numFmtId="0" fontId="0" fillId="5118" borderId="0" xfId="0" applyFill="1"/>
    <xf numFmtId="0" fontId="0" fillId="5119" borderId="0" xfId="0" applyFill="1"/>
    <xf numFmtId="0" fontId="0" fillId="5120" borderId="0" xfId="0" applyFill="1"/>
    <xf numFmtId="0" fontId="0" fillId="5121" borderId="0" xfId="0" applyFill="1"/>
    <xf numFmtId="0" fontId="0" fillId="5122" borderId="0" xfId="0" applyFill="1"/>
    <xf numFmtId="0" fontId="0" fillId="5123" borderId="0" xfId="0" applyFill="1"/>
    <xf numFmtId="0" fontId="0" fillId="5124" borderId="0" xfId="0" applyFill="1"/>
    <xf numFmtId="0" fontId="0" fillId="5125" borderId="0" xfId="0" applyFill="1"/>
    <xf numFmtId="0" fontId="0" fillId="5126" borderId="0" xfId="0" applyFill="1"/>
    <xf numFmtId="0" fontId="0" fillId="5127" borderId="0" xfId="0" applyFill="1"/>
    <xf numFmtId="0" fontId="0" fillId="5128" borderId="0" xfId="0" applyFill="1"/>
    <xf numFmtId="0" fontId="0" fillId="5129" borderId="0" xfId="0" applyFill="1"/>
    <xf numFmtId="0" fontId="0" fillId="5130" borderId="0" xfId="0" applyFill="1"/>
    <xf numFmtId="0" fontId="0" fillId="5131" borderId="0" xfId="0" applyFill="1"/>
    <xf numFmtId="0" fontId="0" fillId="5132" borderId="0" xfId="0" applyFill="1"/>
    <xf numFmtId="0" fontId="0" fillId="5133" borderId="0" xfId="0" applyFill="1"/>
    <xf numFmtId="0" fontId="0" fillId="5134" borderId="0" xfId="0" applyFill="1"/>
    <xf numFmtId="0" fontId="0" fillId="5135" borderId="0" xfId="0" applyFill="1"/>
    <xf numFmtId="0" fontId="0" fillId="5136" borderId="0" xfId="0" applyFill="1"/>
    <xf numFmtId="0" fontId="0" fillId="5137" borderId="0" xfId="0" applyFill="1"/>
    <xf numFmtId="0" fontId="0" fillId="5138" borderId="0" xfId="0" applyFill="1"/>
    <xf numFmtId="0" fontId="0" fillId="5139" borderId="0" xfId="0" applyFill="1"/>
    <xf numFmtId="0" fontId="0" fillId="5140" borderId="0" xfId="0" applyFill="1"/>
    <xf numFmtId="0" fontId="0" fillId="5141" borderId="0" xfId="0" applyFill="1"/>
    <xf numFmtId="0" fontId="0" fillId="5142" borderId="0" xfId="0" applyFill="1"/>
    <xf numFmtId="0" fontId="0" fillId="5143" borderId="0" xfId="0" applyFill="1"/>
    <xf numFmtId="0" fontId="0" fillId="5144" borderId="0" xfId="0" applyFill="1"/>
    <xf numFmtId="0" fontId="0" fillId="5145" borderId="0" xfId="0" applyFill="1"/>
    <xf numFmtId="0" fontId="0" fillId="5146" borderId="0" xfId="0" applyFill="1"/>
    <xf numFmtId="0" fontId="0" fillId="5147" borderId="0" xfId="0" applyFill="1"/>
    <xf numFmtId="0" fontId="0" fillId="5148" borderId="0" xfId="0" applyFill="1"/>
    <xf numFmtId="0" fontId="0" fillId="5149" borderId="0" xfId="0" applyFill="1"/>
    <xf numFmtId="0" fontId="0" fillId="5150" borderId="0" xfId="0" applyFill="1"/>
    <xf numFmtId="0" fontId="0" fillId="5151" borderId="0" xfId="0" applyFill="1"/>
    <xf numFmtId="0" fontId="0" fillId="5152" borderId="0" xfId="0" applyFill="1"/>
    <xf numFmtId="0" fontId="0" fillId="5153" borderId="0" xfId="0" applyFill="1"/>
    <xf numFmtId="0" fontId="0" fillId="5154" borderId="0" xfId="0" applyFill="1"/>
    <xf numFmtId="0" fontId="0" fillId="5155" borderId="0" xfId="0" applyFill="1"/>
    <xf numFmtId="0" fontId="0" fillId="5156" borderId="0" xfId="0" applyFill="1"/>
    <xf numFmtId="0" fontId="0" fillId="5157" borderId="0" xfId="0" applyFill="1"/>
    <xf numFmtId="0" fontId="0" fillId="5158" borderId="0" xfId="0" applyFill="1"/>
    <xf numFmtId="0" fontId="0" fillId="5159" borderId="0" xfId="0" applyFill="1"/>
    <xf numFmtId="0" fontId="0" fillId="5160" borderId="0" xfId="0" applyFill="1"/>
    <xf numFmtId="0" fontId="0" fillId="5161" borderId="0" xfId="0" applyFill="1"/>
    <xf numFmtId="0" fontId="0" fillId="5162" borderId="0" xfId="0" applyFill="1"/>
    <xf numFmtId="0" fontId="0" fillId="5163" borderId="0" xfId="0" applyFill="1"/>
    <xf numFmtId="0" fontId="0" fillId="5164" borderId="0" xfId="0" applyFill="1"/>
    <xf numFmtId="0" fontId="0" fillId="5165" borderId="0" xfId="0" applyFill="1"/>
    <xf numFmtId="0" fontId="0" fillId="5166" borderId="0" xfId="0" applyFill="1"/>
    <xf numFmtId="0" fontId="0" fillId="5167" borderId="0" xfId="0" applyFill="1"/>
    <xf numFmtId="0" fontId="0" fillId="5168" borderId="0" xfId="0" applyFill="1"/>
    <xf numFmtId="0" fontId="0" fillId="5169" borderId="0" xfId="0" applyFill="1"/>
    <xf numFmtId="0" fontId="0" fillId="5170" borderId="0" xfId="0" applyFill="1"/>
    <xf numFmtId="0" fontId="0" fillId="5171" borderId="0" xfId="0" applyFill="1"/>
    <xf numFmtId="0" fontId="0" fillId="5172" borderId="0" xfId="0" applyFill="1"/>
    <xf numFmtId="0" fontId="0" fillId="5173" borderId="0" xfId="0" applyFill="1"/>
    <xf numFmtId="0" fontId="0" fillId="5174" borderId="0" xfId="0" applyFill="1"/>
    <xf numFmtId="0" fontId="0" fillId="5175" borderId="0" xfId="0" applyFill="1"/>
    <xf numFmtId="0" fontId="0" fillId="5176" borderId="0" xfId="0" applyFill="1"/>
    <xf numFmtId="0" fontId="0" fillId="5177" borderId="0" xfId="0" applyFill="1"/>
    <xf numFmtId="0" fontId="0" fillId="5178" borderId="0" xfId="0" applyFill="1"/>
    <xf numFmtId="0" fontId="0" fillId="5179" borderId="0" xfId="0" applyFill="1"/>
    <xf numFmtId="0" fontId="0" fillId="5180" borderId="0" xfId="0" applyFill="1"/>
    <xf numFmtId="0" fontId="0" fillId="5181" borderId="0" xfId="0" applyFill="1"/>
    <xf numFmtId="0" fontId="0" fillId="5182" borderId="0" xfId="0" applyFill="1"/>
    <xf numFmtId="0" fontId="0" fillId="5183" borderId="0" xfId="0" applyFill="1"/>
    <xf numFmtId="0" fontId="0" fillId="5184" borderId="0" xfId="0" applyFill="1"/>
    <xf numFmtId="0" fontId="0" fillId="5185" borderId="0" xfId="0" applyFill="1"/>
    <xf numFmtId="0" fontId="0" fillId="5186" borderId="0" xfId="0" applyFill="1"/>
    <xf numFmtId="0" fontId="0" fillId="5187" borderId="0" xfId="0" applyFill="1"/>
    <xf numFmtId="0" fontId="0" fillId="5188" borderId="0" xfId="0" applyFill="1"/>
    <xf numFmtId="0" fontId="0" fillId="5189" borderId="0" xfId="0" applyFill="1"/>
    <xf numFmtId="0" fontId="0" fillId="5190" borderId="0" xfId="0" applyFill="1"/>
    <xf numFmtId="0" fontId="0" fillId="5191" borderId="0" xfId="0" applyFill="1"/>
    <xf numFmtId="0" fontId="0" fillId="5192" borderId="0" xfId="0" applyFill="1"/>
    <xf numFmtId="0" fontId="0" fillId="5193" borderId="0" xfId="0" applyFill="1"/>
    <xf numFmtId="0" fontId="0" fillId="5194" borderId="0" xfId="0" applyFill="1"/>
    <xf numFmtId="0" fontId="0" fillId="5195" borderId="0" xfId="0" applyFill="1"/>
    <xf numFmtId="0" fontId="0" fillId="5196" borderId="0" xfId="0" applyFill="1"/>
    <xf numFmtId="0" fontId="0" fillId="5197" borderId="0" xfId="0" applyFill="1"/>
    <xf numFmtId="0" fontId="0" fillId="5198" borderId="0" xfId="0" applyFill="1"/>
    <xf numFmtId="0" fontId="0" fillId="5199" borderId="0" xfId="0" applyFill="1"/>
    <xf numFmtId="0" fontId="0" fillId="5200" borderId="0" xfId="0" applyFill="1"/>
    <xf numFmtId="0" fontId="0" fillId="5201" borderId="0" xfId="0" applyFill="1"/>
    <xf numFmtId="0" fontId="0" fillId="5202" borderId="0" xfId="0" applyFill="1"/>
    <xf numFmtId="0" fontId="0" fillId="5203" borderId="0" xfId="0" applyFill="1"/>
    <xf numFmtId="0" fontId="0" fillId="5204" borderId="0" xfId="0" applyFill="1"/>
    <xf numFmtId="0" fontId="0" fillId="5205" borderId="0" xfId="0" applyFill="1"/>
    <xf numFmtId="0" fontId="0" fillId="5206" borderId="0" xfId="0" applyFill="1"/>
    <xf numFmtId="0" fontId="0" fillId="5207" borderId="0" xfId="0" applyFill="1"/>
    <xf numFmtId="0" fontId="0" fillId="5208" borderId="0" xfId="0" applyFill="1"/>
    <xf numFmtId="0" fontId="0" fillId="5209" borderId="0" xfId="0" applyFill="1"/>
    <xf numFmtId="0" fontId="0" fillId="5210" borderId="0" xfId="0" applyFill="1"/>
    <xf numFmtId="0" fontId="0" fillId="5211" borderId="0" xfId="0" applyFill="1"/>
    <xf numFmtId="0" fontId="0" fillId="5212" borderId="0" xfId="0" applyFill="1"/>
    <xf numFmtId="0" fontId="0" fillId="5213" borderId="0" xfId="0" applyFill="1"/>
    <xf numFmtId="0" fontId="0" fillId="5214" borderId="0" xfId="0" applyFill="1"/>
    <xf numFmtId="0" fontId="0" fillId="5215" borderId="0" xfId="0" applyFill="1"/>
    <xf numFmtId="0" fontId="0" fillId="5216" borderId="0" xfId="0" applyFill="1"/>
    <xf numFmtId="0" fontId="0" fillId="5217" borderId="0" xfId="0" applyFill="1"/>
    <xf numFmtId="0" fontId="0" fillId="5218" borderId="0" xfId="0" applyFill="1"/>
    <xf numFmtId="0" fontId="0" fillId="5219" borderId="0" xfId="0" applyFill="1"/>
    <xf numFmtId="0" fontId="0" fillId="5220" borderId="0" xfId="0" applyFill="1"/>
    <xf numFmtId="0" fontId="0" fillId="5221" borderId="0" xfId="0" applyFill="1"/>
    <xf numFmtId="0" fontId="0" fillId="5222" borderId="0" xfId="0" applyFill="1"/>
    <xf numFmtId="0" fontId="0" fillId="5223" borderId="0" xfId="0" applyFill="1"/>
    <xf numFmtId="0" fontId="0" fillId="5224" borderId="0" xfId="0" applyFill="1"/>
    <xf numFmtId="0" fontId="0" fillId="5225" borderId="0" xfId="0" applyFill="1"/>
    <xf numFmtId="0" fontId="0" fillId="5226" borderId="0" xfId="0" applyFill="1"/>
    <xf numFmtId="0" fontId="0" fillId="5227" borderId="0" xfId="0" applyFill="1"/>
    <xf numFmtId="0" fontId="0" fillId="5228" borderId="0" xfId="0" applyFill="1"/>
    <xf numFmtId="0" fontId="0" fillId="5229" borderId="0" xfId="0" applyFill="1"/>
    <xf numFmtId="0" fontId="0" fillId="5230" borderId="0" xfId="0" applyFill="1"/>
    <xf numFmtId="0" fontId="0" fillId="5231" borderId="0" xfId="0" applyFill="1"/>
    <xf numFmtId="0" fontId="0" fillId="5232" borderId="0" xfId="0" applyFill="1"/>
    <xf numFmtId="0" fontId="0" fillId="5233" borderId="0" xfId="0" applyFill="1"/>
    <xf numFmtId="0" fontId="0" fillId="5234" borderId="0" xfId="0" applyFill="1"/>
    <xf numFmtId="0" fontId="0" fillId="5235" borderId="0" xfId="0" applyFill="1"/>
    <xf numFmtId="0" fontId="0" fillId="5236" borderId="0" xfId="0" applyFill="1"/>
    <xf numFmtId="0" fontId="0" fillId="5237" borderId="0" xfId="0" applyFill="1"/>
    <xf numFmtId="0" fontId="0" fillId="5238" borderId="0" xfId="0" applyFill="1"/>
    <xf numFmtId="0" fontId="0" fillId="5239" borderId="0" xfId="0" applyFill="1"/>
    <xf numFmtId="0" fontId="0" fillId="5240" borderId="0" xfId="0" applyFill="1"/>
    <xf numFmtId="0" fontId="0" fillId="5241" borderId="0" xfId="0" applyFill="1"/>
    <xf numFmtId="0" fontId="0" fillId="5242" borderId="0" xfId="0" applyFill="1"/>
    <xf numFmtId="0" fontId="0" fillId="5243" borderId="0" xfId="0" applyFill="1"/>
    <xf numFmtId="0" fontId="0" fillId="5244" borderId="0" xfId="0" applyFill="1"/>
    <xf numFmtId="0" fontId="0" fillId="5245" borderId="0" xfId="0" applyFill="1"/>
    <xf numFmtId="0" fontId="0" fillId="5246" borderId="0" xfId="0" applyFill="1"/>
    <xf numFmtId="0" fontId="0" fillId="5247" borderId="0" xfId="0" applyFill="1"/>
    <xf numFmtId="0" fontId="0" fillId="5248" borderId="0" xfId="0" applyFill="1"/>
    <xf numFmtId="0" fontId="0" fillId="5249" borderId="0" xfId="0" applyFill="1"/>
    <xf numFmtId="0" fontId="0" fillId="5250" borderId="0" xfId="0" applyFill="1"/>
    <xf numFmtId="0" fontId="0" fillId="5251" borderId="0" xfId="0" applyFill="1"/>
    <xf numFmtId="0" fontId="0" fillId="5252" borderId="0" xfId="0" applyFill="1"/>
    <xf numFmtId="0" fontId="0" fillId="5253" borderId="0" xfId="0" applyFill="1"/>
    <xf numFmtId="0" fontId="0" fillId="5254" borderId="0" xfId="0" applyFill="1"/>
    <xf numFmtId="0" fontId="0" fillId="5255" borderId="0" xfId="0" applyFill="1"/>
    <xf numFmtId="0" fontId="0" fillId="5256" borderId="0" xfId="0" applyFill="1"/>
    <xf numFmtId="0" fontId="0" fillId="5257" borderId="0" xfId="0" applyFill="1"/>
    <xf numFmtId="0" fontId="0" fillId="5258" borderId="0" xfId="0" applyFill="1"/>
    <xf numFmtId="0" fontId="0" fillId="5259" borderId="0" xfId="0" applyFill="1"/>
    <xf numFmtId="0" fontId="0" fillId="5260" borderId="0" xfId="0" applyFill="1"/>
    <xf numFmtId="0" fontId="0" fillId="5261" borderId="0" xfId="0" applyFill="1"/>
    <xf numFmtId="0" fontId="0" fillId="5262" borderId="0" xfId="0" applyFill="1"/>
    <xf numFmtId="0" fontId="0" fillId="5263" borderId="0" xfId="0" applyFill="1"/>
    <xf numFmtId="0" fontId="0" fillId="5264" borderId="0" xfId="0" applyFill="1"/>
    <xf numFmtId="0" fontId="0" fillId="5265" borderId="0" xfId="0" applyFill="1"/>
    <xf numFmtId="0" fontId="0" fillId="5266" borderId="0" xfId="0" applyFill="1"/>
    <xf numFmtId="0" fontId="0" fillId="5267" borderId="0" xfId="0" applyFill="1"/>
    <xf numFmtId="0" fontId="0" fillId="5268" borderId="0" xfId="0" applyFill="1"/>
    <xf numFmtId="0" fontId="0" fillId="5269" borderId="0" xfId="0" applyFill="1"/>
    <xf numFmtId="0" fontId="0" fillId="5270" borderId="0" xfId="0" applyFill="1"/>
    <xf numFmtId="0" fontId="0" fillId="5271" borderId="0" xfId="0" applyFill="1"/>
    <xf numFmtId="0" fontId="0" fillId="5272" borderId="0" xfId="0" applyFill="1"/>
    <xf numFmtId="0" fontId="0" fillId="5273" borderId="0" xfId="0" applyFill="1"/>
    <xf numFmtId="0" fontId="0" fillId="5274" borderId="0" xfId="0" applyFill="1"/>
    <xf numFmtId="0" fontId="0" fillId="5275" borderId="0" xfId="0" applyFill="1"/>
    <xf numFmtId="0" fontId="0" fillId="5276" borderId="0" xfId="0" applyFill="1"/>
    <xf numFmtId="0" fontId="0" fillId="5277" borderId="0" xfId="0" applyFill="1"/>
    <xf numFmtId="0" fontId="0" fillId="5278" borderId="0" xfId="0" applyFill="1"/>
    <xf numFmtId="0" fontId="0" fillId="5279" borderId="0" xfId="0" applyFill="1"/>
    <xf numFmtId="0" fontId="0" fillId="5280" borderId="0" xfId="0" applyFill="1"/>
    <xf numFmtId="0" fontId="0" fillId="5281" borderId="0" xfId="0" applyFill="1"/>
    <xf numFmtId="0" fontId="0" fillId="5282" borderId="0" xfId="0" applyFill="1"/>
    <xf numFmtId="0" fontId="0" fillId="5283" borderId="0" xfId="0" applyFill="1"/>
    <xf numFmtId="0" fontId="0" fillId="5284" borderId="0" xfId="0" applyFill="1"/>
    <xf numFmtId="0" fontId="0" fillId="5285" borderId="0" xfId="0" applyFill="1"/>
    <xf numFmtId="0" fontId="0" fillId="5286" borderId="0" xfId="0" applyFill="1"/>
    <xf numFmtId="0" fontId="0" fillId="5287" borderId="0" xfId="0" applyFill="1"/>
    <xf numFmtId="0" fontId="0" fillId="5288" borderId="0" xfId="0" applyFill="1"/>
    <xf numFmtId="0" fontId="0" fillId="5289" borderId="0" xfId="0" applyFill="1"/>
    <xf numFmtId="0" fontId="0" fillId="5290" borderId="0" xfId="0" applyFill="1"/>
    <xf numFmtId="0" fontId="0" fillId="5291" borderId="0" xfId="0" applyFill="1"/>
    <xf numFmtId="0" fontId="0" fillId="5292" borderId="0" xfId="0" applyFill="1"/>
    <xf numFmtId="0" fontId="0" fillId="5293" borderId="0" xfId="0" applyFill="1"/>
    <xf numFmtId="0" fontId="0" fillId="5294" borderId="0" xfId="0" applyFill="1"/>
    <xf numFmtId="0" fontId="0" fillId="5295" borderId="0" xfId="0" applyFill="1"/>
    <xf numFmtId="0" fontId="0" fillId="5296" borderId="0" xfId="0" applyFill="1"/>
    <xf numFmtId="0" fontId="0" fillId="5297" borderId="0" xfId="0" applyFill="1"/>
    <xf numFmtId="0" fontId="0" fillId="5298" borderId="0" xfId="0" applyFill="1"/>
    <xf numFmtId="0" fontId="0" fillId="5299" borderId="0" xfId="0" applyFill="1"/>
    <xf numFmtId="0" fontId="0" fillId="5300" borderId="0" xfId="0" applyFill="1"/>
    <xf numFmtId="0" fontId="0" fillId="5301" borderId="0" xfId="0" applyFill="1"/>
    <xf numFmtId="0" fontId="0" fillId="5302" borderId="0" xfId="0" applyFill="1"/>
    <xf numFmtId="0" fontId="0" fillId="5303" borderId="0" xfId="0" applyFill="1"/>
    <xf numFmtId="0" fontId="0" fillId="5304" borderId="0" xfId="0" applyFill="1"/>
    <xf numFmtId="0" fontId="0" fillId="5305" borderId="0" xfId="0" applyFill="1"/>
    <xf numFmtId="0" fontId="0" fillId="5306" borderId="0" xfId="0" applyFill="1"/>
    <xf numFmtId="0" fontId="0" fillId="5307" borderId="0" xfId="0" applyFill="1"/>
    <xf numFmtId="0" fontId="0" fillId="5308" borderId="0" xfId="0" applyFill="1"/>
    <xf numFmtId="0" fontId="0" fillId="5309" borderId="0" xfId="0" applyFill="1"/>
    <xf numFmtId="0" fontId="0" fillId="5310" borderId="0" xfId="0" applyFill="1"/>
    <xf numFmtId="0" fontId="0" fillId="5311" borderId="0" xfId="0" applyFill="1"/>
    <xf numFmtId="0" fontId="0" fillId="5312" borderId="0" xfId="0" applyFill="1"/>
    <xf numFmtId="0" fontId="0" fillId="5313" borderId="0" xfId="0" applyFill="1"/>
    <xf numFmtId="0" fontId="0" fillId="5314" borderId="0" xfId="0" applyFill="1"/>
    <xf numFmtId="0" fontId="0" fillId="5315" borderId="0" xfId="0" applyFill="1"/>
    <xf numFmtId="0" fontId="0" fillId="5316" borderId="0" xfId="0" applyFill="1"/>
    <xf numFmtId="0" fontId="0" fillId="5317" borderId="0" xfId="0" applyFill="1"/>
    <xf numFmtId="0" fontId="0" fillId="5318" borderId="0" xfId="0" applyFill="1"/>
    <xf numFmtId="0" fontId="0" fillId="5319" borderId="0" xfId="0" applyFill="1"/>
    <xf numFmtId="0" fontId="0" fillId="5320" borderId="0" xfId="0" applyFill="1"/>
    <xf numFmtId="0" fontId="0" fillId="5321" borderId="0" xfId="0" applyFill="1"/>
    <xf numFmtId="0" fontId="0" fillId="5322" borderId="0" xfId="0" applyFill="1"/>
    <xf numFmtId="0" fontId="0" fillId="5323" borderId="0" xfId="0" applyFill="1"/>
    <xf numFmtId="0" fontId="0" fillId="5324" borderId="0" xfId="0" applyFill="1"/>
    <xf numFmtId="0" fontId="0" fillId="5325" borderId="0" xfId="0" applyFill="1"/>
    <xf numFmtId="0" fontId="0" fillId="5326" borderId="0" xfId="0" applyFill="1"/>
    <xf numFmtId="0" fontId="0" fillId="5327" borderId="0" xfId="0" applyFill="1"/>
    <xf numFmtId="0" fontId="0" fillId="5328" borderId="0" xfId="0" applyFill="1"/>
    <xf numFmtId="0" fontId="0" fillId="5329" borderId="0" xfId="0" applyFill="1"/>
    <xf numFmtId="0" fontId="0" fillId="5330" borderId="0" xfId="0" applyFill="1"/>
    <xf numFmtId="0" fontId="0" fillId="5331" borderId="0" xfId="0" applyFill="1"/>
    <xf numFmtId="0" fontId="0" fillId="5332" borderId="0" xfId="0" applyFill="1"/>
    <xf numFmtId="0" fontId="0" fillId="5333" borderId="0" xfId="0" applyFill="1"/>
    <xf numFmtId="0" fontId="0" fillId="5334" borderId="0" xfId="0" applyFill="1"/>
    <xf numFmtId="0" fontId="0" fillId="5335" borderId="0" xfId="0" applyFill="1"/>
    <xf numFmtId="0" fontId="0" fillId="5336" borderId="0" xfId="0" applyFill="1"/>
    <xf numFmtId="0" fontId="0" fillId="5337" borderId="0" xfId="0" applyFill="1"/>
    <xf numFmtId="0" fontId="0" fillId="5338" borderId="0" xfId="0" applyFill="1"/>
    <xf numFmtId="0" fontId="0" fillId="5339" borderId="0" xfId="0" applyFill="1"/>
    <xf numFmtId="0" fontId="0" fillId="5340" borderId="0" xfId="0" applyFill="1"/>
    <xf numFmtId="0" fontId="0" fillId="5341" borderId="0" xfId="0" applyFill="1"/>
    <xf numFmtId="0" fontId="0" fillId="5342" borderId="0" xfId="0" applyFill="1"/>
    <xf numFmtId="0" fontId="0" fillId="5343" borderId="0" xfId="0" applyFill="1"/>
    <xf numFmtId="0" fontId="0" fillId="5344" borderId="0" xfId="0" applyFill="1"/>
    <xf numFmtId="0" fontId="0" fillId="5345" borderId="0" xfId="0" applyFill="1"/>
    <xf numFmtId="0" fontId="0" fillId="5346" borderId="0" xfId="0" applyFill="1"/>
    <xf numFmtId="0" fontId="0" fillId="5347" borderId="0" xfId="0" applyFill="1"/>
    <xf numFmtId="0" fontId="0" fillId="5348" borderId="0" xfId="0" applyFill="1"/>
    <xf numFmtId="0" fontId="0" fillId="5349" borderId="0" xfId="0" applyFill="1"/>
    <xf numFmtId="0" fontId="0" fillId="5350" borderId="0" xfId="0" applyFill="1"/>
    <xf numFmtId="0" fontId="0" fillId="5351" borderId="0" xfId="0" applyFill="1"/>
    <xf numFmtId="0" fontId="0" fillId="5352" borderId="0" xfId="0" applyFill="1"/>
    <xf numFmtId="0" fontId="0" fillId="5353" borderId="0" xfId="0" applyFill="1"/>
    <xf numFmtId="0" fontId="0" fillId="5354" borderId="0" xfId="0" applyFill="1"/>
    <xf numFmtId="0" fontId="0" fillId="5355" borderId="0" xfId="0" applyFill="1"/>
    <xf numFmtId="0" fontId="0" fillId="5356" borderId="0" xfId="0" applyFill="1"/>
    <xf numFmtId="0" fontId="0" fillId="5357" borderId="0" xfId="0" applyFill="1"/>
    <xf numFmtId="0" fontId="0" fillId="5358" borderId="0" xfId="0" applyFill="1"/>
    <xf numFmtId="0" fontId="0" fillId="5359" borderId="0" xfId="0" applyFill="1"/>
    <xf numFmtId="0" fontId="0" fillId="5360" borderId="0" xfId="0" applyFill="1"/>
    <xf numFmtId="0" fontId="0" fillId="5361" borderId="0" xfId="0" applyFill="1"/>
    <xf numFmtId="0" fontId="0" fillId="5362" borderId="0" xfId="0" applyFill="1"/>
    <xf numFmtId="0" fontId="0" fillId="5363" borderId="0" xfId="0" applyFill="1"/>
    <xf numFmtId="0" fontId="0" fillId="5364" borderId="0" xfId="0" applyFill="1"/>
    <xf numFmtId="0" fontId="0" fillId="5365" borderId="0" xfId="0" applyFill="1"/>
    <xf numFmtId="0" fontId="0" fillId="5366" borderId="0" xfId="0" applyFill="1"/>
    <xf numFmtId="0" fontId="0" fillId="5367" borderId="0" xfId="0" applyFill="1"/>
    <xf numFmtId="0" fontId="0" fillId="5368" borderId="0" xfId="0" applyFill="1"/>
    <xf numFmtId="0" fontId="0" fillId="5369" borderId="0" xfId="0" applyFill="1"/>
    <xf numFmtId="0" fontId="0" fillId="5370" borderId="0" xfId="0" applyFill="1"/>
    <xf numFmtId="0" fontId="0" fillId="5371" borderId="0" xfId="0" applyFill="1"/>
    <xf numFmtId="0" fontId="0" fillId="5372" borderId="0" xfId="0" applyFill="1"/>
    <xf numFmtId="0" fontId="0" fillId="5373" borderId="0" xfId="0" applyFill="1"/>
    <xf numFmtId="0" fontId="0" fillId="5374" borderId="0" xfId="0" applyFill="1"/>
    <xf numFmtId="0" fontId="0" fillId="5375" borderId="0" xfId="0" applyFill="1"/>
    <xf numFmtId="0" fontId="0" fillId="5376" borderId="0" xfId="0" applyFill="1"/>
    <xf numFmtId="0" fontId="0" fillId="5377" borderId="0" xfId="0" applyFill="1"/>
    <xf numFmtId="0" fontId="0" fillId="5378" borderId="0" xfId="0" applyFill="1"/>
    <xf numFmtId="0" fontId="0" fillId="5379" borderId="0" xfId="0" applyFill="1"/>
    <xf numFmtId="0" fontId="0" fillId="5380" borderId="0" xfId="0" applyFill="1"/>
    <xf numFmtId="0" fontId="0" fillId="5381" borderId="0" xfId="0" applyFill="1"/>
    <xf numFmtId="0" fontId="0" fillId="5382" borderId="0" xfId="0" applyFill="1"/>
    <xf numFmtId="0" fontId="0" fillId="5383" borderId="0" xfId="0" applyFill="1"/>
    <xf numFmtId="0" fontId="0" fillId="5384" borderId="0" xfId="0" applyFill="1"/>
    <xf numFmtId="0" fontId="0" fillId="5385" borderId="0" xfId="0" applyFill="1"/>
    <xf numFmtId="0" fontId="0" fillId="5386" borderId="0" xfId="0" applyFill="1"/>
    <xf numFmtId="0" fontId="0" fillId="5387" borderId="0" xfId="0" applyFill="1"/>
    <xf numFmtId="0" fontId="0" fillId="5388" borderId="0" xfId="0" applyFill="1"/>
    <xf numFmtId="0" fontId="0" fillId="5389" borderId="0" xfId="0" applyFill="1"/>
    <xf numFmtId="0" fontId="0" fillId="5390" borderId="0" xfId="0" applyFill="1"/>
    <xf numFmtId="0" fontId="0" fillId="5391" borderId="0" xfId="0" applyFill="1"/>
    <xf numFmtId="0" fontId="0" fillId="5392" borderId="0" xfId="0" applyFill="1"/>
    <xf numFmtId="0" fontId="0" fillId="5393" borderId="0" xfId="0" applyFill="1"/>
    <xf numFmtId="0" fontId="0" fillId="5394" borderId="0" xfId="0" applyFill="1"/>
    <xf numFmtId="0" fontId="0" fillId="5395" borderId="0" xfId="0" applyFill="1"/>
    <xf numFmtId="0" fontId="0" fillId="5396" borderId="0" xfId="0" applyFill="1"/>
    <xf numFmtId="0" fontId="0" fillId="5397" borderId="0" xfId="0" applyFill="1"/>
    <xf numFmtId="0" fontId="0" fillId="5398" borderId="0" xfId="0" applyFill="1"/>
    <xf numFmtId="0" fontId="0" fillId="5399" borderId="0" xfId="0" applyFill="1"/>
    <xf numFmtId="0" fontId="0" fillId="5400" borderId="0" xfId="0" applyFill="1"/>
    <xf numFmtId="0" fontId="0" fillId="5401" borderId="0" xfId="0" applyFill="1"/>
    <xf numFmtId="0" fontId="0" fillId="5402" borderId="0" xfId="0" applyFill="1"/>
    <xf numFmtId="0" fontId="0" fillId="5403" borderId="0" xfId="0" applyFill="1"/>
    <xf numFmtId="0" fontId="0" fillId="5404" borderId="0" xfId="0" applyFill="1"/>
    <xf numFmtId="0" fontId="0" fillId="5405" borderId="0" xfId="0" applyFill="1"/>
    <xf numFmtId="0" fontId="0" fillId="5406" borderId="0" xfId="0" applyFill="1"/>
    <xf numFmtId="0" fontId="0" fillId="5407" borderId="0" xfId="0" applyFill="1"/>
    <xf numFmtId="0" fontId="0" fillId="5408" borderId="0" xfId="0" applyFill="1"/>
    <xf numFmtId="0" fontId="0" fillId="5409" borderId="0" xfId="0" applyFill="1"/>
    <xf numFmtId="0" fontId="0" fillId="5410" borderId="0" xfId="0" applyFill="1"/>
    <xf numFmtId="0" fontId="0" fillId="5411" borderId="0" xfId="0" applyFill="1"/>
    <xf numFmtId="0" fontId="0" fillId="5412" borderId="0" xfId="0" applyFill="1"/>
    <xf numFmtId="0" fontId="0" fillId="5413" borderId="0" xfId="0" applyFill="1"/>
    <xf numFmtId="0" fontId="0" fillId="5414" borderId="0" xfId="0" applyFill="1"/>
    <xf numFmtId="0" fontId="0" fillId="5415" borderId="0" xfId="0" applyFill="1"/>
    <xf numFmtId="0" fontId="0" fillId="5416" borderId="0" xfId="0" applyFill="1"/>
    <xf numFmtId="0" fontId="0" fillId="5417" borderId="0" xfId="0" applyFill="1"/>
    <xf numFmtId="0" fontId="0" fillId="5418" borderId="0" xfId="0" applyFill="1"/>
    <xf numFmtId="0" fontId="0" fillId="5419" borderId="0" xfId="0" applyFill="1"/>
    <xf numFmtId="0" fontId="0" fillId="5420" borderId="0" xfId="0" applyFill="1"/>
    <xf numFmtId="0" fontId="0" fillId="5421" borderId="0" xfId="0" applyFill="1"/>
    <xf numFmtId="0" fontId="0" fillId="5422" borderId="0" xfId="0" applyFill="1"/>
    <xf numFmtId="0" fontId="0" fillId="5423" borderId="0" xfId="0" applyFill="1"/>
    <xf numFmtId="0" fontId="0" fillId="5424" borderId="0" xfId="0" applyFill="1"/>
    <xf numFmtId="0" fontId="0" fillId="5425" borderId="0" xfId="0" applyFill="1"/>
    <xf numFmtId="0" fontId="0" fillId="5426" borderId="0" xfId="0" applyFill="1"/>
    <xf numFmtId="0" fontId="0" fillId="5427" borderId="0" xfId="0" applyFill="1"/>
    <xf numFmtId="0" fontId="0" fillId="5428" borderId="0" xfId="0" applyFill="1"/>
    <xf numFmtId="0" fontId="0" fillId="5429" borderId="0" xfId="0" applyFill="1"/>
    <xf numFmtId="0" fontId="0" fillId="5430" borderId="0" xfId="0" applyFill="1"/>
    <xf numFmtId="0" fontId="0" fillId="5431" borderId="0" xfId="0" applyFill="1"/>
    <xf numFmtId="0" fontId="0" fillId="5432" borderId="0" xfId="0" applyFill="1"/>
    <xf numFmtId="0" fontId="0" fillId="5433" borderId="0" xfId="0" applyFill="1"/>
    <xf numFmtId="0" fontId="0" fillId="5434" borderId="0" xfId="0" applyFill="1"/>
    <xf numFmtId="0" fontId="0" fillId="5435" borderId="0" xfId="0" applyFill="1"/>
    <xf numFmtId="0" fontId="0" fillId="5436" borderId="0" xfId="0" applyFill="1"/>
    <xf numFmtId="0" fontId="0" fillId="5437" borderId="0" xfId="0" applyFill="1"/>
    <xf numFmtId="0" fontId="0" fillId="5438" borderId="0" xfId="0" applyFill="1"/>
    <xf numFmtId="0" fontId="0" fillId="5439" borderId="0" xfId="0" applyFill="1"/>
    <xf numFmtId="0" fontId="0" fillId="5440" borderId="0" xfId="0" applyFill="1"/>
    <xf numFmtId="0" fontId="0" fillId="5441" borderId="0" xfId="0" applyFill="1"/>
    <xf numFmtId="0" fontId="0" fillId="5442" borderId="0" xfId="0" applyFill="1"/>
    <xf numFmtId="0" fontId="0" fillId="5443" borderId="0" xfId="0" applyFill="1"/>
    <xf numFmtId="0" fontId="0" fillId="5444" borderId="0" xfId="0" applyFill="1"/>
    <xf numFmtId="0" fontId="0" fillId="5445" borderId="0" xfId="0" applyFill="1"/>
    <xf numFmtId="0" fontId="0" fillId="5446" borderId="0" xfId="0" applyFill="1"/>
    <xf numFmtId="0" fontId="0" fillId="5447" borderId="0" xfId="0" applyFill="1"/>
    <xf numFmtId="0" fontId="0" fillId="5448" borderId="0" xfId="0" applyFill="1"/>
    <xf numFmtId="0" fontId="0" fillId="5449" borderId="0" xfId="0" applyFill="1"/>
    <xf numFmtId="0" fontId="0" fillId="5450" borderId="0" xfId="0" applyFill="1"/>
    <xf numFmtId="0" fontId="0" fillId="5451" borderId="0" xfId="0" applyFill="1"/>
    <xf numFmtId="0" fontId="0" fillId="5452" borderId="0" xfId="0" applyFill="1"/>
    <xf numFmtId="0" fontId="0" fillId="5453" borderId="0" xfId="0" applyFill="1"/>
    <xf numFmtId="0" fontId="0" fillId="5454" borderId="0" xfId="0" applyFill="1"/>
    <xf numFmtId="0" fontId="0" fillId="5455" borderId="0" xfId="0" applyFill="1"/>
    <xf numFmtId="0" fontId="0" fillId="5456" borderId="0" xfId="0" applyFill="1"/>
    <xf numFmtId="0" fontId="0" fillId="5457" borderId="0" xfId="0" applyFill="1"/>
    <xf numFmtId="0" fontId="0" fillId="5458" borderId="0" xfId="0" applyFill="1"/>
    <xf numFmtId="0" fontId="0" fillId="5459" borderId="0" xfId="0" applyFill="1"/>
    <xf numFmtId="0" fontId="0" fillId="5460" borderId="0" xfId="0" applyFill="1"/>
    <xf numFmtId="0" fontId="0" fillId="5461" borderId="0" xfId="0" applyFill="1"/>
    <xf numFmtId="0" fontId="0" fillId="5462" borderId="0" xfId="0" applyFill="1"/>
    <xf numFmtId="0" fontId="0" fillId="5463" borderId="0" xfId="0" applyFill="1"/>
    <xf numFmtId="0" fontId="0" fillId="5464" borderId="0" xfId="0" applyFill="1"/>
    <xf numFmtId="0" fontId="0" fillId="5465" borderId="0" xfId="0" applyFill="1"/>
    <xf numFmtId="0" fontId="0" fillId="5466" borderId="0" xfId="0" applyFill="1"/>
    <xf numFmtId="0" fontId="0" fillId="5467" borderId="0" xfId="0" applyFill="1"/>
    <xf numFmtId="0" fontId="0" fillId="5468" borderId="0" xfId="0" applyFill="1"/>
    <xf numFmtId="0" fontId="0" fillId="5469" borderId="0" xfId="0" applyFill="1"/>
    <xf numFmtId="0" fontId="0" fillId="5470" borderId="0" xfId="0" applyFill="1"/>
    <xf numFmtId="0" fontId="0" fillId="5471" borderId="0" xfId="0" applyFill="1"/>
    <xf numFmtId="0" fontId="0" fillId="5472" borderId="0" xfId="0" applyFill="1"/>
    <xf numFmtId="0" fontId="0" fillId="5473" borderId="0" xfId="0" applyFill="1"/>
    <xf numFmtId="0" fontId="0" fillId="5474" borderId="0" xfId="0" applyFill="1"/>
    <xf numFmtId="0" fontId="0" fillId="5475" borderId="0" xfId="0" applyFill="1"/>
    <xf numFmtId="0" fontId="0" fillId="5476" borderId="0" xfId="0" applyFill="1"/>
    <xf numFmtId="0" fontId="0" fillId="5477" borderId="0" xfId="0" applyFill="1"/>
    <xf numFmtId="0" fontId="0" fillId="5478" borderId="0" xfId="0" applyFill="1"/>
    <xf numFmtId="0" fontId="0" fillId="5479" borderId="0" xfId="0" applyFill="1"/>
    <xf numFmtId="0" fontId="0" fillId="5480" borderId="0" xfId="0" applyFill="1"/>
    <xf numFmtId="0" fontId="0" fillId="5481" borderId="0" xfId="0" applyFill="1"/>
    <xf numFmtId="0" fontId="0" fillId="5482" borderId="0" xfId="0" applyFill="1"/>
    <xf numFmtId="0" fontId="0" fillId="5483" borderId="0" xfId="0" applyFill="1"/>
    <xf numFmtId="0" fontId="0" fillId="5484" borderId="0" xfId="0" applyFill="1"/>
    <xf numFmtId="0" fontId="0" fillId="5485" borderId="0" xfId="0" applyFill="1"/>
    <xf numFmtId="0" fontId="0" fillId="5486" borderId="0" xfId="0" applyFill="1"/>
    <xf numFmtId="0" fontId="0" fillId="5487" borderId="0" xfId="0" applyFill="1"/>
    <xf numFmtId="0" fontId="0" fillId="5488" borderId="0" xfId="0" applyFill="1"/>
    <xf numFmtId="0" fontId="0" fillId="5489" borderId="0" xfId="0" applyFill="1"/>
    <xf numFmtId="0" fontId="0" fillId="5490" borderId="0" xfId="0" applyFill="1"/>
    <xf numFmtId="0" fontId="0" fillId="5491" borderId="0" xfId="0" applyFill="1"/>
    <xf numFmtId="0" fontId="0" fillId="5492" borderId="0" xfId="0" applyFill="1"/>
    <xf numFmtId="0" fontId="0" fillId="5493" borderId="0" xfId="0" applyFill="1"/>
    <xf numFmtId="0" fontId="0" fillId="5494" borderId="0" xfId="0" applyFill="1"/>
    <xf numFmtId="0" fontId="0" fillId="5495" borderId="0" xfId="0" applyFill="1"/>
    <xf numFmtId="0" fontId="0" fillId="5496" borderId="0" xfId="0" applyFill="1"/>
    <xf numFmtId="0" fontId="0" fillId="5497" borderId="0" xfId="0" applyFill="1"/>
    <xf numFmtId="0" fontId="0" fillId="5498" borderId="0" xfId="0" applyFill="1"/>
    <xf numFmtId="0" fontId="0" fillId="5499" borderId="0" xfId="0" applyFill="1"/>
    <xf numFmtId="0" fontId="0" fillId="5500" borderId="0" xfId="0" applyFill="1"/>
    <xf numFmtId="0" fontId="0" fillId="5501" borderId="0" xfId="0" applyFill="1"/>
    <xf numFmtId="0" fontId="0" fillId="5502" borderId="0" xfId="0" applyFill="1"/>
    <xf numFmtId="0" fontId="0" fillId="5503" borderId="0" xfId="0" applyFill="1"/>
    <xf numFmtId="0" fontId="0" fillId="5504" borderId="0" xfId="0" applyFill="1"/>
    <xf numFmtId="0" fontId="0" fillId="5505" borderId="0" xfId="0" applyFill="1"/>
    <xf numFmtId="0" fontId="0" fillId="5506" borderId="0" xfId="0" applyFill="1"/>
    <xf numFmtId="0" fontId="0" fillId="5507" borderId="0" xfId="0" applyFill="1"/>
    <xf numFmtId="0" fontId="0" fillId="5508" borderId="0" xfId="0" applyFill="1"/>
    <xf numFmtId="0" fontId="0" fillId="5509" borderId="0" xfId="0" applyFill="1"/>
    <xf numFmtId="0" fontId="0" fillId="5510" borderId="0" xfId="0" applyFill="1"/>
    <xf numFmtId="0" fontId="0" fillId="5511" borderId="0" xfId="0" applyFill="1"/>
    <xf numFmtId="0" fontId="0" fillId="5512" borderId="0" xfId="0" applyFill="1"/>
    <xf numFmtId="0" fontId="0" fillId="5513" borderId="0" xfId="0" applyFill="1"/>
    <xf numFmtId="0" fontId="0" fillId="5514" borderId="0" xfId="0" applyFill="1"/>
    <xf numFmtId="0" fontId="0" fillId="5515" borderId="0" xfId="0" applyFill="1"/>
    <xf numFmtId="0" fontId="0" fillId="5516" borderId="0" xfId="0" applyFill="1"/>
    <xf numFmtId="0" fontId="0" fillId="5517" borderId="0" xfId="0" applyFill="1"/>
    <xf numFmtId="0" fontId="0" fillId="5518" borderId="0" xfId="0" applyFill="1"/>
    <xf numFmtId="0" fontId="0" fillId="5519" borderId="0" xfId="0" applyFill="1"/>
    <xf numFmtId="0" fontId="0" fillId="5520" borderId="0" xfId="0" applyFill="1"/>
    <xf numFmtId="0" fontId="0" fillId="5521" borderId="0" xfId="0" applyFill="1"/>
    <xf numFmtId="0" fontId="0" fillId="5522" borderId="0" xfId="0" applyFill="1"/>
    <xf numFmtId="0" fontId="0" fillId="5523" borderId="0" xfId="0" applyFill="1"/>
    <xf numFmtId="0" fontId="0" fillId="5524" borderId="0" xfId="0" applyFill="1"/>
    <xf numFmtId="0" fontId="0" fillId="5525" borderId="0" xfId="0" applyFill="1"/>
    <xf numFmtId="0" fontId="0" fillId="5526" borderId="0" xfId="0" applyFill="1"/>
    <xf numFmtId="0" fontId="0" fillId="5527" borderId="0" xfId="0" applyFill="1"/>
    <xf numFmtId="0" fontId="0" fillId="5528" borderId="0" xfId="0" applyFill="1"/>
    <xf numFmtId="0" fontId="0" fillId="5529" borderId="0" xfId="0" applyFill="1"/>
    <xf numFmtId="0" fontId="0" fillId="5530" borderId="0" xfId="0" applyFill="1"/>
    <xf numFmtId="0" fontId="0" fillId="5531" borderId="0" xfId="0" applyFill="1"/>
    <xf numFmtId="0" fontId="0" fillId="5532" borderId="0" xfId="0" applyFill="1"/>
    <xf numFmtId="0" fontId="0" fillId="5533" borderId="0" xfId="0" applyFill="1"/>
    <xf numFmtId="0" fontId="0" fillId="5534" borderId="0" xfId="0" applyFill="1"/>
    <xf numFmtId="0" fontId="0" fillId="5535" borderId="0" xfId="0" applyFill="1"/>
    <xf numFmtId="0" fontId="0" fillId="5536" borderId="0" xfId="0" applyFill="1"/>
    <xf numFmtId="0" fontId="0" fillId="5537" borderId="0" xfId="0" applyFill="1"/>
    <xf numFmtId="0" fontId="0" fillId="5538" borderId="0" xfId="0" applyFill="1"/>
    <xf numFmtId="0" fontId="0" fillId="5539" borderId="0" xfId="0" applyFill="1"/>
    <xf numFmtId="0" fontId="0" fillId="5540" borderId="0" xfId="0" applyFill="1"/>
    <xf numFmtId="0" fontId="0" fillId="5541" borderId="0" xfId="0" applyFill="1"/>
    <xf numFmtId="0" fontId="0" fillId="5542" borderId="0" xfId="0" applyFill="1"/>
    <xf numFmtId="0" fontId="0" fillId="5543" borderId="0" xfId="0" applyFill="1"/>
    <xf numFmtId="0" fontId="0" fillId="5544" borderId="0" xfId="0" applyFill="1"/>
    <xf numFmtId="0" fontId="0" fillId="5545" borderId="0" xfId="0" applyFill="1"/>
    <xf numFmtId="0" fontId="0" fillId="5546" borderId="0" xfId="0" applyFill="1"/>
    <xf numFmtId="0" fontId="0" fillId="5547" borderId="0" xfId="0" applyFill="1"/>
    <xf numFmtId="0" fontId="0" fillId="5548" borderId="0" xfId="0" applyFill="1"/>
    <xf numFmtId="0" fontId="0" fillId="5549" borderId="0" xfId="0" applyFill="1"/>
    <xf numFmtId="0" fontId="0" fillId="5550" borderId="0" xfId="0" applyFill="1"/>
    <xf numFmtId="0" fontId="0" fillId="5551" borderId="0" xfId="0" applyFill="1"/>
    <xf numFmtId="0" fontId="0" fillId="5552" borderId="0" xfId="0" applyFill="1"/>
    <xf numFmtId="0" fontId="0" fillId="5553" borderId="0" xfId="0" applyFill="1"/>
    <xf numFmtId="0" fontId="0" fillId="5554" borderId="0" xfId="0" applyFill="1"/>
    <xf numFmtId="0" fontId="0" fillId="5555" borderId="0" xfId="0" applyFill="1"/>
    <xf numFmtId="0" fontId="0" fillId="5556" borderId="0" xfId="0" applyFill="1"/>
    <xf numFmtId="0" fontId="0" fillId="5557" borderId="0" xfId="0" applyFill="1"/>
    <xf numFmtId="0" fontId="0" fillId="5558" borderId="0" xfId="0" applyFill="1"/>
    <xf numFmtId="0" fontId="0" fillId="5559" borderId="0" xfId="0" applyFill="1"/>
    <xf numFmtId="0" fontId="0" fillId="5560" borderId="0" xfId="0" applyFill="1"/>
    <xf numFmtId="0" fontId="0" fillId="5561" borderId="0" xfId="0" applyFill="1"/>
    <xf numFmtId="0" fontId="0" fillId="5562" borderId="0" xfId="0" applyFill="1"/>
    <xf numFmtId="0" fontId="0" fillId="5563" borderId="0" xfId="0" applyFill="1"/>
    <xf numFmtId="0" fontId="0" fillId="5564" borderId="0" xfId="0" applyFill="1"/>
    <xf numFmtId="0" fontId="0" fillId="5565" borderId="0" xfId="0" applyFill="1"/>
    <xf numFmtId="0" fontId="0" fillId="5566" borderId="0" xfId="0" applyFill="1"/>
    <xf numFmtId="0" fontId="0" fillId="5567" borderId="0" xfId="0" applyFill="1"/>
    <xf numFmtId="0" fontId="0" fillId="5568" borderId="0" xfId="0" applyFill="1"/>
    <xf numFmtId="0" fontId="0" fillId="5569" borderId="0" xfId="0" applyFill="1"/>
    <xf numFmtId="0" fontId="0" fillId="5570" borderId="0" xfId="0" applyFill="1"/>
    <xf numFmtId="0" fontId="0" fillId="5571" borderId="0" xfId="0" applyFill="1"/>
    <xf numFmtId="0" fontId="0" fillId="5572" borderId="0" xfId="0" applyFill="1"/>
    <xf numFmtId="0" fontId="0" fillId="5573" borderId="0" xfId="0" applyFill="1"/>
    <xf numFmtId="0" fontId="0" fillId="5574" borderId="0" xfId="0" applyFill="1"/>
    <xf numFmtId="0" fontId="0" fillId="5575" borderId="0" xfId="0" applyFill="1"/>
    <xf numFmtId="0" fontId="0" fillId="5576" borderId="0" xfId="0" applyFill="1"/>
    <xf numFmtId="0" fontId="0" fillId="5577" borderId="0" xfId="0" applyFill="1"/>
    <xf numFmtId="0" fontId="0" fillId="5578" borderId="0" xfId="0" applyFill="1"/>
    <xf numFmtId="0" fontId="0" fillId="5579" borderId="0" xfId="0" applyFill="1"/>
    <xf numFmtId="0" fontId="0" fillId="5580" borderId="0" xfId="0" applyFill="1"/>
    <xf numFmtId="0" fontId="0" fillId="5581" borderId="0" xfId="0" applyFill="1"/>
    <xf numFmtId="0" fontId="0" fillId="5582" borderId="0" xfId="0" applyFill="1"/>
    <xf numFmtId="0" fontId="0" fillId="5583" borderId="0" xfId="0" applyFill="1"/>
    <xf numFmtId="0" fontId="0" fillId="5584" borderId="0" xfId="0" applyFill="1"/>
    <xf numFmtId="0" fontId="0" fillId="5585" borderId="0" xfId="0" applyFill="1"/>
    <xf numFmtId="0" fontId="0" fillId="5586" borderId="0" xfId="0" applyFill="1"/>
    <xf numFmtId="0" fontId="0" fillId="5587" borderId="0" xfId="0" applyFill="1"/>
    <xf numFmtId="0" fontId="0" fillId="5588" borderId="0" xfId="0" applyFill="1"/>
    <xf numFmtId="0" fontId="0" fillId="5589" borderId="0" xfId="0" applyFill="1"/>
    <xf numFmtId="0" fontId="0" fillId="5590" borderId="0" xfId="0" applyFill="1"/>
    <xf numFmtId="0" fontId="0" fillId="5591" borderId="0" xfId="0" applyFill="1"/>
    <xf numFmtId="0" fontId="0" fillId="5592" borderId="0" xfId="0" applyFill="1"/>
    <xf numFmtId="0" fontId="0" fillId="5593" borderId="0" xfId="0" applyFill="1"/>
    <xf numFmtId="0" fontId="0" fillId="5594" borderId="0" xfId="0" applyFill="1"/>
    <xf numFmtId="0" fontId="0" fillId="5595" borderId="0" xfId="0" applyFill="1"/>
    <xf numFmtId="0" fontId="0" fillId="5596" borderId="0" xfId="0" applyFill="1"/>
    <xf numFmtId="0" fontId="0" fillId="5597" borderId="0" xfId="0" applyFill="1"/>
    <xf numFmtId="0" fontId="0" fillId="5598" borderId="0" xfId="0" applyFill="1"/>
    <xf numFmtId="0" fontId="0" fillId="5599" borderId="0" xfId="0" applyFill="1"/>
    <xf numFmtId="0" fontId="0" fillId="5600" borderId="0" xfId="0" applyFill="1"/>
    <xf numFmtId="0" fontId="0" fillId="5601" borderId="0" xfId="0" applyFill="1"/>
    <xf numFmtId="0" fontId="0" fillId="5602" borderId="0" xfId="0" applyFill="1"/>
    <xf numFmtId="0" fontId="0" fillId="5603" borderId="0" xfId="0" applyFill="1"/>
    <xf numFmtId="0" fontId="0" fillId="5604" borderId="0" xfId="0" applyFill="1"/>
    <xf numFmtId="0" fontId="0" fillId="5605" borderId="0" xfId="0" applyFill="1"/>
    <xf numFmtId="0" fontId="0" fillId="5606" borderId="0" xfId="0" applyFill="1"/>
    <xf numFmtId="0" fontId="0" fillId="5607" borderId="0" xfId="0" applyFill="1"/>
    <xf numFmtId="0" fontId="0" fillId="5608" borderId="0" xfId="0" applyFill="1"/>
    <xf numFmtId="0" fontId="0" fillId="5609" borderId="0" xfId="0" applyFill="1"/>
    <xf numFmtId="0" fontId="0" fillId="5610" borderId="0" xfId="0" applyFill="1"/>
    <xf numFmtId="0" fontId="0" fillId="5611" borderId="0" xfId="0" applyFill="1"/>
    <xf numFmtId="0" fontId="0" fillId="5612" borderId="0" xfId="0" applyFill="1"/>
    <xf numFmtId="0" fontId="0" fillId="5613" borderId="0" xfId="0" applyFill="1"/>
    <xf numFmtId="0" fontId="0" fillId="5614" borderId="0" xfId="0" applyFill="1"/>
    <xf numFmtId="0" fontId="0" fillId="5615" borderId="0" xfId="0" applyFill="1"/>
    <xf numFmtId="0" fontId="0" fillId="5616" borderId="0" xfId="0" applyFill="1"/>
    <xf numFmtId="0" fontId="0" fillId="5617" borderId="0" xfId="0" applyFill="1"/>
    <xf numFmtId="0" fontId="0" fillId="5618" borderId="0" xfId="0" applyFill="1"/>
    <xf numFmtId="0" fontId="0" fillId="5619" borderId="0" xfId="0" applyFill="1"/>
    <xf numFmtId="0" fontId="0" fillId="5620" borderId="0" xfId="0" applyFill="1"/>
    <xf numFmtId="0" fontId="0" fillId="5621" borderId="0" xfId="0" applyFill="1"/>
    <xf numFmtId="0" fontId="0" fillId="5622" borderId="0" xfId="0" applyFill="1"/>
    <xf numFmtId="0" fontId="0" fillId="5623" borderId="0" xfId="0" applyFill="1"/>
    <xf numFmtId="0" fontId="0" fillId="5624" borderId="0" xfId="0" applyFill="1"/>
    <xf numFmtId="0" fontId="0" fillId="5625" borderId="0" xfId="0" applyFill="1"/>
    <xf numFmtId="0" fontId="0" fillId="5626" borderId="0" xfId="0" applyFill="1"/>
    <xf numFmtId="0" fontId="0" fillId="5627" borderId="0" xfId="0" applyFill="1"/>
    <xf numFmtId="0" fontId="0" fillId="5628" borderId="0" xfId="0" applyFill="1"/>
    <xf numFmtId="0" fontId="0" fillId="5629" borderId="0" xfId="0" applyFill="1"/>
    <xf numFmtId="0" fontId="0" fillId="5630" borderId="0" xfId="0" applyFill="1"/>
    <xf numFmtId="0" fontId="0" fillId="5631" borderId="0" xfId="0" applyFill="1"/>
    <xf numFmtId="0" fontId="0" fillId="5632" borderId="0" xfId="0" applyFill="1"/>
    <xf numFmtId="0" fontId="0" fillId="5633" borderId="0" xfId="0" applyFill="1"/>
    <xf numFmtId="0" fontId="0" fillId="5634" borderId="0" xfId="0" applyFill="1"/>
    <xf numFmtId="0" fontId="0" fillId="5635" borderId="0" xfId="0" applyFill="1"/>
    <xf numFmtId="0" fontId="0" fillId="5636" borderId="0" xfId="0" applyFill="1"/>
    <xf numFmtId="0" fontId="0" fillId="5637" borderId="0" xfId="0" applyFill="1"/>
    <xf numFmtId="0" fontId="0" fillId="5638" borderId="0" xfId="0" applyFill="1"/>
    <xf numFmtId="0" fontId="0" fillId="5639" borderId="0" xfId="0" applyFill="1"/>
    <xf numFmtId="0" fontId="0" fillId="5640" borderId="0" xfId="0" applyFill="1"/>
    <xf numFmtId="0" fontId="0" fillId="5641" borderId="0" xfId="0" applyFill="1"/>
    <xf numFmtId="0" fontId="0" fillId="5642" borderId="0" xfId="0" applyFill="1"/>
    <xf numFmtId="0" fontId="0" fillId="5643" borderId="0" xfId="0" applyFill="1"/>
    <xf numFmtId="0" fontId="0" fillId="5644" borderId="0" xfId="0" applyFill="1"/>
    <xf numFmtId="0" fontId="0" fillId="5645" borderId="0" xfId="0" applyFill="1"/>
    <xf numFmtId="0" fontId="0" fillId="5646" borderId="0" xfId="0" applyFill="1"/>
    <xf numFmtId="0" fontId="0" fillId="5647" borderId="0" xfId="0" applyFill="1"/>
    <xf numFmtId="0" fontId="0" fillId="5648" borderId="0" xfId="0" applyFill="1"/>
    <xf numFmtId="0" fontId="0" fillId="5649" borderId="0" xfId="0" applyFill="1"/>
    <xf numFmtId="0" fontId="0" fillId="5650" borderId="0" xfId="0" applyFill="1"/>
    <xf numFmtId="0" fontId="0" fillId="5651" borderId="0" xfId="0" applyFill="1"/>
    <xf numFmtId="0" fontId="0" fillId="5652" borderId="0" xfId="0" applyFill="1"/>
    <xf numFmtId="0" fontId="0" fillId="5653" borderId="0" xfId="0" applyFill="1"/>
    <xf numFmtId="0" fontId="0" fillId="5654" borderId="0" xfId="0" applyFill="1"/>
    <xf numFmtId="0" fontId="0" fillId="5655" borderId="0" xfId="0" applyFill="1"/>
    <xf numFmtId="0" fontId="0" fillId="5656" borderId="0" xfId="0" applyFill="1"/>
    <xf numFmtId="0" fontId="0" fillId="5657" borderId="0" xfId="0" applyFill="1"/>
    <xf numFmtId="0" fontId="0" fillId="5658" borderId="0" xfId="0" applyFill="1"/>
    <xf numFmtId="0" fontId="0" fillId="5659" borderId="0" xfId="0" applyFill="1"/>
    <xf numFmtId="0" fontId="0" fillId="5660" borderId="0" xfId="0" applyFill="1"/>
    <xf numFmtId="0" fontId="0" fillId="5661" borderId="0" xfId="0" applyFill="1"/>
    <xf numFmtId="0" fontId="0" fillId="5662" borderId="0" xfId="0" applyFill="1"/>
    <xf numFmtId="0" fontId="0" fillId="5663" borderId="0" xfId="0" applyFill="1"/>
    <xf numFmtId="0" fontId="0" fillId="5664" borderId="0" xfId="0" applyFill="1"/>
    <xf numFmtId="0" fontId="0" fillId="5665" borderId="0" xfId="0" applyFill="1"/>
    <xf numFmtId="0" fontId="0" fillId="5666" borderId="0" xfId="0" applyFill="1"/>
    <xf numFmtId="0" fontId="0" fillId="5667" borderId="0" xfId="0" applyFill="1"/>
    <xf numFmtId="0" fontId="0" fillId="5668" borderId="0" xfId="0" applyFill="1"/>
    <xf numFmtId="0" fontId="0" fillId="5669" borderId="0" xfId="0" applyFill="1"/>
    <xf numFmtId="0" fontId="0" fillId="5670" borderId="0" xfId="0" applyFill="1"/>
    <xf numFmtId="0" fontId="0" fillId="5671" borderId="0" xfId="0" applyFill="1"/>
    <xf numFmtId="0" fontId="0" fillId="5672" borderId="0" xfId="0" applyFill="1"/>
    <xf numFmtId="0" fontId="0" fillId="5673" borderId="0" xfId="0" applyFill="1"/>
    <xf numFmtId="0" fontId="0" fillId="5674" borderId="0" xfId="0" applyFill="1"/>
    <xf numFmtId="0" fontId="0" fillId="5675" borderId="0" xfId="0" applyFill="1"/>
    <xf numFmtId="0" fontId="0" fillId="5676" borderId="0" xfId="0" applyFill="1"/>
    <xf numFmtId="0" fontId="0" fillId="5677" borderId="0" xfId="0" applyFill="1"/>
    <xf numFmtId="0" fontId="0" fillId="5678" borderId="0" xfId="0" applyFill="1"/>
    <xf numFmtId="0" fontId="0" fillId="5679" borderId="0" xfId="0" applyFill="1"/>
    <xf numFmtId="0" fontId="0" fillId="5680" borderId="0" xfId="0" applyFill="1"/>
    <xf numFmtId="0" fontId="0" fillId="5681" borderId="0" xfId="0" applyFill="1"/>
    <xf numFmtId="0" fontId="0" fillId="5682" borderId="0" xfId="0" applyFill="1"/>
    <xf numFmtId="0" fontId="0" fillId="5683" borderId="0" xfId="0" applyFill="1"/>
    <xf numFmtId="0" fontId="0" fillId="5684" borderId="0" xfId="0" applyFill="1"/>
    <xf numFmtId="0" fontId="0" fillId="5685" borderId="0" xfId="0" applyFill="1"/>
    <xf numFmtId="0" fontId="0" fillId="5686" borderId="0" xfId="0" applyFill="1"/>
    <xf numFmtId="0" fontId="0" fillId="5687" borderId="0" xfId="0" applyFill="1"/>
    <xf numFmtId="0" fontId="0" fillId="5688" borderId="0" xfId="0" applyFill="1"/>
    <xf numFmtId="0" fontId="0" fillId="5689" borderId="0" xfId="0" applyFill="1"/>
    <xf numFmtId="0" fontId="0" fillId="5690" borderId="0" xfId="0" applyFill="1"/>
    <xf numFmtId="0" fontId="0" fillId="5691" borderId="0" xfId="0" applyFill="1"/>
    <xf numFmtId="0" fontId="0" fillId="5692" borderId="0" xfId="0" applyFill="1"/>
    <xf numFmtId="0" fontId="0" fillId="5693" borderId="0" xfId="0" applyFill="1"/>
    <xf numFmtId="0" fontId="0" fillId="5694" borderId="0" xfId="0" applyFill="1"/>
    <xf numFmtId="0" fontId="0" fillId="5695" borderId="0" xfId="0" applyFill="1"/>
    <xf numFmtId="0" fontId="0" fillId="5696" borderId="0" xfId="0" applyFill="1"/>
    <xf numFmtId="0" fontId="0" fillId="5697" borderId="0" xfId="0" applyFill="1"/>
    <xf numFmtId="0" fontId="0" fillId="5698" borderId="0" xfId="0" applyFill="1"/>
    <xf numFmtId="0" fontId="0" fillId="5699" borderId="0" xfId="0" applyFill="1"/>
    <xf numFmtId="0" fontId="0" fillId="5700" borderId="0" xfId="0" applyFill="1"/>
    <xf numFmtId="0" fontId="0" fillId="5701" borderId="0" xfId="0" applyFill="1"/>
    <xf numFmtId="0" fontId="0" fillId="5702" borderId="0" xfId="0" applyFill="1"/>
    <xf numFmtId="0" fontId="0" fillId="5703" borderId="0" xfId="0" applyFill="1"/>
    <xf numFmtId="0" fontId="0" fillId="5704" borderId="0" xfId="0" applyFill="1"/>
    <xf numFmtId="0" fontId="0" fillId="5705" borderId="0" xfId="0" applyFill="1"/>
    <xf numFmtId="0" fontId="0" fillId="5706" borderId="0" xfId="0" applyFill="1"/>
    <xf numFmtId="0" fontId="0" fillId="5707" borderId="0" xfId="0" applyFill="1"/>
    <xf numFmtId="0" fontId="0" fillId="5708" borderId="0" xfId="0" applyFill="1"/>
    <xf numFmtId="0" fontId="0" fillId="5709" borderId="0" xfId="0" applyFill="1"/>
    <xf numFmtId="0" fontId="0" fillId="5710" borderId="0" xfId="0" applyFill="1"/>
    <xf numFmtId="0" fontId="0" fillId="5711" borderId="0" xfId="0" applyFill="1"/>
    <xf numFmtId="0" fontId="0" fillId="5712" borderId="0" xfId="0" applyFill="1"/>
    <xf numFmtId="0" fontId="0" fillId="5713" borderId="0" xfId="0" applyFill="1"/>
    <xf numFmtId="0" fontId="0" fillId="5714" borderId="0" xfId="0" applyFill="1"/>
    <xf numFmtId="0" fontId="0" fillId="5715" borderId="0" xfId="0" applyFill="1"/>
    <xf numFmtId="0" fontId="0" fillId="5716" borderId="0" xfId="0" applyFill="1"/>
    <xf numFmtId="0" fontId="0" fillId="5717" borderId="0" xfId="0" applyFill="1"/>
    <xf numFmtId="0" fontId="0" fillId="5718" borderId="0" xfId="0" applyFill="1"/>
    <xf numFmtId="0" fontId="0" fillId="5719" borderId="0" xfId="0" applyFill="1"/>
    <xf numFmtId="0" fontId="0" fillId="5720" borderId="0" xfId="0" applyFill="1"/>
    <xf numFmtId="0" fontId="0" fillId="5721" borderId="0" xfId="0" applyFill="1"/>
    <xf numFmtId="0" fontId="0" fillId="5722" borderId="0" xfId="0" applyFill="1"/>
    <xf numFmtId="0" fontId="0" fillId="5723" borderId="0" xfId="0" applyFill="1"/>
    <xf numFmtId="0" fontId="0" fillId="5724" borderId="0" xfId="0" applyFill="1"/>
    <xf numFmtId="0" fontId="0" fillId="5725" borderId="0" xfId="0" applyFill="1"/>
    <xf numFmtId="0" fontId="0" fillId="5726" borderId="0" xfId="0" applyFill="1"/>
    <xf numFmtId="0" fontId="0" fillId="5727" borderId="0" xfId="0" applyFill="1"/>
    <xf numFmtId="0" fontId="0" fillId="5728" borderId="0" xfId="0" applyFill="1"/>
    <xf numFmtId="0" fontId="0" fillId="5729" borderId="0" xfId="0" applyFill="1"/>
    <xf numFmtId="0" fontId="0" fillId="5730" borderId="0" xfId="0" applyFill="1"/>
    <xf numFmtId="0" fontId="0" fillId="5731" borderId="0" xfId="0" applyFill="1"/>
    <xf numFmtId="0" fontId="0" fillId="5732" borderId="0" xfId="0" applyFill="1"/>
    <xf numFmtId="0" fontId="0" fillId="5733" borderId="0" xfId="0" applyFill="1"/>
    <xf numFmtId="0" fontId="0" fillId="5734" borderId="0" xfId="0" applyFill="1"/>
    <xf numFmtId="0" fontId="0" fillId="5735" borderId="0" xfId="0" applyFill="1"/>
    <xf numFmtId="0" fontId="0" fillId="5736" borderId="0" xfId="0" applyFill="1"/>
    <xf numFmtId="0" fontId="0" fillId="5737" borderId="0" xfId="0" applyFill="1"/>
    <xf numFmtId="0" fontId="0" fillId="5738" borderId="0" xfId="0" applyFill="1"/>
    <xf numFmtId="0" fontId="0" fillId="5739" borderId="0" xfId="0" applyFill="1"/>
    <xf numFmtId="0" fontId="0" fillId="5740" borderId="0" xfId="0" applyFill="1"/>
    <xf numFmtId="0" fontId="0" fillId="5741" borderId="0" xfId="0" applyFill="1"/>
    <xf numFmtId="0" fontId="0" fillId="5742" borderId="0" xfId="0" applyFill="1"/>
    <xf numFmtId="0" fontId="0" fillId="5743" borderId="0" xfId="0" applyFill="1"/>
    <xf numFmtId="0" fontId="0" fillId="5744" borderId="0" xfId="0" applyFill="1"/>
    <xf numFmtId="0" fontId="0" fillId="5745" borderId="0" xfId="0" applyFill="1"/>
    <xf numFmtId="0" fontId="0" fillId="5746" borderId="0" xfId="0" applyFill="1"/>
    <xf numFmtId="0" fontId="0" fillId="5747" borderId="0" xfId="0" applyFill="1"/>
    <xf numFmtId="0" fontId="0" fillId="5748" borderId="0" xfId="0" applyFill="1"/>
    <xf numFmtId="0" fontId="0" fillId="5749" borderId="0" xfId="0" applyFill="1"/>
    <xf numFmtId="0" fontId="0" fillId="5750" borderId="0" xfId="0" applyFill="1"/>
    <xf numFmtId="0" fontId="0" fillId="5751" borderId="0" xfId="0" applyFill="1"/>
    <xf numFmtId="0" fontId="0" fillId="5752" borderId="0" xfId="0" applyFill="1"/>
    <xf numFmtId="0" fontId="0" fillId="5753" borderId="0" xfId="0" applyFill="1"/>
    <xf numFmtId="0" fontId="0" fillId="5754" borderId="0" xfId="0" applyFill="1"/>
    <xf numFmtId="0" fontId="0" fillId="5755" borderId="0" xfId="0" applyFill="1"/>
    <xf numFmtId="0" fontId="0" fillId="5756" borderId="0" xfId="0" applyFill="1"/>
    <xf numFmtId="0" fontId="0" fillId="5757" borderId="0" xfId="0" applyFill="1"/>
    <xf numFmtId="0" fontId="0" fillId="5758" borderId="0" xfId="0" applyFill="1"/>
    <xf numFmtId="0" fontId="0" fillId="5759" borderId="0" xfId="0" applyFill="1"/>
    <xf numFmtId="0" fontId="0" fillId="5760" borderId="0" xfId="0" applyFill="1"/>
    <xf numFmtId="0" fontId="0" fillId="5761" borderId="0" xfId="0" applyFill="1"/>
    <xf numFmtId="0" fontId="0" fillId="5762" borderId="0" xfId="0" applyFill="1"/>
    <xf numFmtId="0" fontId="0" fillId="5763" borderId="0" xfId="0" applyFill="1"/>
    <xf numFmtId="0" fontId="0" fillId="5764" borderId="0" xfId="0" applyFill="1"/>
    <xf numFmtId="0" fontId="0" fillId="5765" borderId="0" xfId="0" applyFill="1"/>
    <xf numFmtId="0" fontId="0" fillId="5766" borderId="0" xfId="0" applyFill="1"/>
    <xf numFmtId="0" fontId="0" fillId="5767" borderId="0" xfId="0" applyFill="1"/>
    <xf numFmtId="0" fontId="0" fillId="5768" borderId="0" xfId="0" applyFill="1"/>
    <xf numFmtId="0" fontId="0" fillId="5769" borderId="0" xfId="0" applyFill="1"/>
    <xf numFmtId="0" fontId="0" fillId="5770" borderId="0" xfId="0" applyFill="1"/>
    <xf numFmtId="0" fontId="0" fillId="5771" borderId="0" xfId="0" applyFill="1"/>
    <xf numFmtId="0" fontId="0" fillId="5772" borderId="0" xfId="0" applyFill="1"/>
    <xf numFmtId="0" fontId="0" fillId="5773" borderId="0" xfId="0" applyFill="1"/>
    <xf numFmtId="0" fontId="0" fillId="5774" borderId="0" xfId="0" applyFill="1"/>
    <xf numFmtId="0" fontId="0" fillId="5775" borderId="0" xfId="0" applyFill="1"/>
    <xf numFmtId="0" fontId="0" fillId="5776" borderId="0" xfId="0" applyFill="1"/>
    <xf numFmtId="0" fontId="0" fillId="5777" borderId="0" xfId="0" applyFill="1"/>
    <xf numFmtId="0" fontId="0" fillId="5778" borderId="0" xfId="0" applyFill="1"/>
    <xf numFmtId="0" fontId="0" fillId="5779" borderId="0" xfId="0" applyFill="1"/>
    <xf numFmtId="0" fontId="0" fillId="5780" borderId="0" xfId="0" applyFill="1"/>
    <xf numFmtId="0" fontId="0" fillId="5781" borderId="0" xfId="0" applyFill="1"/>
    <xf numFmtId="0" fontId="0" fillId="5782" borderId="0" xfId="0" applyFill="1"/>
    <xf numFmtId="0" fontId="0" fillId="5783" borderId="0" xfId="0" applyFill="1"/>
    <xf numFmtId="0" fontId="0" fillId="5784" borderId="0" xfId="0" applyFill="1"/>
    <xf numFmtId="0" fontId="0" fillId="5785" borderId="0" xfId="0" applyFill="1"/>
    <xf numFmtId="0" fontId="0" fillId="5786" borderId="0" xfId="0" applyFill="1"/>
    <xf numFmtId="0" fontId="0" fillId="5787" borderId="0" xfId="0" applyFill="1"/>
    <xf numFmtId="0" fontId="0" fillId="5788" borderId="0" xfId="0" applyFill="1"/>
    <xf numFmtId="0" fontId="0" fillId="5789" borderId="0" xfId="0" applyFill="1"/>
    <xf numFmtId="0" fontId="0" fillId="5790" borderId="0" xfId="0" applyFill="1"/>
    <xf numFmtId="0" fontId="0" fillId="5791" borderId="0" xfId="0" applyFill="1"/>
    <xf numFmtId="0" fontId="0" fillId="5792" borderId="0" xfId="0" applyFill="1"/>
    <xf numFmtId="0" fontId="0" fillId="5793" borderId="0" xfId="0" applyFill="1"/>
    <xf numFmtId="0" fontId="0" fillId="5794" borderId="0" xfId="0" applyFill="1"/>
    <xf numFmtId="0" fontId="0" fillId="5795" borderId="0" xfId="0" applyFill="1"/>
    <xf numFmtId="0" fontId="0" fillId="5796" borderId="0" xfId="0" applyFill="1"/>
    <xf numFmtId="0" fontId="0" fillId="5797" borderId="0" xfId="0" applyFill="1"/>
    <xf numFmtId="0" fontId="0" fillId="5798" borderId="0" xfId="0" applyFill="1"/>
    <xf numFmtId="0" fontId="0" fillId="5799" borderId="0" xfId="0" applyFill="1"/>
    <xf numFmtId="0" fontId="0" fillId="5800" borderId="0" xfId="0" applyFill="1"/>
    <xf numFmtId="0" fontId="0" fillId="5801" borderId="0" xfId="0" applyFill="1"/>
    <xf numFmtId="0" fontId="0" fillId="5802" borderId="0" xfId="0" applyFill="1"/>
    <xf numFmtId="0" fontId="0" fillId="5803" borderId="0" xfId="0" applyFill="1"/>
    <xf numFmtId="0" fontId="0" fillId="5804" borderId="0" xfId="0" applyFill="1"/>
    <xf numFmtId="0" fontId="0" fillId="5805" borderId="0" xfId="0" applyFill="1"/>
    <xf numFmtId="0" fontId="0" fillId="5806" borderId="0" xfId="0" applyFill="1"/>
    <xf numFmtId="0" fontId="0" fillId="5807" borderId="0" xfId="0" applyFill="1"/>
    <xf numFmtId="0" fontId="0" fillId="5808" borderId="0" xfId="0" applyFill="1"/>
    <xf numFmtId="0" fontId="0" fillId="5809" borderId="0" xfId="0" applyFill="1"/>
    <xf numFmtId="0" fontId="0" fillId="5810" borderId="0" xfId="0" applyFill="1"/>
    <xf numFmtId="0" fontId="0" fillId="5811" borderId="0" xfId="0" applyFill="1"/>
    <xf numFmtId="0" fontId="0" fillId="5812" borderId="0" xfId="0" applyFill="1"/>
    <xf numFmtId="0" fontId="0" fillId="5813" borderId="0" xfId="0" applyFill="1"/>
    <xf numFmtId="0" fontId="0" fillId="5814" borderId="0" xfId="0" applyFill="1"/>
    <xf numFmtId="0" fontId="0" fillId="5815" borderId="0" xfId="0" applyFill="1"/>
    <xf numFmtId="0" fontId="0" fillId="5816" borderId="0" xfId="0" applyFill="1"/>
    <xf numFmtId="0" fontId="0" fillId="5817" borderId="0" xfId="0" applyFill="1"/>
    <xf numFmtId="0" fontId="0" fillId="5818" borderId="0" xfId="0" applyFill="1"/>
    <xf numFmtId="0" fontId="0" fillId="5819" borderId="0" xfId="0" applyFill="1"/>
    <xf numFmtId="0" fontId="0" fillId="5820" borderId="0" xfId="0" applyFill="1"/>
    <xf numFmtId="0" fontId="0" fillId="5821" borderId="0" xfId="0" applyFill="1"/>
    <xf numFmtId="0" fontId="0" fillId="5822" borderId="0" xfId="0" applyFill="1"/>
    <xf numFmtId="0" fontId="0" fillId="5823" borderId="0" xfId="0" applyFill="1"/>
    <xf numFmtId="0" fontId="0" fillId="5824" borderId="0" xfId="0" applyFill="1"/>
    <xf numFmtId="0" fontId="0" fillId="5825" borderId="0" xfId="0" applyFill="1"/>
    <xf numFmtId="0" fontId="0" fillId="5826" borderId="0" xfId="0" applyFill="1"/>
    <xf numFmtId="0" fontId="0" fillId="5827" borderId="0" xfId="0" applyFill="1"/>
    <xf numFmtId="0" fontId="0" fillId="5828" borderId="0" xfId="0" applyFill="1"/>
    <xf numFmtId="0" fontId="0" fillId="5829" borderId="0" xfId="0" applyFill="1"/>
    <xf numFmtId="0" fontId="0" fillId="5830" borderId="0" xfId="0" applyFill="1"/>
    <xf numFmtId="0" fontId="0" fillId="5831" borderId="0" xfId="0" applyFill="1"/>
    <xf numFmtId="0" fontId="0" fillId="5832" borderId="0" xfId="0" applyFill="1"/>
    <xf numFmtId="0" fontId="0" fillId="5833" borderId="0" xfId="0" applyFill="1"/>
    <xf numFmtId="0" fontId="0" fillId="5834" borderId="0" xfId="0" applyFill="1"/>
    <xf numFmtId="0" fontId="0" fillId="5835" borderId="0" xfId="0" applyFill="1"/>
    <xf numFmtId="0" fontId="0" fillId="5836" borderId="0" xfId="0" applyFill="1"/>
    <xf numFmtId="0" fontId="0" fillId="5837" borderId="0" xfId="0" applyFill="1"/>
    <xf numFmtId="0" fontId="0" fillId="5838" borderId="0" xfId="0" applyFill="1"/>
    <xf numFmtId="0" fontId="0" fillId="5839" borderId="0" xfId="0" applyFill="1"/>
    <xf numFmtId="0" fontId="0" fillId="5840" borderId="0" xfId="0" applyFill="1"/>
    <xf numFmtId="0" fontId="0" fillId="5841" borderId="0" xfId="0" applyFill="1"/>
    <xf numFmtId="0" fontId="0" fillId="5842" borderId="0" xfId="0" applyFill="1"/>
    <xf numFmtId="0" fontId="0" fillId="5843" borderId="0" xfId="0" applyFill="1"/>
    <xf numFmtId="0" fontId="0" fillId="5844" borderId="0" xfId="0" applyFill="1"/>
    <xf numFmtId="0" fontId="0" fillId="5845" borderId="0" xfId="0" applyFill="1"/>
    <xf numFmtId="0" fontId="0" fillId="5846" borderId="0" xfId="0" applyFill="1"/>
    <xf numFmtId="0" fontId="0" fillId="5847" borderId="0" xfId="0" applyFill="1"/>
    <xf numFmtId="0" fontId="0" fillId="5848" borderId="0" xfId="0" applyFill="1"/>
    <xf numFmtId="0" fontId="0" fillId="5849" borderId="0" xfId="0" applyFill="1"/>
    <xf numFmtId="0" fontId="0" fillId="5850" borderId="0" xfId="0" applyFill="1"/>
    <xf numFmtId="0" fontId="0" fillId="5851" borderId="0" xfId="0" applyFill="1"/>
    <xf numFmtId="0" fontId="0" fillId="5852" borderId="0" xfId="0" applyFill="1"/>
    <xf numFmtId="0" fontId="0" fillId="5853" borderId="0" xfId="0" applyFill="1"/>
    <xf numFmtId="0" fontId="0" fillId="5854" borderId="0" xfId="0" applyFill="1"/>
    <xf numFmtId="0" fontId="0" fillId="5855" borderId="0" xfId="0" applyFill="1"/>
    <xf numFmtId="0" fontId="0" fillId="5856" borderId="0" xfId="0" applyFill="1"/>
    <xf numFmtId="0" fontId="0" fillId="5857" borderId="0" xfId="0" applyFill="1"/>
    <xf numFmtId="0" fontId="0" fillId="5858" borderId="0" xfId="0" applyFill="1"/>
    <xf numFmtId="0" fontId="0" fillId="5859" borderId="0" xfId="0" applyFill="1"/>
    <xf numFmtId="0" fontId="0" fillId="5860" borderId="0" xfId="0" applyFill="1"/>
    <xf numFmtId="0" fontId="0" fillId="5861" borderId="0" xfId="0" applyFill="1"/>
    <xf numFmtId="0" fontId="0" fillId="5862" borderId="0" xfId="0" applyFill="1"/>
    <xf numFmtId="0" fontId="0" fillId="5863" borderId="0" xfId="0" applyFill="1"/>
    <xf numFmtId="0" fontId="0" fillId="5864" borderId="0" xfId="0" applyFill="1"/>
    <xf numFmtId="0" fontId="0" fillId="5865" borderId="0" xfId="0" applyFill="1"/>
    <xf numFmtId="0" fontId="0" fillId="5866" borderId="0" xfId="0" applyFill="1"/>
    <xf numFmtId="0" fontId="0" fillId="5867" borderId="0" xfId="0" applyFill="1"/>
    <xf numFmtId="0" fontId="0" fillId="5868" borderId="0" xfId="0" applyFill="1"/>
    <xf numFmtId="0" fontId="0" fillId="5869" borderId="0" xfId="0" applyFill="1"/>
    <xf numFmtId="0" fontId="0" fillId="5870" borderId="0" xfId="0" applyFill="1"/>
    <xf numFmtId="0" fontId="0" fillId="5871" borderId="0" xfId="0" applyFill="1"/>
    <xf numFmtId="0" fontId="0" fillId="5872" borderId="0" xfId="0" applyFill="1"/>
    <xf numFmtId="0" fontId="0" fillId="5873" borderId="0" xfId="0" applyFill="1"/>
    <xf numFmtId="0" fontId="0" fillId="5874" borderId="0" xfId="0" applyFill="1"/>
    <xf numFmtId="0" fontId="0" fillId="5875" borderId="0" xfId="0" applyFill="1"/>
    <xf numFmtId="0" fontId="0" fillId="5876" borderId="0" xfId="0" applyFill="1"/>
    <xf numFmtId="0" fontId="0" fillId="5877" borderId="0" xfId="0" applyFill="1"/>
    <xf numFmtId="0" fontId="0" fillId="5878" borderId="0" xfId="0" applyFill="1"/>
    <xf numFmtId="0" fontId="0" fillId="5879" borderId="0" xfId="0" applyFill="1"/>
    <xf numFmtId="0" fontId="0" fillId="5880" borderId="0" xfId="0" applyFill="1"/>
    <xf numFmtId="0" fontId="0" fillId="5881" borderId="0" xfId="0" applyFill="1"/>
    <xf numFmtId="0" fontId="0" fillId="5882" borderId="0" xfId="0" applyFill="1"/>
    <xf numFmtId="0" fontId="0" fillId="5883" borderId="0" xfId="0" applyFill="1"/>
    <xf numFmtId="0" fontId="0" fillId="5884" borderId="0" xfId="0" applyFill="1"/>
    <xf numFmtId="0" fontId="0" fillId="5885" borderId="0" xfId="0" applyFill="1"/>
    <xf numFmtId="0" fontId="0" fillId="5886" borderId="0" xfId="0" applyFill="1"/>
    <xf numFmtId="0" fontId="0" fillId="5887" borderId="0" xfId="0" applyFill="1"/>
    <xf numFmtId="0" fontId="0" fillId="5888" borderId="0" xfId="0" applyFill="1"/>
    <xf numFmtId="0" fontId="0" fillId="5889" borderId="0" xfId="0" applyFill="1"/>
    <xf numFmtId="0" fontId="0" fillId="5890" borderId="0" xfId="0" applyFill="1"/>
    <xf numFmtId="0" fontId="0" fillId="5891" borderId="0" xfId="0" applyFill="1"/>
    <xf numFmtId="0" fontId="0" fillId="5892" borderId="0" xfId="0" applyFill="1"/>
    <xf numFmtId="0" fontId="0" fillId="5893" borderId="0" xfId="0" applyFill="1"/>
    <xf numFmtId="0" fontId="0" fillId="5894" borderId="0" xfId="0" applyFill="1"/>
    <xf numFmtId="0" fontId="0" fillId="5895" borderId="0" xfId="0" applyFill="1"/>
    <xf numFmtId="0" fontId="0" fillId="5896" borderId="0" xfId="0" applyFill="1"/>
    <xf numFmtId="0" fontId="0" fillId="5897" borderId="0" xfId="0" applyFill="1"/>
    <xf numFmtId="0" fontId="0" fillId="5898" borderId="0" xfId="0" applyFill="1"/>
    <xf numFmtId="0" fontId="0" fillId="5899" borderId="0" xfId="0" applyFill="1"/>
    <xf numFmtId="0" fontId="0" fillId="5900" borderId="0" xfId="0" applyFill="1"/>
    <xf numFmtId="0" fontId="0" fillId="5901" borderId="0" xfId="0" applyFill="1"/>
    <xf numFmtId="0" fontId="0" fillId="5902" borderId="0" xfId="0" applyFill="1"/>
    <xf numFmtId="0" fontId="0" fillId="5903" borderId="0" xfId="0" applyFill="1"/>
    <xf numFmtId="0" fontId="0" fillId="5904" borderId="0" xfId="0" applyFill="1"/>
    <xf numFmtId="0" fontId="0" fillId="5905" borderId="0" xfId="0" applyFill="1"/>
    <xf numFmtId="0" fontId="0" fillId="5906" borderId="0" xfId="0" applyFill="1"/>
    <xf numFmtId="0" fontId="0" fillId="5907" borderId="0" xfId="0" applyFill="1"/>
    <xf numFmtId="0" fontId="0" fillId="5908" borderId="0" xfId="0" applyFill="1"/>
    <xf numFmtId="0" fontId="0" fillId="5909" borderId="0" xfId="0" applyFill="1"/>
    <xf numFmtId="0" fontId="0" fillId="5910" borderId="0" xfId="0" applyFill="1"/>
    <xf numFmtId="0" fontId="0" fillId="5911" borderId="0" xfId="0" applyFill="1"/>
    <xf numFmtId="0" fontId="0" fillId="5912" borderId="0" xfId="0" applyFill="1"/>
    <xf numFmtId="0" fontId="0" fillId="5913" borderId="0" xfId="0" applyFill="1"/>
    <xf numFmtId="0" fontId="0" fillId="5914" borderId="0" xfId="0" applyFill="1"/>
    <xf numFmtId="0" fontId="0" fillId="5915" borderId="0" xfId="0" applyFill="1"/>
    <xf numFmtId="0" fontId="0" fillId="5916" borderId="0" xfId="0" applyFill="1"/>
    <xf numFmtId="0" fontId="0" fillId="5917" borderId="0" xfId="0" applyFill="1"/>
    <xf numFmtId="0" fontId="0" fillId="5918" borderId="0" xfId="0" applyFill="1"/>
    <xf numFmtId="0" fontId="0" fillId="5919" borderId="0" xfId="0" applyFill="1"/>
    <xf numFmtId="0" fontId="0" fillId="5920" borderId="0" xfId="0" applyFill="1"/>
    <xf numFmtId="0" fontId="0" fillId="5921" borderId="0" xfId="0" applyFill="1"/>
    <xf numFmtId="0" fontId="0" fillId="5922" borderId="0" xfId="0" applyFill="1"/>
    <xf numFmtId="0" fontId="0" fillId="5923" borderId="0" xfId="0" applyFill="1"/>
    <xf numFmtId="0" fontId="0" fillId="5924" borderId="0" xfId="0" applyFill="1"/>
    <xf numFmtId="0" fontId="0" fillId="5925" borderId="0" xfId="0" applyFill="1"/>
    <xf numFmtId="0" fontId="0" fillId="5926" borderId="0" xfId="0" applyFill="1"/>
    <xf numFmtId="0" fontId="0" fillId="5927" borderId="0" xfId="0" applyFill="1"/>
    <xf numFmtId="0" fontId="0" fillId="5928" borderId="0" xfId="0" applyFill="1"/>
    <xf numFmtId="0" fontId="0" fillId="5929" borderId="0" xfId="0" applyFill="1"/>
    <xf numFmtId="0" fontId="0" fillId="5930" borderId="0" xfId="0" applyFill="1"/>
    <xf numFmtId="0" fontId="0" fillId="5931" borderId="0" xfId="0" applyFill="1"/>
    <xf numFmtId="0" fontId="0" fillId="5932" borderId="0" xfId="0" applyFill="1"/>
    <xf numFmtId="0" fontId="0" fillId="5933" borderId="0" xfId="0" applyFill="1"/>
    <xf numFmtId="0" fontId="0" fillId="5934" borderId="0" xfId="0" applyFill="1"/>
    <xf numFmtId="0" fontId="0" fillId="5935" borderId="0" xfId="0" applyFill="1"/>
    <xf numFmtId="0" fontId="0" fillId="5936" borderId="0" xfId="0" applyFill="1"/>
    <xf numFmtId="0" fontId="0" fillId="5937" borderId="0" xfId="0" applyFill="1"/>
    <xf numFmtId="0" fontId="0" fillId="5938" borderId="0" xfId="0" applyFill="1"/>
    <xf numFmtId="0" fontId="0" fillId="5939" borderId="0" xfId="0" applyFill="1"/>
    <xf numFmtId="0" fontId="0" fillId="5940" borderId="0" xfId="0" applyFill="1"/>
    <xf numFmtId="0" fontId="0" fillId="5941" borderId="0" xfId="0" applyFill="1"/>
    <xf numFmtId="0" fontId="0" fillId="5942" borderId="0" xfId="0" applyFill="1"/>
    <xf numFmtId="0" fontId="0" fillId="5943" borderId="0" xfId="0" applyFill="1"/>
    <xf numFmtId="0" fontId="0" fillId="5944" borderId="0" xfId="0" applyFill="1"/>
    <xf numFmtId="0" fontId="0" fillId="5945" borderId="0" xfId="0" applyFill="1"/>
    <xf numFmtId="0" fontId="0" fillId="5946" borderId="0" xfId="0" applyFill="1"/>
    <xf numFmtId="0" fontId="0" fillId="5947" borderId="0" xfId="0" applyFill="1"/>
    <xf numFmtId="0" fontId="0" fillId="5948" borderId="0" xfId="0" applyFill="1"/>
    <xf numFmtId="0" fontId="0" fillId="5949" borderId="0" xfId="0" applyFill="1"/>
    <xf numFmtId="0" fontId="0" fillId="5950" borderId="0" xfId="0" applyFill="1"/>
    <xf numFmtId="0" fontId="0" fillId="5951" borderId="0" xfId="0" applyFill="1"/>
    <xf numFmtId="0" fontId="0" fillId="5952" borderId="0" xfId="0" applyFill="1"/>
    <xf numFmtId="0" fontId="0" fillId="5953" borderId="0" xfId="0" applyFill="1"/>
    <xf numFmtId="0" fontId="0" fillId="5954" borderId="0" xfId="0" applyFill="1"/>
    <xf numFmtId="0" fontId="0" fillId="5955" borderId="0" xfId="0" applyFill="1"/>
    <xf numFmtId="0" fontId="0" fillId="5956" borderId="0" xfId="0" applyFill="1"/>
    <xf numFmtId="0" fontId="0" fillId="5957" borderId="0" xfId="0" applyFill="1"/>
    <xf numFmtId="0" fontId="0" fillId="5958" borderId="0" xfId="0" applyFill="1"/>
    <xf numFmtId="0" fontId="0" fillId="5959" borderId="0" xfId="0" applyFill="1"/>
    <xf numFmtId="0" fontId="0" fillId="5960" borderId="0" xfId="0" applyFill="1"/>
    <xf numFmtId="0" fontId="0" fillId="5961" borderId="0" xfId="0" applyFill="1"/>
    <xf numFmtId="0" fontId="0" fillId="5962" borderId="0" xfId="0" applyFill="1"/>
    <xf numFmtId="0" fontId="0" fillId="5963" borderId="0" xfId="0" applyFill="1"/>
    <xf numFmtId="0" fontId="0" fillId="5964" borderId="0" xfId="0" applyFill="1"/>
    <xf numFmtId="0" fontId="0" fillId="5965" borderId="0" xfId="0" applyFill="1"/>
    <xf numFmtId="0" fontId="0" fillId="5966" borderId="0" xfId="0" applyFill="1"/>
    <xf numFmtId="0" fontId="0" fillId="5967" borderId="0" xfId="0" applyFill="1"/>
    <xf numFmtId="0" fontId="0" fillId="5968" borderId="0" xfId="0" applyFill="1"/>
    <xf numFmtId="0" fontId="0" fillId="5969" borderId="0" xfId="0" applyFill="1"/>
    <xf numFmtId="0" fontId="0" fillId="5970" borderId="0" xfId="0" applyFill="1"/>
    <xf numFmtId="0" fontId="0" fillId="5971" borderId="0" xfId="0" applyFill="1"/>
    <xf numFmtId="0" fontId="0" fillId="5972" borderId="0" xfId="0" applyFill="1"/>
    <xf numFmtId="0" fontId="0" fillId="5973" borderId="0" xfId="0" applyFill="1"/>
    <xf numFmtId="0" fontId="0" fillId="5974" borderId="0" xfId="0" applyFill="1"/>
    <xf numFmtId="0" fontId="0" fillId="5975" borderId="0" xfId="0" applyFill="1"/>
    <xf numFmtId="0" fontId="0" fillId="5976" borderId="0" xfId="0" applyFill="1"/>
    <xf numFmtId="0" fontId="0" fillId="5977" borderId="0" xfId="0" applyFill="1"/>
    <xf numFmtId="0" fontId="0" fillId="5978" borderId="0" xfId="0" applyFill="1"/>
    <xf numFmtId="0" fontId="0" fillId="5979" borderId="0" xfId="0" applyFill="1"/>
    <xf numFmtId="0" fontId="0" fillId="5980" borderId="0" xfId="0" applyFill="1"/>
    <xf numFmtId="0" fontId="0" fillId="5981" borderId="0" xfId="0" applyFill="1"/>
    <xf numFmtId="0" fontId="0" fillId="5982" borderId="0" xfId="0" applyFill="1"/>
    <xf numFmtId="0" fontId="0" fillId="5983" borderId="0" xfId="0" applyFill="1"/>
    <xf numFmtId="0" fontId="0" fillId="5984" borderId="0" xfId="0" applyFill="1"/>
    <xf numFmtId="0" fontId="0" fillId="5985" borderId="0" xfId="0" applyFill="1"/>
    <xf numFmtId="0" fontId="0" fillId="5986" borderId="0" xfId="0" applyFill="1"/>
    <xf numFmtId="0" fontId="0" fillId="5987" borderId="0" xfId="0" applyFill="1"/>
    <xf numFmtId="0" fontId="0" fillId="5988" borderId="0" xfId="0" applyFill="1"/>
    <xf numFmtId="0" fontId="0" fillId="5989" borderId="0" xfId="0" applyFill="1"/>
    <xf numFmtId="0" fontId="0" fillId="5990" borderId="0" xfId="0" applyFill="1"/>
    <xf numFmtId="0" fontId="0" fillId="5991" borderId="0" xfId="0" applyFill="1"/>
    <xf numFmtId="0" fontId="0" fillId="5992" borderId="0" xfId="0" applyFill="1"/>
    <xf numFmtId="0" fontId="0" fillId="5993" borderId="0" xfId="0" applyFill="1"/>
    <xf numFmtId="0" fontId="0" fillId="5994" borderId="0" xfId="0" applyFill="1"/>
    <xf numFmtId="0" fontId="0" fillId="5995" borderId="0" xfId="0" applyFill="1"/>
    <xf numFmtId="0" fontId="0" fillId="5996" borderId="0" xfId="0" applyFill="1"/>
    <xf numFmtId="0" fontId="0" fillId="5997" borderId="0" xfId="0" applyFill="1"/>
    <xf numFmtId="0" fontId="0" fillId="5998" borderId="0" xfId="0" applyFill="1"/>
    <xf numFmtId="0" fontId="0" fillId="5999" borderId="0" xfId="0" applyFill="1"/>
    <xf numFmtId="0" fontId="0" fillId="6000" borderId="0" xfId="0" applyFill="1"/>
    <xf numFmtId="0" fontId="0" fillId="6001" borderId="0" xfId="0" applyFill="1"/>
    <xf numFmtId="0" fontId="0" fillId="6002" borderId="0" xfId="0" applyFill="1"/>
    <xf numFmtId="0" fontId="0" fillId="6003" borderId="0" xfId="0" applyFill="1"/>
    <xf numFmtId="0" fontId="0" fillId="6004" borderId="0" xfId="0" applyFill="1"/>
    <xf numFmtId="0" fontId="0" fillId="6005" borderId="0" xfId="0" applyFill="1"/>
    <xf numFmtId="0" fontId="0" fillId="6006" borderId="0" xfId="0" applyFill="1"/>
    <xf numFmtId="0" fontId="0" fillId="6007" borderId="0" xfId="0" applyFill="1"/>
    <xf numFmtId="0" fontId="0" fillId="6008" borderId="0" xfId="0" applyFill="1"/>
    <xf numFmtId="0" fontId="0" fillId="6009" borderId="0" xfId="0" applyFill="1"/>
    <xf numFmtId="0" fontId="0" fillId="6010" borderId="0" xfId="0" applyFill="1"/>
    <xf numFmtId="0" fontId="0" fillId="6011" borderId="0" xfId="0" applyFill="1"/>
    <xf numFmtId="0" fontId="0" fillId="6012" borderId="0" xfId="0" applyFill="1"/>
    <xf numFmtId="0" fontId="0" fillId="6013" borderId="0" xfId="0" applyFill="1"/>
    <xf numFmtId="0" fontId="0" fillId="6014" borderId="0" xfId="0" applyFill="1"/>
    <xf numFmtId="0" fontId="0" fillId="6015" borderId="0" xfId="0" applyFill="1"/>
    <xf numFmtId="0" fontId="0" fillId="6016" borderId="0" xfId="0" applyFill="1"/>
    <xf numFmtId="0" fontId="0" fillId="6017" borderId="0" xfId="0" applyFill="1"/>
    <xf numFmtId="0" fontId="0" fillId="6018" borderId="0" xfId="0" applyFill="1"/>
    <xf numFmtId="0" fontId="0" fillId="6019" borderId="0" xfId="0" applyFill="1"/>
    <xf numFmtId="0" fontId="0" fillId="6020" borderId="0" xfId="0" applyFill="1"/>
    <xf numFmtId="0" fontId="0" fillId="6021" borderId="0" xfId="0" applyFill="1"/>
    <xf numFmtId="0" fontId="0" fillId="6022" borderId="0" xfId="0" applyFill="1"/>
    <xf numFmtId="0" fontId="0" fillId="6023" borderId="0" xfId="0" applyFill="1"/>
    <xf numFmtId="0" fontId="0" fillId="6024" borderId="0" xfId="0" applyFill="1"/>
    <xf numFmtId="0" fontId="0" fillId="6025" borderId="0" xfId="0" applyFill="1"/>
    <xf numFmtId="0" fontId="0" fillId="6026" borderId="0" xfId="0" applyFill="1"/>
    <xf numFmtId="0" fontId="0" fillId="6027" borderId="0" xfId="0" applyFill="1"/>
    <xf numFmtId="0" fontId="0" fillId="6028" borderId="0" xfId="0" applyFill="1"/>
    <xf numFmtId="0" fontId="0" fillId="6029" borderId="0" xfId="0" applyFill="1"/>
    <xf numFmtId="0" fontId="0" fillId="6030" borderId="0" xfId="0" applyFill="1"/>
    <xf numFmtId="0" fontId="0" fillId="6031" borderId="0" xfId="0" applyFill="1"/>
    <xf numFmtId="0" fontId="0" fillId="6032" borderId="0" xfId="0" applyFill="1"/>
    <xf numFmtId="0" fontId="0" fillId="6033" borderId="0" xfId="0" applyFill="1"/>
    <xf numFmtId="0" fontId="0" fillId="6034" borderId="0" xfId="0" applyFill="1"/>
    <xf numFmtId="0" fontId="0" fillId="6035" borderId="0" xfId="0" applyFill="1"/>
    <xf numFmtId="0" fontId="0" fillId="6036" borderId="0" xfId="0" applyFill="1"/>
    <xf numFmtId="0" fontId="0" fillId="6037" borderId="0" xfId="0" applyFill="1"/>
    <xf numFmtId="0" fontId="0" fillId="6038" borderId="0" xfId="0" applyFill="1"/>
    <xf numFmtId="0" fontId="0" fillId="6039" borderId="0" xfId="0" applyFill="1"/>
    <xf numFmtId="0" fontId="0" fillId="6040" borderId="0" xfId="0" applyFill="1"/>
    <xf numFmtId="0" fontId="0" fillId="6041" borderId="0" xfId="0" applyFill="1"/>
    <xf numFmtId="0" fontId="0" fillId="6042" borderId="0" xfId="0" applyFill="1"/>
    <xf numFmtId="0" fontId="0" fillId="6043" borderId="0" xfId="0" applyFill="1"/>
    <xf numFmtId="0" fontId="0" fillId="6044" borderId="0" xfId="0" applyFill="1"/>
    <xf numFmtId="0" fontId="0" fillId="6045" borderId="0" xfId="0" applyFill="1"/>
    <xf numFmtId="0" fontId="0" fillId="6046" borderId="0" xfId="0" applyFill="1"/>
    <xf numFmtId="0" fontId="0" fillId="6047" borderId="0" xfId="0" applyFill="1"/>
    <xf numFmtId="0" fontId="0" fillId="6048" borderId="0" xfId="0" applyFill="1"/>
    <xf numFmtId="0" fontId="0" fillId="6049" borderId="0" xfId="0" applyFill="1"/>
    <xf numFmtId="0" fontId="0" fillId="6050" borderId="0" xfId="0" applyFill="1"/>
    <xf numFmtId="0" fontId="0" fillId="6051" borderId="0" xfId="0" applyFill="1"/>
    <xf numFmtId="0" fontId="0" fillId="6052" borderId="0" xfId="0" applyFill="1"/>
    <xf numFmtId="0" fontId="0" fillId="6053" borderId="0" xfId="0" applyFill="1"/>
    <xf numFmtId="0" fontId="0" fillId="6054" borderId="0" xfId="0" applyFill="1"/>
    <xf numFmtId="0" fontId="0" fillId="6055" borderId="0" xfId="0" applyFill="1"/>
    <xf numFmtId="0" fontId="0" fillId="6056" borderId="0" xfId="0" applyFill="1"/>
    <xf numFmtId="0" fontId="0" fillId="6057" borderId="0" xfId="0" applyFill="1"/>
    <xf numFmtId="0" fontId="0" fillId="6058" borderId="0" xfId="0" applyFill="1"/>
    <xf numFmtId="0" fontId="0" fillId="6059" borderId="0" xfId="0" applyFill="1"/>
    <xf numFmtId="0" fontId="0" fillId="6060" borderId="0" xfId="0" applyFill="1"/>
    <xf numFmtId="0" fontId="0" fillId="6061" borderId="0" xfId="0" applyFill="1"/>
    <xf numFmtId="0" fontId="0" fillId="6062" borderId="0" xfId="0" applyFill="1"/>
    <xf numFmtId="0" fontId="0" fillId="6063" borderId="0" xfId="0" applyFill="1"/>
    <xf numFmtId="0" fontId="0" fillId="6064" borderId="0" xfId="0" applyFill="1"/>
    <xf numFmtId="0" fontId="0" fillId="6065" borderId="0" xfId="0" applyFill="1"/>
    <xf numFmtId="0" fontId="0" fillId="6066" borderId="0" xfId="0" applyFill="1"/>
    <xf numFmtId="0" fontId="0" fillId="6067" borderId="0" xfId="0" applyFill="1"/>
    <xf numFmtId="0" fontId="0" fillId="6068" borderId="0" xfId="0" applyFill="1"/>
    <xf numFmtId="0" fontId="0" fillId="6069" borderId="0" xfId="0" applyFill="1"/>
    <xf numFmtId="0" fontId="0" fillId="6070" borderId="0" xfId="0" applyFill="1"/>
    <xf numFmtId="0" fontId="0" fillId="6071" borderId="0" xfId="0" applyFill="1"/>
    <xf numFmtId="0" fontId="0" fillId="6072" borderId="0" xfId="0" applyFill="1"/>
    <xf numFmtId="0" fontId="0" fillId="6073" borderId="0" xfId="0" applyFill="1"/>
    <xf numFmtId="0" fontId="0" fillId="6074" borderId="0" xfId="0" applyFill="1"/>
    <xf numFmtId="0" fontId="0" fillId="6075" borderId="0" xfId="0" applyFill="1"/>
    <xf numFmtId="0" fontId="0" fillId="6076" borderId="0" xfId="0" applyFill="1"/>
    <xf numFmtId="0" fontId="0" fillId="6077" borderId="0" xfId="0" applyFill="1"/>
    <xf numFmtId="0" fontId="0" fillId="6078" borderId="0" xfId="0" applyFill="1"/>
    <xf numFmtId="0" fontId="0" fillId="6079" borderId="0" xfId="0" applyFill="1"/>
    <xf numFmtId="0" fontId="0" fillId="6080" borderId="0" xfId="0" applyFill="1"/>
    <xf numFmtId="0" fontId="0" fillId="6081" borderId="0" xfId="0" applyFill="1"/>
    <xf numFmtId="0" fontId="0" fillId="6082" borderId="0" xfId="0" applyFill="1"/>
    <xf numFmtId="0" fontId="0" fillId="6083" borderId="0" xfId="0" applyFill="1"/>
    <xf numFmtId="0" fontId="0" fillId="6084" borderId="0" xfId="0" applyFill="1"/>
    <xf numFmtId="0" fontId="0" fillId="6085" borderId="0" xfId="0" applyFill="1"/>
    <xf numFmtId="0" fontId="0" fillId="6086" borderId="0" xfId="0" applyFill="1"/>
    <xf numFmtId="0" fontId="0" fillId="6087" borderId="0" xfId="0" applyFill="1"/>
    <xf numFmtId="0" fontId="0" fillId="6088" borderId="0" xfId="0" applyFill="1"/>
    <xf numFmtId="0" fontId="0" fillId="6089" borderId="0" xfId="0" applyFill="1"/>
    <xf numFmtId="0" fontId="0" fillId="6090" borderId="0" xfId="0" applyFill="1"/>
    <xf numFmtId="0" fontId="0" fillId="6091" borderId="0" xfId="0" applyFill="1"/>
    <xf numFmtId="0" fontId="0" fillId="6092" borderId="0" xfId="0" applyFill="1"/>
    <xf numFmtId="0" fontId="0" fillId="6093" borderId="0" xfId="0" applyFill="1"/>
    <xf numFmtId="0" fontId="0" fillId="6094" borderId="0" xfId="0" applyFill="1"/>
    <xf numFmtId="0" fontId="0" fillId="6095" borderId="0" xfId="0" applyFill="1"/>
    <xf numFmtId="0" fontId="0" fillId="6096" borderId="0" xfId="0" applyFill="1"/>
    <xf numFmtId="0" fontId="0" fillId="6097" borderId="0" xfId="0" applyFill="1"/>
    <xf numFmtId="0" fontId="0" fillId="6098" borderId="0" xfId="0" applyFill="1"/>
    <xf numFmtId="0" fontId="0" fillId="6099" borderId="0" xfId="0" applyFill="1"/>
    <xf numFmtId="0" fontId="0" fillId="6100" borderId="0" xfId="0" applyFill="1"/>
    <xf numFmtId="0" fontId="0" fillId="6101" borderId="0" xfId="0" applyFill="1"/>
    <xf numFmtId="0" fontId="0" fillId="6102" borderId="0" xfId="0" applyFill="1"/>
    <xf numFmtId="0" fontId="0" fillId="6103" borderId="0" xfId="0" applyFill="1"/>
    <xf numFmtId="0" fontId="0" fillId="6104" borderId="0" xfId="0" applyFill="1"/>
    <xf numFmtId="0" fontId="0" fillId="6105" borderId="0" xfId="0" applyFill="1"/>
    <xf numFmtId="0" fontId="0" fillId="6106" borderId="0" xfId="0" applyFill="1"/>
    <xf numFmtId="0" fontId="0" fillId="6107" borderId="0" xfId="0" applyFill="1"/>
    <xf numFmtId="0" fontId="0" fillId="6108" borderId="0" xfId="0" applyFill="1"/>
    <xf numFmtId="0" fontId="0" fillId="6109" borderId="0" xfId="0" applyFill="1"/>
    <xf numFmtId="0" fontId="0" fillId="6110" borderId="0" xfId="0" applyFill="1"/>
    <xf numFmtId="0" fontId="0" fillId="6111" borderId="0" xfId="0" applyFill="1"/>
    <xf numFmtId="0" fontId="0" fillId="6112" borderId="0" xfId="0" applyFill="1"/>
    <xf numFmtId="0" fontId="0" fillId="6113" borderId="0" xfId="0" applyFill="1"/>
    <xf numFmtId="0" fontId="0" fillId="6114" borderId="0" xfId="0" applyFill="1"/>
    <xf numFmtId="0" fontId="0" fillId="6115" borderId="0" xfId="0" applyFill="1"/>
    <xf numFmtId="0" fontId="0" fillId="6116" borderId="0" xfId="0" applyFill="1"/>
    <xf numFmtId="0" fontId="0" fillId="6117" borderId="0" xfId="0" applyFill="1"/>
    <xf numFmtId="0" fontId="0" fillId="6118" borderId="0" xfId="0" applyFill="1"/>
    <xf numFmtId="0" fontId="0" fillId="6119" borderId="0" xfId="0" applyFill="1"/>
    <xf numFmtId="0" fontId="0" fillId="6120" borderId="0" xfId="0" applyFill="1"/>
    <xf numFmtId="0" fontId="0" fillId="6121" borderId="0" xfId="0" applyFill="1"/>
    <xf numFmtId="0" fontId="0" fillId="6122" borderId="0" xfId="0" applyFill="1"/>
    <xf numFmtId="0" fontId="0" fillId="6123" borderId="0" xfId="0" applyFill="1"/>
    <xf numFmtId="0" fontId="0" fillId="6124" borderId="0" xfId="0" applyFill="1"/>
    <xf numFmtId="0" fontId="0" fillId="6125" borderId="0" xfId="0" applyFill="1"/>
    <xf numFmtId="0" fontId="0" fillId="6126" borderId="0" xfId="0" applyFill="1"/>
    <xf numFmtId="0" fontId="0" fillId="6127" borderId="0" xfId="0" applyFill="1"/>
    <xf numFmtId="0" fontId="0" fillId="6128" borderId="0" xfId="0" applyFill="1"/>
    <xf numFmtId="0" fontId="0" fillId="6129" borderId="0" xfId="0" applyFill="1"/>
    <xf numFmtId="0" fontId="0" fillId="6130" borderId="0" xfId="0" applyFill="1"/>
    <xf numFmtId="0" fontId="0" fillId="6131" borderId="0" xfId="0" applyFill="1"/>
    <xf numFmtId="0" fontId="0" fillId="6132" borderId="0" xfId="0" applyFill="1"/>
    <xf numFmtId="0" fontId="0" fillId="6133" borderId="0" xfId="0" applyFill="1"/>
    <xf numFmtId="0" fontId="0" fillId="6134" borderId="0" xfId="0" applyFill="1"/>
    <xf numFmtId="0" fontId="0" fillId="6135" borderId="0" xfId="0" applyFill="1"/>
    <xf numFmtId="0" fontId="0" fillId="6136" borderId="0" xfId="0" applyFill="1"/>
    <xf numFmtId="0" fontId="0" fillId="6137" borderId="0" xfId="0" applyFill="1"/>
    <xf numFmtId="0" fontId="0" fillId="6138" borderId="0" xfId="0" applyFill="1"/>
    <xf numFmtId="0" fontId="0" fillId="6139" borderId="0" xfId="0" applyFill="1"/>
    <xf numFmtId="0" fontId="0" fillId="6140" borderId="0" xfId="0" applyFill="1"/>
    <xf numFmtId="0" fontId="0" fillId="6141" borderId="0" xfId="0" applyFill="1"/>
    <xf numFmtId="0" fontId="0" fillId="6142" borderId="0" xfId="0" applyFill="1"/>
    <xf numFmtId="0" fontId="0" fillId="6143" borderId="0" xfId="0" applyFill="1"/>
    <xf numFmtId="0" fontId="0" fillId="6144" borderId="0" xfId="0" applyFill="1"/>
    <xf numFmtId="0" fontId="0" fillId="6145" borderId="0" xfId="0" applyFill="1"/>
    <xf numFmtId="0" fontId="0" fillId="6146" borderId="0" xfId="0" applyFill="1"/>
    <xf numFmtId="0" fontId="0" fillId="6147" borderId="0" xfId="0" applyFill="1"/>
    <xf numFmtId="0" fontId="0" fillId="6148" borderId="0" xfId="0" applyFill="1"/>
    <xf numFmtId="0" fontId="0" fillId="6149" borderId="0" xfId="0" applyFill="1"/>
    <xf numFmtId="0" fontId="0" fillId="6150" borderId="0" xfId="0" applyFill="1"/>
    <xf numFmtId="0" fontId="0" fillId="6151" borderId="0" xfId="0" applyFill="1"/>
    <xf numFmtId="0" fontId="0" fillId="6152" borderId="0" xfId="0" applyFill="1"/>
    <xf numFmtId="0" fontId="0" fillId="6153" borderId="0" xfId="0" applyFill="1"/>
    <xf numFmtId="0" fontId="0" fillId="6154" borderId="0" xfId="0" applyFill="1"/>
    <xf numFmtId="0" fontId="0" fillId="6155" borderId="0" xfId="0" applyFill="1"/>
    <xf numFmtId="0" fontId="0" fillId="6156" borderId="0" xfId="0" applyFill="1"/>
    <xf numFmtId="0" fontId="0" fillId="6157" borderId="0" xfId="0" applyFill="1"/>
    <xf numFmtId="0" fontId="0" fillId="6158" borderId="0" xfId="0" applyFill="1"/>
    <xf numFmtId="0" fontId="0" fillId="6159" borderId="0" xfId="0" applyFill="1"/>
    <xf numFmtId="0" fontId="0" fillId="6160" borderId="0" xfId="0" applyFill="1"/>
    <xf numFmtId="0" fontId="0" fillId="6161" borderId="0" xfId="0" applyFill="1"/>
    <xf numFmtId="0" fontId="0" fillId="6162" borderId="0" xfId="0" applyFill="1"/>
    <xf numFmtId="0" fontId="0" fillId="6163" borderId="0" xfId="0" applyFill="1"/>
    <xf numFmtId="0" fontId="0" fillId="6164" borderId="0" xfId="0" applyFill="1"/>
    <xf numFmtId="0" fontId="0" fillId="6165" borderId="0" xfId="0" applyFill="1"/>
    <xf numFmtId="0" fontId="0" fillId="6166" borderId="0" xfId="0" applyFill="1"/>
    <xf numFmtId="0" fontId="0" fillId="6167" borderId="0" xfId="0" applyFill="1"/>
    <xf numFmtId="0" fontId="0" fillId="6168" borderId="0" xfId="0" applyFill="1"/>
    <xf numFmtId="0" fontId="0" fillId="6169" borderId="0" xfId="0" applyFill="1"/>
    <xf numFmtId="0" fontId="0" fillId="6170" borderId="0" xfId="0" applyFill="1"/>
    <xf numFmtId="0" fontId="0" fillId="6171" borderId="0" xfId="0" applyFill="1"/>
    <xf numFmtId="0" fontId="0" fillId="6172" borderId="0" xfId="0" applyFill="1"/>
    <xf numFmtId="0" fontId="0" fillId="6173" borderId="0" xfId="0" applyFill="1"/>
    <xf numFmtId="0" fontId="0" fillId="6174" borderId="0" xfId="0" applyFill="1"/>
    <xf numFmtId="0" fontId="0" fillId="6175" borderId="0" xfId="0" applyFill="1"/>
    <xf numFmtId="0" fontId="0" fillId="6176" borderId="0" xfId="0" applyFill="1"/>
    <xf numFmtId="0" fontId="0" fillId="6177" borderId="0" xfId="0" applyFill="1"/>
    <xf numFmtId="0" fontId="0" fillId="6178" borderId="0" xfId="0" applyFill="1"/>
    <xf numFmtId="0" fontId="0" fillId="6179" borderId="0" xfId="0" applyFill="1"/>
    <xf numFmtId="0" fontId="0" fillId="6180" borderId="0" xfId="0" applyFill="1"/>
    <xf numFmtId="0" fontId="0" fillId="6181" borderId="0" xfId="0" applyFill="1"/>
    <xf numFmtId="0" fontId="0" fillId="6182" borderId="0" xfId="0" applyFill="1"/>
    <xf numFmtId="0" fontId="0" fillId="6183" borderId="0" xfId="0" applyFill="1"/>
    <xf numFmtId="0" fontId="0" fillId="6184" borderId="0" xfId="0" applyFill="1"/>
    <xf numFmtId="0" fontId="0" fillId="6185" borderId="0" xfId="0" applyFill="1"/>
    <xf numFmtId="0" fontId="0" fillId="6186" borderId="0" xfId="0" applyFill="1"/>
    <xf numFmtId="0" fontId="0" fillId="6187" borderId="0" xfId="0" applyFill="1"/>
    <xf numFmtId="0" fontId="0" fillId="6188" borderId="0" xfId="0" applyFill="1"/>
    <xf numFmtId="0" fontId="0" fillId="6189" borderId="0" xfId="0" applyFill="1"/>
    <xf numFmtId="0" fontId="0" fillId="6190" borderId="0" xfId="0" applyFill="1"/>
    <xf numFmtId="0" fontId="0" fillId="6191" borderId="0" xfId="0" applyFill="1"/>
    <xf numFmtId="0" fontId="0" fillId="6192" borderId="0" xfId="0" applyFill="1"/>
    <xf numFmtId="0" fontId="0" fillId="6193" borderId="0" xfId="0" applyFill="1"/>
    <xf numFmtId="0" fontId="0" fillId="6194" borderId="0" xfId="0" applyFill="1"/>
    <xf numFmtId="0" fontId="0" fillId="6195" borderId="0" xfId="0" applyFill="1"/>
    <xf numFmtId="0" fontId="0" fillId="6196" borderId="0" xfId="0" applyFill="1"/>
    <xf numFmtId="0" fontId="0" fillId="6197" borderId="0" xfId="0" applyFill="1"/>
    <xf numFmtId="0" fontId="0" fillId="6198" borderId="0" xfId="0" applyFill="1"/>
    <xf numFmtId="0" fontId="0" fillId="6199" borderId="0" xfId="0" applyFill="1"/>
    <xf numFmtId="0" fontId="0" fillId="6200" borderId="0" xfId="0" applyFill="1"/>
    <xf numFmtId="0" fontId="0" fillId="6201" borderId="0" xfId="0" applyFill="1"/>
    <xf numFmtId="0" fontId="0" fillId="6202" borderId="0" xfId="0" applyFill="1"/>
    <xf numFmtId="0" fontId="0" fillId="6203" borderId="0" xfId="0" applyFill="1"/>
    <xf numFmtId="0" fontId="0" fillId="6204" borderId="0" xfId="0" applyFill="1"/>
    <xf numFmtId="0" fontId="0" fillId="6205" borderId="0" xfId="0" applyFill="1"/>
    <xf numFmtId="0" fontId="0" fillId="6206" borderId="0" xfId="0" applyFill="1"/>
    <xf numFmtId="0" fontId="0" fillId="6207" borderId="0" xfId="0" applyFill="1"/>
    <xf numFmtId="0" fontId="0" fillId="6208" borderId="0" xfId="0" applyFill="1"/>
    <xf numFmtId="0" fontId="0" fillId="6209" borderId="0" xfId="0" applyFill="1"/>
    <xf numFmtId="0" fontId="0" fillId="6210" borderId="0" xfId="0" applyFill="1"/>
    <xf numFmtId="0" fontId="0" fillId="6211" borderId="0" xfId="0" applyFill="1"/>
    <xf numFmtId="0" fontId="0" fillId="6212" borderId="0" xfId="0" applyFill="1"/>
    <xf numFmtId="0" fontId="0" fillId="6213" borderId="0" xfId="0" applyFill="1"/>
    <xf numFmtId="0" fontId="0" fillId="6214" borderId="0" xfId="0" applyFill="1"/>
    <xf numFmtId="0" fontId="0" fillId="6215" borderId="0" xfId="0" applyFill="1"/>
    <xf numFmtId="0" fontId="0" fillId="6216" borderId="0" xfId="0" applyFill="1"/>
    <xf numFmtId="0" fontId="0" fillId="6217" borderId="0" xfId="0" applyFill="1"/>
    <xf numFmtId="0" fontId="0" fillId="6218" borderId="0" xfId="0" applyFill="1"/>
    <xf numFmtId="0" fontId="0" fillId="6219" borderId="0" xfId="0" applyFill="1"/>
    <xf numFmtId="0" fontId="0" fillId="6220" borderId="0" xfId="0" applyFill="1"/>
    <xf numFmtId="0" fontId="0" fillId="6221" borderId="0" xfId="0" applyFill="1"/>
    <xf numFmtId="0" fontId="0" fillId="6222" borderId="0" xfId="0" applyFill="1"/>
    <xf numFmtId="0" fontId="0" fillId="6223" borderId="0" xfId="0" applyFill="1"/>
    <xf numFmtId="0" fontId="0" fillId="6224" borderId="0" xfId="0" applyFill="1"/>
    <xf numFmtId="0" fontId="0" fillId="6225" borderId="0" xfId="0" applyFill="1"/>
    <xf numFmtId="0" fontId="0" fillId="6226" borderId="0" xfId="0" applyFill="1"/>
    <xf numFmtId="0" fontId="0" fillId="6227" borderId="0" xfId="0" applyFill="1"/>
    <xf numFmtId="0" fontId="0" fillId="6228" borderId="0" xfId="0" applyFill="1"/>
    <xf numFmtId="0" fontId="0" fillId="6229" borderId="0" xfId="0" applyFill="1"/>
    <xf numFmtId="0" fontId="0" fillId="6230" borderId="0" xfId="0" applyFill="1"/>
    <xf numFmtId="0" fontId="0" fillId="6231" borderId="0" xfId="0" applyFill="1"/>
    <xf numFmtId="0" fontId="0" fillId="6232" borderId="0" xfId="0" applyFill="1"/>
    <xf numFmtId="0" fontId="0" fillId="6233" borderId="0" xfId="0" applyFill="1"/>
    <xf numFmtId="0" fontId="0" fillId="6234" borderId="0" xfId="0" applyFill="1"/>
    <xf numFmtId="0" fontId="0" fillId="6235" borderId="0" xfId="0" applyFill="1"/>
    <xf numFmtId="0" fontId="0" fillId="6236" borderId="0" xfId="0" applyFill="1"/>
    <xf numFmtId="0" fontId="0" fillId="6237" borderId="0" xfId="0" applyFill="1"/>
    <xf numFmtId="0" fontId="0" fillId="6238" borderId="0" xfId="0" applyFill="1"/>
    <xf numFmtId="0" fontId="0" fillId="6239" borderId="0" xfId="0" applyFill="1"/>
    <xf numFmtId="0" fontId="0" fillId="6240" borderId="0" xfId="0" applyFill="1"/>
    <xf numFmtId="0" fontId="0" fillId="6241" borderId="0" xfId="0" applyFill="1"/>
    <xf numFmtId="0" fontId="0" fillId="6242" borderId="0" xfId="0" applyFill="1"/>
    <xf numFmtId="0" fontId="0" fillId="6243" borderId="0" xfId="0" applyFill="1"/>
    <xf numFmtId="0" fontId="0" fillId="6244" borderId="0" xfId="0" applyFill="1"/>
    <xf numFmtId="0" fontId="0" fillId="6245" borderId="0" xfId="0" applyFill="1"/>
    <xf numFmtId="0" fontId="0" fillId="6246" borderId="0" xfId="0" applyFill="1"/>
    <xf numFmtId="0" fontId="0" fillId="6247" borderId="0" xfId="0" applyFill="1"/>
    <xf numFmtId="0" fontId="0" fillId="6248" borderId="0" xfId="0" applyFill="1"/>
    <xf numFmtId="0" fontId="0" fillId="6249" borderId="0" xfId="0" applyFill="1"/>
    <xf numFmtId="0" fontId="0" fillId="6250" borderId="0" xfId="0" applyFill="1"/>
    <xf numFmtId="0" fontId="0" fillId="6251" borderId="0" xfId="0" applyFill="1"/>
    <xf numFmtId="0" fontId="0" fillId="6252" borderId="0" xfId="0" applyFill="1"/>
    <xf numFmtId="0" fontId="0" fillId="6253" borderId="0" xfId="0" applyFill="1"/>
    <xf numFmtId="0" fontId="0" fillId="6254" borderId="0" xfId="0" applyFill="1"/>
    <xf numFmtId="0" fontId="0" fillId="6255" borderId="0" xfId="0" applyFill="1"/>
    <xf numFmtId="0" fontId="0" fillId="6256" borderId="0" xfId="0" applyFill="1"/>
    <xf numFmtId="0" fontId="0" fillId="6257" borderId="0" xfId="0" applyFill="1"/>
    <xf numFmtId="0" fontId="0" fillId="6258" borderId="0" xfId="0" applyFill="1"/>
    <xf numFmtId="0" fontId="0" fillId="6259" borderId="0" xfId="0" applyFill="1"/>
    <xf numFmtId="0" fontId="0" fillId="6260" borderId="0" xfId="0" applyFill="1"/>
    <xf numFmtId="0" fontId="0" fillId="6261" borderId="0" xfId="0" applyFill="1"/>
    <xf numFmtId="0" fontId="0" fillId="6262" borderId="0" xfId="0" applyFill="1"/>
    <xf numFmtId="0" fontId="0" fillId="6263" borderId="0" xfId="0" applyFill="1"/>
    <xf numFmtId="0" fontId="0" fillId="6264" borderId="0" xfId="0" applyFill="1"/>
    <xf numFmtId="0" fontId="0" fillId="6265" borderId="0" xfId="0" applyFill="1"/>
    <xf numFmtId="0" fontId="0" fillId="6266" borderId="0" xfId="0" applyFill="1"/>
    <xf numFmtId="0" fontId="0" fillId="6267" borderId="0" xfId="0" applyFill="1"/>
    <xf numFmtId="0" fontId="0" fillId="6268" borderId="0" xfId="0" applyFill="1"/>
    <xf numFmtId="0" fontId="0" fillId="6269" borderId="0" xfId="0" applyFill="1"/>
    <xf numFmtId="0" fontId="0" fillId="6270" borderId="0" xfId="0" applyFill="1"/>
    <xf numFmtId="0" fontId="0" fillId="6271" borderId="0" xfId="0" applyFill="1"/>
    <xf numFmtId="0" fontId="0" fillId="6272" borderId="0" xfId="0" applyFill="1"/>
    <xf numFmtId="0" fontId="0" fillId="6273" borderId="0" xfId="0" applyFill="1"/>
    <xf numFmtId="0" fontId="0" fillId="6274" borderId="0" xfId="0" applyFill="1"/>
    <xf numFmtId="0" fontId="0" fillId="6275" borderId="0" xfId="0" applyFill="1"/>
    <xf numFmtId="0" fontId="0" fillId="6276" borderId="0" xfId="0" applyFill="1"/>
    <xf numFmtId="0" fontId="0" fillId="6277" borderId="0" xfId="0" applyFill="1"/>
    <xf numFmtId="0" fontId="0" fillId="6278" borderId="0" xfId="0" applyFill="1"/>
    <xf numFmtId="0" fontId="0" fillId="6279" borderId="0" xfId="0" applyFill="1"/>
    <xf numFmtId="0" fontId="0" fillId="6280" borderId="0" xfId="0" applyFill="1"/>
    <xf numFmtId="0" fontId="0" fillId="6281" borderId="0" xfId="0" applyFill="1"/>
    <xf numFmtId="0" fontId="0" fillId="6282" borderId="0" xfId="0" applyFill="1"/>
    <xf numFmtId="0" fontId="0" fillId="6283" borderId="0" xfId="0" applyFill="1"/>
    <xf numFmtId="0" fontId="0" fillId="6284" borderId="0" xfId="0" applyFill="1"/>
    <xf numFmtId="0" fontId="0" fillId="6285" borderId="0" xfId="0" applyFill="1"/>
    <xf numFmtId="0" fontId="0" fillId="6286" borderId="0" xfId="0" applyFill="1"/>
    <xf numFmtId="0" fontId="0" fillId="6287" borderId="0" xfId="0" applyFill="1"/>
    <xf numFmtId="0" fontId="0" fillId="6288" borderId="0" xfId="0" applyFill="1"/>
    <xf numFmtId="0" fontId="0" fillId="6289" borderId="0" xfId="0" applyFill="1"/>
    <xf numFmtId="0" fontId="0" fillId="6290" borderId="0" xfId="0" applyFill="1"/>
    <xf numFmtId="0" fontId="0" fillId="6291" borderId="0" xfId="0" applyFill="1"/>
    <xf numFmtId="0" fontId="0" fillId="6292" borderId="0" xfId="0" applyFill="1"/>
    <xf numFmtId="0" fontId="0" fillId="6293" borderId="0" xfId="0" applyFill="1"/>
    <xf numFmtId="0" fontId="0" fillId="6294" borderId="0" xfId="0" applyFill="1"/>
    <xf numFmtId="0" fontId="0" fillId="6295" borderId="0" xfId="0" applyFill="1"/>
    <xf numFmtId="0" fontId="0" fillId="6296" borderId="0" xfId="0" applyFill="1"/>
    <xf numFmtId="0" fontId="0" fillId="6297" borderId="0" xfId="0" applyFill="1"/>
    <xf numFmtId="0" fontId="0" fillId="6298" borderId="0" xfId="0" applyFill="1"/>
    <xf numFmtId="0" fontId="0" fillId="6299" borderId="0" xfId="0" applyFill="1"/>
    <xf numFmtId="0" fontId="0" fillId="6300" borderId="0" xfId="0" applyFill="1"/>
    <xf numFmtId="0" fontId="0" fillId="6301" borderId="0" xfId="0" applyFill="1"/>
    <xf numFmtId="0" fontId="0" fillId="6302" borderId="0" xfId="0" applyFill="1"/>
    <xf numFmtId="0" fontId="0" fillId="6303" borderId="0" xfId="0" applyFill="1"/>
    <xf numFmtId="0" fontId="0" fillId="6304" borderId="0" xfId="0" applyFill="1"/>
    <xf numFmtId="0" fontId="0" fillId="6305" borderId="0" xfId="0" applyFill="1"/>
    <xf numFmtId="0" fontId="0" fillId="6306" borderId="0" xfId="0" applyFill="1"/>
    <xf numFmtId="0" fontId="0" fillId="6307" borderId="0" xfId="0" applyFill="1"/>
    <xf numFmtId="0" fontId="0" fillId="6308" borderId="0" xfId="0" applyFill="1"/>
    <xf numFmtId="0" fontId="0" fillId="6309" borderId="0" xfId="0" applyFill="1"/>
    <xf numFmtId="0" fontId="0" fillId="6310" borderId="0" xfId="0" applyFill="1"/>
    <xf numFmtId="0" fontId="0" fillId="6311" borderId="0" xfId="0" applyFill="1"/>
    <xf numFmtId="0" fontId="0" fillId="6312" borderId="0" xfId="0" applyFill="1"/>
    <xf numFmtId="0" fontId="0" fillId="6313" borderId="0" xfId="0" applyFill="1"/>
    <xf numFmtId="0" fontId="0" fillId="6314" borderId="0" xfId="0" applyFill="1"/>
    <xf numFmtId="0" fontId="0" fillId="6315" borderId="0" xfId="0" applyFill="1"/>
    <xf numFmtId="0" fontId="0" fillId="6316" borderId="0" xfId="0" applyFill="1"/>
    <xf numFmtId="0" fontId="0" fillId="6317" borderId="0" xfId="0" applyFill="1"/>
    <xf numFmtId="0" fontId="0" fillId="6318" borderId="0" xfId="0" applyFill="1"/>
    <xf numFmtId="0" fontId="0" fillId="6319" borderId="0" xfId="0" applyFill="1"/>
    <xf numFmtId="0" fontId="0" fillId="6320" borderId="0" xfId="0" applyFill="1"/>
    <xf numFmtId="0" fontId="0" fillId="6321" borderId="0" xfId="0" applyFill="1"/>
    <xf numFmtId="0" fontId="0" fillId="6322" borderId="0" xfId="0" applyFill="1"/>
    <xf numFmtId="0" fontId="0" fillId="6323" borderId="0" xfId="0" applyFill="1"/>
    <xf numFmtId="0" fontId="0" fillId="6324" borderId="0" xfId="0" applyFill="1"/>
    <xf numFmtId="0" fontId="0" fillId="6325" borderId="0" xfId="0" applyFill="1"/>
    <xf numFmtId="0" fontId="0" fillId="6326" borderId="0" xfId="0" applyFill="1"/>
    <xf numFmtId="0" fontId="0" fillId="6327" borderId="0" xfId="0" applyFill="1"/>
    <xf numFmtId="0" fontId="0" fillId="6328" borderId="0" xfId="0" applyFill="1"/>
    <xf numFmtId="0" fontId="0" fillId="6329" borderId="0" xfId="0" applyFill="1"/>
    <xf numFmtId="0" fontId="0" fillId="6330" borderId="0" xfId="0" applyFill="1"/>
    <xf numFmtId="0" fontId="0" fillId="6331" borderId="0" xfId="0" applyFill="1"/>
    <xf numFmtId="0" fontId="0" fillId="6332" borderId="0" xfId="0" applyFill="1"/>
    <xf numFmtId="0" fontId="0" fillId="6333" borderId="0" xfId="0" applyFill="1"/>
    <xf numFmtId="0" fontId="0" fillId="6334" borderId="0" xfId="0" applyFill="1"/>
    <xf numFmtId="0" fontId="0" fillId="6335" borderId="0" xfId="0" applyFill="1"/>
    <xf numFmtId="0" fontId="0" fillId="6336" borderId="0" xfId="0" applyFill="1"/>
    <xf numFmtId="0" fontId="0" fillId="6337" borderId="0" xfId="0" applyFill="1"/>
    <xf numFmtId="0" fontId="0" fillId="6338" borderId="0" xfId="0" applyFill="1"/>
    <xf numFmtId="0" fontId="0" fillId="6339" borderId="0" xfId="0" applyFill="1"/>
    <xf numFmtId="0" fontId="0" fillId="6340" borderId="0" xfId="0" applyFill="1"/>
    <xf numFmtId="0" fontId="0" fillId="6341" borderId="0" xfId="0" applyFill="1"/>
    <xf numFmtId="0" fontId="0" fillId="6342" borderId="0" xfId="0" applyFill="1"/>
    <xf numFmtId="0" fontId="0" fillId="6343" borderId="0" xfId="0" applyFill="1"/>
    <xf numFmtId="0" fontId="0" fillId="6344" borderId="0" xfId="0" applyFill="1"/>
    <xf numFmtId="0" fontId="0" fillId="6345" borderId="0" xfId="0" applyFill="1"/>
    <xf numFmtId="0" fontId="0" fillId="6346" borderId="0" xfId="0" applyFill="1"/>
    <xf numFmtId="0" fontId="0" fillId="6347" borderId="0" xfId="0" applyFill="1"/>
    <xf numFmtId="0" fontId="0" fillId="6348" borderId="0" xfId="0" applyFill="1"/>
    <xf numFmtId="0" fontId="0" fillId="6349" borderId="0" xfId="0" applyFill="1"/>
    <xf numFmtId="0" fontId="0" fillId="6350" borderId="0" xfId="0" applyFill="1"/>
    <xf numFmtId="0" fontId="0" fillId="6351" borderId="0" xfId="0" applyFill="1"/>
    <xf numFmtId="0" fontId="0" fillId="6352" borderId="0" xfId="0" applyFill="1"/>
    <xf numFmtId="0" fontId="0" fillId="6353" borderId="0" xfId="0" applyFill="1"/>
    <xf numFmtId="0" fontId="0" fillId="6354" borderId="0" xfId="0" applyFill="1"/>
    <xf numFmtId="0" fontId="0" fillId="6355" borderId="0" xfId="0" applyFill="1"/>
    <xf numFmtId="0" fontId="0" fillId="6356" borderId="0" xfId="0" applyFill="1"/>
    <xf numFmtId="0" fontId="0" fillId="6357" borderId="0" xfId="0" applyFill="1"/>
    <xf numFmtId="0" fontId="0" fillId="6358" borderId="0" xfId="0" applyFill="1"/>
    <xf numFmtId="0" fontId="0" fillId="6359" borderId="0" xfId="0" applyFill="1"/>
    <xf numFmtId="0" fontId="0" fillId="6360" borderId="0" xfId="0" applyFill="1"/>
    <xf numFmtId="0" fontId="0" fillId="6361" borderId="0" xfId="0" applyFill="1"/>
    <xf numFmtId="0" fontId="0" fillId="6362" borderId="0" xfId="0" applyFill="1"/>
    <xf numFmtId="0" fontId="0" fillId="6363" borderId="0" xfId="0" applyFill="1"/>
    <xf numFmtId="0" fontId="0" fillId="6364" borderId="0" xfId="0" applyFill="1"/>
    <xf numFmtId="0" fontId="0" fillId="6365" borderId="0" xfId="0" applyFill="1"/>
    <xf numFmtId="0" fontId="0" fillId="6366" borderId="0" xfId="0" applyFill="1"/>
    <xf numFmtId="0" fontId="0" fillId="6367" borderId="0" xfId="0" applyFill="1"/>
    <xf numFmtId="0" fontId="0" fillId="6368" borderId="0" xfId="0" applyFill="1"/>
    <xf numFmtId="0" fontId="0" fillId="6369" borderId="0" xfId="0" applyFill="1"/>
    <xf numFmtId="0" fontId="0" fillId="6370" borderId="0" xfId="0" applyFill="1"/>
    <xf numFmtId="0" fontId="0" fillId="6371" borderId="0" xfId="0" applyFill="1"/>
    <xf numFmtId="0" fontId="0" fillId="6372" borderId="0" xfId="0" applyFill="1"/>
    <xf numFmtId="0" fontId="0" fillId="6373" borderId="0" xfId="0" applyFill="1"/>
    <xf numFmtId="0" fontId="0" fillId="6374" borderId="0" xfId="0" applyFill="1"/>
    <xf numFmtId="0" fontId="0" fillId="6375" borderId="0" xfId="0" applyFill="1"/>
    <xf numFmtId="0" fontId="0" fillId="6376" borderId="0" xfId="0" applyFill="1"/>
    <xf numFmtId="0" fontId="0" fillId="6377" borderId="0" xfId="0" applyFill="1"/>
    <xf numFmtId="0" fontId="0" fillId="6378" borderId="0" xfId="0" applyFill="1"/>
    <xf numFmtId="0" fontId="0" fillId="6379" borderId="0" xfId="0" applyFill="1"/>
    <xf numFmtId="0" fontId="0" fillId="6380" borderId="0" xfId="0" applyFill="1"/>
    <xf numFmtId="0" fontId="0" fillId="6381" borderId="0" xfId="0" applyFill="1"/>
    <xf numFmtId="0" fontId="0" fillId="6382" borderId="0" xfId="0" applyFill="1"/>
    <xf numFmtId="0" fontId="0" fillId="6383" borderId="0" xfId="0" applyFill="1"/>
    <xf numFmtId="0" fontId="0" fillId="6384" borderId="0" xfId="0" applyFill="1"/>
    <xf numFmtId="0" fontId="0" fillId="6385" borderId="0" xfId="0" applyFill="1"/>
    <xf numFmtId="0" fontId="0" fillId="6386" borderId="0" xfId="0" applyFill="1"/>
    <xf numFmtId="0" fontId="0" fillId="6387" borderId="0" xfId="0" applyFill="1"/>
    <xf numFmtId="0" fontId="0" fillId="6388" borderId="0" xfId="0" applyFill="1"/>
    <xf numFmtId="0" fontId="0" fillId="6389" borderId="0" xfId="0" applyFill="1"/>
    <xf numFmtId="0" fontId="0" fillId="6390" borderId="0" xfId="0" applyFill="1"/>
    <xf numFmtId="0" fontId="0" fillId="6391" borderId="0" xfId="0" applyFill="1"/>
    <xf numFmtId="0" fontId="0" fillId="6392" borderId="0" xfId="0" applyFill="1"/>
    <xf numFmtId="0" fontId="0" fillId="6393" borderId="0" xfId="0" applyFill="1"/>
    <xf numFmtId="0" fontId="0" fillId="6394" borderId="0" xfId="0" applyFill="1"/>
    <xf numFmtId="0" fontId="0" fillId="6395" borderId="0" xfId="0" applyFill="1"/>
    <xf numFmtId="0" fontId="0" fillId="6396" borderId="0" xfId="0" applyFill="1"/>
    <xf numFmtId="0" fontId="0" fillId="6397" borderId="0" xfId="0" applyFill="1"/>
    <xf numFmtId="0" fontId="0" fillId="6398" borderId="0" xfId="0" applyFill="1"/>
    <xf numFmtId="0" fontId="0" fillId="6399" borderId="0" xfId="0" applyFill="1"/>
    <xf numFmtId="0" fontId="0" fillId="6400" borderId="0" xfId="0" applyFill="1"/>
    <xf numFmtId="0" fontId="0" fillId="6401" borderId="0" xfId="0" applyFill="1"/>
    <xf numFmtId="0" fontId="0" fillId="6402" borderId="0" xfId="0" applyFill="1"/>
    <xf numFmtId="0" fontId="0" fillId="6403" borderId="0" xfId="0" applyFill="1"/>
    <xf numFmtId="0" fontId="0" fillId="6404" borderId="0" xfId="0" applyFill="1"/>
    <xf numFmtId="0" fontId="0" fillId="6405" borderId="0" xfId="0" applyFill="1"/>
    <xf numFmtId="0" fontId="0" fillId="6406" borderId="0" xfId="0" applyFill="1"/>
    <xf numFmtId="0" fontId="0" fillId="6407" borderId="0" xfId="0" applyFill="1"/>
    <xf numFmtId="0" fontId="0" fillId="6408" borderId="0" xfId="0" applyFill="1"/>
    <xf numFmtId="0" fontId="0" fillId="6409" borderId="0" xfId="0" applyFill="1"/>
    <xf numFmtId="0" fontId="0" fillId="6410" borderId="0" xfId="0" applyFill="1"/>
    <xf numFmtId="0" fontId="0" fillId="6411" borderId="0" xfId="0" applyFill="1"/>
    <xf numFmtId="0" fontId="0" fillId="6412" borderId="0" xfId="0" applyFill="1"/>
    <xf numFmtId="0" fontId="0" fillId="6413" borderId="0" xfId="0" applyFill="1"/>
    <xf numFmtId="0" fontId="0" fillId="6414" borderId="0" xfId="0" applyFill="1"/>
    <xf numFmtId="0" fontId="0" fillId="6415" borderId="0" xfId="0" applyFill="1"/>
    <xf numFmtId="0" fontId="0" fillId="6416" borderId="0" xfId="0" applyFill="1"/>
    <xf numFmtId="0" fontId="0" fillId="6417" borderId="0" xfId="0" applyFill="1"/>
    <xf numFmtId="0" fontId="0" fillId="6418" borderId="0" xfId="0" applyFill="1"/>
    <xf numFmtId="0" fontId="0" fillId="6419" borderId="0" xfId="0" applyFill="1"/>
    <xf numFmtId="0" fontId="0" fillId="6420" borderId="0" xfId="0" applyFill="1"/>
    <xf numFmtId="0" fontId="0" fillId="6421" borderId="0" xfId="0" applyFill="1"/>
    <xf numFmtId="0" fontId="0" fillId="6422" borderId="0" xfId="0" applyFill="1"/>
    <xf numFmtId="0" fontId="0" fillId="6423" borderId="0" xfId="0" applyFill="1"/>
    <xf numFmtId="0" fontId="0" fillId="6424" borderId="0" xfId="0" applyFill="1"/>
    <xf numFmtId="0" fontId="0" fillId="6425" borderId="0" xfId="0" applyFill="1"/>
    <xf numFmtId="0" fontId="0" fillId="6426" borderId="0" xfId="0" applyFill="1"/>
    <xf numFmtId="0" fontId="0" fillId="6427" borderId="0" xfId="0" applyFill="1"/>
    <xf numFmtId="0" fontId="0" fillId="6428" borderId="0" xfId="0" applyFill="1"/>
    <xf numFmtId="0" fontId="0" fillId="6429" borderId="0" xfId="0" applyFill="1"/>
    <xf numFmtId="0" fontId="0" fillId="6430" borderId="0" xfId="0" applyFill="1"/>
    <xf numFmtId="0" fontId="0" fillId="6431" borderId="0" xfId="0" applyFill="1"/>
    <xf numFmtId="0" fontId="0" fillId="6432" borderId="0" xfId="0" applyFill="1"/>
    <xf numFmtId="0" fontId="0" fillId="6433" borderId="0" xfId="0" applyFill="1"/>
    <xf numFmtId="0" fontId="0" fillId="6434" borderId="0" xfId="0" applyFill="1"/>
    <xf numFmtId="0" fontId="0" fillId="6435" borderId="0" xfId="0" applyFill="1"/>
    <xf numFmtId="0" fontId="0" fillId="6436" borderId="0" xfId="0" applyFill="1"/>
    <xf numFmtId="0" fontId="0" fillId="6437" borderId="0" xfId="0" applyFill="1"/>
    <xf numFmtId="0" fontId="0" fillId="6438" borderId="0" xfId="0" applyFill="1"/>
    <xf numFmtId="0" fontId="0" fillId="6439" borderId="0" xfId="0" applyFill="1"/>
    <xf numFmtId="0" fontId="0" fillId="6440" borderId="0" xfId="0" applyFill="1"/>
    <xf numFmtId="0" fontId="0" fillId="6441" borderId="0" xfId="0" applyFill="1"/>
    <xf numFmtId="0" fontId="0" fillId="6442" borderId="0" xfId="0" applyFill="1"/>
    <xf numFmtId="0" fontId="0" fillId="6443" borderId="0" xfId="0" applyFill="1"/>
    <xf numFmtId="0" fontId="0" fillId="6444" borderId="0" xfId="0" applyFill="1"/>
    <xf numFmtId="0" fontId="0" fillId="6445" borderId="0" xfId="0" applyFill="1"/>
    <xf numFmtId="0" fontId="0" fillId="6446" borderId="0" xfId="0" applyFill="1"/>
    <xf numFmtId="0" fontId="0" fillId="6447" borderId="0" xfId="0" applyFill="1"/>
    <xf numFmtId="0" fontId="0" fillId="6448" borderId="0" xfId="0" applyFill="1"/>
    <xf numFmtId="0" fontId="0" fillId="6449" borderId="0" xfId="0" applyFill="1"/>
    <xf numFmtId="0" fontId="0" fillId="6450" borderId="0" xfId="0" applyFill="1"/>
    <xf numFmtId="0" fontId="0" fillId="6451" borderId="0" xfId="0" applyFill="1"/>
    <xf numFmtId="0" fontId="0" fillId="6452" borderId="0" xfId="0" applyFill="1"/>
    <xf numFmtId="0" fontId="0" fillId="6453" borderId="0" xfId="0" applyFill="1"/>
    <xf numFmtId="0" fontId="0" fillId="6454" borderId="0" xfId="0" applyFill="1"/>
    <xf numFmtId="0" fontId="0" fillId="6455" borderId="0" xfId="0" applyFill="1"/>
    <xf numFmtId="0" fontId="0" fillId="6456" borderId="0" xfId="0" applyFill="1"/>
    <xf numFmtId="0" fontId="0" fillId="6457" borderId="0" xfId="0" applyFill="1"/>
    <xf numFmtId="0" fontId="0" fillId="6458" borderId="0" xfId="0" applyFill="1"/>
    <xf numFmtId="0" fontId="0" fillId="6459" borderId="0" xfId="0" applyFill="1"/>
    <xf numFmtId="0" fontId="0" fillId="6460" borderId="0" xfId="0" applyFill="1"/>
    <xf numFmtId="0" fontId="0" fillId="6461" borderId="0" xfId="0" applyFill="1"/>
    <xf numFmtId="0" fontId="0" fillId="6462" borderId="0" xfId="0" applyFill="1"/>
    <xf numFmtId="0" fontId="0" fillId="6463" borderId="0" xfId="0" applyFill="1"/>
    <xf numFmtId="0" fontId="0" fillId="6464" borderId="0" xfId="0" applyFill="1"/>
    <xf numFmtId="0" fontId="0" fillId="6465" borderId="0" xfId="0" applyFill="1"/>
    <xf numFmtId="0" fontId="0" fillId="6466" borderId="0" xfId="0" applyFill="1"/>
    <xf numFmtId="0" fontId="0" fillId="6467" borderId="0" xfId="0" applyFill="1"/>
    <xf numFmtId="0" fontId="0" fillId="6468" borderId="0" xfId="0" applyFill="1"/>
    <xf numFmtId="0" fontId="0" fillId="6469" borderId="0" xfId="0" applyFill="1"/>
    <xf numFmtId="0" fontId="0" fillId="6470" borderId="0" xfId="0" applyFill="1"/>
    <xf numFmtId="0" fontId="0" fillId="6471" borderId="0" xfId="0" applyFill="1"/>
    <xf numFmtId="0" fontId="0" fillId="6472" borderId="0" xfId="0" applyFill="1"/>
    <xf numFmtId="0" fontId="0" fillId="6473" borderId="0" xfId="0" applyFill="1"/>
    <xf numFmtId="0" fontId="0" fillId="6474" borderId="0" xfId="0" applyFill="1"/>
    <xf numFmtId="0" fontId="0" fillId="6475" borderId="0" xfId="0" applyFill="1"/>
    <xf numFmtId="0" fontId="0" fillId="6476" borderId="0" xfId="0" applyFill="1"/>
    <xf numFmtId="0" fontId="0" fillId="6477" borderId="0" xfId="0" applyFill="1"/>
    <xf numFmtId="0" fontId="0" fillId="6478" borderId="0" xfId="0" applyFill="1"/>
    <xf numFmtId="0" fontId="0" fillId="6479" borderId="0" xfId="0" applyFill="1"/>
    <xf numFmtId="0" fontId="0" fillId="6480" borderId="0" xfId="0" applyFill="1"/>
    <xf numFmtId="0" fontId="0" fillId="6481" borderId="0" xfId="0" applyFill="1"/>
    <xf numFmtId="0" fontId="0" fillId="6482" borderId="0" xfId="0" applyFill="1"/>
    <xf numFmtId="0" fontId="0" fillId="6483" borderId="0" xfId="0" applyFill="1"/>
    <xf numFmtId="0" fontId="0" fillId="6484" borderId="0" xfId="0" applyFill="1"/>
    <xf numFmtId="0" fontId="0" fillId="6485" borderId="0" xfId="0" applyFill="1"/>
    <xf numFmtId="0" fontId="0" fillId="6486" borderId="0" xfId="0" applyFill="1"/>
    <xf numFmtId="0" fontId="0" fillId="6487" borderId="0" xfId="0" applyFill="1"/>
    <xf numFmtId="0" fontId="0" fillId="6488" borderId="0" xfId="0" applyFill="1"/>
    <xf numFmtId="0" fontId="0" fillId="6489" borderId="0" xfId="0" applyFill="1"/>
    <xf numFmtId="0" fontId="0" fillId="6490" borderId="0" xfId="0" applyFill="1"/>
    <xf numFmtId="0" fontId="0" fillId="6491" borderId="0" xfId="0" applyFill="1"/>
    <xf numFmtId="0" fontId="0" fillId="6492" borderId="0" xfId="0" applyFill="1"/>
    <xf numFmtId="0" fontId="0" fillId="6493" borderId="0" xfId="0" applyFill="1"/>
    <xf numFmtId="0" fontId="0" fillId="6494" borderId="0" xfId="0" applyFill="1"/>
    <xf numFmtId="0" fontId="0" fillId="6495" borderId="0" xfId="0" applyFill="1"/>
    <xf numFmtId="0" fontId="0" fillId="6496" borderId="0" xfId="0" applyFill="1"/>
    <xf numFmtId="0" fontId="0" fillId="6497" borderId="0" xfId="0" applyFill="1"/>
    <xf numFmtId="0" fontId="0" fillId="6498" borderId="0" xfId="0" applyFill="1"/>
    <xf numFmtId="0" fontId="0" fillId="6499" borderId="0" xfId="0" applyFill="1"/>
    <xf numFmtId="0" fontId="0" fillId="6500" borderId="0" xfId="0" applyFill="1"/>
    <xf numFmtId="0" fontId="0" fillId="6501" borderId="0" xfId="0" applyFill="1"/>
    <xf numFmtId="0" fontId="0" fillId="6502" borderId="0" xfId="0" applyFill="1"/>
    <xf numFmtId="0" fontId="0" fillId="6503" borderId="0" xfId="0" applyFill="1"/>
    <xf numFmtId="0" fontId="0" fillId="6504" borderId="0" xfId="0" applyFill="1"/>
    <xf numFmtId="0" fontId="0" fillId="6505" borderId="0" xfId="0" applyFill="1"/>
    <xf numFmtId="0" fontId="0" fillId="6506" borderId="0" xfId="0" applyFill="1"/>
    <xf numFmtId="0" fontId="0" fillId="6507" borderId="0" xfId="0" applyFill="1"/>
    <xf numFmtId="0" fontId="0" fillId="6508" borderId="0" xfId="0" applyFill="1"/>
    <xf numFmtId="0" fontId="0" fillId="6509" borderId="0" xfId="0" applyFill="1"/>
    <xf numFmtId="0" fontId="0" fillId="6510" borderId="0" xfId="0" applyFill="1"/>
    <xf numFmtId="0" fontId="0" fillId="6511" borderId="0" xfId="0" applyFill="1"/>
    <xf numFmtId="0" fontId="0" fillId="6512" borderId="0" xfId="0" applyFill="1"/>
    <xf numFmtId="0" fontId="0" fillId="6513" borderId="0" xfId="0" applyFill="1"/>
    <xf numFmtId="0" fontId="0" fillId="6514" borderId="0" xfId="0" applyFill="1"/>
    <xf numFmtId="0" fontId="0" fillId="6515" borderId="0" xfId="0" applyFill="1"/>
    <xf numFmtId="0" fontId="0" fillId="6516" borderId="0" xfId="0" applyFill="1"/>
    <xf numFmtId="0" fontId="0" fillId="6517" borderId="0" xfId="0" applyFill="1"/>
    <xf numFmtId="0" fontId="0" fillId="6518" borderId="0" xfId="0" applyFill="1"/>
    <xf numFmtId="0" fontId="0" fillId="6519" borderId="0" xfId="0" applyFill="1"/>
    <xf numFmtId="0" fontId="0" fillId="6520" borderId="0" xfId="0" applyFill="1"/>
    <xf numFmtId="0" fontId="0" fillId="6521" borderId="0" xfId="0" applyFill="1"/>
    <xf numFmtId="0" fontId="0" fillId="6522" borderId="0" xfId="0" applyFill="1"/>
    <xf numFmtId="0" fontId="0" fillId="6523" borderId="0" xfId="0" applyFill="1"/>
    <xf numFmtId="0" fontId="0" fillId="6524" borderId="0" xfId="0" applyFill="1"/>
    <xf numFmtId="0" fontId="0" fillId="6525" borderId="0" xfId="0" applyFill="1"/>
    <xf numFmtId="0" fontId="0" fillId="6526" borderId="0" xfId="0" applyFill="1"/>
    <xf numFmtId="0" fontId="0" fillId="6527" borderId="0" xfId="0" applyFill="1"/>
    <xf numFmtId="0" fontId="0" fillId="6528" borderId="0" xfId="0" applyFill="1"/>
    <xf numFmtId="0" fontId="0" fillId="6529" borderId="0" xfId="0" applyFill="1"/>
    <xf numFmtId="0" fontId="0" fillId="6530" borderId="0" xfId="0" applyFill="1"/>
    <xf numFmtId="0" fontId="0" fillId="6531" borderId="0" xfId="0" applyFill="1"/>
    <xf numFmtId="0" fontId="0" fillId="6532" borderId="0" xfId="0" applyFill="1"/>
    <xf numFmtId="0" fontId="0" fillId="6533" borderId="0" xfId="0" applyFill="1"/>
    <xf numFmtId="0" fontId="0" fillId="6534" borderId="0" xfId="0" applyFill="1"/>
    <xf numFmtId="0" fontId="0" fillId="6535" borderId="0" xfId="0" applyFill="1"/>
    <xf numFmtId="0" fontId="0" fillId="6536" borderId="0" xfId="0" applyFill="1"/>
    <xf numFmtId="0" fontId="0" fillId="6537" borderId="0" xfId="0" applyFill="1"/>
    <xf numFmtId="0" fontId="0" fillId="6538" borderId="0" xfId="0" applyFill="1"/>
    <xf numFmtId="0" fontId="0" fillId="6539" borderId="0" xfId="0" applyFill="1"/>
    <xf numFmtId="0" fontId="0" fillId="6540" borderId="0" xfId="0" applyFill="1"/>
    <xf numFmtId="0" fontId="0" fillId="6541" borderId="0" xfId="0" applyFill="1"/>
    <xf numFmtId="0" fontId="0" fillId="6542" borderId="0" xfId="0" applyFill="1"/>
    <xf numFmtId="0" fontId="0" fillId="6543" borderId="0" xfId="0" applyFill="1"/>
    <xf numFmtId="0" fontId="0" fillId="6544" borderId="0" xfId="0" applyFill="1"/>
    <xf numFmtId="0" fontId="0" fillId="6545" borderId="0" xfId="0" applyFill="1"/>
    <xf numFmtId="0" fontId="0" fillId="6546" borderId="0" xfId="0" applyFill="1"/>
    <xf numFmtId="0" fontId="0" fillId="6547" borderId="0" xfId="0" applyFill="1"/>
    <xf numFmtId="0" fontId="0" fillId="6548" borderId="0" xfId="0" applyFill="1"/>
    <xf numFmtId="0" fontId="0" fillId="6549" borderId="0" xfId="0" applyFill="1"/>
    <xf numFmtId="0" fontId="0" fillId="6550" borderId="0" xfId="0" applyFill="1"/>
    <xf numFmtId="0" fontId="0" fillId="6551" borderId="0" xfId="0" applyFill="1"/>
    <xf numFmtId="0" fontId="0" fillId="6552" borderId="0" xfId="0" applyFill="1"/>
    <xf numFmtId="0" fontId="0" fillId="6553" borderId="0" xfId="0" applyFill="1"/>
    <xf numFmtId="0" fontId="0" fillId="6554" borderId="0" xfId="0" applyFill="1"/>
    <xf numFmtId="0" fontId="0" fillId="6555" borderId="0" xfId="0" applyFill="1"/>
    <xf numFmtId="0" fontId="0" fillId="6556" borderId="0" xfId="0" applyFill="1"/>
    <xf numFmtId="0" fontId="0" fillId="6557" borderId="0" xfId="0" applyFill="1"/>
    <xf numFmtId="0" fontId="0" fillId="6558" borderId="0" xfId="0" applyFill="1"/>
    <xf numFmtId="0" fontId="0" fillId="6559" borderId="0" xfId="0" applyFill="1"/>
    <xf numFmtId="0" fontId="0" fillId="6560" borderId="0" xfId="0" applyFill="1"/>
    <xf numFmtId="0" fontId="0" fillId="6561" borderId="0" xfId="0" applyFill="1"/>
    <xf numFmtId="0" fontId="0" fillId="6562" borderId="0" xfId="0" applyFill="1"/>
    <xf numFmtId="0" fontId="0" fillId="6563" borderId="0" xfId="0" applyFill="1"/>
    <xf numFmtId="0" fontId="0" fillId="6564" borderId="0" xfId="0" applyFill="1"/>
    <xf numFmtId="0" fontId="0" fillId="6565" borderId="0" xfId="0" applyFill="1"/>
    <xf numFmtId="0" fontId="0" fillId="6566" borderId="0" xfId="0" applyFill="1"/>
    <xf numFmtId="0" fontId="0" fillId="6567" borderId="0" xfId="0" applyFill="1"/>
    <xf numFmtId="0" fontId="0" fillId="6568" borderId="0" xfId="0" applyFill="1"/>
    <xf numFmtId="0" fontId="0" fillId="6569" borderId="0" xfId="0" applyFill="1"/>
    <xf numFmtId="0" fontId="0" fillId="6570" borderId="0" xfId="0" applyFill="1"/>
    <xf numFmtId="0" fontId="0" fillId="6571" borderId="0" xfId="0" applyFill="1"/>
    <xf numFmtId="0" fontId="0" fillId="6572" borderId="0" xfId="0" applyFill="1"/>
    <xf numFmtId="0" fontId="0" fillId="6573" borderId="0" xfId="0" applyFill="1"/>
    <xf numFmtId="0" fontId="0" fillId="6574" borderId="0" xfId="0" applyFill="1"/>
    <xf numFmtId="0" fontId="0" fillId="6575" borderId="0" xfId="0" applyFill="1"/>
    <xf numFmtId="0" fontId="0" fillId="6576" borderId="0" xfId="0" applyFill="1"/>
    <xf numFmtId="0" fontId="0" fillId="6577" borderId="0" xfId="0" applyFill="1"/>
    <xf numFmtId="0" fontId="0" fillId="6578" borderId="0" xfId="0" applyFill="1"/>
    <xf numFmtId="0" fontId="0" fillId="6579" borderId="0" xfId="0" applyFill="1"/>
    <xf numFmtId="0" fontId="0" fillId="6580" borderId="0" xfId="0" applyFill="1"/>
    <xf numFmtId="0" fontId="0" fillId="6581" borderId="0" xfId="0" applyFill="1"/>
    <xf numFmtId="0" fontId="0" fillId="6582" borderId="0" xfId="0" applyFill="1"/>
    <xf numFmtId="0" fontId="0" fillId="6583" borderId="0" xfId="0" applyFill="1"/>
    <xf numFmtId="0" fontId="0" fillId="6584" borderId="0" xfId="0" applyFill="1"/>
    <xf numFmtId="0" fontId="0" fillId="6585" borderId="0" xfId="0" applyFill="1"/>
    <xf numFmtId="0" fontId="0" fillId="6586" borderId="0" xfId="0" applyFill="1"/>
    <xf numFmtId="0" fontId="0" fillId="6587" borderId="0" xfId="0" applyFill="1"/>
    <xf numFmtId="0" fontId="0" fillId="6588" borderId="0" xfId="0" applyFill="1"/>
    <xf numFmtId="0" fontId="0" fillId="6589" borderId="0" xfId="0" applyFill="1"/>
    <xf numFmtId="0" fontId="0" fillId="6590" borderId="0" xfId="0" applyFill="1"/>
    <xf numFmtId="0" fontId="0" fillId="6591" borderId="0" xfId="0" applyFill="1"/>
    <xf numFmtId="0" fontId="0" fillId="6592" borderId="0" xfId="0" applyFill="1"/>
    <xf numFmtId="0" fontId="0" fillId="6593" borderId="0" xfId="0" applyFill="1"/>
    <xf numFmtId="0" fontId="0" fillId="6594" borderId="0" xfId="0" applyFill="1"/>
    <xf numFmtId="0" fontId="0" fillId="6595" borderId="0" xfId="0" applyFill="1"/>
    <xf numFmtId="0" fontId="0" fillId="6596" borderId="0" xfId="0" applyFill="1"/>
    <xf numFmtId="0" fontId="0" fillId="6597" borderId="0" xfId="0" applyFill="1"/>
    <xf numFmtId="0" fontId="0" fillId="6598" borderId="0" xfId="0" applyFill="1"/>
    <xf numFmtId="0" fontId="0" fillId="6599" borderId="0" xfId="0" applyFill="1"/>
    <xf numFmtId="0" fontId="0" fillId="6600" borderId="0" xfId="0" applyFill="1"/>
    <xf numFmtId="0" fontId="0" fillId="6601" borderId="0" xfId="0" applyFill="1"/>
    <xf numFmtId="0" fontId="0" fillId="6602" borderId="0" xfId="0" applyFill="1"/>
    <xf numFmtId="0" fontId="0" fillId="6603" borderId="0" xfId="0" applyFill="1"/>
    <xf numFmtId="0" fontId="0" fillId="6604" borderId="0" xfId="0" applyFill="1"/>
    <xf numFmtId="0" fontId="0" fillId="6605" borderId="0" xfId="0" applyFill="1"/>
    <xf numFmtId="0" fontId="0" fillId="6606" borderId="0" xfId="0" applyFill="1"/>
    <xf numFmtId="0" fontId="0" fillId="6607" borderId="0" xfId="0" applyFill="1"/>
    <xf numFmtId="0" fontId="0" fillId="6608" borderId="0" xfId="0" applyFill="1"/>
    <xf numFmtId="0" fontId="0" fillId="6609" borderId="0" xfId="0" applyFill="1"/>
    <xf numFmtId="0" fontId="0" fillId="6610" borderId="0" xfId="0" applyFill="1"/>
    <xf numFmtId="0" fontId="0" fillId="6611" borderId="0" xfId="0" applyFill="1"/>
    <xf numFmtId="0" fontId="0" fillId="6612" borderId="0" xfId="0" applyFill="1"/>
    <xf numFmtId="0" fontId="0" fillId="6613" borderId="0" xfId="0" applyFill="1"/>
    <xf numFmtId="0" fontId="0" fillId="6614" borderId="0" xfId="0" applyFill="1"/>
    <xf numFmtId="0" fontId="0" fillId="6615" borderId="0" xfId="0" applyFill="1"/>
    <xf numFmtId="0" fontId="0" fillId="6616" borderId="0" xfId="0" applyFill="1"/>
    <xf numFmtId="0" fontId="0" fillId="6617" borderId="0" xfId="0" applyFill="1"/>
    <xf numFmtId="0" fontId="0" fillId="6618" borderId="0" xfId="0" applyFill="1"/>
    <xf numFmtId="0" fontId="0" fillId="6619" borderId="0" xfId="0" applyFill="1"/>
    <xf numFmtId="0" fontId="0" fillId="6620" borderId="0" xfId="0" applyFill="1"/>
    <xf numFmtId="0" fontId="0" fillId="6621" borderId="0" xfId="0" applyFill="1"/>
    <xf numFmtId="0" fontId="0" fillId="6622" borderId="0" xfId="0" applyFill="1"/>
    <xf numFmtId="0" fontId="0" fillId="6623" borderId="0" xfId="0" applyFill="1"/>
    <xf numFmtId="0" fontId="0" fillId="6624" borderId="0" xfId="0" applyFill="1"/>
    <xf numFmtId="0" fontId="0" fillId="6625" borderId="0" xfId="0" applyFill="1"/>
    <xf numFmtId="0" fontId="0" fillId="6626" borderId="0" xfId="0" applyFill="1"/>
    <xf numFmtId="0" fontId="0" fillId="6627" borderId="0" xfId="0" applyFill="1"/>
    <xf numFmtId="0" fontId="0" fillId="6628" borderId="0" xfId="0" applyFill="1"/>
    <xf numFmtId="0" fontId="0" fillId="6629" borderId="0" xfId="0" applyFill="1"/>
    <xf numFmtId="0" fontId="0" fillId="6630" borderId="0" xfId="0" applyFill="1"/>
    <xf numFmtId="0" fontId="0" fillId="6631" borderId="0" xfId="0" applyFill="1"/>
    <xf numFmtId="0" fontId="0" fillId="6632" borderId="0" xfId="0" applyFill="1"/>
    <xf numFmtId="0" fontId="0" fillId="6633" borderId="0" xfId="0" applyFill="1"/>
    <xf numFmtId="0" fontId="0" fillId="6634" borderId="0" xfId="0" applyFill="1"/>
    <xf numFmtId="0" fontId="0" fillId="6635" borderId="0" xfId="0" applyFill="1"/>
    <xf numFmtId="0" fontId="0" fillId="6636" borderId="0" xfId="0" applyFill="1"/>
    <xf numFmtId="0" fontId="0" fillId="6637" borderId="0" xfId="0" applyFill="1"/>
    <xf numFmtId="0" fontId="0" fillId="6638" borderId="0" xfId="0" applyFill="1"/>
    <xf numFmtId="0" fontId="0" fillId="6639" borderId="0" xfId="0" applyFill="1"/>
    <xf numFmtId="0" fontId="0" fillId="6640" borderId="0" xfId="0" applyFill="1"/>
    <xf numFmtId="0" fontId="0" fillId="6641" borderId="0" xfId="0" applyFill="1"/>
    <xf numFmtId="0" fontId="0" fillId="6642" borderId="0" xfId="0" applyFill="1"/>
    <xf numFmtId="0" fontId="0" fillId="6643" borderId="0" xfId="0" applyFill="1"/>
    <xf numFmtId="0" fontId="0" fillId="6644" borderId="0" xfId="0" applyFill="1"/>
    <xf numFmtId="0" fontId="0" fillId="6645" borderId="0" xfId="0" applyFill="1"/>
    <xf numFmtId="0" fontId="0" fillId="6646" borderId="0" xfId="0" applyFill="1"/>
    <xf numFmtId="0" fontId="0" fillId="6647" borderId="0" xfId="0" applyFill="1"/>
    <xf numFmtId="0" fontId="0" fillId="6648" borderId="0" xfId="0" applyFill="1"/>
    <xf numFmtId="0" fontId="0" fillId="6649" borderId="0" xfId="0" applyFill="1"/>
    <xf numFmtId="0" fontId="0" fillId="6650" borderId="0" xfId="0" applyFill="1"/>
    <xf numFmtId="0" fontId="0" fillId="6651" borderId="0" xfId="0" applyFill="1"/>
    <xf numFmtId="0" fontId="0" fillId="6652" borderId="0" xfId="0" applyFill="1"/>
    <xf numFmtId="0" fontId="0" fillId="6653" borderId="0" xfId="0" applyFill="1"/>
    <xf numFmtId="0" fontId="0" fillId="6654" borderId="0" xfId="0" applyFill="1"/>
    <xf numFmtId="0" fontId="0" fillId="6655" borderId="0" xfId="0" applyFill="1"/>
    <xf numFmtId="0" fontId="0" fillId="6656" borderId="0" xfId="0" applyFill="1"/>
    <xf numFmtId="0" fontId="0" fillId="6657" borderId="0" xfId="0" applyFill="1"/>
    <xf numFmtId="0" fontId="0" fillId="6658" borderId="0" xfId="0" applyFill="1"/>
    <xf numFmtId="0" fontId="0" fillId="6659" borderId="0" xfId="0" applyFill="1"/>
    <xf numFmtId="0" fontId="0" fillId="6660" borderId="0" xfId="0" applyFill="1"/>
    <xf numFmtId="0" fontId="0" fillId="6661" borderId="0" xfId="0" applyFill="1"/>
    <xf numFmtId="0" fontId="0" fillId="6662" borderId="0" xfId="0" applyFill="1"/>
    <xf numFmtId="0" fontId="0" fillId="6663" borderId="0" xfId="0" applyFill="1"/>
    <xf numFmtId="0" fontId="0" fillId="6664" borderId="0" xfId="0" applyFill="1"/>
    <xf numFmtId="0" fontId="0" fillId="6665" borderId="0" xfId="0" applyFill="1"/>
    <xf numFmtId="0" fontId="0" fillId="6666" borderId="0" xfId="0" applyFill="1"/>
    <xf numFmtId="0" fontId="0" fillId="6667" borderId="0" xfId="0" applyFill="1"/>
    <xf numFmtId="0" fontId="0" fillId="6668" borderId="0" xfId="0" applyFill="1"/>
    <xf numFmtId="0" fontId="0" fillId="6669" borderId="0" xfId="0" applyFill="1"/>
    <xf numFmtId="0" fontId="0" fillId="6670" borderId="0" xfId="0" applyFill="1"/>
    <xf numFmtId="0" fontId="0" fillId="6671" borderId="0" xfId="0" applyFill="1"/>
    <xf numFmtId="0" fontId="0" fillId="6672" borderId="0" xfId="0" applyFill="1"/>
    <xf numFmtId="0" fontId="0" fillId="6673" borderId="0" xfId="0" applyFill="1"/>
    <xf numFmtId="0" fontId="0" fillId="6674" borderId="0" xfId="0" applyFill="1"/>
    <xf numFmtId="0" fontId="0" fillId="6675" borderId="0" xfId="0" applyFill="1"/>
    <xf numFmtId="0" fontId="0" fillId="6676" borderId="0" xfId="0" applyFill="1"/>
    <xf numFmtId="0" fontId="0" fillId="6677" borderId="0" xfId="0" applyFill="1"/>
    <xf numFmtId="0" fontId="0" fillId="6678" borderId="0" xfId="0" applyFill="1"/>
    <xf numFmtId="0" fontId="0" fillId="6679" borderId="0" xfId="0" applyFill="1"/>
    <xf numFmtId="0" fontId="0" fillId="6680" borderId="0" xfId="0" applyFill="1"/>
    <xf numFmtId="0" fontId="0" fillId="6681" borderId="0" xfId="0" applyFill="1"/>
    <xf numFmtId="0" fontId="0" fillId="6682" borderId="0" xfId="0" applyFill="1"/>
    <xf numFmtId="0" fontId="0" fillId="6683" borderId="0" xfId="0" applyFill="1"/>
    <xf numFmtId="0" fontId="0" fillId="6684" borderId="0" xfId="0" applyFill="1"/>
    <xf numFmtId="0" fontId="0" fillId="6685" borderId="0" xfId="0" applyFill="1"/>
    <xf numFmtId="0" fontId="0" fillId="6686" borderId="0" xfId="0" applyFill="1"/>
    <xf numFmtId="0" fontId="0" fillId="6687" borderId="0" xfId="0" applyFill="1"/>
    <xf numFmtId="0" fontId="0" fillId="6688" borderId="0" xfId="0" applyFill="1"/>
    <xf numFmtId="0" fontId="0" fillId="6689" borderId="0" xfId="0" applyFill="1"/>
    <xf numFmtId="0" fontId="0" fillId="6690" borderId="0" xfId="0" applyFill="1"/>
    <xf numFmtId="0" fontId="0" fillId="6691" borderId="0" xfId="0" applyFill="1"/>
    <xf numFmtId="0" fontId="0" fillId="6692" borderId="0" xfId="0" applyFill="1"/>
    <xf numFmtId="0" fontId="0" fillId="6693" borderId="0" xfId="0" applyFill="1"/>
    <xf numFmtId="0" fontId="0" fillId="6694" borderId="0" xfId="0" applyFill="1"/>
    <xf numFmtId="0" fontId="0" fillId="6695" borderId="0" xfId="0" applyFill="1"/>
    <xf numFmtId="0" fontId="0" fillId="6696" borderId="0" xfId="0" applyFill="1"/>
    <xf numFmtId="0" fontId="0" fillId="6697" borderId="0" xfId="0" applyFill="1"/>
    <xf numFmtId="0" fontId="0" fillId="6698" borderId="0" xfId="0" applyFill="1"/>
    <xf numFmtId="0" fontId="0" fillId="6699" borderId="0" xfId="0" applyFill="1"/>
    <xf numFmtId="0" fontId="0" fillId="6700" borderId="0" xfId="0" applyFill="1"/>
    <xf numFmtId="0" fontId="0" fillId="6701" borderId="0" xfId="0" applyFill="1"/>
    <xf numFmtId="0" fontId="0" fillId="6702" borderId="0" xfId="0" applyFill="1"/>
    <xf numFmtId="0" fontId="0" fillId="6703" borderId="0" xfId="0" applyFill="1"/>
    <xf numFmtId="0" fontId="0" fillId="6704" borderId="0" xfId="0" applyFill="1"/>
    <xf numFmtId="0" fontId="0" fillId="6705" borderId="0" xfId="0" applyFill="1"/>
    <xf numFmtId="0" fontId="0" fillId="6706" borderId="0" xfId="0" applyFill="1"/>
    <xf numFmtId="0" fontId="0" fillId="6707" borderId="0" xfId="0" applyFill="1"/>
    <xf numFmtId="0" fontId="0" fillId="6708" borderId="0" xfId="0" applyFill="1"/>
    <xf numFmtId="0" fontId="0" fillId="6709" borderId="0" xfId="0" applyFill="1"/>
    <xf numFmtId="0" fontId="0" fillId="6710" borderId="0" xfId="0" applyFill="1"/>
    <xf numFmtId="0" fontId="0" fillId="6711" borderId="0" xfId="0" applyFill="1"/>
    <xf numFmtId="0" fontId="0" fillId="6712" borderId="0" xfId="0" applyFill="1"/>
    <xf numFmtId="0" fontId="0" fillId="6713" borderId="0" xfId="0" applyFill="1"/>
    <xf numFmtId="0" fontId="0" fillId="6714" borderId="0" xfId="0" applyFill="1"/>
    <xf numFmtId="0" fontId="0" fillId="6715" borderId="0" xfId="0" applyFill="1"/>
    <xf numFmtId="0" fontId="0" fillId="6716" borderId="0" xfId="0" applyFill="1"/>
    <xf numFmtId="0" fontId="0" fillId="6717" borderId="0" xfId="0" applyFill="1"/>
    <xf numFmtId="0" fontId="0" fillId="6718" borderId="0" xfId="0" applyFill="1"/>
    <xf numFmtId="0" fontId="0" fillId="6719" borderId="0" xfId="0" applyFill="1"/>
    <xf numFmtId="0" fontId="0" fillId="6720" borderId="0" xfId="0" applyFill="1"/>
    <xf numFmtId="0" fontId="0" fillId="6721" borderId="0" xfId="0" applyFill="1"/>
    <xf numFmtId="0" fontId="0" fillId="6722" borderId="0" xfId="0" applyFill="1"/>
    <xf numFmtId="0" fontId="0" fillId="6723" borderId="0" xfId="0" applyFill="1"/>
    <xf numFmtId="0" fontId="0" fillId="6724" borderId="0" xfId="0" applyFill="1"/>
    <xf numFmtId="0" fontId="0" fillId="6725" borderId="0" xfId="0" applyFill="1"/>
    <xf numFmtId="0" fontId="0" fillId="6726" borderId="0" xfId="0" applyFill="1"/>
    <xf numFmtId="0" fontId="0" fillId="6727" borderId="0" xfId="0" applyFill="1"/>
    <xf numFmtId="0" fontId="0" fillId="6728" borderId="0" xfId="0" applyFill="1"/>
    <xf numFmtId="0" fontId="0" fillId="6729" borderId="0" xfId="0" applyFill="1"/>
    <xf numFmtId="0" fontId="0" fillId="6730" borderId="0" xfId="0" applyFill="1"/>
    <xf numFmtId="0" fontId="0" fillId="6731" borderId="0" xfId="0" applyFill="1"/>
    <xf numFmtId="0" fontId="0" fillId="6732" borderId="0" xfId="0" applyFill="1"/>
    <xf numFmtId="0" fontId="0" fillId="6733" borderId="0" xfId="0" applyFill="1"/>
    <xf numFmtId="0" fontId="0" fillId="6734" borderId="0" xfId="0" applyFill="1"/>
    <xf numFmtId="0" fontId="0" fillId="6735" borderId="0" xfId="0" applyFill="1"/>
    <xf numFmtId="0" fontId="0" fillId="6736" borderId="0" xfId="0" applyFill="1"/>
    <xf numFmtId="0" fontId="0" fillId="6737" borderId="0" xfId="0" applyFill="1"/>
    <xf numFmtId="0" fontId="0" fillId="6738" borderId="0" xfId="0" applyFill="1"/>
    <xf numFmtId="0" fontId="0" fillId="6739" borderId="0" xfId="0" applyFill="1"/>
    <xf numFmtId="0" fontId="0" fillId="6740" borderId="0" xfId="0" applyFill="1"/>
    <xf numFmtId="0" fontId="0" fillId="6741" borderId="0" xfId="0" applyFill="1"/>
    <xf numFmtId="0" fontId="0" fillId="6742" borderId="0" xfId="0" applyFill="1"/>
    <xf numFmtId="0" fontId="0" fillId="6743" borderId="0" xfId="0" applyFill="1"/>
    <xf numFmtId="0" fontId="0" fillId="6744" borderId="0" xfId="0" applyFill="1"/>
    <xf numFmtId="0" fontId="0" fillId="6745" borderId="0" xfId="0" applyFill="1"/>
    <xf numFmtId="0" fontId="0" fillId="6746" borderId="0" xfId="0" applyFill="1"/>
    <xf numFmtId="0" fontId="0" fillId="6747" borderId="0" xfId="0" applyFill="1"/>
    <xf numFmtId="0" fontId="0" fillId="6748" borderId="0" xfId="0" applyFill="1"/>
    <xf numFmtId="0" fontId="0" fillId="6749" borderId="0" xfId="0" applyFill="1"/>
    <xf numFmtId="0" fontId="0" fillId="6750" borderId="0" xfId="0" applyFill="1"/>
    <xf numFmtId="0" fontId="0" fillId="6751" borderId="0" xfId="0" applyFill="1"/>
    <xf numFmtId="0" fontId="0" fillId="6752" borderId="0" xfId="0" applyFill="1"/>
    <xf numFmtId="0" fontId="0" fillId="6753" borderId="0" xfId="0" applyFill="1"/>
    <xf numFmtId="0" fontId="0" fillId="6754" borderId="0" xfId="0" applyFill="1"/>
    <xf numFmtId="0" fontId="0" fillId="6755" borderId="0" xfId="0" applyFill="1"/>
    <xf numFmtId="0" fontId="0" fillId="6756" borderId="0" xfId="0" applyFill="1"/>
    <xf numFmtId="0" fontId="0" fillId="6757" borderId="0" xfId="0" applyFill="1"/>
    <xf numFmtId="0" fontId="0" fillId="6758" borderId="0" xfId="0" applyFill="1"/>
    <xf numFmtId="0" fontId="0" fillId="6759" borderId="0" xfId="0" applyFill="1"/>
    <xf numFmtId="0" fontId="0" fillId="6760" borderId="0" xfId="0" applyFill="1"/>
    <xf numFmtId="0" fontId="0" fillId="6761" borderId="0" xfId="0" applyFill="1"/>
    <xf numFmtId="0" fontId="0" fillId="6762" borderId="0" xfId="0" applyFill="1"/>
    <xf numFmtId="0" fontId="0" fillId="6763" borderId="0" xfId="0" applyFill="1"/>
    <xf numFmtId="0" fontId="0" fillId="6764" borderId="0" xfId="0" applyFill="1"/>
    <xf numFmtId="0" fontId="0" fillId="6765" borderId="0" xfId="0" applyFill="1"/>
    <xf numFmtId="0" fontId="0" fillId="6766" borderId="0" xfId="0" applyFill="1"/>
    <xf numFmtId="0" fontId="0" fillId="6767" borderId="0" xfId="0" applyFill="1"/>
    <xf numFmtId="0" fontId="0" fillId="6768" borderId="0" xfId="0" applyFill="1"/>
    <xf numFmtId="0" fontId="0" fillId="6769" borderId="0" xfId="0" applyFill="1"/>
    <xf numFmtId="0" fontId="0" fillId="6770" borderId="0" xfId="0" applyFill="1"/>
    <xf numFmtId="0" fontId="0" fillId="6771" borderId="0" xfId="0" applyFill="1"/>
    <xf numFmtId="0" fontId="0" fillId="6772" borderId="0" xfId="0" applyFill="1"/>
    <xf numFmtId="0" fontId="0" fillId="6773" borderId="0" xfId="0" applyFill="1"/>
    <xf numFmtId="0" fontId="0" fillId="6774" borderId="0" xfId="0" applyFill="1"/>
    <xf numFmtId="0" fontId="0" fillId="6775" borderId="0" xfId="0" applyFill="1"/>
    <xf numFmtId="0" fontId="0" fillId="6776" borderId="0" xfId="0" applyFill="1"/>
    <xf numFmtId="0" fontId="0" fillId="6777" borderId="0" xfId="0" applyFill="1"/>
    <xf numFmtId="0" fontId="0" fillId="6778" borderId="0" xfId="0" applyFill="1"/>
    <xf numFmtId="0" fontId="0" fillId="6779" borderId="0" xfId="0" applyFill="1"/>
    <xf numFmtId="0" fontId="0" fillId="6780" borderId="0" xfId="0" applyFill="1"/>
    <xf numFmtId="0" fontId="0" fillId="6781" borderId="0" xfId="0" applyFill="1"/>
    <xf numFmtId="0" fontId="0" fillId="6782" borderId="0" xfId="0" applyFill="1"/>
    <xf numFmtId="0" fontId="0" fillId="6783" borderId="0" xfId="0" applyFill="1"/>
    <xf numFmtId="0" fontId="0" fillId="6784" borderId="0" xfId="0" applyFill="1"/>
    <xf numFmtId="0" fontId="0" fillId="6785" borderId="0" xfId="0" applyFill="1"/>
    <xf numFmtId="0" fontId="0" fillId="6786" borderId="0" xfId="0" applyFill="1"/>
    <xf numFmtId="0" fontId="0" fillId="6787" borderId="0" xfId="0" applyFill="1"/>
    <xf numFmtId="0" fontId="0" fillId="6788" borderId="0" xfId="0" applyFill="1"/>
    <xf numFmtId="0" fontId="0" fillId="6789" borderId="0" xfId="0" applyFill="1"/>
    <xf numFmtId="0" fontId="0" fillId="6790" borderId="0" xfId="0" applyFill="1"/>
    <xf numFmtId="0" fontId="0" fillId="6791" borderId="0" xfId="0" applyFill="1"/>
    <xf numFmtId="0" fontId="0" fillId="6792" borderId="0" xfId="0" applyFill="1"/>
    <xf numFmtId="0" fontId="0" fillId="6793" borderId="0" xfId="0" applyFill="1"/>
    <xf numFmtId="0" fontId="0" fillId="6794" borderId="0" xfId="0" applyFill="1"/>
    <xf numFmtId="0" fontId="0" fillId="6795" borderId="0" xfId="0" applyFill="1"/>
    <xf numFmtId="0" fontId="0" fillId="6796" borderId="0" xfId="0" applyFill="1"/>
    <xf numFmtId="0" fontId="0" fillId="6797" borderId="0" xfId="0" applyFill="1"/>
    <xf numFmtId="0" fontId="0" fillId="6798" borderId="0" xfId="0" applyFill="1"/>
    <xf numFmtId="0" fontId="0" fillId="6799" borderId="0" xfId="0" applyFill="1"/>
    <xf numFmtId="0" fontId="0" fillId="6800" borderId="0" xfId="0" applyFill="1"/>
    <xf numFmtId="0" fontId="0" fillId="6801" borderId="0" xfId="0" applyFill="1"/>
    <xf numFmtId="0" fontId="0" fillId="6802" borderId="0" xfId="0" applyFill="1"/>
    <xf numFmtId="0" fontId="0" fillId="6803" borderId="0" xfId="0" applyFill="1"/>
    <xf numFmtId="0" fontId="0" fillId="6804" borderId="0" xfId="0" applyFill="1"/>
    <xf numFmtId="0" fontId="0" fillId="6805" borderId="0" xfId="0" applyFill="1"/>
    <xf numFmtId="0" fontId="0" fillId="6806" borderId="0" xfId="0" applyFill="1"/>
    <xf numFmtId="0" fontId="0" fillId="6807" borderId="0" xfId="0" applyFill="1"/>
    <xf numFmtId="0" fontId="0" fillId="6808" borderId="0" xfId="0" applyFill="1"/>
    <xf numFmtId="0" fontId="0" fillId="6809" borderId="0" xfId="0" applyFill="1"/>
    <xf numFmtId="0" fontId="0" fillId="6810" borderId="0" xfId="0" applyFill="1"/>
    <xf numFmtId="0" fontId="0" fillId="6811" borderId="0" xfId="0" applyFill="1"/>
    <xf numFmtId="0" fontId="0" fillId="6812" borderId="0" xfId="0" applyFill="1"/>
    <xf numFmtId="0" fontId="0" fillId="6813" borderId="0" xfId="0" applyFill="1"/>
    <xf numFmtId="0" fontId="0" fillId="6814" borderId="0" xfId="0" applyFill="1"/>
    <xf numFmtId="0" fontId="0" fillId="6815" borderId="0" xfId="0" applyFill="1"/>
    <xf numFmtId="0" fontId="0" fillId="6816" borderId="0" xfId="0" applyFill="1"/>
    <xf numFmtId="0" fontId="0" fillId="6817" borderId="0" xfId="0" applyFill="1"/>
    <xf numFmtId="0" fontId="0" fillId="6818" borderId="0" xfId="0" applyFill="1"/>
    <xf numFmtId="0" fontId="0" fillId="6819" borderId="0" xfId="0" applyFill="1"/>
    <xf numFmtId="0" fontId="0" fillId="6820" borderId="0" xfId="0" applyFill="1"/>
    <xf numFmtId="0" fontId="0" fillId="6821" borderId="0" xfId="0" applyFill="1"/>
    <xf numFmtId="0" fontId="0" fillId="6822" borderId="0" xfId="0" applyFill="1"/>
    <xf numFmtId="0" fontId="0" fillId="6823" borderId="0" xfId="0" applyFill="1"/>
    <xf numFmtId="0" fontId="0" fillId="6824" borderId="0" xfId="0" applyFill="1"/>
    <xf numFmtId="0" fontId="0" fillId="6825" borderId="0" xfId="0" applyFill="1"/>
    <xf numFmtId="0" fontId="0" fillId="6826" borderId="0" xfId="0" applyFill="1"/>
    <xf numFmtId="0" fontId="0" fillId="6827" borderId="0" xfId="0" applyFill="1"/>
    <xf numFmtId="0" fontId="0" fillId="6828" borderId="0" xfId="0" applyFill="1"/>
    <xf numFmtId="0" fontId="0" fillId="6829" borderId="0" xfId="0" applyFill="1"/>
    <xf numFmtId="0" fontId="0" fillId="6830" borderId="0" xfId="0" applyFill="1"/>
    <xf numFmtId="0" fontId="0" fillId="6831" borderId="0" xfId="0" applyFill="1"/>
    <xf numFmtId="0" fontId="0" fillId="6832" borderId="0" xfId="0" applyFill="1"/>
    <xf numFmtId="0" fontId="0" fillId="6833" borderId="0" xfId="0" applyFill="1"/>
    <xf numFmtId="0" fontId="0" fillId="6834" borderId="0" xfId="0" applyFill="1"/>
    <xf numFmtId="0" fontId="0" fillId="6835" borderId="0" xfId="0" applyFill="1"/>
    <xf numFmtId="0" fontId="0" fillId="6836" borderId="0" xfId="0" applyFill="1"/>
    <xf numFmtId="0" fontId="0" fillId="6837" borderId="0" xfId="0" applyFill="1"/>
    <xf numFmtId="0" fontId="0" fillId="6838" borderId="0" xfId="0" applyFill="1"/>
    <xf numFmtId="0" fontId="0" fillId="6839" borderId="0" xfId="0" applyFill="1"/>
    <xf numFmtId="0" fontId="0" fillId="6840" borderId="0" xfId="0" applyFill="1"/>
    <xf numFmtId="0" fontId="0" fillId="6841" borderId="0" xfId="0" applyFill="1"/>
    <xf numFmtId="0" fontId="0" fillId="6842" borderId="0" xfId="0" applyFill="1"/>
    <xf numFmtId="0" fontId="0" fillId="6843" borderId="0" xfId="0" applyFill="1"/>
    <xf numFmtId="0" fontId="0" fillId="6844" borderId="0" xfId="0" applyFill="1"/>
    <xf numFmtId="0" fontId="0" fillId="6845" borderId="0" xfId="0" applyFill="1"/>
    <xf numFmtId="0" fontId="0" fillId="6846" borderId="0" xfId="0" applyFill="1"/>
    <xf numFmtId="0" fontId="0" fillId="6847" borderId="0" xfId="0" applyFill="1"/>
    <xf numFmtId="0" fontId="0" fillId="6848" borderId="0" xfId="0" applyFill="1"/>
    <xf numFmtId="0" fontId="0" fillId="6849" borderId="0" xfId="0" applyFill="1"/>
    <xf numFmtId="0" fontId="0" fillId="6850" borderId="0" xfId="0" applyFill="1"/>
    <xf numFmtId="0" fontId="0" fillId="6851" borderId="0" xfId="0" applyFill="1"/>
    <xf numFmtId="0" fontId="0" fillId="6852" borderId="0" xfId="0" applyFill="1"/>
    <xf numFmtId="0" fontId="0" fillId="6853" borderId="0" xfId="0" applyFill="1"/>
    <xf numFmtId="0" fontId="0" fillId="6854" borderId="0" xfId="0" applyFill="1"/>
    <xf numFmtId="0" fontId="0" fillId="6855" borderId="0" xfId="0" applyFill="1"/>
    <xf numFmtId="0" fontId="0" fillId="6856" borderId="0" xfId="0" applyFill="1"/>
    <xf numFmtId="0" fontId="0" fillId="6857" borderId="0" xfId="0" applyFill="1"/>
    <xf numFmtId="0" fontId="0" fillId="6858" borderId="0" xfId="0" applyFill="1"/>
    <xf numFmtId="0" fontId="0" fillId="6859" borderId="0" xfId="0" applyFill="1"/>
    <xf numFmtId="0" fontId="0" fillId="6860" borderId="0" xfId="0" applyFill="1"/>
    <xf numFmtId="0" fontId="0" fillId="6861" borderId="0" xfId="0" applyFill="1"/>
    <xf numFmtId="0" fontId="0" fillId="6862" borderId="0" xfId="0" applyFill="1"/>
    <xf numFmtId="0" fontId="0" fillId="6863" borderId="0" xfId="0" applyFill="1"/>
    <xf numFmtId="0" fontId="0" fillId="6864" borderId="0" xfId="0" applyFill="1"/>
    <xf numFmtId="0" fontId="0" fillId="6865" borderId="0" xfId="0" applyFill="1"/>
    <xf numFmtId="0" fontId="0" fillId="6866" borderId="0" xfId="0" applyFill="1"/>
    <xf numFmtId="0" fontId="0" fillId="6867" borderId="0" xfId="0" applyFill="1"/>
    <xf numFmtId="0" fontId="0" fillId="6868" borderId="0" xfId="0" applyFill="1"/>
    <xf numFmtId="0" fontId="0" fillId="6869" borderId="0" xfId="0" applyFill="1"/>
    <xf numFmtId="0" fontId="0" fillId="6870" borderId="0" xfId="0" applyFill="1"/>
    <xf numFmtId="0" fontId="0" fillId="6871" borderId="0" xfId="0" applyFill="1"/>
    <xf numFmtId="0" fontId="0" fillId="6872" borderId="0" xfId="0" applyFill="1"/>
    <xf numFmtId="0" fontId="0" fillId="6873" borderId="0" xfId="0" applyFill="1"/>
    <xf numFmtId="0" fontId="0" fillId="6874" borderId="0" xfId="0" applyFill="1"/>
    <xf numFmtId="0" fontId="0" fillId="6875" borderId="0" xfId="0" applyFill="1"/>
    <xf numFmtId="0" fontId="0" fillId="6876" borderId="0" xfId="0" applyFill="1"/>
    <xf numFmtId="0" fontId="0" fillId="6877" borderId="0" xfId="0" applyFill="1"/>
    <xf numFmtId="0" fontId="0" fillId="6878" borderId="0" xfId="0" applyFill="1"/>
    <xf numFmtId="0" fontId="0" fillId="6879" borderId="0" xfId="0" applyFill="1"/>
    <xf numFmtId="0" fontId="0" fillId="6880" borderId="0" xfId="0" applyFill="1"/>
    <xf numFmtId="0" fontId="0" fillId="6881" borderId="0" xfId="0" applyFill="1"/>
    <xf numFmtId="0" fontId="0" fillId="6882" borderId="0" xfId="0" applyFill="1"/>
    <xf numFmtId="0" fontId="0" fillId="6883" borderId="0" xfId="0" applyFill="1"/>
    <xf numFmtId="0" fontId="0" fillId="6884" borderId="0" xfId="0" applyFill="1"/>
    <xf numFmtId="0" fontId="0" fillId="6885" borderId="0" xfId="0" applyFill="1"/>
    <xf numFmtId="0" fontId="0" fillId="6886" borderId="0" xfId="0" applyFill="1"/>
    <xf numFmtId="0" fontId="0" fillId="6887" borderId="0" xfId="0" applyFill="1"/>
    <xf numFmtId="0" fontId="0" fillId="6888" borderId="0" xfId="0" applyFill="1"/>
    <xf numFmtId="0" fontId="0" fillId="6889" borderId="0" xfId="0" applyFill="1"/>
    <xf numFmtId="0" fontId="0" fillId="6890" borderId="0" xfId="0" applyFill="1"/>
    <xf numFmtId="0" fontId="0" fillId="6891" borderId="0" xfId="0" applyFill="1"/>
    <xf numFmtId="0" fontId="0" fillId="6892" borderId="0" xfId="0" applyFill="1"/>
    <xf numFmtId="0" fontId="0" fillId="6893" borderId="0" xfId="0" applyFill="1"/>
    <xf numFmtId="0" fontId="0" fillId="6894" borderId="0" xfId="0" applyFill="1"/>
    <xf numFmtId="0" fontId="0" fillId="6895" borderId="0" xfId="0" applyFill="1"/>
    <xf numFmtId="0" fontId="0" fillId="6896" borderId="0" xfId="0" applyFill="1"/>
    <xf numFmtId="0" fontId="0" fillId="6897" borderId="0" xfId="0" applyFill="1"/>
    <xf numFmtId="0" fontId="0" fillId="6898" borderId="0" xfId="0" applyFill="1"/>
    <xf numFmtId="0" fontId="0" fillId="6899" borderId="0" xfId="0" applyFill="1"/>
    <xf numFmtId="0" fontId="0" fillId="6900" borderId="0" xfId="0" applyFill="1"/>
    <xf numFmtId="0" fontId="0" fillId="6901" borderId="0" xfId="0" applyFill="1"/>
    <xf numFmtId="0" fontId="0" fillId="6902" borderId="0" xfId="0" applyFill="1"/>
    <xf numFmtId="0" fontId="0" fillId="6903" borderId="0" xfId="0" applyFill="1"/>
    <xf numFmtId="0" fontId="0" fillId="6904" borderId="0" xfId="0" applyFill="1"/>
    <xf numFmtId="0" fontId="0" fillId="6905" borderId="0" xfId="0" applyFill="1"/>
    <xf numFmtId="0" fontId="0" fillId="6906" borderId="0" xfId="0" applyFill="1"/>
    <xf numFmtId="0" fontId="0" fillId="6907" borderId="0" xfId="0" applyFill="1"/>
    <xf numFmtId="0" fontId="0" fillId="6908" borderId="0" xfId="0" applyFill="1"/>
    <xf numFmtId="0" fontId="0" fillId="6909" borderId="0" xfId="0" applyFill="1"/>
    <xf numFmtId="0" fontId="0" fillId="6910" borderId="0" xfId="0" applyFill="1"/>
    <xf numFmtId="0" fontId="0" fillId="6911" borderId="0" xfId="0" applyFill="1"/>
    <xf numFmtId="0" fontId="0" fillId="6912" borderId="0" xfId="0" applyFill="1"/>
    <xf numFmtId="0" fontId="0" fillId="6913" borderId="0" xfId="0" applyFill="1"/>
    <xf numFmtId="0" fontId="0" fillId="6914" borderId="0" xfId="0" applyFill="1"/>
    <xf numFmtId="0" fontId="0" fillId="6915" borderId="0" xfId="0" applyFill="1"/>
    <xf numFmtId="0" fontId="0" fillId="6916" borderId="0" xfId="0" applyFill="1"/>
    <xf numFmtId="0" fontId="0" fillId="6917" borderId="0" xfId="0" applyFill="1"/>
    <xf numFmtId="0" fontId="0" fillId="6918" borderId="0" xfId="0" applyFill="1"/>
    <xf numFmtId="0" fontId="0" fillId="6919" borderId="0" xfId="0" applyFill="1"/>
    <xf numFmtId="0" fontId="0" fillId="6920" borderId="0" xfId="0" applyFill="1"/>
    <xf numFmtId="0" fontId="0" fillId="6921" borderId="0" xfId="0" applyFill="1"/>
    <xf numFmtId="0" fontId="0" fillId="6922" borderId="0" xfId="0" applyFill="1"/>
    <xf numFmtId="0" fontId="0" fillId="6923" borderId="0" xfId="0" applyFill="1"/>
    <xf numFmtId="0" fontId="0" fillId="6924" borderId="0" xfId="0" applyFill="1"/>
    <xf numFmtId="0" fontId="0" fillId="6925" borderId="0" xfId="0" applyFill="1"/>
    <xf numFmtId="0" fontId="0" fillId="6926" borderId="0" xfId="0" applyFill="1"/>
    <xf numFmtId="0" fontId="0" fillId="6927" borderId="0" xfId="0" applyFill="1"/>
    <xf numFmtId="0" fontId="0" fillId="6928" borderId="0" xfId="0" applyFill="1"/>
    <xf numFmtId="0" fontId="0" fillId="6929" borderId="0" xfId="0" applyFill="1"/>
    <xf numFmtId="0" fontId="0" fillId="6930" borderId="0" xfId="0" applyFill="1"/>
    <xf numFmtId="0" fontId="0" fillId="6931" borderId="0" xfId="0" applyFill="1"/>
    <xf numFmtId="0" fontId="0" fillId="6932" borderId="0" xfId="0" applyFill="1"/>
    <xf numFmtId="0" fontId="0" fillId="6933" borderId="0" xfId="0" applyFill="1"/>
    <xf numFmtId="0" fontId="0" fillId="6934" borderId="0" xfId="0" applyFill="1"/>
    <xf numFmtId="0" fontId="0" fillId="6935" borderId="0" xfId="0" applyFill="1"/>
    <xf numFmtId="0" fontId="0" fillId="6936" borderId="0" xfId="0" applyFill="1"/>
    <xf numFmtId="0" fontId="0" fillId="6937" borderId="0" xfId="0" applyFill="1"/>
    <xf numFmtId="0" fontId="0" fillId="6938" borderId="0" xfId="0" applyFill="1"/>
    <xf numFmtId="0" fontId="0" fillId="6939" borderId="0" xfId="0" applyFill="1"/>
    <xf numFmtId="0" fontId="0" fillId="6940" borderId="0" xfId="0" applyFill="1"/>
    <xf numFmtId="0" fontId="0" fillId="6941" borderId="0" xfId="0" applyFill="1"/>
    <xf numFmtId="0" fontId="0" fillId="6942" borderId="0" xfId="0" applyFill="1"/>
    <xf numFmtId="0" fontId="0" fillId="6943" borderId="0" xfId="0" applyFill="1"/>
    <xf numFmtId="0" fontId="0" fillId="6944" borderId="0" xfId="0" applyFill="1"/>
    <xf numFmtId="0" fontId="0" fillId="6945" borderId="0" xfId="0" applyFill="1"/>
    <xf numFmtId="0" fontId="0" fillId="6946" borderId="0" xfId="0" applyFill="1"/>
    <xf numFmtId="0" fontId="0" fillId="6947" borderId="0" xfId="0" applyFill="1"/>
    <xf numFmtId="0" fontId="0" fillId="6948" borderId="0" xfId="0" applyFill="1"/>
    <xf numFmtId="0" fontId="0" fillId="6949" borderId="0" xfId="0" applyFill="1"/>
    <xf numFmtId="0" fontId="0" fillId="6950" borderId="0" xfId="0" applyFill="1"/>
    <xf numFmtId="0" fontId="0" fillId="6951" borderId="0" xfId="0" applyFill="1"/>
    <xf numFmtId="0" fontId="0" fillId="6952" borderId="0" xfId="0" applyFill="1"/>
    <xf numFmtId="0" fontId="0" fillId="6953" borderId="0" xfId="0" applyFill="1"/>
    <xf numFmtId="0" fontId="0" fillId="6954" borderId="0" xfId="0" applyFill="1"/>
    <xf numFmtId="0" fontId="0" fillId="6955" borderId="0" xfId="0" applyFill="1"/>
    <xf numFmtId="0" fontId="0" fillId="6956" borderId="0" xfId="0" applyFill="1"/>
    <xf numFmtId="0" fontId="0" fillId="6957" borderId="0" xfId="0" applyFill="1"/>
    <xf numFmtId="0" fontId="0" fillId="6958" borderId="0" xfId="0" applyFill="1"/>
    <xf numFmtId="0" fontId="0" fillId="6959" borderId="0" xfId="0" applyFill="1"/>
    <xf numFmtId="0" fontId="0" fillId="6960" borderId="0" xfId="0" applyFill="1"/>
    <xf numFmtId="0" fontId="0" fillId="6961" borderId="0" xfId="0" applyFill="1"/>
    <xf numFmtId="0" fontId="0" fillId="6962" borderId="0" xfId="0" applyFill="1"/>
    <xf numFmtId="0" fontId="0" fillId="6963" borderId="0" xfId="0" applyFill="1"/>
    <xf numFmtId="0" fontId="0" fillId="6964" borderId="0" xfId="0" applyFill="1"/>
    <xf numFmtId="0" fontId="0" fillId="6965" borderId="0" xfId="0" applyFill="1"/>
    <xf numFmtId="0" fontId="0" fillId="6966" borderId="0" xfId="0" applyFill="1"/>
    <xf numFmtId="0" fontId="0" fillId="6967" borderId="0" xfId="0" applyFill="1"/>
    <xf numFmtId="0" fontId="0" fillId="6968" borderId="0" xfId="0" applyFill="1"/>
    <xf numFmtId="0" fontId="0" fillId="6969" borderId="0" xfId="0" applyFill="1"/>
    <xf numFmtId="0" fontId="0" fillId="6970" borderId="0" xfId="0" applyFill="1"/>
    <xf numFmtId="0" fontId="0" fillId="6971" borderId="0" xfId="0" applyFill="1"/>
    <xf numFmtId="0" fontId="0" fillId="6972" borderId="0" xfId="0" applyFill="1"/>
    <xf numFmtId="0" fontId="0" fillId="6973" borderId="0" xfId="0" applyFill="1"/>
    <xf numFmtId="0" fontId="0" fillId="6974" borderId="0" xfId="0" applyFill="1"/>
    <xf numFmtId="0" fontId="0" fillId="6975" borderId="0" xfId="0" applyFill="1"/>
    <xf numFmtId="0" fontId="0" fillId="6976" borderId="0" xfId="0" applyFill="1"/>
    <xf numFmtId="0" fontId="0" fillId="6977" borderId="0" xfId="0" applyFill="1"/>
    <xf numFmtId="0" fontId="0" fillId="6978" borderId="0" xfId="0" applyFill="1"/>
    <xf numFmtId="0" fontId="0" fillId="6979" borderId="0" xfId="0" applyFill="1"/>
    <xf numFmtId="0" fontId="0" fillId="6980" borderId="0" xfId="0" applyFill="1"/>
    <xf numFmtId="0" fontId="0" fillId="6981" borderId="0" xfId="0" applyFill="1"/>
    <xf numFmtId="0" fontId="0" fillId="6982" borderId="0" xfId="0" applyFill="1"/>
    <xf numFmtId="0" fontId="0" fillId="6983" borderId="0" xfId="0" applyFill="1"/>
    <xf numFmtId="0" fontId="0" fillId="6984" borderId="0" xfId="0" applyFill="1"/>
    <xf numFmtId="0" fontId="0" fillId="6985" borderId="0" xfId="0" applyFill="1"/>
    <xf numFmtId="0" fontId="0" fillId="6986" borderId="0" xfId="0" applyFill="1"/>
    <xf numFmtId="0" fontId="0" fillId="6987" borderId="0" xfId="0" applyFill="1"/>
    <xf numFmtId="0" fontId="0" fillId="6988" borderId="0" xfId="0" applyFill="1"/>
    <xf numFmtId="0" fontId="0" fillId="6989" borderId="0" xfId="0" applyFill="1"/>
    <xf numFmtId="0" fontId="0" fillId="6990" borderId="0" xfId="0" applyFill="1"/>
    <xf numFmtId="0" fontId="0" fillId="6991" borderId="0" xfId="0" applyFill="1"/>
    <xf numFmtId="0" fontId="0" fillId="6992" borderId="0" xfId="0" applyFill="1"/>
    <xf numFmtId="0" fontId="0" fillId="6993" borderId="0" xfId="0" applyFill="1"/>
    <xf numFmtId="0" fontId="0" fillId="6994" borderId="0" xfId="0" applyFill="1"/>
    <xf numFmtId="0" fontId="0" fillId="6995" borderId="0" xfId="0" applyFill="1"/>
    <xf numFmtId="0" fontId="0" fillId="6996" borderId="0" xfId="0" applyFill="1"/>
    <xf numFmtId="0" fontId="0" fillId="6997" borderId="0" xfId="0" applyFill="1"/>
    <xf numFmtId="0" fontId="0" fillId="6998" borderId="0" xfId="0" applyFill="1"/>
    <xf numFmtId="0" fontId="0" fillId="6999" borderId="0" xfId="0" applyFill="1"/>
    <xf numFmtId="0" fontId="0" fillId="7000" borderId="0" xfId="0" applyFill="1"/>
    <xf numFmtId="0" fontId="0" fillId="7001" borderId="0" xfId="0" applyFill="1"/>
    <xf numFmtId="0" fontId="0" fillId="7002" borderId="0" xfId="0" applyFill="1"/>
    <xf numFmtId="0" fontId="0" fillId="7003" borderId="0" xfId="0" applyFill="1"/>
    <xf numFmtId="0" fontId="0" fillId="7004" borderId="0" xfId="0" applyFill="1"/>
    <xf numFmtId="0" fontId="0" fillId="7005" borderId="0" xfId="0" applyFill="1"/>
    <xf numFmtId="0" fontId="0" fillId="7006" borderId="0" xfId="0" applyFill="1"/>
    <xf numFmtId="0" fontId="0" fillId="7007" borderId="0" xfId="0" applyFill="1"/>
    <xf numFmtId="0" fontId="0" fillId="7008" borderId="0" xfId="0" applyFill="1"/>
    <xf numFmtId="0" fontId="0" fillId="7009" borderId="0" xfId="0" applyFill="1"/>
    <xf numFmtId="0" fontId="0" fillId="7010" borderId="0" xfId="0" applyFill="1"/>
    <xf numFmtId="0" fontId="0" fillId="7011" borderId="0" xfId="0" applyFill="1"/>
    <xf numFmtId="0" fontId="0" fillId="7012" borderId="0" xfId="0" applyFill="1"/>
    <xf numFmtId="0" fontId="0" fillId="7013" borderId="0" xfId="0" applyFill="1"/>
    <xf numFmtId="0" fontId="0" fillId="7014" borderId="0" xfId="0" applyFill="1"/>
    <xf numFmtId="0" fontId="0" fillId="7015" borderId="0" xfId="0" applyFill="1"/>
    <xf numFmtId="0" fontId="0" fillId="7016" borderId="0" xfId="0" applyFill="1"/>
    <xf numFmtId="0" fontId="0" fillId="7017" borderId="0" xfId="0" applyFill="1"/>
    <xf numFmtId="0" fontId="0" fillId="7018" borderId="0" xfId="0" applyFill="1"/>
    <xf numFmtId="0" fontId="0" fillId="7019" borderId="0" xfId="0" applyFill="1"/>
    <xf numFmtId="0" fontId="0" fillId="7020" borderId="0" xfId="0" applyFill="1"/>
    <xf numFmtId="0" fontId="0" fillId="7021" borderId="0" xfId="0" applyFill="1"/>
    <xf numFmtId="0" fontId="0" fillId="7022" borderId="0" xfId="0" applyFill="1"/>
    <xf numFmtId="0" fontId="0" fillId="7023" borderId="0" xfId="0" applyFill="1"/>
    <xf numFmtId="0" fontId="0" fillId="7024" borderId="0" xfId="0" applyFill="1"/>
    <xf numFmtId="0" fontId="0" fillId="7025" borderId="0" xfId="0" applyFill="1"/>
    <xf numFmtId="0" fontId="0" fillId="7026" borderId="0" xfId="0" applyFill="1"/>
    <xf numFmtId="0" fontId="0" fillId="7027" borderId="0" xfId="0" applyFill="1"/>
    <xf numFmtId="0" fontId="0" fillId="7028" borderId="0" xfId="0" applyFill="1"/>
    <xf numFmtId="0" fontId="0" fillId="7029" borderId="0" xfId="0" applyFill="1"/>
    <xf numFmtId="0" fontId="0" fillId="7030" borderId="0" xfId="0" applyFill="1"/>
    <xf numFmtId="0" fontId="0" fillId="7031" borderId="0" xfId="0" applyFill="1"/>
    <xf numFmtId="0" fontId="0" fillId="7032" borderId="0" xfId="0" applyFill="1"/>
    <xf numFmtId="0" fontId="0" fillId="7033" borderId="0" xfId="0" applyFill="1"/>
    <xf numFmtId="0" fontId="0" fillId="7034" borderId="0" xfId="0" applyFill="1"/>
    <xf numFmtId="0" fontId="0" fillId="7035" borderId="0" xfId="0" applyFill="1"/>
    <xf numFmtId="0" fontId="0" fillId="7036" borderId="0" xfId="0" applyFill="1"/>
    <xf numFmtId="0" fontId="0" fillId="7037" borderId="0" xfId="0" applyFill="1"/>
    <xf numFmtId="0" fontId="0" fillId="7038" borderId="0" xfId="0" applyFill="1"/>
    <xf numFmtId="0" fontId="0" fillId="7039" borderId="0" xfId="0" applyFill="1"/>
    <xf numFmtId="0" fontId="0" fillId="7040" borderId="0" xfId="0" applyFill="1"/>
    <xf numFmtId="0" fontId="0" fillId="7041" borderId="0" xfId="0" applyFill="1"/>
    <xf numFmtId="0" fontId="0" fillId="7042" borderId="0" xfId="0" applyFill="1"/>
    <xf numFmtId="0" fontId="0" fillId="7043" borderId="0" xfId="0" applyFill="1"/>
    <xf numFmtId="0" fontId="0" fillId="7044" borderId="0" xfId="0" applyFill="1"/>
    <xf numFmtId="0" fontId="0" fillId="7045" borderId="0" xfId="0" applyFill="1"/>
    <xf numFmtId="0" fontId="0" fillId="7046" borderId="0" xfId="0" applyFill="1"/>
    <xf numFmtId="0" fontId="0" fillId="7047" borderId="0" xfId="0" applyFill="1"/>
    <xf numFmtId="0" fontId="0" fillId="7048" borderId="0" xfId="0" applyFill="1"/>
    <xf numFmtId="0" fontId="0" fillId="7049" borderId="0" xfId="0" applyFill="1"/>
    <xf numFmtId="0" fontId="0" fillId="7050" borderId="0" xfId="0" applyFill="1"/>
    <xf numFmtId="0" fontId="0" fillId="7051" borderId="0" xfId="0" applyFill="1"/>
    <xf numFmtId="0" fontId="0" fillId="7052" borderId="0" xfId="0" applyFill="1"/>
    <xf numFmtId="0" fontId="0" fillId="7053" borderId="0" xfId="0" applyFill="1"/>
    <xf numFmtId="0" fontId="0" fillId="7054" borderId="0" xfId="0" applyFill="1"/>
    <xf numFmtId="0" fontId="0" fillId="7055" borderId="0" xfId="0" applyFill="1"/>
    <xf numFmtId="0" fontId="0" fillId="7056" borderId="0" xfId="0" applyFill="1"/>
    <xf numFmtId="0" fontId="0" fillId="7057" borderId="0" xfId="0" applyFill="1"/>
    <xf numFmtId="0" fontId="0" fillId="7058" borderId="0" xfId="0" applyFill="1"/>
    <xf numFmtId="0" fontId="0" fillId="7059" borderId="0" xfId="0" applyFill="1"/>
    <xf numFmtId="0" fontId="0" fillId="7060" borderId="0" xfId="0" applyFill="1"/>
    <xf numFmtId="0" fontId="0" fillId="7061" borderId="0" xfId="0" applyFill="1"/>
    <xf numFmtId="0" fontId="0" fillId="7062" borderId="0" xfId="0" applyFill="1"/>
    <xf numFmtId="0" fontId="0" fillId="7063" borderId="0" xfId="0" applyFill="1"/>
    <xf numFmtId="0" fontId="0" fillId="7064" borderId="0" xfId="0" applyFill="1"/>
    <xf numFmtId="0" fontId="0" fillId="7065" borderId="0" xfId="0" applyFill="1"/>
    <xf numFmtId="0" fontId="0" fillId="7066" borderId="0" xfId="0" applyFill="1"/>
    <xf numFmtId="0" fontId="0" fillId="7067" borderId="0" xfId="0" applyFill="1"/>
    <xf numFmtId="0" fontId="0" fillId="7068" borderId="0" xfId="0" applyFill="1"/>
    <xf numFmtId="0" fontId="0" fillId="7069" borderId="0" xfId="0" applyFill="1"/>
    <xf numFmtId="0" fontId="0" fillId="7070" borderId="0" xfId="0" applyFill="1"/>
    <xf numFmtId="0" fontId="0" fillId="7071" borderId="0" xfId="0" applyFill="1"/>
    <xf numFmtId="0" fontId="0" fillId="7072" borderId="0" xfId="0" applyFill="1"/>
    <xf numFmtId="0" fontId="0" fillId="7073" borderId="0" xfId="0" applyFill="1"/>
    <xf numFmtId="0" fontId="0" fillId="7074" borderId="0" xfId="0" applyFill="1"/>
    <xf numFmtId="0" fontId="0" fillId="7075" borderId="0" xfId="0" applyFill="1"/>
    <xf numFmtId="0" fontId="0" fillId="7076" borderId="0" xfId="0" applyFill="1"/>
    <xf numFmtId="0" fontId="0" fillId="7077" borderId="0" xfId="0" applyFill="1"/>
    <xf numFmtId="0" fontId="0" fillId="7078" borderId="0" xfId="0" applyFill="1"/>
    <xf numFmtId="0" fontId="0" fillId="7079" borderId="0" xfId="0" applyFill="1"/>
    <xf numFmtId="0" fontId="0" fillId="7080" borderId="0" xfId="0" applyFill="1"/>
    <xf numFmtId="0" fontId="0" fillId="7081" borderId="0" xfId="0" applyFill="1"/>
    <xf numFmtId="0" fontId="0" fillId="7082" borderId="0" xfId="0" applyFill="1"/>
    <xf numFmtId="0" fontId="0" fillId="7083" borderId="0" xfId="0" applyFill="1"/>
    <xf numFmtId="0" fontId="0" fillId="7084" borderId="0" xfId="0" applyFill="1"/>
    <xf numFmtId="0" fontId="0" fillId="7085" borderId="0" xfId="0" applyFill="1"/>
    <xf numFmtId="0" fontId="0" fillId="7086" borderId="0" xfId="0" applyFill="1"/>
    <xf numFmtId="0" fontId="0" fillId="7087" borderId="0" xfId="0" applyFill="1"/>
    <xf numFmtId="0" fontId="0" fillId="7088" borderId="0" xfId="0" applyFill="1"/>
    <xf numFmtId="0" fontId="0" fillId="7089" borderId="0" xfId="0" applyFill="1"/>
    <xf numFmtId="0" fontId="0" fillId="7090" borderId="0" xfId="0" applyFill="1"/>
    <xf numFmtId="0" fontId="0" fillId="7091" borderId="0" xfId="0" applyFill="1"/>
    <xf numFmtId="0" fontId="0" fillId="7092" borderId="0" xfId="0" applyFill="1"/>
    <xf numFmtId="0" fontId="0" fillId="7093" borderId="0" xfId="0" applyFill="1"/>
    <xf numFmtId="0" fontId="0" fillId="7094" borderId="0" xfId="0" applyFill="1"/>
    <xf numFmtId="0" fontId="0" fillId="7095" borderId="0" xfId="0" applyFill="1"/>
    <xf numFmtId="0" fontId="0" fillId="7096" borderId="0" xfId="0" applyFill="1"/>
    <xf numFmtId="0" fontId="0" fillId="7097" borderId="0" xfId="0" applyFill="1"/>
    <xf numFmtId="0" fontId="0" fillId="7098" borderId="0" xfId="0" applyFill="1"/>
    <xf numFmtId="0" fontId="0" fillId="7099" borderId="0" xfId="0" applyFill="1"/>
    <xf numFmtId="0" fontId="0" fillId="7100" borderId="0" xfId="0" applyFill="1"/>
    <xf numFmtId="0" fontId="0" fillId="7101" borderId="0" xfId="0" applyFill="1"/>
    <xf numFmtId="0" fontId="0" fillId="7102" borderId="0" xfId="0" applyFill="1"/>
    <xf numFmtId="0" fontId="0" fillId="7103" borderId="0" xfId="0" applyFill="1"/>
    <xf numFmtId="0" fontId="0" fillId="7104" borderId="0" xfId="0" applyFill="1"/>
    <xf numFmtId="0" fontId="0" fillId="7105" borderId="0" xfId="0" applyFill="1"/>
    <xf numFmtId="0" fontId="0" fillId="7106" borderId="0" xfId="0" applyFill="1"/>
    <xf numFmtId="0" fontId="0" fillId="7107" borderId="0" xfId="0" applyFill="1"/>
    <xf numFmtId="0" fontId="0" fillId="7108" borderId="0" xfId="0" applyFill="1"/>
    <xf numFmtId="0" fontId="0" fillId="7109" borderId="0" xfId="0" applyFill="1"/>
    <xf numFmtId="0" fontId="0" fillId="7110" borderId="0" xfId="0" applyFill="1"/>
    <xf numFmtId="0" fontId="0" fillId="7111" borderId="0" xfId="0" applyFill="1"/>
    <xf numFmtId="0" fontId="0" fillId="7112" borderId="0" xfId="0" applyFill="1"/>
    <xf numFmtId="0" fontId="0" fillId="7113" borderId="0" xfId="0" applyFill="1"/>
    <xf numFmtId="0" fontId="0" fillId="7114" borderId="0" xfId="0" applyFill="1"/>
    <xf numFmtId="0" fontId="0" fillId="7115" borderId="0" xfId="0" applyFill="1"/>
    <xf numFmtId="0" fontId="0" fillId="7116" borderId="0" xfId="0" applyFill="1"/>
    <xf numFmtId="0" fontId="0" fillId="7117" borderId="0" xfId="0" applyFill="1"/>
    <xf numFmtId="0" fontId="0" fillId="7118" borderId="0" xfId="0" applyFill="1"/>
    <xf numFmtId="0" fontId="0" fillId="7119" borderId="0" xfId="0" applyFill="1"/>
    <xf numFmtId="0" fontId="0" fillId="7120" borderId="0" xfId="0" applyFill="1"/>
    <xf numFmtId="0" fontId="0" fillId="7121" borderId="0" xfId="0" applyFill="1"/>
    <xf numFmtId="0" fontId="0" fillId="7122" borderId="0" xfId="0" applyFill="1"/>
    <xf numFmtId="0" fontId="0" fillId="7123" borderId="0" xfId="0" applyFill="1"/>
    <xf numFmtId="0" fontId="0" fillId="7124" borderId="0" xfId="0" applyFill="1"/>
    <xf numFmtId="0" fontId="0" fillId="7125" borderId="0" xfId="0" applyFill="1"/>
    <xf numFmtId="0" fontId="0" fillId="7126" borderId="0" xfId="0" applyFill="1"/>
    <xf numFmtId="0" fontId="0" fillId="7127" borderId="0" xfId="0" applyFill="1"/>
    <xf numFmtId="0" fontId="0" fillId="7128" borderId="0" xfId="0" applyFill="1"/>
    <xf numFmtId="0" fontId="0" fillId="7129" borderId="0" xfId="0" applyFill="1"/>
    <xf numFmtId="0" fontId="0" fillId="7130" borderId="0" xfId="0" applyFill="1"/>
    <xf numFmtId="0" fontId="0" fillId="7131" borderId="0" xfId="0" applyFill="1"/>
    <xf numFmtId="0" fontId="0" fillId="7132" borderId="0" xfId="0" applyFill="1"/>
    <xf numFmtId="0" fontId="0" fillId="7133" borderId="0" xfId="0" applyFill="1"/>
    <xf numFmtId="0" fontId="0" fillId="7134" borderId="0" xfId="0" applyFill="1"/>
    <xf numFmtId="0" fontId="0" fillId="7135" borderId="0" xfId="0" applyFill="1"/>
    <xf numFmtId="0" fontId="0" fillId="7136" borderId="0" xfId="0" applyFill="1"/>
    <xf numFmtId="0" fontId="0" fillId="7137" borderId="0" xfId="0" applyFill="1"/>
    <xf numFmtId="0" fontId="0" fillId="7138" borderId="0" xfId="0" applyFill="1"/>
    <xf numFmtId="0" fontId="0" fillId="7139" borderId="0" xfId="0" applyFill="1"/>
    <xf numFmtId="0" fontId="0" fillId="7140" borderId="0" xfId="0" applyFill="1"/>
    <xf numFmtId="0" fontId="0" fillId="7141" borderId="0" xfId="0" applyFill="1"/>
    <xf numFmtId="0" fontId="0" fillId="7142" borderId="0" xfId="0" applyFill="1"/>
    <xf numFmtId="0" fontId="0" fillId="7143" borderId="0" xfId="0" applyFill="1"/>
    <xf numFmtId="0" fontId="0" fillId="7144" borderId="0" xfId="0" applyFill="1"/>
    <xf numFmtId="0" fontId="0" fillId="7145" borderId="0" xfId="0" applyFill="1"/>
    <xf numFmtId="0" fontId="0" fillId="7146" borderId="0" xfId="0" applyFill="1"/>
    <xf numFmtId="0" fontId="0" fillId="7147" borderId="0" xfId="0" applyFill="1"/>
    <xf numFmtId="0" fontId="0" fillId="7148" borderId="0" xfId="0" applyFill="1"/>
    <xf numFmtId="0" fontId="0" fillId="7149" borderId="0" xfId="0" applyFill="1"/>
    <xf numFmtId="0" fontId="0" fillId="7150" borderId="0" xfId="0" applyFill="1"/>
    <xf numFmtId="0" fontId="0" fillId="7151" borderId="0" xfId="0" applyFill="1"/>
    <xf numFmtId="0" fontId="0" fillId="7152" borderId="0" xfId="0" applyFill="1"/>
    <xf numFmtId="0" fontId="0" fillId="7153" borderId="0" xfId="0" applyFill="1"/>
    <xf numFmtId="0" fontId="0" fillId="7154" borderId="0" xfId="0" applyFill="1"/>
    <xf numFmtId="0" fontId="0" fillId="7155" borderId="0" xfId="0" applyFill="1"/>
    <xf numFmtId="0" fontId="0" fillId="7156" borderId="0" xfId="0" applyFill="1"/>
    <xf numFmtId="0" fontId="0" fillId="7157" borderId="0" xfId="0" applyFill="1"/>
    <xf numFmtId="0" fontId="0" fillId="7158" borderId="0" xfId="0" applyFill="1"/>
    <xf numFmtId="0" fontId="0" fillId="7159" borderId="0" xfId="0" applyFill="1"/>
    <xf numFmtId="0" fontId="0" fillId="7160" borderId="0" xfId="0" applyFill="1"/>
    <xf numFmtId="0" fontId="0" fillId="7161" borderId="0" xfId="0" applyFill="1"/>
    <xf numFmtId="0" fontId="0" fillId="7162" borderId="0" xfId="0" applyFill="1"/>
    <xf numFmtId="0" fontId="0" fillId="7163" borderId="0" xfId="0" applyFill="1"/>
    <xf numFmtId="0" fontId="0" fillId="7164" borderId="0" xfId="0" applyFill="1"/>
    <xf numFmtId="0" fontId="0" fillId="7165" borderId="0" xfId="0" applyFill="1"/>
    <xf numFmtId="0" fontId="0" fillId="7166" borderId="0" xfId="0" applyFill="1"/>
    <xf numFmtId="0" fontId="0" fillId="7167" borderId="0" xfId="0" applyFill="1"/>
    <xf numFmtId="0" fontId="0" fillId="7168" borderId="0" xfId="0" applyFill="1"/>
    <xf numFmtId="0" fontId="0" fillId="7169" borderId="0" xfId="0" applyFill="1"/>
    <xf numFmtId="0" fontId="0" fillId="7170" borderId="0" xfId="0" applyFill="1"/>
    <xf numFmtId="0" fontId="0" fillId="7171" borderId="0" xfId="0" applyFill="1"/>
    <xf numFmtId="0" fontId="0" fillId="7172" borderId="0" xfId="0" applyFill="1"/>
    <xf numFmtId="0" fontId="0" fillId="7173" borderId="0" xfId="0" applyFill="1"/>
    <xf numFmtId="0" fontId="0" fillId="7174" borderId="0" xfId="0" applyFill="1"/>
    <xf numFmtId="0" fontId="0" fillId="7175" borderId="0" xfId="0" applyFill="1"/>
    <xf numFmtId="0" fontId="0" fillId="7176" borderId="0" xfId="0" applyFill="1"/>
    <xf numFmtId="0" fontId="0" fillId="7177" borderId="0" xfId="0" applyFill="1"/>
    <xf numFmtId="0" fontId="0" fillId="7178" borderId="0" xfId="0" applyFill="1"/>
    <xf numFmtId="0" fontId="0" fillId="7179" borderId="0" xfId="0" applyFill="1"/>
    <xf numFmtId="0" fontId="0" fillId="7180" borderId="0" xfId="0" applyFill="1"/>
    <xf numFmtId="0" fontId="0" fillId="7181" borderId="0" xfId="0" applyFill="1"/>
    <xf numFmtId="0" fontId="0" fillId="7182" borderId="0" xfId="0" applyFill="1"/>
    <xf numFmtId="0" fontId="0" fillId="7183" borderId="0" xfId="0" applyFill="1"/>
    <xf numFmtId="0" fontId="0" fillId="7184" borderId="0" xfId="0" applyFill="1"/>
    <xf numFmtId="0" fontId="0" fillId="7185" borderId="0" xfId="0" applyFill="1"/>
    <xf numFmtId="0" fontId="0" fillId="7186" borderId="0" xfId="0" applyFill="1"/>
    <xf numFmtId="0" fontId="0" fillId="7187" borderId="0" xfId="0" applyFill="1"/>
    <xf numFmtId="0" fontId="0" fillId="7188" borderId="0" xfId="0" applyFill="1"/>
    <xf numFmtId="0" fontId="0" fillId="7189" borderId="0" xfId="0" applyFill="1"/>
    <xf numFmtId="0" fontId="0" fillId="7190" borderId="0" xfId="0" applyFill="1"/>
    <xf numFmtId="0" fontId="0" fillId="7191" borderId="0" xfId="0" applyFill="1"/>
    <xf numFmtId="0" fontId="0" fillId="7192" borderId="0" xfId="0" applyFill="1"/>
    <xf numFmtId="0" fontId="0" fillId="7193" borderId="0" xfId="0" applyFill="1"/>
    <xf numFmtId="0" fontId="0" fillId="7194" borderId="0" xfId="0" applyFill="1"/>
    <xf numFmtId="0" fontId="0" fillId="7195" borderId="0" xfId="0" applyFill="1"/>
    <xf numFmtId="0" fontId="0" fillId="7196" borderId="0" xfId="0" applyFill="1"/>
    <xf numFmtId="0" fontId="0" fillId="7197" borderId="0" xfId="0" applyFill="1"/>
    <xf numFmtId="0" fontId="0" fillId="7198" borderId="0" xfId="0" applyFill="1"/>
    <xf numFmtId="0" fontId="0" fillId="7199" borderId="0" xfId="0" applyFill="1"/>
    <xf numFmtId="0" fontId="0" fillId="7200" borderId="0" xfId="0" applyFill="1"/>
    <xf numFmtId="0" fontId="0" fillId="7201" borderId="0" xfId="0" applyFill="1"/>
    <xf numFmtId="0" fontId="0" fillId="7202" borderId="0" xfId="0" applyFill="1"/>
    <xf numFmtId="0" fontId="0" fillId="7203" borderId="0" xfId="0" applyFill="1"/>
    <xf numFmtId="0" fontId="0" fillId="7204" borderId="0" xfId="0" applyFill="1"/>
    <xf numFmtId="0" fontId="0" fillId="7205" borderId="0" xfId="0" applyFill="1"/>
    <xf numFmtId="0" fontId="0" fillId="7206" borderId="0" xfId="0" applyFill="1"/>
    <xf numFmtId="0" fontId="0" fillId="7207" borderId="0" xfId="0" applyFill="1"/>
    <xf numFmtId="0" fontId="0" fillId="7208" borderId="0" xfId="0" applyFill="1"/>
    <xf numFmtId="0" fontId="0" fillId="7209" borderId="0" xfId="0" applyFill="1"/>
    <xf numFmtId="0" fontId="0" fillId="7210" borderId="0" xfId="0" applyFill="1"/>
    <xf numFmtId="0" fontId="0" fillId="7211" borderId="0" xfId="0" applyFill="1"/>
    <xf numFmtId="0" fontId="0" fillId="7212" borderId="0" xfId="0" applyFill="1"/>
    <xf numFmtId="0" fontId="0" fillId="7213" borderId="0" xfId="0" applyFill="1"/>
    <xf numFmtId="0" fontId="0" fillId="7214" borderId="0" xfId="0" applyFill="1"/>
    <xf numFmtId="0" fontId="0" fillId="7215" borderId="0" xfId="0" applyFill="1"/>
    <xf numFmtId="0" fontId="0" fillId="7216" borderId="0" xfId="0" applyFill="1"/>
    <xf numFmtId="0" fontId="0" fillId="7217" borderId="0" xfId="0" applyFill="1"/>
    <xf numFmtId="0" fontId="0" fillId="7218" borderId="0" xfId="0" applyFill="1"/>
    <xf numFmtId="0" fontId="0" fillId="7219" borderId="0" xfId="0" applyFill="1"/>
    <xf numFmtId="0" fontId="0" fillId="7220" borderId="0" xfId="0" applyFill="1"/>
    <xf numFmtId="0" fontId="0" fillId="7221" borderId="0" xfId="0" applyFill="1"/>
    <xf numFmtId="0" fontId="0" fillId="7222" borderId="0" xfId="0" applyFill="1"/>
    <xf numFmtId="0" fontId="0" fillId="7223" borderId="0" xfId="0" applyFill="1"/>
    <xf numFmtId="0" fontId="0" fillId="7224" borderId="0" xfId="0" applyFill="1"/>
    <xf numFmtId="0" fontId="0" fillId="7225" borderId="0" xfId="0" applyFill="1"/>
    <xf numFmtId="0" fontId="0" fillId="7226" borderId="0" xfId="0" applyFill="1"/>
    <xf numFmtId="0" fontId="0" fillId="7227" borderId="0" xfId="0" applyFill="1"/>
    <xf numFmtId="0" fontId="0" fillId="7228" borderId="0" xfId="0" applyFill="1"/>
    <xf numFmtId="0" fontId="0" fillId="7229" borderId="0" xfId="0" applyFill="1"/>
    <xf numFmtId="0" fontId="0" fillId="7230" borderId="0" xfId="0" applyFill="1"/>
    <xf numFmtId="0" fontId="0" fillId="7231" borderId="0" xfId="0" applyFill="1"/>
    <xf numFmtId="0" fontId="0" fillId="7232" borderId="0" xfId="0" applyFill="1"/>
    <xf numFmtId="0" fontId="0" fillId="7233" borderId="0" xfId="0" applyFill="1"/>
    <xf numFmtId="0" fontId="0" fillId="7234" borderId="0" xfId="0" applyFill="1"/>
    <xf numFmtId="0" fontId="0" fillId="7235" borderId="0" xfId="0" applyFill="1"/>
    <xf numFmtId="0" fontId="0" fillId="7236" borderId="0" xfId="0" applyFill="1"/>
    <xf numFmtId="0" fontId="0" fillId="7237" borderId="0" xfId="0" applyFill="1"/>
    <xf numFmtId="0" fontId="0" fillId="7238" borderId="0" xfId="0" applyFill="1"/>
    <xf numFmtId="0" fontId="0" fillId="7239" borderId="0" xfId="0" applyFill="1"/>
    <xf numFmtId="0" fontId="0" fillId="7240" borderId="0" xfId="0" applyFill="1"/>
    <xf numFmtId="0" fontId="0" fillId="7241" borderId="0" xfId="0" applyFill="1"/>
    <xf numFmtId="0" fontId="0" fillId="7242" borderId="0" xfId="0" applyFill="1"/>
    <xf numFmtId="0" fontId="0" fillId="7243" borderId="0" xfId="0" applyFill="1"/>
    <xf numFmtId="0" fontId="0" fillId="7244" borderId="0" xfId="0" applyFill="1"/>
    <xf numFmtId="0" fontId="0" fillId="7245" borderId="0" xfId="0" applyFill="1"/>
    <xf numFmtId="0" fontId="0" fillId="7246" borderId="0" xfId="0" applyFill="1"/>
    <xf numFmtId="0" fontId="0" fillId="7247" borderId="0" xfId="0" applyFill="1"/>
    <xf numFmtId="0" fontId="0" fillId="7248" borderId="0" xfId="0" applyFill="1"/>
    <xf numFmtId="0" fontId="0" fillId="7249" borderId="0" xfId="0" applyFill="1"/>
    <xf numFmtId="0" fontId="0" fillId="7250" borderId="0" xfId="0" applyFill="1"/>
    <xf numFmtId="0" fontId="0" fillId="7251" borderId="0" xfId="0" applyFill="1"/>
    <xf numFmtId="0" fontId="0" fillId="7252" borderId="0" xfId="0" applyFill="1"/>
    <xf numFmtId="0" fontId="0" fillId="7253" borderId="0" xfId="0" applyFill="1"/>
    <xf numFmtId="0" fontId="0" fillId="7254" borderId="0" xfId="0" applyFill="1"/>
    <xf numFmtId="0" fontId="0" fillId="7255" borderId="0" xfId="0" applyFill="1"/>
    <xf numFmtId="0" fontId="0" fillId="7256" borderId="0" xfId="0" applyFill="1"/>
    <xf numFmtId="0" fontId="0" fillId="7257" borderId="0" xfId="0" applyFill="1"/>
    <xf numFmtId="0" fontId="0" fillId="7258" borderId="0" xfId="0" applyFill="1"/>
    <xf numFmtId="0" fontId="0" fillId="7259" borderId="0" xfId="0" applyFill="1"/>
    <xf numFmtId="0" fontId="0" fillId="7260" borderId="0" xfId="0" applyFill="1"/>
    <xf numFmtId="0" fontId="0" fillId="7261" borderId="0" xfId="0" applyFill="1"/>
    <xf numFmtId="0" fontId="0" fillId="7262" borderId="0" xfId="0" applyFill="1"/>
    <xf numFmtId="0" fontId="0" fillId="7263" borderId="0" xfId="0" applyFill="1"/>
    <xf numFmtId="0" fontId="0" fillId="7264" borderId="0" xfId="0" applyFill="1"/>
    <xf numFmtId="0" fontId="0" fillId="7265" borderId="0" xfId="0" applyFill="1"/>
    <xf numFmtId="0" fontId="0" fillId="7266" borderId="0" xfId="0" applyFill="1"/>
    <xf numFmtId="0" fontId="0" fillId="7267" borderId="0" xfId="0" applyFill="1"/>
    <xf numFmtId="0" fontId="0" fillId="7268" borderId="0" xfId="0" applyFill="1"/>
    <xf numFmtId="0" fontId="0" fillId="7269" borderId="0" xfId="0" applyFill="1"/>
    <xf numFmtId="0" fontId="0" fillId="7270" borderId="0" xfId="0" applyFill="1"/>
    <xf numFmtId="0" fontId="0" fillId="7271" borderId="0" xfId="0" applyFill="1"/>
    <xf numFmtId="0" fontId="0" fillId="7272" borderId="0" xfId="0" applyFill="1"/>
    <xf numFmtId="0" fontId="0" fillId="7273" borderId="0" xfId="0" applyFill="1"/>
    <xf numFmtId="0" fontId="0" fillId="7274" borderId="0" xfId="0" applyFill="1"/>
    <xf numFmtId="0" fontId="0" fillId="7275" borderId="0" xfId="0" applyFill="1"/>
    <xf numFmtId="0" fontId="0" fillId="7276" borderId="0" xfId="0" applyFill="1"/>
    <xf numFmtId="0" fontId="0" fillId="7277" borderId="0" xfId="0" applyFill="1"/>
    <xf numFmtId="0" fontId="0" fillId="7278" borderId="0" xfId="0" applyFill="1"/>
    <xf numFmtId="0" fontId="0" fillId="7279" borderId="0" xfId="0" applyFill="1"/>
    <xf numFmtId="0" fontId="0" fillId="7280" borderId="0" xfId="0" applyFill="1"/>
    <xf numFmtId="0" fontId="0" fillId="7281" borderId="0" xfId="0" applyFill="1"/>
    <xf numFmtId="0" fontId="0" fillId="7282" borderId="0" xfId="0" applyFill="1"/>
    <xf numFmtId="0" fontId="0" fillId="7283" borderId="0" xfId="0" applyFill="1"/>
    <xf numFmtId="0" fontId="0" fillId="7284" borderId="0" xfId="0" applyFill="1"/>
    <xf numFmtId="0" fontId="0" fillId="7285" borderId="0" xfId="0" applyFill="1"/>
    <xf numFmtId="0" fontId="0" fillId="7286" borderId="0" xfId="0" applyFill="1"/>
    <xf numFmtId="0" fontId="0" fillId="7287" borderId="0" xfId="0" applyFill="1"/>
    <xf numFmtId="0" fontId="0" fillId="7288" borderId="0" xfId="0" applyFill="1"/>
    <xf numFmtId="0" fontId="0" fillId="7289" borderId="0" xfId="0" applyFill="1"/>
    <xf numFmtId="0" fontId="0" fillId="7290" borderId="0" xfId="0" applyFill="1"/>
    <xf numFmtId="0" fontId="0" fillId="7291" borderId="0" xfId="0" applyFill="1"/>
    <xf numFmtId="0" fontId="0" fillId="7292" borderId="0" xfId="0" applyFill="1"/>
    <xf numFmtId="0" fontId="0" fillId="7293" borderId="0" xfId="0" applyFill="1"/>
    <xf numFmtId="0" fontId="0" fillId="7294" borderId="0" xfId="0" applyFill="1"/>
    <xf numFmtId="0" fontId="0" fillId="7295" borderId="0" xfId="0" applyFill="1"/>
    <xf numFmtId="0" fontId="0" fillId="7296" borderId="0" xfId="0" applyFill="1"/>
    <xf numFmtId="0" fontId="0" fillId="7297" borderId="0" xfId="0" applyFill="1"/>
    <xf numFmtId="0" fontId="0" fillId="7298" borderId="0" xfId="0" applyFill="1"/>
    <xf numFmtId="0" fontId="0" fillId="7299" borderId="0" xfId="0" applyFill="1"/>
    <xf numFmtId="0" fontId="0" fillId="7300" borderId="0" xfId="0" applyFill="1"/>
    <xf numFmtId="0" fontId="0" fillId="7301" borderId="0" xfId="0" applyFill="1"/>
    <xf numFmtId="0" fontId="0" fillId="7302" borderId="0" xfId="0" applyFill="1"/>
    <xf numFmtId="0" fontId="0" fillId="7303" borderId="0" xfId="0" applyFill="1"/>
    <xf numFmtId="0" fontId="0" fillId="7304" borderId="0" xfId="0" applyFill="1"/>
    <xf numFmtId="0" fontId="0" fillId="7305" borderId="0" xfId="0" applyFill="1"/>
    <xf numFmtId="0" fontId="0" fillId="7306" borderId="0" xfId="0" applyFill="1"/>
    <xf numFmtId="0" fontId="0" fillId="7307" borderId="0" xfId="0" applyFill="1"/>
    <xf numFmtId="0" fontId="0" fillId="7308" borderId="0" xfId="0" applyFill="1"/>
    <xf numFmtId="0" fontId="0" fillId="7309" borderId="0" xfId="0" applyFill="1"/>
    <xf numFmtId="0" fontId="0" fillId="7310" borderId="0" xfId="0" applyFill="1"/>
    <xf numFmtId="0" fontId="0" fillId="7311" borderId="0" xfId="0" applyFill="1"/>
    <xf numFmtId="0" fontId="0" fillId="7312" borderId="0" xfId="0" applyFill="1"/>
    <xf numFmtId="0" fontId="0" fillId="7313" borderId="0" xfId="0" applyFill="1"/>
    <xf numFmtId="0" fontId="0" fillId="7314" borderId="0" xfId="0" applyFill="1"/>
    <xf numFmtId="0" fontId="0" fillId="7315" borderId="0" xfId="0" applyFill="1"/>
    <xf numFmtId="0" fontId="0" fillId="7316" borderId="0" xfId="0" applyFill="1"/>
    <xf numFmtId="0" fontId="0" fillId="7317" borderId="0" xfId="0" applyFill="1"/>
    <xf numFmtId="0" fontId="0" fillId="7318" borderId="0" xfId="0" applyFill="1"/>
    <xf numFmtId="0" fontId="0" fillId="7319" borderId="0" xfId="0" applyFill="1"/>
    <xf numFmtId="0" fontId="0" fillId="7320" borderId="0" xfId="0" applyFill="1"/>
    <xf numFmtId="0" fontId="0" fillId="7321" borderId="0" xfId="0" applyFill="1"/>
    <xf numFmtId="0" fontId="0" fillId="7322" borderId="0" xfId="0" applyFill="1"/>
    <xf numFmtId="0" fontId="0" fillId="7323" borderId="0" xfId="0" applyFill="1"/>
    <xf numFmtId="0" fontId="0" fillId="7324" borderId="0" xfId="0" applyFill="1"/>
    <xf numFmtId="0" fontId="0" fillId="7325" borderId="0" xfId="0" applyFill="1"/>
    <xf numFmtId="0" fontId="0" fillId="7326" borderId="0" xfId="0" applyFill="1"/>
    <xf numFmtId="0" fontId="0" fillId="7327" borderId="0" xfId="0" applyFill="1"/>
    <xf numFmtId="0" fontId="0" fillId="7328" borderId="0" xfId="0" applyFill="1"/>
    <xf numFmtId="0" fontId="0" fillId="7329" borderId="0" xfId="0" applyFill="1"/>
    <xf numFmtId="0" fontId="0" fillId="7330" borderId="0" xfId="0" applyFill="1"/>
    <xf numFmtId="0" fontId="0" fillId="7331" borderId="0" xfId="0" applyFill="1"/>
    <xf numFmtId="0" fontId="0" fillId="7332" borderId="0" xfId="0" applyFill="1"/>
    <xf numFmtId="0" fontId="0" fillId="7333" borderId="0" xfId="0" applyFill="1"/>
    <xf numFmtId="0" fontId="0" fillId="7334" borderId="0" xfId="0" applyFill="1"/>
    <xf numFmtId="0" fontId="0" fillId="7335" borderId="0" xfId="0" applyFill="1"/>
    <xf numFmtId="0" fontId="0" fillId="7336" borderId="0" xfId="0" applyFill="1"/>
    <xf numFmtId="0" fontId="0" fillId="7337" borderId="0" xfId="0" applyFill="1"/>
    <xf numFmtId="0" fontId="0" fillId="7338" borderId="0" xfId="0" applyFill="1"/>
    <xf numFmtId="0" fontId="0" fillId="7339" borderId="0" xfId="0" applyFill="1"/>
    <xf numFmtId="0" fontId="0" fillId="7340" borderId="0" xfId="0" applyFill="1"/>
    <xf numFmtId="0" fontId="0" fillId="7341" borderId="0" xfId="0" applyFill="1"/>
    <xf numFmtId="0" fontId="0" fillId="7342" borderId="0" xfId="0" applyFill="1"/>
    <xf numFmtId="0" fontId="0" fillId="7343" borderId="0" xfId="0" applyFill="1"/>
    <xf numFmtId="0" fontId="0" fillId="7344" borderId="0" xfId="0" applyFill="1"/>
    <xf numFmtId="0" fontId="0" fillId="7345" borderId="0" xfId="0" applyFill="1"/>
    <xf numFmtId="0" fontId="0" fillId="7346" borderId="0" xfId="0" applyFill="1"/>
    <xf numFmtId="0" fontId="0" fillId="7347" borderId="0" xfId="0" applyFill="1"/>
    <xf numFmtId="0" fontId="0" fillId="7348" borderId="0" xfId="0" applyFill="1"/>
    <xf numFmtId="0" fontId="0" fillId="7349" borderId="0" xfId="0" applyFill="1"/>
    <xf numFmtId="0" fontId="0" fillId="7350" borderId="0" xfId="0" applyFill="1"/>
    <xf numFmtId="0" fontId="0" fillId="7351" borderId="0" xfId="0" applyFill="1"/>
    <xf numFmtId="0" fontId="0" fillId="7352" borderId="0" xfId="0" applyFill="1"/>
    <xf numFmtId="0" fontId="0" fillId="7353" borderId="0" xfId="0" applyFill="1"/>
    <xf numFmtId="0" fontId="0" fillId="7354" borderId="0" xfId="0" applyFill="1"/>
    <xf numFmtId="0" fontId="0" fillId="7355" borderId="0" xfId="0" applyFill="1"/>
    <xf numFmtId="0" fontId="0" fillId="7356" borderId="0" xfId="0" applyFill="1"/>
    <xf numFmtId="0" fontId="0" fillId="7357" borderId="0" xfId="0" applyFill="1"/>
    <xf numFmtId="0" fontId="0" fillId="7358" borderId="0" xfId="0" applyFill="1"/>
    <xf numFmtId="0" fontId="0" fillId="7359" borderId="0" xfId="0" applyFill="1"/>
    <xf numFmtId="0" fontId="0" fillId="7360" borderId="0" xfId="0" applyFill="1"/>
    <xf numFmtId="0" fontId="0" fillId="7361" borderId="0" xfId="0" applyFill="1"/>
    <xf numFmtId="0" fontId="0" fillId="7362" borderId="0" xfId="0" applyFill="1"/>
    <xf numFmtId="0" fontId="0" fillId="7363" borderId="0" xfId="0" applyFill="1"/>
    <xf numFmtId="0" fontId="0" fillId="7364" borderId="0" xfId="0" applyFill="1"/>
    <xf numFmtId="0" fontId="0" fillId="7365" borderId="0" xfId="0" applyFill="1"/>
    <xf numFmtId="0" fontId="0" fillId="7366" borderId="0" xfId="0" applyFill="1"/>
    <xf numFmtId="0" fontId="0" fillId="7367" borderId="0" xfId="0" applyFill="1"/>
    <xf numFmtId="0" fontId="0" fillId="7368" borderId="0" xfId="0" applyFill="1"/>
    <xf numFmtId="0" fontId="0" fillId="7369" borderId="0" xfId="0" applyFill="1"/>
    <xf numFmtId="0" fontId="0" fillId="7370" borderId="0" xfId="0" applyFill="1"/>
    <xf numFmtId="0" fontId="0" fillId="7371" borderId="0" xfId="0" applyFill="1"/>
    <xf numFmtId="0" fontId="0" fillId="7372" borderId="0" xfId="0" applyFill="1"/>
    <xf numFmtId="0" fontId="0" fillId="7373" borderId="0" xfId="0" applyFill="1"/>
    <xf numFmtId="0" fontId="0" fillId="7374" borderId="0" xfId="0" applyFill="1"/>
    <xf numFmtId="0" fontId="0" fillId="7375" borderId="0" xfId="0" applyFill="1"/>
    <xf numFmtId="0" fontId="0" fillId="7376" borderId="0" xfId="0" applyFill="1"/>
    <xf numFmtId="0" fontId="0" fillId="7377" borderId="0" xfId="0" applyFill="1"/>
    <xf numFmtId="0" fontId="0" fillId="7378" borderId="0" xfId="0" applyFill="1"/>
    <xf numFmtId="0" fontId="0" fillId="7379" borderId="0" xfId="0" applyFill="1"/>
    <xf numFmtId="0" fontId="0" fillId="7380" borderId="0" xfId="0" applyFill="1"/>
    <xf numFmtId="0" fontId="0" fillId="7381" borderId="0" xfId="0" applyFill="1"/>
    <xf numFmtId="0" fontId="0" fillId="7382" borderId="0" xfId="0" applyFill="1"/>
    <xf numFmtId="0" fontId="0" fillId="7383" borderId="0" xfId="0" applyFill="1"/>
    <xf numFmtId="0" fontId="0" fillId="7384" borderId="0" xfId="0" applyFill="1"/>
    <xf numFmtId="0" fontId="0" fillId="7385" borderId="0" xfId="0" applyFill="1"/>
    <xf numFmtId="0" fontId="0" fillId="7386" borderId="0" xfId="0" applyFill="1"/>
    <xf numFmtId="0" fontId="0" fillId="7387" borderId="0" xfId="0" applyFill="1"/>
    <xf numFmtId="0" fontId="0" fillId="7388" borderId="0" xfId="0" applyFill="1"/>
    <xf numFmtId="0" fontId="0" fillId="7389" borderId="0" xfId="0" applyFill="1"/>
    <xf numFmtId="0" fontId="0" fillId="7390" borderId="0" xfId="0" applyFill="1"/>
    <xf numFmtId="0" fontId="0" fillId="7391" borderId="0" xfId="0" applyFill="1"/>
    <xf numFmtId="0" fontId="0" fillId="7392" borderId="0" xfId="0" applyFill="1"/>
    <xf numFmtId="0" fontId="0" fillId="7393" borderId="0" xfId="0" applyFill="1"/>
    <xf numFmtId="0" fontId="0" fillId="7394" borderId="0" xfId="0" applyFill="1"/>
    <xf numFmtId="0" fontId="0" fillId="7395" borderId="0" xfId="0" applyFill="1"/>
    <xf numFmtId="0" fontId="0" fillId="7396" borderId="0" xfId="0" applyFill="1"/>
    <xf numFmtId="0" fontId="0" fillId="7397" borderId="0" xfId="0" applyFill="1"/>
    <xf numFmtId="0" fontId="0" fillId="7398" borderId="0" xfId="0" applyFill="1"/>
    <xf numFmtId="0" fontId="0" fillId="7399" borderId="0" xfId="0" applyFill="1"/>
    <xf numFmtId="0" fontId="0" fillId="7400" borderId="0" xfId="0" applyFill="1"/>
    <xf numFmtId="0" fontId="0" fillId="7401" borderId="0" xfId="0" applyFill="1"/>
    <xf numFmtId="0" fontId="0" fillId="7402" borderId="0" xfId="0" applyFill="1"/>
    <xf numFmtId="0" fontId="0" fillId="7403" borderId="0" xfId="0" applyFill="1"/>
    <xf numFmtId="0" fontId="0" fillId="7404" borderId="0" xfId="0" applyFill="1"/>
    <xf numFmtId="0" fontId="0" fillId="7405" borderId="0" xfId="0" applyFill="1"/>
    <xf numFmtId="0" fontId="0" fillId="7406" borderId="0" xfId="0" applyFill="1"/>
    <xf numFmtId="0" fontId="0" fillId="7407" borderId="0" xfId="0" applyFill="1"/>
    <xf numFmtId="0" fontId="0" fillId="7408" borderId="0" xfId="0" applyFill="1"/>
    <xf numFmtId="0" fontId="0" fillId="7409" borderId="0" xfId="0" applyFill="1"/>
    <xf numFmtId="0" fontId="0" fillId="7410" borderId="0" xfId="0" applyFill="1"/>
    <xf numFmtId="0" fontId="0" fillId="7411" borderId="0" xfId="0" applyFill="1"/>
    <xf numFmtId="0" fontId="0" fillId="7412" borderId="0" xfId="0" applyFill="1"/>
    <xf numFmtId="0" fontId="0" fillId="7413" borderId="0" xfId="0" applyFill="1"/>
    <xf numFmtId="0" fontId="0" fillId="7414" borderId="0" xfId="0" applyFill="1"/>
    <xf numFmtId="0" fontId="0" fillId="7415" borderId="0" xfId="0" applyFill="1"/>
    <xf numFmtId="0" fontId="0" fillId="7416" borderId="0" xfId="0" applyFill="1"/>
    <xf numFmtId="0" fontId="0" fillId="7417" borderId="0" xfId="0" applyFill="1"/>
    <xf numFmtId="0" fontId="0" fillId="7418" borderId="0" xfId="0" applyFill="1"/>
    <xf numFmtId="0" fontId="0" fillId="7419" borderId="0" xfId="0" applyFill="1"/>
    <xf numFmtId="0" fontId="0" fillId="7420" borderId="0" xfId="0" applyFill="1"/>
    <xf numFmtId="0" fontId="0" fillId="7421" borderId="0" xfId="0" applyFill="1"/>
    <xf numFmtId="0" fontId="0" fillId="7422" borderId="0" xfId="0" applyFill="1"/>
    <xf numFmtId="0" fontId="0" fillId="7423" borderId="0" xfId="0" applyFill="1"/>
    <xf numFmtId="0" fontId="0" fillId="7424" borderId="0" xfId="0" applyFill="1"/>
    <xf numFmtId="0" fontId="0" fillId="7425" borderId="0" xfId="0" applyFill="1"/>
    <xf numFmtId="0" fontId="0" fillId="7426" borderId="0" xfId="0" applyFill="1"/>
    <xf numFmtId="0" fontId="0" fillId="7427" borderId="0" xfId="0" applyFill="1"/>
    <xf numFmtId="0" fontId="0" fillId="7428" borderId="0" xfId="0" applyFill="1"/>
    <xf numFmtId="0" fontId="0" fillId="7429" borderId="0" xfId="0" applyFill="1"/>
    <xf numFmtId="0" fontId="0" fillId="7430" borderId="0" xfId="0" applyFill="1"/>
    <xf numFmtId="0" fontId="0" fillId="7431" borderId="0" xfId="0" applyFill="1"/>
    <xf numFmtId="0" fontId="0" fillId="7432" borderId="0" xfId="0" applyFill="1"/>
    <xf numFmtId="0" fontId="0" fillId="7433" borderId="0" xfId="0" applyFill="1"/>
    <xf numFmtId="0" fontId="0" fillId="7434" borderId="0" xfId="0" applyFill="1"/>
    <xf numFmtId="0" fontId="0" fillId="7435" borderId="0" xfId="0" applyFill="1"/>
    <xf numFmtId="0" fontId="0" fillId="7436" borderId="0" xfId="0" applyFill="1"/>
    <xf numFmtId="0" fontId="0" fillId="7437" borderId="0" xfId="0" applyFill="1"/>
    <xf numFmtId="0" fontId="0" fillId="7438" borderId="0" xfId="0" applyFill="1"/>
    <xf numFmtId="0" fontId="0" fillId="7439" borderId="0" xfId="0" applyFill="1"/>
    <xf numFmtId="0" fontId="0" fillId="7440" borderId="0" xfId="0" applyFill="1"/>
    <xf numFmtId="0" fontId="0" fillId="7441" borderId="0" xfId="0" applyFill="1"/>
    <xf numFmtId="0" fontId="0" fillId="7442" borderId="0" xfId="0" applyFill="1"/>
    <xf numFmtId="0" fontId="0" fillId="7443" borderId="0" xfId="0" applyFill="1"/>
    <xf numFmtId="0" fontId="0" fillId="7444" borderId="0" xfId="0" applyFill="1"/>
    <xf numFmtId="0" fontId="0" fillId="7445" borderId="0" xfId="0" applyFill="1"/>
    <xf numFmtId="0" fontId="0" fillId="7446" borderId="0" xfId="0" applyFill="1"/>
    <xf numFmtId="0" fontId="0" fillId="7447" borderId="0" xfId="0" applyFill="1"/>
    <xf numFmtId="0" fontId="0" fillId="7448" borderId="0" xfId="0" applyFill="1"/>
    <xf numFmtId="0" fontId="0" fillId="7449" borderId="0" xfId="0" applyFill="1"/>
    <xf numFmtId="0" fontId="0" fillId="7450" borderId="0" xfId="0" applyFill="1"/>
    <xf numFmtId="0" fontId="0" fillId="7451" borderId="0" xfId="0" applyFill="1"/>
    <xf numFmtId="0" fontId="0" fillId="7452" borderId="0" xfId="0" applyFill="1"/>
    <xf numFmtId="0" fontId="0" fillId="7453" borderId="0" xfId="0" applyFill="1"/>
    <xf numFmtId="0" fontId="0" fillId="7454" borderId="0" xfId="0" applyFill="1"/>
    <xf numFmtId="0" fontId="0" fillId="7455" borderId="0" xfId="0" applyFill="1"/>
    <xf numFmtId="0" fontId="0" fillId="7456" borderId="0" xfId="0" applyFill="1"/>
    <xf numFmtId="0" fontId="0" fillId="7457" borderId="0" xfId="0" applyFill="1"/>
    <xf numFmtId="0" fontId="0" fillId="7458" borderId="0" xfId="0" applyFill="1"/>
    <xf numFmtId="0" fontId="0" fillId="7459" borderId="0" xfId="0" applyFill="1"/>
    <xf numFmtId="0" fontId="0" fillId="7460" borderId="0" xfId="0" applyFill="1"/>
    <xf numFmtId="0" fontId="0" fillId="7461" borderId="0" xfId="0" applyFill="1"/>
    <xf numFmtId="0" fontId="0" fillId="7462" borderId="0" xfId="0" applyFill="1"/>
    <xf numFmtId="0" fontId="0" fillId="7463" borderId="0" xfId="0" applyFill="1"/>
    <xf numFmtId="0" fontId="0" fillId="7464" borderId="0" xfId="0" applyFill="1"/>
    <xf numFmtId="0" fontId="0" fillId="7465" borderId="0" xfId="0" applyFill="1"/>
    <xf numFmtId="0" fontId="0" fillId="7466" borderId="0" xfId="0" applyFill="1"/>
    <xf numFmtId="0" fontId="0" fillId="7467" borderId="0" xfId="0" applyFill="1"/>
    <xf numFmtId="0" fontId="0" fillId="7468" borderId="0" xfId="0" applyFill="1"/>
    <xf numFmtId="0" fontId="0" fillId="7469" borderId="0" xfId="0" applyFill="1"/>
    <xf numFmtId="0" fontId="0" fillId="7470" borderId="0" xfId="0" applyFill="1"/>
    <xf numFmtId="0" fontId="0" fillId="7471" borderId="0" xfId="0" applyFill="1"/>
    <xf numFmtId="0" fontId="0" fillId="7472" borderId="0" xfId="0" applyFill="1"/>
    <xf numFmtId="0" fontId="0" fillId="7473" borderId="0" xfId="0" applyFill="1"/>
    <xf numFmtId="0" fontId="0" fillId="7474" borderId="0" xfId="0" applyFill="1"/>
    <xf numFmtId="0" fontId="0" fillId="7475" borderId="0" xfId="0" applyFill="1"/>
    <xf numFmtId="0" fontId="0" fillId="7476" borderId="0" xfId="0" applyFill="1"/>
    <xf numFmtId="0" fontId="0" fillId="7477" borderId="0" xfId="0" applyFill="1"/>
    <xf numFmtId="0" fontId="0" fillId="7478" borderId="0" xfId="0" applyFill="1"/>
    <xf numFmtId="0" fontId="0" fillId="7479" borderId="0" xfId="0" applyFill="1"/>
    <xf numFmtId="0" fontId="0" fillId="7480" borderId="0" xfId="0" applyFill="1"/>
    <xf numFmtId="0" fontId="0" fillId="7481" borderId="0" xfId="0" applyFill="1"/>
    <xf numFmtId="0" fontId="0" fillId="7482" borderId="0" xfId="0" applyFill="1"/>
    <xf numFmtId="0" fontId="0" fillId="7483" borderId="0" xfId="0" applyFill="1"/>
    <xf numFmtId="0" fontId="0" fillId="7484" borderId="0" xfId="0" applyFill="1"/>
    <xf numFmtId="0" fontId="0" fillId="7485" borderId="0" xfId="0" applyFill="1"/>
    <xf numFmtId="0" fontId="0" fillId="7486" borderId="0" xfId="0" applyFill="1"/>
    <xf numFmtId="0" fontId="0" fillId="7487" borderId="0" xfId="0" applyFill="1"/>
    <xf numFmtId="0" fontId="0" fillId="7488" borderId="0" xfId="0" applyFill="1"/>
    <xf numFmtId="0" fontId="0" fillId="7489" borderId="0" xfId="0" applyFill="1"/>
    <xf numFmtId="0" fontId="0" fillId="7490" borderId="0" xfId="0" applyFill="1"/>
    <xf numFmtId="0" fontId="0" fillId="7491" borderId="0" xfId="0" applyFill="1"/>
    <xf numFmtId="0" fontId="0" fillId="7492" borderId="0" xfId="0" applyFill="1"/>
    <xf numFmtId="0" fontId="0" fillId="7493" borderId="0" xfId="0" applyFill="1"/>
    <xf numFmtId="0" fontId="0" fillId="7494" borderId="0" xfId="0" applyFill="1"/>
    <xf numFmtId="0" fontId="0" fillId="7495" borderId="0" xfId="0" applyFill="1"/>
    <xf numFmtId="0" fontId="0" fillId="7496" borderId="0" xfId="0" applyFill="1"/>
    <xf numFmtId="0" fontId="0" fillId="7497" borderId="0" xfId="0" applyFill="1"/>
    <xf numFmtId="0" fontId="0" fillId="7498" borderId="0" xfId="0" applyFill="1"/>
    <xf numFmtId="0" fontId="0" fillId="7499" borderId="0" xfId="0" applyFill="1"/>
    <xf numFmtId="0" fontId="0" fillId="7500" borderId="0" xfId="0" applyFill="1"/>
    <xf numFmtId="0" fontId="0" fillId="7501" borderId="0" xfId="0" applyFill="1"/>
    <xf numFmtId="0" fontId="0" fillId="7502" borderId="0" xfId="0" applyFill="1"/>
    <xf numFmtId="0" fontId="0" fillId="7503" borderId="0" xfId="0" applyFill="1"/>
    <xf numFmtId="0" fontId="0" fillId="7504" borderId="0" xfId="0" applyFill="1"/>
    <xf numFmtId="0" fontId="0" fillId="7505" borderId="0" xfId="0" applyFill="1"/>
    <xf numFmtId="0" fontId="0" fillId="7506" borderId="0" xfId="0" applyFill="1"/>
    <xf numFmtId="0" fontId="0" fillId="7507" borderId="0" xfId="0" applyFill="1"/>
    <xf numFmtId="0" fontId="0" fillId="7508" borderId="0" xfId="0" applyFill="1"/>
    <xf numFmtId="0" fontId="0" fillId="7509" borderId="0" xfId="0" applyFill="1"/>
    <xf numFmtId="0" fontId="0" fillId="7510" borderId="0" xfId="0" applyFill="1"/>
    <xf numFmtId="0" fontId="0" fillId="7511" borderId="0" xfId="0" applyFill="1"/>
    <xf numFmtId="0" fontId="0" fillId="7512" borderId="0" xfId="0" applyFill="1"/>
    <xf numFmtId="0" fontId="0" fillId="7513" borderId="0" xfId="0" applyFill="1"/>
    <xf numFmtId="0" fontId="0" fillId="7514" borderId="0" xfId="0" applyFill="1"/>
    <xf numFmtId="0" fontId="0" fillId="7515" borderId="0" xfId="0" applyFill="1"/>
    <xf numFmtId="0" fontId="0" fillId="7516" borderId="0" xfId="0" applyFill="1"/>
    <xf numFmtId="0" fontId="0" fillId="7517" borderId="0" xfId="0" applyFill="1"/>
    <xf numFmtId="0" fontId="0" fillId="7518" borderId="0" xfId="0" applyFill="1"/>
    <xf numFmtId="0" fontId="0" fillId="7519" borderId="0" xfId="0" applyFill="1"/>
    <xf numFmtId="0" fontId="0" fillId="7520" borderId="0" xfId="0" applyFill="1"/>
    <xf numFmtId="0" fontId="0" fillId="7521" borderId="0" xfId="0" applyFill="1"/>
    <xf numFmtId="0" fontId="0" fillId="7522" borderId="0" xfId="0" applyFill="1"/>
    <xf numFmtId="0" fontId="0" fillId="7523" borderId="0" xfId="0" applyFill="1"/>
    <xf numFmtId="0" fontId="0" fillId="7524" borderId="0" xfId="0" applyFill="1"/>
    <xf numFmtId="0" fontId="0" fillId="7525" borderId="0" xfId="0" applyFill="1"/>
    <xf numFmtId="0" fontId="0" fillId="7526" borderId="0" xfId="0" applyFill="1"/>
    <xf numFmtId="0" fontId="0" fillId="7527" borderId="0" xfId="0" applyFill="1"/>
    <xf numFmtId="0" fontId="0" fillId="7528" borderId="0" xfId="0" applyFill="1"/>
    <xf numFmtId="0" fontId="0" fillId="7529" borderId="0" xfId="0" applyFill="1"/>
    <xf numFmtId="0" fontId="0" fillId="7530" borderId="0" xfId="0" applyFill="1"/>
    <xf numFmtId="0" fontId="0" fillId="7531" borderId="0" xfId="0" applyFill="1"/>
    <xf numFmtId="0" fontId="0" fillId="7532" borderId="0" xfId="0" applyFill="1"/>
    <xf numFmtId="0" fontId="0" fillId="7533" borderId="0" xfId="0" applyFill="1"/>
    <xf numFmtId="0" fontId="0" fillId="7534" borderId="0" xfId="0" applyFill="1"/>
    <xf numFmtId="0" fontId="0" fillId="7535" borderId="0" xfId="0" applyFill="1"/>
    <xf numFmtId="0" fontId="0" fillId="7536" borderId="0" xfId="0" applyFill="1"/>
    <xf numFmtId="0" fontId="0" fillId="7537" borderId="0" xfId="0" applyFill="1"/>
    <xf numFmtId="0" fontId="0" fillId="7538" borderId="0" xfId="0" applyFill="1"/>
    <xf numFmtId="0" fontId="0" fillId="7539" borderId="0" xfId="0" applyFill="1"/>
    <xf numFmtId="0" fontId="0" fillId="7540" borderId="0" xfId="0" applyFill="1"/>
    <xf numFmtId="0" fontId="0" fillId="7541" borderId="0" xfId="0" applyFill="1"/>
    <xf numFmtId="0" fontId="0" fillId="7542" borderId="0" xfId="0" applyFill="1"/>
    <xf numFmtId="0" fontId="0" fillId="7543" borderId="0" xfId="0" applyFill="1"/>
    <xf numFmtId="0" fontId="0" fillId="7544" borderId="0" xfId="0" applyFill="1"/>
    <xf numFmtId="0" fontId="0" fillId="7545" borderId="0" xfId="0" applyFill="1"/>
    <xf numFmtId="0" fontId="0" fillId="7546" borderId="0" xfId="0" applyFill="1"/>
    <xf numFmtId="0" fontId="0" fillId="7547" borderId="0" xfId="0" applyFill="1"/>
    <xf numFmtId="0" fontId="0" fillId="7548" borderId="0" xfId="0" applyFill="1"/>
    <xf numFmtId="0" fontId="0" fillId="7549" borderId="0" xfId="0" applyFill="1"/>
    <xf numFmtId="0" fontId="0" fillId="7550" borderId="0" xfId="0" applyFill="1"/>
    <xf numFmtId="0" fontId="0" fillId="7551" borderId="0" xfId="0" applyFill="1"/>
    <xf numFmtId="0" fontId="0" fillId="7552" borderId="0" xfId="0" applyFill="1"/>
    <xf numFmtId="0" fontId="0" fillId="7553" borderId="0" xfId="0" applyFill="1"/>
    <xf numFmtId="0" fontId="0" fillId="7554" borderId="0" xfId="0" applyFill="1"/>
    <xf numFmtId="0" fontId="0" fillId="7555" borderId="0" xfId="0" applyFill="1"/>
    <xf numFmtId="0" fontId="0" fillId="7556" borderId="0" xfId="0" applyFill="1"/>
    <xf numFmtId="0" fontId="0" fillId="7557" borderId="0" xfId="0" applyFill="1"/>
    <xf numFmtId="0" fontId="0" fillId="7558" borderId="0" xfId="0" applyFill="1"/>
    <xf numFmtId="0" fontId="0" fillId="7559" borderId="0" xfId="0" applyFill="1"/>
    <xf numFmtId="0" fontId="0" fillId="7560" borderId="0" xfId="0" applyFill="1"/>
    <xf numFmtId="0" fontId="0" fillId="7561" borderId="0" xfId="0" applyFill="1"/>
    <xf numFmtId="0" fontId="0" fillId="7562" borderId="0" xfId="0" applyFill="1"/>
    <xf numFmtId="0" fontId="0" fillId="7563" borderId="0" xfId="0" applyFill="1"/>
    <xf numFmtId="0" fontId="0" fillId="7564" borderId="0" xfId="0" applyFill="1"/>
    <xf numFmtId="0" fontId="0" fillId="7565" borderId="0" xfId="0" applyFill="1"/>
    <xf numFmtId="0" fontId="0" fillId="7566" borderId="0" xfId="0" applyFill="1"/>
    <xf numFmtId="0" fontId="0" fillId="7567" borderId="0" xfId="0" applyFill="1"/>
    <xf numFmtId="0" fontId="0" fillId="7568" borderId="0" xfId="0" applyFill="1"/>
    <xf numFmtId="0" fontId="0" fillId="7569" borderId="0" xfId="0" applyFill="1"/>
    <xf numFmtId="0" fontId="0" fillId="7570" borderId="0" xfId="0" applyFill="1"/>
    <xf numFmtId="0" fontId="0" fillId="7571" borderId="0" xfId="0" applyFill="1"/>
    <xf numFmtId="0" fontId="0" fillId="7572" borderId="0" xfId="0" applyFill="1"/>
    <xf numFmtId="0" fontId="0" fillId="7573" borderId="0" xfId="0" applyFill="1"/>
    <xf numFmtId="0" fontId="0" fillId="7574" borderId="0" xfId="0" applyFill="1"/>
    <xf numFmtId="0" fontId="0" fillId="7575" borderId="0" xfId="0" applyFill="1"/>
    <xf numFmtId="0" fontId="0" fillId="7576" borderId="0" xfId="0" applyFill="1"/>
    <xf numFmtId="0" fontId="0" fillId="7577" borderId="0" xfId="0" applyFill="1"/>
    <xf numFmtId="0" fontId="0" fillId="7578" borderId="0" xfId="0" applyFill="1"/>
    <xf numFmtId="0" fontId="0" fillId="7579" borderId="0" xfId="0" applyFill="1"/>
    <xf numFmtId="0" fontId="0" fillId="7580" borderId="0" xfId="0" applyFill="1"/>
    <xf numFmtId="0" fontId="0" fillId="7581" borderId="0" xfId="0" applyFill="1"/>
    <xf numFmtId="0" fontId="0" fillId="7582" borderId="0" xfId="0" applyFill="1"/>
    <xf numFmtId="0" fontId="0" fillId="7583" borderId="0" xfId="0" applyFill="1"/>
    <xf numFmtId="0" fontId="0" fillId="7584" borderId="0" xfId="0" applyFill="1"/>
    <xf numFmtId="0" fontId="0" fillId="7585" borderId="0" xfId="0" applyFill="1"/>
    <xf numFmtId="0" fontId="0" fillId="7586" borderId="0" xfId="0" applyFill="1"/>
    <xf numFmtId="0" fontId="0" fillId="7587" borderId="0" xfId="0" applyFill="1"/>
    <xf numFmtId="0" fontId="0" fillId="7588" borderId="0" xfId="0" applyFill="1"/>
    <xf numFmtId="0" fontId="0" fillId="7589" borderId="0" xfId="0" applyFill="1"/>
    <xf numFmtId="0" fontId="0" fillId="7590" borderId="0" xfId="0" applyFill="1"/>
    <xf numFmtId="0" fontId="0" fillId="7591" borderId="0" xfId="0" applyFill="1"/>
    <xf numFmtId="0" fontId="0" fillId="7592" borderId="0" xfId="0" applyFill="1"/>
    <xf numFmtId="0" fontId="0" fillId="7593" borderId="0" xfId="0" applyFill="1"/>
    <xf numFmtId="0" fontId="0" fillId="7594" borderId="0" xfId="0" applyFill="1"/>
    <xf numFmtId="0" fontId="0" fillId="7595" borderId="0" xfId="0" applyFill="1"/>
    <xf numFmtId="0" fontId="0" fillId="7596" borderId="0" xfId="0" applyFill="1"/>
    <xf numFmtId="0" fontId="0" fillId="7597" borderId="0" xfId="0" applyFill="1"/>
    <xf numFmtId="0" fontId="0" fillId="7598" borderId="0" xfId="0" applyFill="1"/>
    <xf numFmtId="0" fontId="0" fillId="7599" borderId="0" xfId="0" applyFill="1"/>
    <xf numFmtId="0" fontId="0" fillId="7600" borderId="0" xfId="0" applyFill="1"/>
    <xf numFmtId="0" fontId="0" fillId="7601" borderId="0" xfId="0" applyFill="1"/>
    <xf numFmtId="0" fontId="0" fillId="7602" borderId="0" xfId="0" applyFill="1"/>
    <xf numFmtId="0" fontId="0" fillId="7603" borderId="0" xfId="0" applyFill="1"/>
    <xf numFmtId="0" fontId="0" fillId="7604" borderId="0" xfId="0" applyFill="1"/>
    <xf numFmtId="0" fontId="0" fillId="7605" borderId="0" xfId="0" applyFill="1"/>
    <xf numFmtId="0" fontId="0" fillId="7606" borderId="0" xfId="0" applyFill="1"/>
    <xf numFmtId="0" fontId="0" fillId="7607" borderId="0" xfId="0" applyFill="1"/>
    <xf numFmtId="0" fontId="0" fillId="7608" borderId="0" xfId="0" applyFill="1"/>
    <xf numFmtId="0" fontId="0" fillId="7609" borderId="0" xfId="0" applyFill="1"/>
    <xf numFmtId="0" fontId="0" fillId="7610" borderId="0" xfId="0" applyFill="1"/>
    <xf numFmtId="0" fontId="0" fillId="7611" borderId="0" xfId="0" applyFill="1"/>
    <xf numFmtId="0" fontId="0" fillId="7612" borderId="0" xfId="0" applyFill="1"/>
    <xf numFmtId="0" fontId="0" fillId="7613" borderId="0" xfId="0" applyFill="1"/>
    <xf numFmtId="0" fontId="0" fillId="7614" borderId="0" xfId="0" applyFill="1"/>
    <xf numFmtId="0" fontId="0" fillId="7615" borderId="0" xfId="0" applyFill="1"/>
    <xf numFmtId="0" fontId="0" fillId="7616" borderId="0" xfId="0" applyFill="1"/>
    <xf numFmtId="0" fontId="0" fillId="7617" borderId="0" xfId="0" applyFill="1"/>
    <xf numFmtId="0" fontId="0" fillId="7618" borderId="0" xfId="0" applyFill="1"/>
    <xf numFmtId="0" fontId="0" fillId="7619" borderId="0" xfId="0" applyFill="1"/>
    <xf numFmtId="0" fontId="0" fillId="7620" borderId="0" xfId="0" applyFill="1"/>
    <xf numFmtId="0" fontId="0" fillId="7621" borderId="0" xfId="0" applyFill="1"/>
    <xf numFmtId="0" fontId="0" fillId="7622" borderId="0" xfId="0" applyFill="1"/>
    <xf numFmtId="0" fontId="0" fillId="7623" borderId="0" xfId="0" applyFill="1"/>
    <xf numFmtId="0" fontId="0" fillId="7624" borderId="0" xfId="0" applyFill="1"/>
    <xf numFmtId="0" fontId="0" fillId="7625" borderId="0" xfId="0" applyFill="1"/>
    <xf numFmtId="0" fontId="0" fillId="7626" borderId="0" xfId="0" applyFill="1"/>
    <xf numFmtId="0" fontId="0" fillId="7627" borderId="0" xfId="0" applyFill="1"/>
    <xf numFmtId="0" fontId="0" fillId="7628" borderId="0" xfId="0" applyFill="1"/>
    <xf numFmtId="0" fontId="0" fillId="7629" borderId="0" xfId="0" applyFill="1"/>
    <xf numFmtId="0" fontId="0" fillId="7630" borderId="0" xfId="0" applyFill="1"/>
    <xf numFmtId="0" fontId="0" fillId="7631" borderId="0" xfId="0" applyFill="1"/>
    <xf numFmtId="0" fontId="0" fillId="7632" borderId="0" xfId="0" applyFill="1"/>
    <xf numFmtId="0" fontId="0" fillId="7633" borderId="0" xfId="0" applyFill="1"/>
    <xf numFmtId="0" fontId="0" fillId="7634" borderId="0" xfId="0" applyFill="1"/>
    <xf numFmtId="0" fontId="0" fillId="7635" borderId="0" xfId="0" applyFill="1"/>
    <xf numFmtId="0" fontId="0" fillId="7636" borderId="0" xfId="0" applyFill="1"/>
    <xf numFmtId="0" fontId="0" fillId="7637" borderId="0" xfId="0" applyFill="1"/>
    <xf numFmtId="0" fontId="0" fillId="7638" borderId="0" xfId="0" applyFill="1"/>
    <xf numFmtId="0" fontId="0" fillId="7639" borderId="0" xfId="0" applyFill="1"/>
    <xf numFmtId="0" fontId="0" fillId="7640" borderId="0" xfId="0" applyFill="1"/>
    <xf numFmtId="0" fontId="0" fillId="7641" borderId="0" xfId="0" applyFill="1"/>
    <xf numFmtId="0" fontId="0" fillId="7642" borderId="0" xfId="0" applyFill="1"/>
    <xf numFmtId="0" fontId="0" fillId="7643" borderId="0" xfId="0" applyFill="1"/>
    <xf numFmtId="0" fontId="0" fillId="7644" borderId="0" xfId="0" applyFill="1"/>
    <xf numFmtId="0" fontId="0" fillId="7645" borderId="0" xfId="0" applyFill="1"/>
    <xf numFmtId="0" fontId="0" fillId="7646" borderId="0" xfId="0" applyFill="1"/>
    <xf numFmtId="0" fontId="0" fillId="7647" borderId="0" xfId="0" applyFill="1"/>
    <xf numFmtId="0" fontId="0" fillId="7648" borderId="0" xfId="0" applyFill="1"/>
    <xf numFmtId="0" fontId="0" fillId="7649" borderId="0" xfId="0" applyFill="1"/>
    <xf numFmtId="0" fontId="0" fillId="7650" borderId="0" xfId="0" applyFill="1"/>
    <xf numFmtId="0" fontId="0" fillId="7651" borderId="0" xfId="0" applyFill="1"/>
    <xf numFmtId="0" fontId="0" fillId="7652" borderId="0" xfId="0" applyFill="1"/>
    <xf numFmtId="0" fontId="0" fillId="7653" borderId="0" xfId="0" applyFill="1"/>
    <xf numFmtId="0" fontId="0" fillId="7654" borderId="0" xfId="0" applyFill="1"/>
    <xf numFmtId="0" fontId="0" fillId="7655" borderId="0" xfId="0" applyFill="1"/>
    <xf numFmtId="0" fontId="0" fillId="7656" borderId="0" xfId="0" applyFill="1"/>
    <xf numFmtId="0" fontId="0" fillId="7657" borderId="0" xfId="0" applyFill="1"/>
    <xf numFmtId="0" fontId="0" fillId="7658" borderId="0" xfId="0" applyFill="1"/>
    <xf numFmtId="0" fontId="0" fillId="7659" borderId="0" xfId="0" applyFill="1"/>
    <xf numFmtId="0" fontId="0" fillId="7660" borderId="0" xfId="0" applyFill="1"/>
    <xf numFmtId="0" fontId="0" fillId="7661" borderId="0" xfId="0" applyFill="1"/>
    <xf numFmtId="0" fontId="0" fillId="7662" borderId="0" xfId="0" applyFill="1"/>
    <xf numFmtId="0" fontId="0" fillId="7663" borderId="0" xfId="0" applyFill="1"/>
    <xf numFmtId="0" fontId="0" fillId="7664" borderId="0" xfId="0" applyFill="1"/>
    <xf numFmtId="0" fontId="0" fillId="7665" borderId="0" xfId="0" applyFill="1"/>
    <xf numFmtId="0" fontId="0" fillId="7666" borderId="0" xfId="0" applyFill="1"/>
    <xf numFmtId="0" fontId="0" fillId="7667" borderId="0" xfId="0" applyFill="1"/>
    <xf numFmtId="0" fontId="0" fillId="7668" borderId="0" xfId="0" applyFill="1"/>
    <xf numFmtId="0" fontId="0" fillId="7669" borderId="0" xfId="0" applyFill="1"/>
    <xf numFmtId="0" fontId="0" fillId="7670" borderId="0" xfId="0" applyFill="1"/>
    <xf numFmtId="0" fontId="0" fillId="7671" borderId="0" xfId="0" applyFill="1"/>
    <xf numFmtId="0" fontId="0" fillId="7672" borderId="0" xfId="0" applyFill="1"/>
    <xf numFmtId="0" fontId="0" fillId="7673" borderId="0" xfId="0" applyFill="1"/>
    <xf numFmtId="0" fontId="0" fillId="7674" borderId="0" xfId="0" applyFill="1"/>
    <xf numFmtId="0" fontId="0" fillId="7675" borderId="0" xfId="0" applyFill="1"/>
    <xf numFmtId="0" fontId="0" fillId="7676" borderId="0" xfId="0" applyFill="1"/>
    <xf numFmtId="0" fontId="0" fillId="7677" borderId="0" xfId="0" applyFill="1"/>
    <xf numFmtId="0" fontId="0" fillId="7678" borderId="0" xfId="0" applyFill="1"/>
    <xf numFmtId="0" fontId="0" fillId="7679" borderId="0" xfId="0" applyFill="1"/>
    <xf numFmtId="0" fontId="0" fillId="7680" borderId="0" xfId="0" applyFill="1"/>
    <xf numFmtId="0" fontId="0" fillId="7681" borderId="0" xfId="0" applyFill="1"/>
    <xf numFmtId="0" fontId="0" fillId="7682" borderId="0" xfId="0" applyFill="1"/>
    <xf numFmtId="0" fontId="0" fillId="7683" borderId="0" xfId="0" applyFill="1"/>
    <xf numFmtId="0" fontId="0" fillId="7684" borderId="0" xfId="0" applyFill="1"/>
    <xf numFmtId="0" fontId="0" fillId="7685" borderId="0" xfId="0" applyFill="1"/>
    <xf numFmtId="0" fontId="0" fillId="7686" borderId="0" xfId="0" applyFill="1"/>
    <xf numFmtId="0" fontId="0" fillId="7687" borderId="0" xfId="0" applyFill="1"/>
    <xf numFmtId="0" fontId="0" fillId="7688" borderId="0" xfId="0" applyFill="1"/>
    <xf numFmtId="0" fontId="0" fillId="7689" borderId="0" xfId="0" applyFill="1"/>
    <xf numFmtId="0" fontId="0" fillId="7690" borderId="0" xfId="0" applyFill="1"/>
    <xf numFmtId="0" fontId="0" fillId="7691" borderId="0" xfId="0" applyFill="1"/>
    <xf numFmtId="0" fontId="0" fillId="7692" borderId="0" xfId="0" applyFill="1"/>
    <xf numFmtId="0" fontId="0" fillId="7693" borderId="0" xfId="0" applyFill="1"/>
    <xf numFmtId="0" fontId="0" fillId="7694" borderId="0" xfId="0" applyFill="1"/>
    <xf numFmtId="0" fontId="0" fillId="7695" borderId="0" xfId="0" applyFill="1"/>
    <xf numFmtId="0" fontId="0" fillId="7696" borderId="0" xfId="0" applyFill="1"/>
    <xf numFmtId="0" fontId="0" fillId="7697" borderId="0" xfId="0" applyFill="1"/>
    <xf numFmtId="0" fontId="0" fillId="7698" borderId="0" xfId="0" applyFill="1"/>
    <xf numFmtId="0" fontId="0" fillId="7699" borderId="0" xfId="0" applyFill="1"/>
    <xf numFmtId="0" fontId="0" fillId="7700" borderId="0" xfId="0" applyFill="1"/>
    <xf numFmtId="0" fontId="0" fillId="7701" borderId="0" xfId="0" applyFill="1"/>
    <xf numFmtId="0" fontId="0" fillId="7702" borderId="0" xfId="0" applyFill="1"/>
    <xf numFmtId="0" fontId="0" fillId="7703" borderId="0" xfId="0" applyFill="1"/>
    <xf numFmtId="0" fontId="0" fillId="7704" borderId="0" xfId="0" applyFill="1"/>
    <xf numFmtId="0" fontId="0" fillId="7705" borderId="0" xfId="0" applyFill="1"/>
    <xf numFmtId="0" fontId="0" fillId="7706" borderId="0" xfId="0" applyFill="1"/>
    <xf numFmtId="0" fontId="0" fillId="7707" borderId="0" xfId="0" applyFill="1"/>
    <xf numFmtId="0" fontId="0" fillId="7708" borderId="0" xfId="0" applyFill="1"/>
    <xf numFmtId="0" fontId="0" fillId="7709" borderId="0" xfId="0" applyFill="1"/>
    <xf numFmtId="0" fontId="0" fillId="7710" borderId="0" xfId="0" applyFill="1"/>
    <xf numFmtId="0" fontId="0" fillId="7711" borderId="0" xfId="0" applyFill="1"/>
    <xf numFmtId="0" fontId="0" fillId="7712" borderId="0" xfId="0" applyFill="1"/>
    <xf numFmtId="0" fontId="0" fillId="7713" borderId="0" xfId="0" applyFill="1"/>
    <xf numFmtId="0" fontId="0" fillId="7714" borderId="0" xfId="0" applyFill="1"/>
    <xf numFmtId="0" fontId="0" fillId="7715" borderId="0" xfId="0" applyFill="1"/>
    <xf numFmtId="0" fontId="0" fillId="7716" borderId="0" xfId="0" applyFill="1"/>
    <xf numFmtId="0" fontId="0" fillId="7717" borderId="0" xfId="0" applyFill="1"/>
    <xf numFmtId="0" fontId="0" fillId="7718" borderId="0" xfId="0" applyFill="1"/>
    <xf numFmtId="0" fontId="0" fillId="7719" borderId="0" xfId="0" applyFill="1"/>
    <xf numFmtId="0" fontId="0" fillId="7720" borderId="0" xfId="0" applyFill="1"/>
    <xf numFmtId="0" fontId="0" fillId="7721" borderId="0" xfId="0" applyFill="1"/>
    <xf numFmtId="0" fontId="0" fillId="7722" borderId="0" xfId="0" applyFill="1"/>
    <xf numFmtId="0" fontId="0" fillId="7723" borderId="0" xfId="0" applyFill="1"/>
    <xf numFmtId="0" fontId="0" fillId="7724" borderId="0" xfId="0" applyFill="1"/>
    <xf numFmtId="0" fontId="0" fillId="7725" borderId="0" xfId="0" applyFill="1"/>
    <xf numFmtId="0" fontId="0" fillId="7726" borderId="0" xfId="0" applyFill="1"/>
    <xf numFmtId="0" fontId="0" fillId="7727" borderId="0" xfId="0" applyFill="1"/>
    <xf numFmtId="0" fontId="0" fillId="7728" borderId="0" xfId="0" applyFill="1"/>
    <xf numFmtId="0" fontId="0" fillId="7729" borderId="0" xfId="0" applyFill="1"/>
    <xf numFmtId="0" fontId="0" fillId="7730" borderId="0" xfId="0" applyFill="1"/>
    <xf numFmtId="0" fontId="0" fillId="7731" borderId="0" xfId="0" applyFill="1"/>
    <xf numFmtId="0" fontId="0" fillId="7732" borderId="0" xfId="0" applyFill="1"/>
    <xf numFmtId="0" fontId="0" fillId="7733" borderId="0" xfId="0" applyFill="1"/>
    <xf numFmtId="0" fontId="0" fillId="7734" borderId="0" xfId="0" applyFill="1"/>
    <xf numFmtId="0" fontId="0" fillId="7735" borderId="0" xfId="0" applyFill="1"/>
    <xf numFmtId="0" fontId="0" fillId="7736" borderId="0" xfId="0" applyFill="1"/>
    <xf numFmtId="0" fontId="0" fillId="7737" borderId="0" xfId="0" applyFill="1"/>
    <xf numFmtId="0" fontId="0" fillId="7738" borderId="0" xfId="0" applyFill="1"/>
    <xf numFmtId="0" fontId="0" fillId="7739" borderId="0" xfId="0" applyFill="1"/>
    <xf numFmtId="0" fontId="0" fillId="7740" borderId="0" xfId="0" applyFill="1"/>
    <xf numFmtId="0" fontId="0" fillId="7741" borderId="0" xfId="0" applyFill="1"/>
    <xf numFmtId="0" fontId="0" fillId="7742" borderId="0" xfId="0" applyFill="1"/>
    <xf numFmtId="0" fontId="0" fillId="7743" borderId="0" xfId="0" applyFill="1"/>
    <xf numFmtId="0" fontId="0" fillId="7744" borderId="0" xfId="0" applyFill="1"/>
    <xf numFmtId="0" fontId="0" fillId="7745" borderId="0" xfId="0" applyFill="1"/>
    <xf numFmtId="0" fontId="0" fillId="7746" borderId="0" xfId="0" applyFill="1"/>
    <xf numFmtId="0" fontId="0" fillId="7747" borderId="0" xfId="0" applyFill="1"/>
    <xf numFmtId="0" fontId="0" fillId="7748" borderId="0" xfId="0" applyFill="1"/>
    <xf numFmtId="0" fontId="0" fillId="7749" borderId="0" xfId="0" applyFill="1"/>
    <xf numFmtId="0" fontId="0" fillId="7750" borderId="0" xfId="0" applyFill="1"/>
    <xf numFmtId="0" fontId="0" fillId="7751" borderId="0" xfId="0" applyFill="1"/>
    <xf numFmtId="0" fontId="0" fillId="7752" borderId="0" xfId="0" applyFill="1"/>
    <xf numFmtId="0" fontId="0" fillId="7753" borderId="0" xfId="0" applyFill="1"/>
    <xf numFmtId="0" fontId="0" fillId="7754" borderId="0" xfId="0" applyFill="1"/>
    <xf numFmtId="0" fontId="0" fillId="7755" borderId="0" xfId="0" applyFill="1"/>
    <xf numFmtId="0" fontId="0" fillId="7756" borderId="0" xfId="0" applyFill="1"/>
    <xf numFmtId="0" fontId="0" fillId="7757" borderId="0" xfId="0" applyFill="1"/>
    <xf numFmtId="0" fontId="0" fillId="7758" borderId="0" xfId="0" applyFill="1"/>
    <xf numFmtId="0" fontId="0" fillId="7759" borderId="0" xfId="0" applyFill="1"/>
    <xf numFmtId="0" fontId="0" fillId="7760" borderId="0" xfId="0" applyFill="1"/>
    <xf numFmtId="0" fontId="0" fillId="7761" borderId="0" xfId="0" applyFill="1"/>
    <xf numFmtId="0" fontId="0" fillId="7762" borderId="0" xfId="0" applyFill="1"/>
    <xf numFmtId="0" fontId="0" fillId="7763" borderId="0" xfId="0" applyFill="1"/>
    <xf numFmtId="0" fontId="0" fillId="7764" borderId="0" xfId="0" applyFill="1"/>
    <xf numFmtId="0" fontId="0" fillId="7765" borderId="0" xfId="0" applyFill="1"/>
    <xf numFmtId="0" fontId="0" fillId="7766" borderId="0" xfId="0" applyFill="1"/>
    <xf numFmtId="0" fontId="0" fillId="7767" borderId="0" xfId="0" applyFill="1"/>
    <xf numFmtId="0" fontId="0" fillId="7768" borderId="0" xfId="0" applyFill="1"/>
    <xf numFmtId="0" fontId="0" fillId="7769" borderId="0" xfId="0" applyFill="1"/>
    <xf numFmtId="0" fontId="0" fillId="7770" borderId="0" xfId="0" applyFill="1"/>
    <xf numFmtId="0" fontId="0" fillId="7771" borderId="0" xfId="0" applyFill="1"/>
    <xf numFmtId="0" fontId="0" fillId="7772" borderId="0" xfId="0" applyFill="1"/>
    <xf numFmtId="0" fontId="0" fillId="7773" borderId="0" xfId="0" applyFill="1"/>
    <xf numFmtId="0" fontId="0" fillId="7774" borderId="0" xfId="0" applyFill="1"/>
    <xf numFmtId="0" fontId="0" fillId="7775" borderId="0" xfId="0" applyFill="1"/>
    <xf numFmtId="0" fontId="0" fillId="7776" borderId="0" xfId="0" applyFill="1"/>
    <xf numFmtId="0" fontId="0" fillId="7777" borderId="0" xfId="0" applyFill="1"/>
    <xf numFmtId="0" fontId="0" fillId="7778" borderId="0" xfId="0" applyFill="1"/>
    <xf numFmtId="0" fontId="0" fillId="7779" borderId="0" xfId="0" applyFill="1"/>
    <xf numFmtId="0" fontId="0" fillId="7780" borderId="0" xfId="0" applyFill="1"/>
    <xf numFmtId="0" fontId="0" fillId="7781" borderId="0" xfId="0" applyFill="1"/>
    <xf numFmtId="0" fontId="0" fillId="7782" borderId="0" xfId="0" applyFill="1"/>
    <xf numFmtId="0" fontId="0" fillId="7783" borderId="0" xfId="0" applyFill="1"/>
    <xf numFmtId="0" fontId="0" fillId="7784" borderId="0" xfId="0" applyFill="1"/>
    <xf numFmtId="0" fontId="0" fillId="7785" borderId="0" xfId="0" applyFill="1"/>
    <xf numFmtId="0" fontId="0" fillId="7786" borderId="0" xfId="0" applyFill="1"/>
    <xf numFmtId="0" fontId="0" fillId="7787" borderId="0" xfId="0" applyFill="1"/>
    <xf numFmtId="0" fontId="0" fillId="7788" borderId="0" xfId="0" applyFill="1"/>
    <xf numFmtId="0" fontId="0" fillId="7789" borderId="0" xfId="0" applyFill="1"/>
    <xf numFmtId="0" fontId="0" fillId="7790" borderId="0" xfId="0" applyFill="1"/>
    <xf numFmtId="0" fontId="0" fillId="7791" borderId="0" xfId="0" applyFill="1"/>
    <xf numFmtId="0" fontId="0" fillId="7792" borderId="0" xfId="0" applyFill="1"/>
    <xf numFmtId="0" fontId="0" fillId="7793" borderId="0" xfId="0" applyFill="1"/>
    <xf numFmtId="0" fontId="0" fillId="7794" borderId="0" xfId="0" applyFill="1"/>
    <xf numFmtId="0" fontId="0" fillId="7795" borderId="0" xfId="0" applyFill="1"/>
    <xf numFmtId="0" fontId="0" fillId="7796" borderId="0" xfId="0" applyFill="1"/>
    <xf numFmtId="0" fontId="0" fillId="7797" borderId="0" xfId="0" applyFill="1"/>
    <xf numFmtId="0" fontId="0" fillId="7798" borderId="0" xfId="0" applyFill="1"/>
    <xf numFmtId="0" fontId="0" fillId="7799" borderId="0" xfId="0" applyFill="1"/>
    <xf numFmtId="0" fontId="0" fillId="7800" borderId="0" xfId="0" applyFill="1"/>
    <xf numFmtId="0" fontId="0" fillId="7801" borderId="0" xfId="0" applyFill="1"/>
    <xf numFmtId="0" fontId="0" fillId="7802" borderId="0" xfId="0" applyFill="1"/>
    <xf numFmtId="0" fontId="0" fillId="7803" borderId="0" xfId="0" applyFill="1"/>
    <xf numFmtId="0" fontId="0" fillId="7804" borderId="0" xfId="0" applyFill="1"/>
    <xf numFmtId="0" fontId="0" fillId="7805" borderId="0" xfId="0" applyFill="1"/>
    <xf numFmtId="0" fontId="0" fillId="7806" borderId="0" xfId="0" applyFill="1"/>
    <xf numFmtId="0" fontId="0" fillId="7807" borderId="0" xfId="0" applyFill="1"/>
    <xf numFmtId="0" fontId="0" fillId="7808" borderId="0" xfId="0" applyFill="1"/>
    <xf numFmtId="0" fontId="0" fillId="7809" borderId="0" xfId="0" applyFill="1"/>
    <xf numFmtId="0" fontId="0" fillId="7810" borderId="0" xfId="0" applyFill="1"/>
    <xf numFmtId="0" fontId="0" fillId="7811" borderId="0" xfId="0" applyFill="1"/>
    <xf numFmtId="0" fontId="0" fillId="7812" borderId="0" xfId="0" applyFill="1"/>
    <xf numFmtId="0" fontId="0" fillId="7813" borderId="0" xfId="0" applyFill="1"/>
    <xf numFmtId="0" fontId="0" fillId="7814" borderId="0" xfId="0" applyFill="1"/>
    <xf numFmtId="0" fontId="0" fillId="7815" borderId="0" xfId="0" applyFill="1"/>
    <xf numFmtId="0" fontId="0" fillId="7816" borderId="0" xfId="0" applyFill="1"/>
    <xf numFmtId="0" fontId="0" fillId="7817" borderId="0" xfId="0" applyFill="1"/>
    <xf numFmtId="0" fontId="0" fillId="7818" borderId="0" xfId="0" applyFill="1"/>
    <xf numFmtId="0" fontId="0" fillId="7819" borderId="0" xfId="0" applyFill="1"/>
    <xf numFmtId="0" fontId="0" fillId="7820" borderId="0" xfId="0" applyFill="1"/>
    <xf numFmtId="0" fontId="0" fillId="7821" borderId="0" xfId="0" applyFill="1"/>
    <xf numFmtId="0" fontId="0" fillId="7822" borderId="0" xfId="0" applyFill="1"/>
    <xf numFmtId="0" fontId="0" fillId="7823" borderId="0" xfId="0" applyFill="1"/>
    <xf numFmtId="0" fontId="0" fillId="7824" borderId="0" xfId="0" applyFill="1"/>
    <xf numFmtId="0" fontId="0" fillId="7825" borderId="0" xfId="0" applyFill="1"/>
    <xf numFmtId="0" fontId="0" fillId="7826" borderId="0" xfId="0" applyFill="1"/>
    <xf numFmtId="0" fontId="0" fillId="7827" borderId="0" xfId="0" applyFill="1"/>
    <xf numFmtId="0" fontId="0" fillId="7828" borderId="0" xfId="0" applyFill="1"/>
    <xf numFmtId="0" fontId="0" fillId="7829" borderId="0" xfId="0" applyFill="1"/>
    <xf numFmtId="0" fontId="0" fillId="7830" borderId="0" xfId="0" applyFill="1"/>
    <xf numFmtId="0" fontId="0" fillId="7831" borderId="0" xfId="0" applyFill="1"/>
    <xf numFmtId="0" fontId="0" fillId="7832" borderId="0" xfId="0" applyFill="1"/>
    <xf numFmtId="0" fontId="0" fillId="7833" borderId="0" xfId="0" applyFill="1"/>
    <xf numFmtId="0" fontId="0" fillId="7834" borderId="0" xfId="0" applyFill="1"/>
    <xf numFmtId="0" fontId="0" fillId="7835" borderId="0" xfId="0" applyFill="1"/>
    <xf numFmtId="0" fontId="0" fillId="7836" borderId="0" xfId="0" applyFill="1"/>
    <xf numFmtId="0" fontId="0" fillId="7837" borderId="0" xfId="0" applyFill="1"/>
    <xf numFmtId="0" fontId="0" fillId="7838" borderId="0" xfId="0" applyFill="1"/>
    <xf numFmtId="0" fontId="0" fillId="7839" borderId="0" xfId="0" applyFill="1"/>
    <xf numFmtId="0" fontId="0" fillId="7840" borderId="0" xfId="0" applyFill="1"/>
    <xf numFmtId="0" fontId="0" fillId="7841" borderId="0" xfId="0" applyFill="1"/>
    <xf numFmtId="0" fontId="0" fillId="7842" borderId="0" xfId="0" applyFill="1"/>
    <xf numFmtId="0" fontId="0" fillId="7843" borderId="0" xfId="0" applyFill="1"/>
    <xf numFmtId="0" fontId="0" fillId="7844" borderId="0" xfId="0" applyFill="1"/>
    <xf numFmtId="0" fontId="0" fillId="7845" borderId="0" xfId="0" applyFill="1"/>
    <xf numFmtId="0" fontId="0" fillId="7846" borderId="0" xfId="0" applyFill="1"/>
    <xf numFmtId="0" fontId="0" fillId="7847" borderId="0" xfId="0" applyFill="1"/>
    <xf numFmtId="0" fontId="0" fillId="7848" borderId="0" xfId="0" applyFill="1"/>
    <xf numFmtId="0" fontId="0" fillId="7849" borderId="0" xfId="0" applyFill="1"/>
    <xf numFmtId="0" fontId="0" fillId="7850" borderId="0" xfId="0" applyFill="1"/>
    <xf numFmtId="0" fontId="0" fillId="7851" borderId="0" xfId="0" applyFill="1"/>
    <xf numFmtId="0" fontId="0" fillId="7852" borderId="0" xfId="0" applyFill="1"/>
    <xf numFmtId="0" fontId="0" fillId="7853" borderId="0" xfId="0" applyFill="1"/>
    <xf numFmtId="0" fontId="0" fillId="7854" borderId="0" xfId="0" applyFill="1"/>
    <xf numFmtId="0" fontId="0" fillId="7855" borderId="0" xfId="0" applyFill="1"/>
    <xf numFmtId="0" fontId="0" fillId="7856" borderId="0" xfId="0" applyFill="1"/>
    <xf numFmtId="0" fontId="0" fillId="7857" borderId="0" xfId="0" applyFill="1"/>
    <xf numFmtId="0" fontId="0" fillId="7858" borderId="0" xfId="0" applyFill="1"/>
    <xf numFmtId="0" fontId="0" fillId="7859" borderId="0" xfId="0" applyFill="1"/>
    <xf numFmtId="0" fontId="0" fillId="7860" borderId="0" xfId="0" applyFill="1"/>
    <xf numFmtId="0" fontId="0" fillId="7861" borderId="0" xfId="0" applyFill="1"/>
    <xf numFmtId="0" fontId="0" fillId="7862" borderId="0" xfId="0" applyFill="1"/>
    <xf numFmtId="0" fontId="0" fillId="7863" borderId="0" xfId="0" applyFill="1"/>
    <xf numFmtId="0" fontId="0" fillId="7864" borderId="0" xfId="0" applyFill="1"/>
    <xf numFmtId="0" fontId="0" fillId="7865" borderId="0" xfId="0" applyFill="1"/>
    <xf numFmtId="0" fontId="0" fillId="7866" borderId="0" xfId="0" applyFill="1"/>
    <xf numFmtId="0" fontId="0" fillId="7867" borderId="0" xfId="0" applyFill="1"/>
    <xf numFmtId="0" fontId="0" fillId="7868" borderId="0" xfId="0" applyFill="1"/>
    <xf numFmtId="0" fontId="0" fillId="7869" borderId="0" xfId="0" applyFill="1"/>
    <xf numFmtId="0" fontId="0" fillId="7870" borderId="0" xfId="0" applyFill="1"/>
    <xf numFmtId="0" fontId="0" fillId="7871" borderId="0" xfId="0" applyFill="1"/>
    <xf numFmtId="0" fontId="0" fillId="7872" borderId="0" xfId="0" applyFill="1"/>
    <xf numFmtId="0" fontId="0" fillId="7873" borderId="0" xfId="0" applyFill="1"/>
    <xf numFmtId="0" fontId="0" fillId="7874" borderId="0" xfId="0" applyFill="1"/>
    <xf numFmtId="0" fontId="0" fillId="7875" borderId="0" xfId="0" applyFill="1"/>
    <xf numFmtId="0" fontId="0" fillId="7876" borderId="0" xfId="0" applyFill="1"/>
    <xf numFmtId="0" fontId="0" fillId="7877" borderId="0" xfId="0" applyFill="1"/>
    <xf numFmtId="0" fontId="0" fillId="7878" borderId="0" xfId="0" applyFill="1"/>
    <xf numFmtId="0" fontId="0" fillId="7879" borderId="0" xfId="0" applyFill="1"/>
    <xf numFmtId="0" fontId="0" fillId="7880" borderId="0" xfId="0" applyFill="1"/>
    <xf numFmtId="0" fontId="0" fillId="7881" borderId="0" xfId="0" applyFill="1"/>
    <xf numFmtId="0" fontId="0" fillId="7882" borderId="0" xfId="0" applyFill="1"/>
    <xf numFmtId="0" fontId="0" fillId="7883" borderId="0" xfId="0" applyFill="1"/>
    <xf numFmtId="0" fontId="0" fillId="7884" borderId="0" xfId="0" applyFill="1"/>
    <xf numFmtId="0" fontId="0" fillId="7885" borderId="0" xfId="0" applyFill="1"/>
    <xf numFmtId="0" fontId="0" fillId="7886" borderId="0" xfId="0" applyFill="1"/>
    <xf numFmtId="0" fontId="0" fillId="7887" borderId="0" xfId="0" applyFill="1"/>
    <xf numFmtId="0" fontId="0" fillId="7888" borderId="0" xfId="0" applyFill="1"/>
    <xf numFmtId="0" fontId="0" fillId="7889" borderId="0" xfId="0" applyFill="1"/>
    <xf numFmtId="0" fontId="0" fillId="7890" borderId="0" xfId="0" applyFill="1"/>
    <xf numFmtId="0" fontId="0" fillId="7891" borderId="0" xfId="0" applyFill="1"/>
    <xf numFmtId="0" fontId="0" fillId="7892" borderId="0" xfId="0" applyFill="1"/>
    <xf numFmtId="0" fontId="0" fillId="7893" borderId="0" xfId="0" applyFill="1"/>
    <xf numFmtId="0" fontId="0" fillId="7894" borderId="0" xfId="0" applyFill="1"/>
    <xf numFmtId="0" fontId="0" fillId="7895" borderId="0" xfId="0" applyFill="1"/>
    <xf numFmtId="0" fontId="0" fillId="7896" borderId="0" xfId="0" applyFill="1"/>
    <xf numFmtId="0" fontId="0" fillId="7897" borderId="0" xfId="0" applyFill="1"/>
    <xf numFmtId="0" fontId="0" fillId="7898" borderId="0" xfId="0" applyFill="1"/>
    <xf numFmtId="0" fontId="0" fillId="7899" borderId="0" xfId="0" applyFill="1"/>
    <xf numFmtId="0" fontId="0" fillId="7900" borderId="0" xfId="0" applyFill="1"/>
    <xf numFmtId="0" fontId="0" fillId="7901" borderId="0" xfId="0" applyFill="1"/>
    <xf numFmtId="0" fontId="0" fillId="7902" borderId="0" xfId="0" applyFill="1"/>
    <xf numFmtId="0" fontId="0" fillId="7903" borderId="0" xfId="0" applyFill="1"/>
    <xf numFmtId="0" fontId="0" fillId="7904" borderId="0" xfId="0" applyFill="1"/>
    <xf numFmtId="0" fontId="0" fillId="7905" borderId="0" xfId="0" applyFill="1"/>
    <xf numFmtId="0" fontId="0" fillId="7906" borderId="0" xfId="0" applyFill="1"/>
    <xf numFmtId="0" fontId="0" fillId="7907" borderId="0" xfId="0" applyFill="1"/>
    <xf numFmtId="0" fontId="0" fillId="7908" borderId="0" xfId="0" applyFill="1"/>
    <xf numFmtId="0" fontId="0" fillId="7909" borderId="0" xfId="0" applyFill="1"/>
    <xf numFmtId="0" fontId="0" fillId="7910" borderId="0" xfId="0" applyFill="1"/>
    <xf numFmtId="0" fontId="0" fillId="7911" borderId="0" xfId="0" applyFill="1"/>
    <xf numFmtId="0" fontId="0" fillId="7912" borderId="0" xfId="0" applyFill="1"/>
    <xf numFmtId="0" fontId="0" fillId="7913" borderId="0" xfId="0" applyFill="1"/>
    <xf numFmtId="0" fontId="0" fillId="7914" borderId="0" xfId="0" applyFill="1"/>
    <xf numFmtId="0" fontId="0" fillId="7915" borderId="0" xfId="0" applyFill="1"/>
    <xf numFmtId="0" fontId="0" fillId="7916" borderId="0" xfId="0" applyFill="1"/>
    <xf numFmtId="0" fontId="0" fillId="7917" borderId="0" xfId="0" applyFill="1"/>
    <xf numFmtId="0" fontId="0" fillId="7918" borderId="0" xfId="0" applyFill="1"/>
    <xf numFmtId="0" fontId="0" fillId="7919" borderId="0" xfId="0" applyFill="1"/>
    <xf numFmtId="0" fontId="0" fillId="7920" borderId="0" xfId="0" applyFill="1"/>
    <xf numFmtId="0" fontId="0" fillId="7921" borderId="0" xfId="0" applyFill="1"/>
    <xf numFmtId="0" fontId="0" fillId="7922" borderId="0" xfId="0" applyFill="1"/>
    <xf numFmtId="0" fontId="0" fillId="7923" borderId="0" xfId="0" applyFill="1"/>
    <xf numFmtId="0" fontId="0" fillId="7924" borderId="0" xfId="0" applyFill="1"/>
    <xf numFmtId="0" fontId="0" fillId="7925" borderId="0" xfId="0" applyFill="1"/>
    <xf numFmtId="0" fontId="0" fillId="7926" borderId="0" xfId="0" applyFill="1"/>
    <xf numFmtId="0" fontId="0" fillId="7927" borderId="0" xfId="0" applyFill="1"/>
    <xf numFmtId="0" fontId="0" fillId="7928" borderId="0" xfId="0" applyFill="1"/>
    <xf numFmtId="0" fontId="0" fillId="7929" borderId="0" xfId="0" applyFill="1"/>
    <xf numFmtId="0" fontId="0" fillId="7930" borderId="0" xfId="0" applyFill="1"/>
    <xf numFmtId="0" fontId="0" fillId="7931" borderId="0" xfId="0" applyFill="1"/>
    <xf numFmtId="0" fontId="0" fillId="7932" borderId="0" xfId="0" applyFill="1"/>
    <xf numFmtId="0" fontId="0" fillId="7933" borderId="0" xfId="0" applyFill="1"/>
    <xf numFmtId="0" fontId="0" fillId="7934" borderId="0" xfId="0" applyFill="1"/>
    <xf numFmtId="0" fontId="0" fillId="7935" borderId="0" xfId="0" applyFill="1"/>
    <xf numFmtId="0" fontId="0" fillId="7936" borderId="0" xfId="0" applyFill="1"/>
    <xf numFmtId="0" fontId="0" fillId="7937" borderId="0" xfId="0" applyFill="1"/>
    <xf numFmtId="0" fontId="0" fillId="7938" borderId="0" xfId="0" applyFill="1"/>
    <xf numFmtId="0" fontId="0" fillId="7939" borderId="0" xfId="0" applyFill="1"/>
    <xf numFmtId="0" fontId="0" fillId="7940" borderId="0" xfId="0" applyFill="1"/>
    <xf numFmtId="0" fontId="0" fillId="7941" borderId="0" xfId="0" applyFill="1"/>
    <xf numFmtId="0" fontId="0" fillId="7942" borderId="0" xfId="0" applyFill="1"/>
    <xf numFmtId="0" fontId="0" fillId="7943" borderId="0" xfId="0" applyFill="1"/>
    <xf numFmtId="0" fontId="0" fillId="7944" borderId="0" xfId="0" applyFill="1"/>
    <xf numFmtId="0" fontId="0" fillId="7945" borderId="0" xfId="0" applyFill="1"/>
    <xf numFmtId="0" fontId="0" fillId="7946" borderId="0" xfId="0" applyFill="1"/>
    <xf numFmtId="0" fontId="0" fillId="7947" borderId="0" xfId="0" applyFill="1"/>
    <xf numFmtId="0" fontId="0" fillId="7948" borderId="0" xfId="0" applyFill="1"/>
    <xf numFmtId="0" fontId="0" fillId="7949" borderId="0" xfId="0" applyFill="1"/>
    <xf numFmtId="0" fontId="0" fillId="7950" borderId="0" xfId="0" applyFill="1"/>
    <xf numFmtId="0" fontId="0" fillId="7951" borderId="0" xfId="0" applyFill="1"/>
    <xf numFmtId="0" fontId="0" fillId="7952" borderId="0" xfId="0" applyFill="1"/>
    <xf numFmtId="0" fontId="0" fillId="7953" borderId="0" xfId="0" applyFill="1"/>
    <xf numFmtId="0" fontId="0" fillId="7954" borderId="0" xfId="0" applyFill="1"/>
    <xf numFmtId="0" fontId="0" fillId="7955" borderId="0" xfId="0" applyFill="1"/>
    <xf numFmtId="0" fontId="0" fillId="7956" borderId="0" xfId="0" applyFill="1"/>
    <xf numFmtId="0" fontId="0" fillId="7957" borderId="0" xfId="0" applyFill="1"/>
    <xf numFmtId="0" fontId="0" fillId="7958" borderId="0" xfId="0" applyFill="1"/>
    <xf numFmtId="0" fontId="0" fillId="7959" borderId="0" xfId="0" applyFill="1"/>
    <xf numFmtId="0" fontId="0" fillId="7960" borderId="0" xfId="0" applyFill="1"/>
    <xf numFmtId="0" fontId="0" fillId="7961" borderId="0" xfId="0" applyFill="1"/>
    <xf numFmtId="0" fontId="0" fillId="7962" borderId="0" xfId="0" applyFill="1"/>
    <xf numFmtId="0" fontId="0" fillId="7963" borderId="0" xfId="0" applyFill="1"/>
    <xf numFmtId="0" fontId="0" fillId="7964" borderId="0" xfId="0" applyFill="1"/>
    <xf numFmtId="0" fontId="0" fillId="7965" borderId="0" xfId="0" applyFill="1"/>
    <xf numFmtId="0" fontId="0" fillId="7966" borderId="0" xfId="0" applyFill="1"/>
    <xf numFmtId="0" fontId="0" fillId="7967" borderId="0" xfId="0" applyFill="1"/>
    <xf numFmtId="0" fontId="0" fillId="7968" borderId="0" xfId="0" applyFill="1"/>
    <xf numFmtId="0" fontId="0" fillId="7969" borderId="0" xfId="0" applyFill="1"/>
    <xf numFmtId="0" fontId="0" fillId="7970" borderId="0" xfId="0" applyFill="1"/>
    <xf numFmtId="0" fontId="0" fillId="7971" borderId="0" xfId="0" applyFill="1"/>
    <xf numFmtId="0" fontId="0" fillId="7972" borderId="0" xfId="0" applyFill="1"/>
    <xf numFmtId="0" fontId="0" fillId="7973" borderId="0" xfId="0" applyFill="1"/>
    <xf numFmtId="0" fontId="0" fillId="7974" borderId="0" xfId="0" applyFill="1"/>
    <xf numFmtId="0" fontId="0" fillId="7975" borderId="0" xfId="0" applyFill="1"/>
    <xf numFmtId="0" fontId="0" fillId="7976" borderId="0" xfId="0" applyFill="1"/>
    <xf numFmtId="0" fontId="0" fillId="7977" borderId="0" xfId="0" applyFill="1"/>
    <xf numFmtId="0" fontId="0" fillId="7978" borderId="0" xfId="0" applyFill="1"/>
    <xf numFmtId="0" fontId="0" fillId="7979" borderId="0" xfId="0" applyFill="1"/>
    <xf numFmtId="0" fontId="0" fillId="7980" borderId="0" xfId="0" applyFill="1"/>
    <xf numFmtId="0" fontId="0" fillId="7981" borderId="0" xfId="0" applyFill="1"/>
    <xf numFmtId="0" fontId="0" fillId="7982" borderId="0" xfId="0" applyFill="1"/>
    <xf numFmtId="0" fontId="0" fillId="7983" borderId="0" xfId="0" applyFill="1"/>
    <xf numFmtId="0" fontId="0" fillId="7984" borderId="0" xfId="0" applyFill="1"/>
    <xf numFmtId="0" fontId="0" fillId="7985" borderId="0" xfId="0" applyFill="1"/>
    <xf numFmtId="0" fontId="0" fillId="7986" borderId="0" xfId="0" applyFill="1"/>
    <xf numFmtId="0" fontId="0" fillId="7987" borderId="0" xfId="0" applyFill="1"/>
    <xf numFmtId="0" fontId="0" fillId="7988" borderId="0" xfId="0" applyFill="1"/>
    <xf numFmtId="0" fontId="0" fillId="7989" borderId="0" xfId="0" applyFill="1"/>
    <xf numFmtId="0" fontId="0" fillId="7990" borderId="0" xfId="0" applyFill="1"/>
    <xf numFmtId="0" fontId="0" fillId="7991" borderId="0" xfId="0" applyFill="1"/>
    <xf numFmtId="0" fontId="0" fillId="7992" borderId="0" xfId="0" applyFill="1"/>
    <xf numFmtId="0" fontId="0" fillId="7993" borderId="0" xfId="0" applyFill="1"/>
    <xf numFmtId="0" fontId="0" fillId="7994" borderId="0" xfId="0" applyFill="1"/>
    <xf numFmtId="0" fontId="0" fillId="7995" borderId="0" xfId="0" applyFill="1"/>
    <xf numFmtId="0" fontId="0" fillId="7996" borderId="0" xfId="0" applyFill="1"/>
    <xf numFmtId="0" fontId="0" fillId="7997" borderId="0" xfId="0" applyFill="1"/>
    <xf numFmtId="0" fontId="0" fillId="7998" borderId="0" xfId="0" applyFill="1"/>
    <xf numFmtId="0" fontId="0" fillId="7999" borderId="0" xfId="0" applyFill="1"/>
    <xf numFmtId="0" fontId="0" fillId="8000" borderId="0" xfId="0" applyFill="1"/>
    <xf numFmtId="0" fontId="0" fillId="8001" borderId="0" xfId="0" applyFill="1"/>
    <xf numFmtId="0" fontId="0" fillId="8002" borderId="0" xfId="0" applyFill="1"/>
    <xf numFmtId="0" fontId="0" fillId="8003" borderId="0" xfId="0" applyFill="1"/>
    <xf numFmtId="0" fontId="0" fillId="8004" borderId="0" xfId="0" applyFill="1"/>
    <xf numFmtId="0" fontId="0" fillId="8005" borderId="0" xfId="0" applyFill="1"/>
    <xf numFmtId="0" fontId="0" fillId="8006" borderId="0" xfId="0" applyFill="1"/>
    <xf numFmtId="0" fontId="0" fillId="8007" borderId="0" xfId="0" applyFill="1"/>
    <xf numFmtId="0" fontId="0" fillId="8008" borderId="0" xfId="0" applyFill="1"/>
    <xf numFmtId="0" fontId="0" fillId="8009" borderId="0" xfId="0" applyFill="1"/>
    <xf numFmtId="0" fontId="0" fillId="8010" borderId="0" xfId="0" applyFill="1"/>
    <xf numFmtId="0" fontId="0" fillId="8011" borderId="0" xfId="0" applyFill="1"/>
    <xf numFmtId="0" fontId="0" fillId="8012" borderId="0" xfId="0" applyFill="1"/>
    <xf numFmtId="0" fontId="0" fillId="8013" borderId="0" xfId="0" applyFill="1"/>
    <xf numFmtId="0" fontId="0" fillId="8014" borderId="0" xfId="0" applyFill="1"/>
    <xf numFmtId="0" fontId="0" fillId="8015" borderId="0" xfId="0" applyFill="1"/>
    <xf numFmtId="0" fontId="0" fillId="8016" borderId="0" xfId="0" applyFill="1"/>
    <xf numFmtId="0" fontId="0" fillId="8017" borderId="0" xfId="0" applyFill="1"/>
    <xf numFmtId="0" fontId="0" fillId="8018" borderId="0" xfId="0" applyFill="1"/>
    <xf numFmtId="0" fontId="0" fillId="8019" borderId="0" xfId="0" applyFill="1"/>
    <xf numFmtId="0" fontId="0" fillId="8020" borderId="0" xfId="0" applyFill="1"/>
    <xf numFmtId="0" fontId="0" fillId="8021" borderId="0" xfId="0" applyFill="1"/>
    <xf numFmtId="0" fontId="0" fillId="8022" borderId="0" xfId="0" applyFill="1"/>
    <xf numFmtId="0" fontId="0" fillId="8023" borderId="0" xfId="0" applyFill="1"/>
    <xf numFmtId="0" fontId="0" fillId="8024" borderId="0" xfId="0" applyFill="1"/>
    <xf numFmtId="0" fontId="0" fillId="8025" borderId="0" xfId="0" applyFill="1"/>
    <xf numFmtId="0" fontId="0" fillId="8026" borderId="0" xfId="0" applyFill="1"/>
    <xf numFmtId="0" fontId="0" fillId="8027" borderId="0" xfId="0" applyFill="1"/>
    <xf numFmtId="0" fontId="0" fillId="8028" borderId="0" xfId="0" applyFill="1"/>
    <xf numFmtId="0" fontId="0" fillId="8029" borderId="0" xfId="0" applyFill="1"/>
    <xf numFmtId="0" fontId="0" fillId="8030" borderId="0" xfId="0" applyFill="1"/>
    <xf numFmtId="0" fontId="0" fillId="8031" borderId="0" xfId="0" applyFill="1"/>
    <xf numFmtId="0" fontId="0" fillId="8032" borderId="0" xfId="0" applyFill="1"/>
    <xf numFmtId="0" fontId="0" fillId="8033" borderId="0" xfId="0" applyFill="1"/>
    <xf numFmtId="0" fontId="0" fillId="8034" borderId="0" xfId="0" applyFill="1"/>
    <xf numFmtId="0" fontId="0" fillId="8035" borderId="0" xfId="0" applyFill="1"/>
    <xf numFmtId="0" fontId="0" fillId="8036" borderId="0" xfId="0" applyFill="1"/>
    <xf numFmtId="0" fontId="0" fillId="8037" borderId="0" xfId="0" applyFill="1"/>
    <xf numFmtId="0" fontId="0" fillId="8038" borderId="0" xfId="0" applyFill="1"/>
    <xf numFmtId="0" fontId="0" fillId="8039" borderId="0" xfId="0" applyFill="1"/>
    <xf numFmtId="0" fontId="0" fillId="8040" borderId="0" xfId="0" applyFill="1"/>
    <xf numFmtId="0" fontId="0" fillId="8041" borderId="0" xfId="0" applyFill="1"/>
    <xf numFmtId="0" fontId="0" fillId="8042" borderId="0" xfId="0" applyFill="1"/>
    <xf numFmtId="0" fontId="0" fillId="8043" borderId="0" xfId="0" applyFill="1"/>
    <xf numFmtId="0" fontId="0" fillId="8044" borderId="0" xfId="0" applyFill="1"/>
    <xf numFmtId="0" fontId="0" fillId="8045" borderId="0" xfId="0" applyFill="1"/>
    <xf numFmtId="0" fontId="0" fillId="8046" borderId="0" xfId="0" applyFill="1"/>
    <xf numFmtId="0" fontId="0" fillId="8047" borderId="0" xfId="0" applyFill="1"/>
    <xf numFmtId="0" fontId="0" fillId="8048" borderId="0" xfId="0" applyFill="1"/>
    <xf numFmtId="0" fontId="0" fillId="8049" borderId="0" xfId="0" applyFill="1"/>
    <xf numFmtId="0" fontId="0" fillId="8050" borderId="0" xfId="0" applyFill="1"/>
    <xf numFmtId="0" fontId="0" fillId="8051" borderId="0" xfId="0" applyFill="1"/>
    <xf numFmtId="0" fontId="0" fillId="8052" borderId="0" xfId="0" applyFill="1"/>
    <xf numFmtId="0" fontId="0" fillId="8053" borderId="0" xfId="0" applyFill="1"/>
    <xf numFmtId="0" fontId="0" fillId="8054" borderId="0" xfId="0" applyFill="1"/>
    <xf numFmtId="0" fontId="0" fillId="8055" borderId="0" xfId="0" applyFill="1"/>
    <xf numFmtId="0" fontId="0" fillId="8056" borderId="0" xfId="0" applyFill="1"/>
    <xf numFmtId="0" fontId="0" fillId="8057" borderId="0" xfId="0" applyFill="1"/>
    <xf numFmtId="0" fontId="0" fillId="8058" borderId="0" xfId="0" applyFill="1"/>
    <xf numFmtId="0" fontId="0" fillId="8059" borderId="0" xfId="0" applyFill="1"/>
    <xf numFmtId="0" fontId="0" fillId="8060" borderId="0" xfId="0" applyFill="1"/>
    <xf numFmtId="0" fontId="0" fillId="8061" borderId="0" xfId="0" applyFill="1"/>
    <xf numFmtId="0" fontId="0" fillId="8062" borderId="0" xfId="0" applyFill="1"/>
    <xf numFmtId="0" fontId="0" fillId="8063" borderId="0" xfId="0" applyFill="1"/>
    <xf numFmtId="0" fontId="0" fillId="8064" borderId="0" xfId="0" applyFill="1"/>
    <xf numFmtId="0" fontId="0" fillId="8065" borderId="0" xfId="0" applyFill="1"/>
    <xf numFmtId="0" fontId="0" fillId="8066" borderId="0" xfId="0" applyFill="1"/>
    <xf numFmtId="0" fontId="0" fillId="8067" borderId="0" xfId="0" applyFill="1"/>
    <xf numFmtId="0" fontId="0" fillId="8068" borderId="0" xfId="0" applyFill="1"/>
    <xf numFmtId="0" fontId="0" fillId="8069" borderId="0" xfId="0" applyFill="1"/>
    <xf numFmtId="0" fontId="0" fillId="8070" borderId="0" xfId="0" applyFill="1"/>
    <xf numFmtId="0" fontId="0" fillId="8071" borderId="0" xfId="0" applyFill="1"/>
    <xf numFmtId="0" fontId="0" fillId="8072" borderId="0" xfId="0" applyFill="1"/>
    <xf numFmtId="0" fontId="0" fillId="8073" borderId="0" xfId="0" applyFill="1"/>
    <xf numFmtId="0" fontId="0" fillId="8074" borderId="0" xfId="0" applyFill="1"/>
    <xf numFmtId="0" fontId="0" fillId="8075" borderId="0" xfId="0" applyFill="1"/>
    <xf numFmtId="0" fontId="0" fillId="8076" borderId="0" xfId="0" applyFill="1"/>
    <xf numFmtId="0" fontId="0" fillId="8077" borderId="0" xfId="0" applyFill="1"/>
    <xf numFmtId="0" fontId="0" fillId="8078" borderId="0" xfId="0" applyFill="1"/>
    <xf numFmtId="0" fontId="0" fillId="8079" borderId="0" xfId="0" applyFill="1"/>
    <xf numFmtId="0" fontId="0" fillId="8080" borderId="0" xfId="0" applyFill="1"/>
    <xf numFmtId="0" fontId="0" fillId="8081" borderId="0" xfId="0" applyFill="1"/>
    <xf numFmtId="0" fontId="0" fillId="8082" borderId="0" xfId="0" applyFill="1"/>
    <xf numFmtId="0" fontId="0" fillId="8083" borderId="0" xfId="0" applyFill="1"/>
    <xf numFmtId="0" fontId="0" fillId="8084" borderId="0" xfId="0" applyFill="1"/>
    <xf numFmtId="0" fontId="0" fillId="8085" borderId="0" xfId="0" applyFill="1"/>
    <xf numFmtId="0" fontId="0" fillId="8086" borderId="0" xfId="0" applyFill="1"/>
    <xf numFmtId="0" fontId="0" fillId="8087" borderId="0" xfId="0" applyFill="1"/>
    <xf numFmtId="0" fontId="0" fillId="8088" borderId="0" xfId="0" applyFill="1"/>
    <xf numFmtId="0" fontId="0" fillId="8089" borderId="0" xfId="0" applyFill="1"/>
    <xf numFmtId="0" fontId="0" fillId="8090" borderId="0" xfId="0" applyFill="1"/>
    <xf numFmtId="0" fontId="0" fillId="8091" borderId="0" xfId="0" applyFill="1"/>
    <xf numFmtId="0" fontId="0" fillId="8092" borderId="0" xfId="0" applyFill="1"/>
    <xf numFmtId="0" fontId="0" fillId="8093" borderId="0" xfId="0" applyFill="1"/>
    <xf numFmtId="0" fontId="0" fillId="8094" borderId="0" xfId="0" applyFill="1"/>
    <xf numFmtId="0" fontId="0" fillId="8095" borderId="0" xfId="0" applyFill="1"/>
    <xf numFmtId="0" fontId="0" fillId="8096" borderId="0" xfId="0" applyFill="1"/>
    <xf numFmtId="0" fontId="0" fillId="8097" borderId="0" xfId="0" applyFill="1"/>
    <xf numFmtId="0" fontId="0" fillId="8098" borderId="0" xfId="0" applyFill="1"/>
    <xf numFmtId="0" fontId="0" fillId="8099" borderId="0" xfId="0" applyFill="1"/>
    <xf numFmtId="0" fontId="0" fillId="8100" borderId="0" xfId="0" applyFill="1"/>
    <xf numFmtId="0" fontId="0" fillId="8101" borderId="0" xfId="0" applyFill="1"/>
    <xf numFmtId="0" fontId="0" fillId="8102" borderId="0" xfId="0" applyFill="1"/>
    <xf numFmtId="0" fontId="0" fillId="8103" borderId="0" xfId="0" applyFill="1"/>
    <xf numFmtId="0" fontId="0" fillId="8104" borderId="0" xfId="0" applyFill="1"/>
    <xf numFmtId="0" fontId="0" fillId="8105" borderId="0" xfId="0" applyFill="1"/>
    <xf numFmtId="0" fontId="0" fillId="8106" borderId="0" xfId="0" applyFill="1"/>
    <xf numFmtId="0" fontId="0" fillId="8107" borderId="0" xfId="0" applyFill="1"/>
    <xf numFmtId="0" fontId="0" fillId="8108" borderId="0" xfId="0" applyFill="1"/>
    <xf numFmtId="0" fontId="0" fillId="8109" borderId="0" xfId="0" applyFill="1"/>
    <xf numFmtId="0" fontId="0" fillId="8110" borderId="0" xfId="0" applyFill="1"/>
    <xf numFmtId="0" fontId="0" fillId="8111" borderId="0" xfId="0" applyFill="1"/>
    <xf numFmtId="0" fontId="0" fillId="8112" borderId="0" xfId="0" applyFill="1"/>
    <xf numFmtId="0" fontId="0" fillId="8113" borderId="0" xfId="0" applyFill="1"/>
    <xf numFmtId="0" fontId="0" fillId="8114" borderId="0" xfId="0" applyFill="1"/>
    <xf numFmtId="0" fontId="0" fillId="8115" borderId="0" xfId="0" applyFill="1"/>
    <xf numFmtId="0" fontId="0" fillId="8116" borderId="0" xfId="0" applyFill="1"/>
    <xf numFmtId="0" fontId="0" fillId="8117" borderId="0" xfId="0" applyFill="1"/>
    <xf numFmtId="0" fontId="0" fillId="8118" borderId="0" xfId="0" applyFill="1"/>
    <xf numFmtId="0" fontId="0" fillId="8119" borderId="0" xfId="0" applyFill="1"/>
    <xf numFmtId="0" fontId="0" fillId="8120" borderId="0" xfId="0" applyFill="1"/>
    <xf numFmtId="0" fontId="0" fillId="8121" borderId="0" xfId="0" applyFill="1"/>
    <xf numFmtId="0" fontId="0" fillId="8122" borderId="0" xfId="0" applyFill="1"/>
    <xf numFmtId="0" fontId="0" fillId="8123" borderId="0" xfId="0" applyFill="1"/>
    <xf numFmtId="0" fontId="0" fillId="8124" borderId="0" xfId="0" applyFill="1"/>
    <xf numFmtId="0" fontId="0" fillId="8125" borderId="0" xfId="0" applyFill="1"/>
    <xf numFmtId="0" fontId="0" fillId="8126" borderId="0" xfId="0" applyFill="1"/>
    <xf numFmtId="0" fontId="0" fillId="8127" borderId="0" xfId="0" applyFill="1"/>
    <xf numFmtId="0" fontId="0" fillId="8128" borderId="0" xfId="0" applyFill="1"/>
    <xf numFmtId="0" fontId="0" fillId="8129" borderId="0" xfId="0" applyFill="1"/>
    <xf numFmtId="0" fontId="0" fillId="8130" borderId="0" xfId="0" applyFill="1"/>
    <xf numFmtId="0" fontId="0" fillId="8131" borderId="0" xfId="0" applyFill="1"/>
    <xf numFmtId="0" fontId="0" fillId="8132" borderId="0" xfId="0" applyFill="1"/>
    <xf numFmtId="0" fontId="0" fillId="8133" borderId="0" xfId="0" applyFill="1"/>
    <xf numFmtId="0" fontId="0" fillId="8134" borderId="0" xfId="0" applyFill="1"/>
    <xf numFmtId="0" fontId="0" fillId="8135" borderId="0" xfId="0" applyFill="1"/>
    <xf numFmtId="0" fontId="0" fillId="8136" borderId="0" xfId="0" applyFill="1"/>
    <xf numFmtId="0" fontId="0" fillId="8137" borderId="0" xfId="0" applyFill="1"/>
    <xf numFmtId="0" fontId="0" fillId="8138" borderId="0" xfId="0" applyFill="1"/>
    <xf numFmtId="0" fontId="0" fillId="8139" borderId="0" xfId="0" applyFill="1"/>
    <xf numFmtId="0" fontId="0" fillId="8140" borderId="0" xfId="0" applyFill="1"/>
    <xf numFmtId="0" fontId="0" fillId="8141" borderId="0" xfId="0" applyFill="1"/>
    <xf numFmtId="0" fontId="0" fillId="8142" borderId="0" xfId="0" applyFill="1"/>
    <xf numFmtId="0" fontId="0" fillId="8143" borderId="0" xfId="0" applyFill="1"/>
    <xf numFmtId="0" fontId="0" fillId="8144" borderId="0" xfId="0" applyFill="1"/>
    <xf numFmtId="0" fontId="0" fillId="8145" borderId="0" xfId="0" applyFill="1"/>
    <xf numFmtId="0" fontId="0" fillId="8146" borderId="0" xfId="0" applyFill="1"/>
    <xf numFmtId="0" fontId="0" fillId="8147" borderId="0" xfId="0" applyFill="1"/>
    <xf numFmtId="0" fontId="0" fillId="8148" borderId="0" xfId="0" applyFill="1"/>
    <xf numFmtId="0" fontId="0" fillId="8149" borderId="0" xfId="0" applyFill="1"/>
    <xf numFmtId="0" fontId="0" fillId="8150" borderId="0" xfId="0" applyFill="1"/>
    <xf numFmtId="0" fontId="0" fillId="8151" borderId="0" xfId="0" applyFill="1"/>
    <xf numFmtId="0" fontId="0" fillId="8152" borderId="0" xfId="0" applyFill="1"/>
    <xf numFmtId="0" fontId="0" fillId="8153" borderId="0" xfId="0" applyFill="1"/>
    <xf numFmtId="0" fontId="0" fillId="8154" borderId="0" xfId="0" applyFill="1"/>
    <xf numFmtId="0" fontId="0" fillId="8155" borderId="0" xfId="0" applyFill="1"/>
    <xf numFmtId="0" fontId="0" fillId="8156" borderId="0" xfId="0" applyFill="1"/>
    <xf numFmtId="0" fontId="0" fillId="8157" borderId="0" xfId="0" applyFill="1"/>
    <xf numFmtId="0" fontId="0" fillId="8158" borderId="0" xfId="0" applyFill="1"/>
    <xf numFmtId="0" fontId="0" fillId="8159" borderId="0" xfId="0" applyFill="1"/>
    <xf numFmtId="0" fontId="0" fillId="8160" borderId="0" xfId="0" applyFill="1"/>
    <xf numFmtId="0" fontId="0" fillId="8161" borderId="0" xfId="0" applyFill="1"/>
    <xf numFmtId="0" fontId="0" fillId="8162" borderId="0" xfId="0" applyFill="1"/>
    <xf numFmtId="0" fontId="0" fillId="8163" borderId="0" xfId="0" applyFill="1"/>
    <xf numFmtId="0" fontId="0" fillId="8164" borderId="0" xfId="0" applyFill="1"/>
    <xf numFmtId="0" fontId="0" fillId="8165" borderId="0" xfId="0" applyFill="1"/>
    <xf numFmtId="0" fontId="0" fillId="8166" borderId="0" xfId="0" applyFill="1"/>
    <xf numFmtId="0" fontId="0" fillId="8167" borderId="0" xfId="0" applyFill="1"/>
    <xf numFmtId="0" fontId="0" fillId="8168" borderId="0" xfId="0" applyFill="1"/>
    <xf numFmtId="0" fontId="0" fillId="8169" borderId="0" xfId="0" applyFill="1"/>
    <xf numFmtId="0" fontId="0" fillId="8170" borderId="0" xfId="0" applyFill="1"/>
    <xf numFmtId="0" fontId="0" fillId="8171" borderId="0" xfId="0" applyFill="1"/>
    <xf numFmtId="0" fontId="0" fillId="8172" borderId="0" xfId="0" applyFill="1"/>
    <xf numFmtId="0" fontId="0" fillId="8173" borderId="0" xfId="0" applyFill="1"/>
    <xf numFmtId="0" fontId="0" fillId="8174" borderId="0" xfId="0" applyFill="1"/>
    <xf numFmtId="0" fontId="0" fillId="8175" borderId="0" xfId="0" applyFill="1"/>
    <xf numFmtId="0" fontId="0" fillId="8176" borderId="0" xfId="0" applyFill="1"/>
    <xf numFmtId="0" fontId="0" fillId="8177" borderId="0" xfId="0" applyFill="1"/>
    <xf numFmtId="0" fontId="0" fillId="8178" borderId="0" xfId="0" applyFill="1"/>
    <xf numFmtId="0" fontId="0" fillId="8179" borderId="0" xfId="0" applyFill="1"/>
    <xf numFmtId="0" fontId="0" fillId="8180" borderId="0" xfId="0" applyFill="1"/>
    <xf numFmtId="0" fontId="0" fillId="8181" borderId="0" xfId="0" applyFill="1"/>
    <xf numFmtId="0" fontId="0" fillId="8182" borderId="0" xfId="0" applyFill="1"/>
    <xf numFmtId="0" fontId="0" fillId="8183" borderId="0" xfId="0" applyFill="1"/>
    <xf numFmtId="0" fontId="0" fillId="8184" borderId="0" xfId="0" applyFill="1"/>
    <xf numFmtId="0" fontId="0" fillId="8185" borderId="0" xfId="0" applyFill="1"/>
    <xf numFmtId="0" fontId="0" fillId="8186" borderId="0" xfId="0" applyFill="1"/>
    <xf numFmtId="0" fontId="0" fillId="8187" borderId="0" xfId="0" applyFill="1"/>
    <xf numFmtId="0" fontId="0" fillId="8188" borderId="0" xfId="0" applyFill="1"/>
    <xf numFmtId="0" fontId="0" fillId="8189" borderId="0" xfId="0" applyFill="1"/>
    <xf numFmtId="0" fontId="0" fillId="8190" borderId="0" xfId="0" applyFill="1"/>
    <xf numFmtId="0" fontId="0" fillId="8191" borderId="0" xfId="0" applyFill="1"/>
    <xf numFmtId="0" fontId="0" fillId="8192" borderId="0" xfId="0" applyFill="1"/>
    <xf numFmtId="0" fontId="0" fillId="8193" borderId="0" xfId="0" applyFill="1"/>
    <xf numFmtId="0" fontId="0" fillId="8194" borderId="0" xfId="0" applyFill="1"/>
    <xf numFmtId="0" fontId="0" fillId="8195" borderId="0" xfId="0" applyFill="1"/>
    <xf numFmtId="0" fontId="0" fillId="8196" borderId="0" xfId="0" applyFill="1"/>
    <xf numFmtId="0" fontId="0" fillId="8197" borderId="0" xfId="0" applyFill="1"/>
    <xf numFmtId="0" fontId="0" fillId="8198" borderId="0" xfId="0" applyFill="1"/>
    <xf numFmtId="0" fontId="0" fillId="8199" borderId="0" xfId="0" applyFill="1"/>
    <xf numFmtId="0" fontId="0" fillId="8200" borderId="0" xfId="0" applyFill="1"/>
    <xf numFmtId="0" fontId="0" fillId="8201" borderId="0" xfId="0" applyFill="1"/>
    <xf numFmtId="0" fontId="0" fillId="8202" borderId="0" xfId="0" applyFill="1"/>
    <xf numFmtId="0" fontId="0" fillId="8203" borderId="0" xfId="0" applyFill="1"/>
    <xf numFmtId="0" fontId="0" fillId="8204" borderId="0" xfId="0" applyFill="1"/>
    <xf numFmtId="0" fontId="0" fillId="8205" borderId="0" xfId="0" applyFill="1"/>
    <xf numFmtId="0" fontId="0" fillId="8206" borderId="0" xfId="0" applyFill="1"/>
    <xf numFmtId="0" fontId="0" fillId="8207" borderId="0" xfId="0" applyFill="1"/>
    <xf numFmtId="0" fontId="0" fillId="8208" borderId="0" xfId="0" applyFill="1"/>
    <xf numFmtId="0" fontId="0" fillId="8209" borderId="0" xfId="0" applyFill="1"/>
    <xf numFmtId="0" fontId="0" fillId="8210" borderId="0" xfId="0" applyFill="1"/>
    <xf numFmtId="0" fontId="0" fillId="8211" borderId="0" xfId="0" applyFill="1"/>
    <xf numFmtId="0" fontId="0" fillId="8212" borderId="0" xfId="0" applyFill="1"/>
    <xf numFmtId="0" fontId="0" fillId="8213" borderId="0" xfId="0" applyFill="1"/>
    <xf numFmtId="0" fontId="0" fillId="8214" borderId="0" xfId="0" applyFill="1"/>
    <xf numFmtId="0" fontId="0" fillId="8215" borderId="0" xfId="0" applyFill="1"/>
    <xf numFmtId="0" fontId="0" fillId="8216" borderId="0" xfId="0" applyFill="1"/>
    <xf numFmtId="0" fontId="0" fillId="8217" borderId="0" xfId="0" applyFill="1"/>
    <xf numFmtId="0" fontId="0" fillId="8218" borderId="0" xfId="0" applyFill="1"/>
    <xf numFmtId="0" fontId="0" fillId="8219" borderId="0" xfId="0" applyFill="1"/>
    <xf numFmtId="0" fontId="0" fillId="8220" borderId="0" xfId="0" applyFill="1"/>
    <xf numFmtId="0" fontId="0" fillId="8221" borderId="0" xfId="0" applyFill="1"/>
    <xf numFmtId="0" fontId="0" fillId="8222" borderId="0" xfId="0" applyFill="1"/>
    <xf numFmtId="0" fontId="0" fillId="8223" borderId="0" xfId="0" applyFill="1"/>
    <xf numFmtId="0" fontId="0" fillId="8224" borderId="0" xfId="0" applyFill="1"/>
    <xf numFmtId="0" fontId="0" fillId="8225" borderId="0" xfId="0" applyFill="1"/>
    <xf numFmtId="0" fontId="0" fillId="8226" borderId="0" xfId="0" applyFill="1"/>
    <xf numFmtId="0" fontId="0" fillId="8227" borderId="0" xfId="0" applyFill="1"/>
    <xf numFmtId="0" fontId="0" fillId="8228" borderId="0" xfId="0" applyFill="1"/>
    <xf numFmtId="0" fontId="0" fillId="8229" borderId="0" xfId="0" applyFill="1"/>
    <xf numFmtId="0" fontId="0" fillId="8230" borderId="0" xfId="0" applyFill="1"/>
    <xf numFmtId="0" fontId="0" fillId="8231" borderId="0" xfId="0" applyFill="1"/>
    <xf numFmtId="0" fontId="0" fillId="8232" borderId="0" xfId="0" applyFill="1"/>
    <xf numFmtId="0" fontId="0" fillId="8233" borderId="0" xfId="0" applyFill="1"/>
    <xf numFmtId="0" fontId="0" fillId="8234" borderId="0" xfId="0" applyFill="1"/>
    <xf numFmtId="0" fontId="0" fillId="8235" borderId="0" xfId="0" applyFill="1"/>
    <xf numFmtId="0" fontId="0" fillId="8236" borderId="0" xfId="0" applyFill="1"/>
    <xf numFmtId="0" fontId="0" fillId="8237" borderId="0" xfId="0" applyFill="1"/>
    <xf numFmtId="0" fontId="0" fillId="8238" borderId="0" xfId="0" applyFill="1"/>
    <xf numFmtId="0" fontId="0" fillId="8239" borderId="0" xfId="0" applyFill="1"/>
    <xf numFmtId="0" fontId="0" fillId="8240" borderId="0" xfId="0" applyFill="1"/>
    <xf numFmtId="0" fontId="0" fillId="8241" borderId="0" xfId="0" applyFill="1"/>
    <xf numFmtId="0" fontId="0" fillId="8242" borderId="0" xfId="0" applyFill="1"/>
    <xf numFmtId="0" fontId="0" fillId="8243" borderId="0" xfId="0" applyFill="1"/>
    <xf numFmtId="0" fontId="0" fillId="8244" borderId="0" xfId="0" applyFill="1"/>
    <xf numFmtId="0" fontId="0" fillId="8245" borderId="0" xfId="0" applyFill="1"/>
    <xf numFmtId="0" fontId="0" fillId="8246" borderId="0" xfId="0" applyFill="1"/>
    <xf numFmtId="0" fontId="0" fillId="8247" borderId="0" xfId="0" applyFill="1"/>
    <xf numFmtId="0" fontId="0" fillId="8248" borderId="0" xfId="0" applyFill="1"/>
    <xf numFmtId="0" fontId="0" fillId="8249" borderId="0" xfId="0" applyFill="1"/>
    <xf numFmtId="0" fontId="0" fillId="8250" borderId="0" xfId="0" applyFill="1"/>
    <xf numFmtId="0" fontId="0" fillId="8251" borderId="0" xfId="0" applyFill="1"/>
    <xf numFmtId="0" fontId="0" fillId="8252" borderId="0" xfId="0" applyFill="1"/>
    <xf numFmtId="0" fontId="0" fillId="8253" borderId="0" xfId="0" applyFill="1"/>
    <xf numFmtId="0" fontId="0" fillId="8254" borderId="0" xfId="0" applyFill="1"/>
    <xf numFmtId="0" fontId="0" fillId="8255" borderId="0" xfId="0" applyFill="1"/>
    <xf numFmtId="0" fontId="0" fillId="8256" borderId="0" xfId="0" applyFill="1"/>
    <xf numFmtId="0" fontId="0" fillId="8257" borderId="0" xfId="0" applyFill="1"/>
    <xf numFmtId="0" fontId="0" fillId="8258" borderId="0" xfId="0" applyFill="1"/>
    <xf numFmtId="0" fontId="0" fillId="8259" borderId="0" xfId="0" applyFill="1"/>
    <xf numFmtId="0" fontId="0" fillId="8260" borderId="0" xfId="0" applyFill="1"/>
    <xf numFmtId="0" fontId="0" fillId="8261" borderId="0" xfId="0" applyFill="1"/>
    <xf numFmtId="0" fontId="0" fillId="8262" borderId="0" xfId="0" applyFill="1"/>
    <xf numFmtId="0" fontId="0" fillId="8263" borderId="0" xfId="0" applyFill="1"/>
    <xf numFmtId="0" fontId="0" fillId="8264" borderId="0" xfId="0" applyFill="1"/>
    <xf numFmtId="0" fontId="0" fillId="8265" borderId="0" xfId="0" applyFill="1"/>
    <xf numFmtId="0" fontId="0" fillId="8266" borderId="0" xfId="0" applyFill="1"/>
    <xf numFmtId="0" fontId="0" fillId="8267" borderId="0" xfId="0" applyFill="1"/>
    <xf numFmtId="0" fontId="0" fillId="8268" borderId="0" xfId="0" applyFill="1"/>
    <xf numFmtId="0" fontId="0" fillId="8269" borderId="0" xfId="0" applyFill="1"/>
    <xf numFmtId="0" fontId="0" fillId="8270" borderId="0" xfId="0" applyFill="1"/>
    <xf numFmtId="0" fontId="0" fillId="8271" borderId="0" xfId="0" applyFill="1"/>
    <xf numFmtId="0" fontId="0" fillId="8272" borderId="0" xfId="0" applyFill="1"/>
    <xf numFmtId="0" fontId="0" fillId="8273" borderId="0" xfId="0" applyFill="1"/>
    <xf numFmtId="0" fontId="0" fillId="8274" borderId="0" xfId="0" applyFill="1"/>
    <xf numFmtId="0" fontId="0" fillId="8275" borderId="0" xfId="0" applyFill="1"/>
    <xf numFmtId="0" fontId="0" fillId="8276" borderId="0" xfId="0" applyFill="1"/>
    <xf numFmtId="0" fontId="0" fillId="8277" borderId="0" xfId="0" applyFill="1"/>
    <xf numFmtId="0" fontId="0" fillId="8278" borderId="0" xfId="0" applyFill="1"/>
    <xf numFmtId="0" fontId="0" fillId="8279" borderId="0" xfId="0" applyFill="1"/>
    <xf numFmtId="0" fontId="0" fillId="8280" borderId="0" xfId="0" applyFill="1"/>
    <xf numFmtId="0" fontId="0" fillId="8281" borderId="0" xfId="0" applyFill="1"/>
    <xf numFmtId="0" fontId="0" fillId="8282" borderId="0" xfId="0" applyFill="1"/>
    <xf numFmtId="0" fontId="0" fillId="8283" borderId="0" xfId="0" applyFill="1"/>
    <xf numFmtId="0" fontId="0" fillId="8284" borderId="0" xfId="0" applyFill="1"/>
    <xf numFmtId="0" fontId="0" fillId="8285" borderId="0" xfId="0" applyFill="1"/>
    <xf numFmtId="0" fontId="0" fillId="8286" borderId="0" xfId="0" applyFill="1"/>
    <xf numFmtId="0" fontId="0" fillId="8287" borderId="0" xfId="0" applyFill="1"/>
    <xf numFmtId="0" fontId="0" fillId="8288" borderId="0" xfId="0" applyFill="1"/>
    <xf numFmtId="0" fontId="0" fillId="8289" borderId="0" xfId="0" applyFill="1"/>
    <xf numFmtId="0" fontId="0" fillId="8290" borderId="0" xfId="0" applyFill="1"/>
    <xf numFmtId="0" fontId="0" fillId="8291" borderId="0" xfId="0" applyFill="1"/>
    <xf numFmtId="0" fontId="0" fillId="8292" borderId="0" xfId="0" applyFill="1"/>
    <xf numFmtId="0" fontId="0" fillId="8293" borderId="0" xfId="0" applyFill="1"/>
    <xf numFmtId="0" fontId="0" fillId="8294" borderId="0" xfId="0" applyFill="1"/>
    <xf numFmtId="0" fontId="0" fillId="8295" borderId="0" xfId="0" applyFill="1"/>
    <xf numFmtId="0" fontId="0" fillId="8296" borderId="0" xfId="0" applyFill="1"/>
    <xf numFmtId="0" fontId="0" fillId="8297" borderId="0" xfId="0" applyFill="1"/>
    <xf numFmtId="0" fontId="0" fillId="8298" borderId="0" xfId="0" applyFill="1"/>
    <xf numFmtId="0" fontId="0" fillId="8299" borderId="0" xfId="0" applyFill="1"/>
    <xf numFmtId="0" fontId="0" fillId="8300" borderId="0" xfId="0" applyFill="1"/>
    <xf numFmtId="0" fontId="0" fillId="8301" borderId="0" xfId="0" applyFill="1"/>
    <xf numFmtId="0" fontId="0" fillId="8302" borderId="0" xfId="0" applyFill="1"/>
    <xf numFmtId="0" fontId="0" fillId="8303" borderId="0" xfId="0" applyFill="1"/>
    <xf numFmtId="0" fontId="0" fillId="8304" borderId="0" xfId="0" applyFill="1"/>
    <xf numFmtId="0" fontId="0" fillId="8305" borderId="0" xfId="0" applyFill="1"/>
    <xf numFmtId="0" fontId="0" fillId="8306" borderId="0" xfId="0" applyFill="1"/>
    <xf numFmtId="0" fontId="0" fillId="8307" borderId="0" xfId="0" applyFill="1"/>
    <xf numFmtId="0" fontId="0" fillId="8308" borderId="0" xfId="0" applyFill="1"/>
    <xf numFmtId="0" fontId="0" fillId="8309" borderId="0" xfId="0" applyFill="1"/>
    <xf numFmtId="0" fontId="0" fillId="8310" borderId="0" xfId="0" applyFill="1"/>
    <xf numFmtId="0" fontId="0" fillId="8311" borderId="0" xfId="0" applyFill="1"/>
    <xf numFmtId="0" fontId="0" fillId="8312" borderId="0" xfId="0" applyFill="1"/>
    <xf numFmtId="0" fontId="0" fillId="8313" borderId="0" xfId="0" applyFill="1"/>
    <xf numFmtId="0" fontId="0" fillId="8314" borderId="0" xfId="0" applyFill="1"/>
    <xf numFmtId="0" fontId="0" fillId="8315" borderId="0" xfId="0" applyFill="1"/>
    <xf numFmtId="0" fontId="0" fillId="8316" borderId="0" xfId="0" applyFill="1"/>
    <xf numFmtId="0" fontId="0" fillId="8317" borderId="0" xfId="0" applyFill="1"/>
    <xf numFmtId="0" fontId="0" fillId="8318" borderId="0" xfId="0" applyFill="1"/>
    <xf numFmtId="0" fontId="0" fillId="8319" borderId="0" xfId="0" applyFill="1"/>
    <xf numFmtId="0" fontId="0" fillId="8320" borderId="0" xfId="0" applyFill="1"/>
    <xf numFmtId="0" fontId="0" fillId="8321" borderId="0" xfId="0" applyFill="1"/>
    <xf numFmtId="0" fontId="0" fillId="8322" borderId="0" xfId="0" applyFill="1"/>
    <xf numFmtId="0" fontId="0" fillId="8323" borderId="0" xfId="0" applyFill="1"/>
    <xf numFmtId="0" fontId="0" fillId="8324" borderId="0" xfId="0" applyFill="1"/>
    <xf numFmtId="0" fontId="0" fillId="8325" borderId="0" xfId="0" applyFill="1"/>
    <xf numFmtId="0" fontId="0" fillId="8326" borderId="0" xfId="0" applyFill="1"/>
    <xf numFmtId="0" fontId="0" fillId="8327" borderId="0" xfId="0" applyFill="1"/>
    <xf numFmtId="0" fontId="0" fillId="8328" borderId="0" xfId="0" applyFill="1"/>
    <xf numFmtId="0" fontId="0" fillId="8329" borderId="0" xfId="0" applyFill="1"/>
    <xf numFmtId="0" fontId="0" fillId="8330" borderId="0" xfId="0" applyFill="1"/>
    <xf numFmtId="0" fontId="0" fillId="8331" borderId="0" xfId="0" applyFill="1"/>
    <xf numFmtId="0" fontId="0" fillId="8332" borderId="0" xfId="0" applyFill="1"/>
    <xf numFmtId="0" fontId="0" fillId="8333" borderId="0" xfId="0" applyFill="1"/>
    <xf numFmtId="0" fontId="0" fillId="8334" borderId="0" xfId="0" applyFill="1"/>
    <xf numFmtId="0" fontId="0" fillId="8335" borderId="0" xfId="0" applyFill="1"/>
    <xf numFmtId="0" fontId="0" fillId="8336" borderId="0" xfId="0" applyFill="1"/>
    <xf numFmtId="0" fontId="0" fillId="8337" borderId="0" xfId="0" applyFill="1"/>
    <xf numFmtId="0" fontId="0" fillId="8338" borderId="0" xfId="0" applyFill="1"/>
    <xf numFmtId="0" fontId="0" fillId="8339" borderId="0" xfId="0" applyFill="1"/>
    <xf numFmtId="0" fontId="0" fillId="8340" borderId="0" xfId="0" applyFill="1"/>
    <xf numFmtId="0" fontId="0" fillId="8341" borderId="0" xfId="0" applyFill="1"/>
    <xf numFmtId="0" fontId="0" fillId="8342" borderId="0" xfId="0" applyFill="1"/>
    <xf numFmtId="0" fontId="0" fillId="8343" borderId="0" xfId="0" applyFill="1"/>
    <xf numFmtId="0" fontId="0" fillId="8344" borderId="0" xfId="0" applyFill="1"/>
    <xf numFmtId="0" fontId="0" fillId="8345" borderId="0" xfId="0" applyFill="1"/>
    <xf numFmtId="0" fontId="0" fillId="8346" borderId="0" xfId="0" applyFill="1"/>
    <xf numFmtId="0" fontId="0" fillId="8347" borderId="0" xfId="0" applyFill="1"/>
    <xf numFmtId="0" fontId="0" fillId="8348" borderId="0" xfId="0" applyFill="1"/>
    <xf numFmtId="0" fontId="0" fillId="8349" borderId="0" xfId="0" applyFill="1"/>
    <xf numFmtId="0" fontId="0" fillId="8350" borderId="0" xfId="0" applyFill="1"/>
    <xf numFmtId="0" fontId="0" fillId="8351" borderId="0" xfId="0" applyFill="1"/>
    <xf numFmtId="0" fontId="0" fillId="8352" borderId="0" xfId="0" applyFill="1"/>
    <xf numFmtId="0" fontId="0" fillId="8353" borderId="0" xfId="0" applyFill="1"/>
    <xf numFmtId="0" fontId="0" fillId="8354" borderId="0" xfId="0" applyFill="1"/>
    <xf numFmtId="0" fontId="0" fillId="8355" borderId="0" xfId="0" applyFill="1"/>
    <xf numFmtId="0" fontId="0" fillId="8356" borderId="0" xfId="0" applyFill="1"/>
    <xf numFmtId="0" fontId="0" fillId="8357" borderId="0" xfId="0" applyFill="1"/>
    <xf numFmtId="0" fontId="0" fillId="8358" borderId="0" xfId="0" applyFill="1"/>
    <xf numFmtId="0" fontId="0" fillId="8359" borderId="0" xfId="0" applyFill="1"/>
    <xf numFmtId="0" fontId="0" fillId="8360" borderId="0" xfId="0" applyFill="1"/>
    <xf numFmtId="0" fontId="0" fillId="8361" borderId="0" xfId="0" applyFill="1"/>
    <xf numFmtId="0" fontId="0" fillId="8362" borderId="0" xfId="0" applyFill="1"/>
    <xf numFmtId="0" fontId="0" fillId="8363" borderId="0" xfId="0" applyFill="1"/>
    <xf numFmtId="0" fontId="0" fillId="8364" borderId="0" xfId="0" applyFill="1"/>
    <xf numFmtId="0" fontId="0" fillId="8365" borderId="0" xfId="0" applyFill="1"/>
    <xf numFmtId="0" fontId="0" fillId="8366" borderId="0" xfId="0" applyFill="1"/>
    <xf numFmtId="0" fontId="0" fillId="8367" borderId="0" xfId="0" applyFill="1"/>
    <xf numFmtId="0" fontId="0" fillId="8368" borderId="0" xfId="0" applyFill="1"/>
    <xf numFmtId="0" fontId="0" fillId="8369" borderId="0" xfId="0" applyFill="1"/>
    <xf numFmtId="0" fontId="0" fillId="8370" borderId="0" xfId="0" applyFill="1"/>
    <xf numFmtId="0" fontId="0" fillId="8371" borderId="0" xfId="0" applyFill="1"/>
    <xf numFmtId="0" fontId="0" fillId="8372" borderId="0" xfId="0" applyFill="1"/>
    <xf numFmtId="0" fontId="0" fillId="8373" borderId="0" xfId="0" applyFill="1"/>
    <xf numFmtId="0" fontId="0" fillId="8374" borderId="0" xfId="0" applyFill="1"/>
    <xf numFmtId="0" fontId="0" fillId="8375" borderId="0" xfId="0" applyFill="1"/>
    <xf numFmtId="0" fontId="0" fillId="8376" borderId="0" xfId="0" applyFill="1"/>
    <xf numFmtId="0" fontId="0" fillId="8377" borderId="0" xfId="0" applyFill="1"/>
    <xf numFmtId="0" fontId="0" fillId="8378" borderId="0" xfId="0" applyFill="1"/>
    <xf numFmtId="0" fontId="0" fillId="8379" borderId="0" xfId="0" applyFill="1"/>
    <xf numFmtId="0" fontId="0" fillId="8380" borderId="0" xfId="0" applyFill="1"/>
    <xf numFmtId="0" fontId="0" fillId="8381" borderId="0" xfId="0" applyFill="1"/>
    <xf numFmtId="0" fontId="0" fillId="8382" borderId="0" xfId="0" applyFill="1"/>
    <xf numFmtId="0" fontId="0" fillId="8383" borderId="0" xfId="0" applyFill="1"/>
    <xf numFmtId="0" fontId="0" fillId="8384" borderId="0" xfId="0" applyFill="1"/>
    <xf numFmtId="0" fontId="0" fillId="8385" borderId="0" xfId="0" applyFill="1"/>
    <xf numFmtId="0" fontId="0" fillId="8386" borderId="0" xfId="0" applyFill="1"/>
    <xf numFmtId="0" fontId="0" fillId="8387" borderId="0" xfId="0" applyFill="1"/>
    <xf numFmtId="0" fontId="0" fillId="8388" borderId="0" xfId="0" applyFill="1"/>
    <xf numFmtId="0" fontId="0" fillId="8389" borderId="0" xfId="0" applyFill="1"/>
    <xf numFmtId="0" fontId="0" fillId="8390" borderId="0" xfId="0" applyFill="1"/>
    <xf numFmtId="0" fontId="0" fillId="8391" borderId="0" xfId="0" applyFill="1"/>
    <xf numFmtId="0" fontId="0" fillId="8392" borderId="0" xfId="0" applyFill="1"/>
    <xf numFmtId="0" fontId="0" fillId="8393" borderId="0" xfId="0" applyFill="1"/>
    <xf numFmtId="0" fontId="0" fillId="8394" borderId="0" xfId="0" applyFill="1"/>
    <xf numFmtId="0" fontId="0" fillId="8395" borderId="0" xfId="0" applyFill="1"/>
    <xf numFmtId="0" fontId="0" fillId="8396" borderId="0" xfId="0" applyFill="1"/>
    <xf numFmtId="0" fontId="0" fillId="8397" borderId="0" xfId="0" applyFill="1"/>
    <xf numFmtId="0" fontId="0" fillId="8398" borderId="0" xfId="0" applyFill="1"/>
    <xf numFmtId="0" fontId="0" fillId="8399" borderId="0" xfId="0" applyFill="1"/>
    <xf numFmtId="0" fontId="0" fillId="8400" borderId="0" xfId="0" applyFill="1"/>
    <xf numFmtId="0" fontId="0" fillId="8401" borderId="0" xfId="0" applyFill="1"/>
    <xf numFmtId="0" fontId="0" fillId="8402" borderId="0" xfId="0" applyFill="1"/>
    <xf numFmtId="0" fontId="0" fillId="8403" borderId="0" xfId="0" applyFill="1"/>
    <xf numFmtId="0" fontId="0" fillId="8404" borderId="0" xfId="0" applyFill="1"/>
    <xf numFmtId="0" fontId="0" fillId="8405" borderId="0" xfId="0" applyFill="1"/>
    <xf numFmtId="0" fontId="0" fillId="8406" borderId="0" xfId="0" applyFill="1"/>
    <xf numFmtId="0" fontId="0" fillId="8407" borderId="0" xfId="0" applyFill="1"/>
    <xf numFmtId="0" fontId="0" fillId="8408" borderId="0" xfId="0" applyFill="1"/>
    <xf numFmtId="0" fontId="0" fillId="8409" borderId="0" xfId="0" applyFill="1"/>
    <xf numFmtId="0" fontId="0" fillId="8410" borderId="0" xfId="0" applyFill="1"/>
    <xf numFmtId="0" fontId="0" fillId="8411" borderId="0" xfId="0" applyFill="1"/>
    <xf numFmtId="0" fontId="0" fillId="8412" borderId="0" xfId="0" applyFill="1"/>
    <xf numFmtId="0" fontId="0" fillId="8413" borderId="0" xfId="0" applyFill="1"/>
    <xf numFmtId="0" fontId="0" fillId="8414" borderId="0" xfId="0" applyFill="1"/>
    <xf numFmtId="0" fontId="0" fillId="8415" borderId="0" xfId="0" applyFill="1"/>
    <xf numFmtId="0" fontId="0" fillId="8416" borderId="0" xfId="0" applyFill="1"/>
    <xf numFmtId="0" fontId="0" fillId="8417" borderId="0" xfId="0" applyFill="1"/>
    <xf numFmtId="0" fontId="0" fillId="8418" borderId="0" xfId="0" applyFill="1"/>
    <xf numFmtId="0" fontId="0" fillId="8419" borderId="0" xfId="0" applyFill="1"/>
    <xf numFmtId="0" fontId="0" fillId="8420" borderId="0" xfId="0" applyFill="1"/>
    <xf numFmtId="0" fontId="0" fillId="8421" borderId="0" xfId="0" applyFill="1"/>
    <xf numFmtId="0" fontId="0" fillId="8422" borderId="0" xfId="0" applyFill="1"/>
    <xf numFmtId="0" fontId="0" fillId="8423" borderId="0" xfId="0" applyFill="1"/>
    <xf numFmtId="0" fontId="0" fillId="8424" borderId="0" xfId="0" applyFill="1"/>
    <xf numFmtId="0" fontId="0" fillId="8425" borderId="0" xfId="0" applyFill="1"/>
    <xf numFmtId="0" fontId="0" fillId="8426" borderId="0" xfId="0" applyFill="1"/>
    <xf numFmtId="0" fontId="0" fillId="8427" borderId="0" xfId="0" applyFill="1"/>
    <xf numFmtId="0" fontId="0" fillId="8428" borderId="0" xfId="0" applyFill="1"/>
    <xf numFmtId="0" fontId="0" fillId="8429" borderId="0" xfId="0" applyFill="1"/>
    <xf numFmtId="0" fontId="0" fillId="8430" borderId="0" xfId="0" applyFill="1"/>
    <xf numFmtId="0" fontId="0" fillId="8431" borderId="0" xfId="0" applyFill="1"/>
    <xf numFmtId="0" fontId="0" fillId="8432" borderId="0" xfId="0" applyFill="1"/>
    <xf numFmtId="0" fontId="0" fillId="8433" borderId="0" xfId="0" applyFill="1"/>
    <xf numFmtId="0" fontId="0" fillId="8434" borderId="0" xfId="0" applyFill="1"/>
    <xf numFmtId="0" fontId="0" fillId="8435" borderId="0" xfId="0" applyFill="1"/>
    <xf numFmtId="0" fontId="0" fillId="8436" borderId="0" xfId="0" applyFill="1"/>
    <xf numFmtId="0" fontId="0" fillId="8437" borderId="0" xfId="0" applyFill="1"/>
    <xf numFmtId="0" fontId="0" fillId="8438" borderId="0" xfId="0" applyFill="1"/>
    <xf numFmtId="0" fontId="0" fillId="8439" borderId="0" xfId="0" applyFill="1"/>
    <xf numFmtId="0" fontId="0" fillId="8440" borderId="0" xfId="0" applyFill="1"/>
    <xf numFmtId="0" fontId="0" fillId="8441" borderId="0" xfId="0" applyFill="1"/>
    <xf numFmtId="0" fontId="0" fillId="8442" borderId="0" xfId="0" applyFill="1"/>
    <xf numFmtId="0" fontId="0" fillId="8443" borderId="0" xfId="0" applyFill="1"/>
    <xf numFmtId="0" fontId="0" fillId="8444" borderId="0" xfId="0" applyFill="1"/>
    <xf numFmtId="0" fontId="0" fillId="8445" borderId="0" xfId="0" applyFill="1"/>
    <xf numFmtId="0" fontId="0" fillId="8446" borderId="0" xfId="0" applyFill="1"/>
    <xf numFmtId="0" fontId="0" fillId="8447" borderId="0" xfId="0" applyFill="1"/>
    <xf numFmtId="0" fontId="0" fillId="8448" borderId="0" xfId="0" applyFill="1"/>
    <xf numFmtId="0" fontId="0" fillId="8449" borderId="0" xfId="0" applyFill="1"/>
    <xf numFmtId="0" fontId="0" fillId="8450" borderId="0" xfId="0" applyFill="1"/>
    <xf numFmtId="0" fontId="0" fillId="8451" borderId="0" xfId="0" applyFill="1"/>
    <xf numFmtId="0" fontId="0" fillId="8452" borderId="0" xfId="0" applyFill="1"/>
    <xf numFmtId="0" fontId="0" fillId="8453" borderId="0" xfId="0" applyFill="1"/>
    <xf numFmtId="0" fontId="0" fillId="8454" borderId="0" xfId="0" applyFill="1"/>
    <xf numFmtId="0" fontId="0" fillId="8455" borderId="0" xfId="0" applyFill="1"/>
    <xf numFmtId="0" fontId="0" fillId="8456" borderId="0" xfId="0" applyFill="1"/>
    <xf numFmtId="0" fontId="0" fillId="8457" borderId="0" xfId="0" applyFill="1"/>
    <xf numFmtId="0" fontId="0" fillId="8458" borderId="0" xfId="0" applyFill="1"/>
    <xf numFmtId="0" fontId="0" fillId="8459" borderId="0" xfId="0" applyFill="1"/>
    <xf numFmtId="0" fontId="0" fillId="8460" borderId="0" xfId="0" applyFill="1"/>
    <xf numFmtId="0" fontId="0" fillId="8461" borderId="0" xfId="0" applyFill="1"/>
    <xf numFmtId="0" fontId="0" fillId="8462" borderId="0" xfId="0" applyFill="1"/>
    <xf numFmtId="0" fontId="0" fillId="8463" borderId="0" xfId="0" applyFill="1"/>
    <xf numFmtId="0" fontId="0" fillId="8464" borderId="0" xfId="0" applyFill="1"/>
    <xf numFmtId="0" fontId="0" fillId="8465" borderId="0" xfId="0" applyFill="1"/>
    <xf numFmtId="0" fontId="0" fillId="8466" borderId="0" xfId="0" applyFill="1"/>
    <xf numFmtId="0" fontId="0" fillId="8467" borderId="0" xfId="0" applyFill="1"/>
    <xf numFmtId="0" fontId="0" fillId="8468" borderId="0" xfId="0" applyFill="1"/>
    <xf numFmtId="0" fontId="0" fillId="8469" borderId="0" xfId="0" applyFill="1"/>
    <xf numFmtId="0" fontId="0" fillId="8470" borderId="0" xfId="0" applyFill="1"/>
    <xf numFmtId="0" fontId="0" fillId="8471" borderId="0" xfId="0" applyFill="1"/>
    <xf numFmtId="0" fontId="0" fillId="8472" borderId="0" xfId="0" applyFill="1"/>
    <xf numFmtId="0" fontId="0" fillId="8473" borderId="0" xfId="0" applyFill="1"/>
    <xf numFmtId="0" fontId="0" fillId="8474" borderId="0" xfId="0" applyFill="1"/>
    <xf numFmtId="0" fontId="0" fillId="8475" borderId="0" xfId="0" applyFill="1"/>
    <xf numFmtId="0" fontId="0" fillId="8476" borderId="0" xfId="0" applyFill="1"/>
    <xf numFmtId="0" fontId="0" fillId="8477" borderId="0" xfId="0" applyFill="1"/>
    <xf numFmtId="0" fontId="0" fillId="8478" borderId="0" xfId="0" applyFill="1"/>
    <xf numFmtId="0" fontId="0" fillId="8479" borderId="0" xfId="0" applyFill="1"/>
    <xf numFmtId="0" fontId="0" fillId="8480" borderId="0" xfId="0" applyFill="1"/>
    <xf numFmtId="0" fontId="0" fillId="8481" borderId="0" xfId="0" applyFill="1"/>
    <xf numFmtId="0" fontId="0" fillId="8482" borderId="0" xfId="0" applyFill="1"/>
    <xf numFmtId="0" fontId="0" fillId="8483" borderId="0" xfId="0" applyFill="1"/>
    <xf numFmtId="0" fontId="0" fillId="8484" borderId="0" xfId="0" applyFill="1"/>
    <xf numFmtId="0" fontId="0" fillId="8485" borderId="0" xfId="0" applyFill="1"/>
    <xf numFmtId="0" fontId="0" fillId="8486" borderId="0" xfId="0" applyFill="1"/>
    <xf numFmtId="0" fontId="0" fillId="8487" borderId="0" xfId="0" applyFill="1"/>
    <xf numFmtId="0" fontId="0" fillId="8488" borderId="0" xfId="0" applyFill="1"/>
    <xf numFmtId="0" fontId="0" fillId="8489" borderId="0" xfId="0" applyFill="1"/>
    <xf numFmtId="0" fontId="0" fillId="8490" borderId="0" xfId="0" applyFill="1"/>
    <xf numFmtId="0" fontId="0" fillId="8491" borderId="0" xfId="0" applyFill="1"/>
    <xf numFmtId="0" fontId="0" fillId="8492" borderId="0" xfId="0" applyFill="1"/>
    <xf numFmtId="0" fontId="0" fillId="8493" borderId="0" xfId="0" applyFill="1"/>
    <xf numFmtId="0" fontId="0" fillId="8494" borderId="0" xfId="0" applyFill="1"/>
    <xf numFmtId="0" fontId="0" fillId="8495" borderId="0" xfId="0" applyFill="1"/>
    <xf numFmtId="0" fontId="0" fillId="8496" borderId="0" xfId="0" applyFill="1"/>
    <xf numFmtId="0" fontId="0" fillId="8497" borderId="0" xfId="0" applyFill="1"/>
    <xf numFmtId="0" fontId="0" fillId="8498" borderId="0" xfId="0" applyFill="1"/>
    <xf numFmtId="0" fontId="0" fillId="8499" borderId="0" xfId="0" applyFill="1"/>
    <xf numFmtId="0" fontId="0" fillId="8500" borderId="0" xfId="0" applyFill="1"/>
    <xf numFmtId="0" fontId="0" fillId="8501" borderId="0" xfId="0" applyFill="1"/>
    <xf numFmtId="0" fontId="0" fillId="8502" borderId="0" xfId="0" applyFill="1"/>
    <xf numFmtId="0" fontId="0" fillId="8503" borderId="0" xfId="0" applyFill="1"/>
    <xf numFmtId="0" fontId="0" fillId="8504" borderId="0" xfId="0" applyFill="1"/>
    <xf numFmtId="0" fontId="0" fillId="8505" borderId="0" xfId="0" applyFill="1"/>
    <xf numFmtId="0" fontId="0" fillId="8506" borderId="0" xfId="0" applyFill="1"/>
    <xf numFmtId="0" fontId="0" fillId="8507" borderId="0" xfId="0" applyFill="1"/>
    <xf numFmtId="0" fontId="0" fillId="8508" borderId="0" xfId="0" applyFill="1"/>
    <xf numFmtId="0" fontId="0" fillId="8509" borderId="0" xfId="0" applyFill="1"/>
    <xf numFmtId="0" fontId="0" fillId="8510" borderId="0" xfId="0" applyFill="1"/>
    <xf numFmtId="0" fontId="0" fillId="8511" borderId="0" xfId="0" applyFill="1"/>
    <xf numFmtId="0" fontId="0" fillId="8512" borderId="0" xfId="0" applyFill="1"/>
    <xf numFmtId="0" fontId="0" fillId="8513" borderId="0" xfId="0" applyFill="1"/>
    <xf numFmtId="0" fontId="0" fillId="8514" borderId="0" xfId="0" applyFill="1"/>
    <xf numFmtId="0" fontId="0" fillId="8515" borderId="0" xfId="0" applyFill="1"/>
    <xf numFmtId="0" fontId="0" fillId="8516" borderId="0" xfId="0" applyFill="1"/>
    <xf numFmtId="0" fontId="0" fillId="8517" borderId="0" xfId="0" applyFill="1"/>
    <xf numFmtId="0" fontId="0" fillId="8518" borderId="0" xfId="0" applyFill="1"/>
    <xf numFmtId="0" fontId="0" fillId="8519" borderId="0" xfId="0" applyFill="1"/>
    <xf numFmtId="0" fontId="0" fillId="8520" borderId="0" xfId="0" applyFill="1"/>
    <xf numFmtId="0" fontId="0" fillId="8521" borderId="0" xfId="0" applyFill="1"/>
    <xf numFmtId="0" fontId="0" fillId="8522" borderId="0" xfId="0" applyFill="1"/>
    <xf numFmtId="0" fontId="0" fillId="8523" borderId="0" xfId="0" applyFill="1"/>
    <xf numFmtId="0" fontId="0" fillId="8524" borderId="0" xfId="0" applyFill="1"/>
    <xf numFmtId="0" fontId="0" fillId="8525" borderId="0" xfId="0" applyFill="1"/>
    <xf numFmtId="0" fontId="0" fillId="8526" borderId="0" xfId="0" applyFill="1"/>
    <xf numFmtId="0" fontId="0" fillId="8527" borderId="0" xfId="0" applyFill="1"/>
    <xf numFmtId="0" fontId="0" fillId="8528" borderId="0" xfId="0" applyFill="1"/>
    <xf numFmtId="0" fontId="0" fillId="8529" borderId="0" xfId="0" applyFill="1"/>
    <xf numFmtId="0" fontId="0" fillId="8530" borderId="0" xfId="0" applyFill="1"/>
    <xf numFmtId="0" fontId="0" fillId="8531" borderId="0" xfId="0" applyFill="1"/>
    <xf numFmtId="0" fontId="0" fillId="8532" borderId="0" xfId="0" applyFill="1"/>
    <xf numFmtId="0" fontId="0" fillId="8533" borderId="0" xfId="0" applyFill="1"/>
    <xf numFmtId="0" fontId="0" fillId="8534" borderId="0" xfId="0" applyFill="1"/>
    <xf numFmtId="0" fontId="0" fillId="8535" borderId="0" xfId="0" applyFill="1"/>
    <xf numFmtId="0" fontId="0" fillId="8536" borderId="0" xfId="0" applyFill="1"/>
    <xf numFmtId="0" fontId="0" fillId="8537" borderId="0" xfId="0" applyFill="1"/>
    <xf numFmtId="0" fontId="0" fillId="8538" borderId="0" xfId="0" applyFill="1"/>
    <xf numFmtId="0" fontId="0" fillId="8539" borderId="0" xfId="0" applyFill="1"/>
    <xf numFmtId="0" fontId="0" fillId="8540" borderId="0" xfId="0" applyFill="1"/>
    <xf numFmtId="0" fontId="0" fillId="8541" borderId="0" xfId="0" applyFill="1"/>
    <xf numFmtId="0" fontId="0" fillId="8542" borderId="0" xfId="0" applyFill="1"/>
    <xf numFmtId="0" fontId="0" fillId="8543" borderId="0" xfId="0" applyFill="1"/>
    <xf numFmtId="0" fontId="0" fillId="8544" borderId="0" xfId="0" applyFill="1"/>
    <xf numFmtId="0" fontId="0" fillId="8545" borderId="0" xfId="0" applyFill="1"/>
    <xf numFmtId="0" fontId="0" fillId="8546" borderId="0" xfId="0" applyFill="1"/>
    <xf numFmtId="0" fontId="0" fillId="8547" borderId="0" xfId="0" applyFill="1"/>
    <xf numFmtId="0" fontId="0" fillId="8548" borderId="0" xfId="0" applyFill="1"/>
    <xf numFmtId="0" fontId="0" fillId="8549" borderId="0" xfId="0" applyFill="1"/>
    <xf numFmtId="0" fontId="0" fillId="8550" borderId="0" xfId="0" applyFill="1"/>
    <xf numFmtId="0" fontId="0" fillId="8551" borderId="0" xfId="0" applyFill="1"/>
    <xf numFmtId="0" fontId="0" fillId="8552" borderId="0" xfId="0" applyFill="1"/>
    <xf numFmtId="0" fontId="0" fillId="8553" borderId="0" xfId="0" applyFill="1"/>
    <xf numFmtId="0" fontId="0" fillId="8554" borderId="0" xfId="0" applyFill="1"/>
    <xf numFmtId="0" fontId="0" fillId="8555" borderId="0" xfId="0" applyFill="1"/>
    <xf numFmtId="0" fontId="0" fillId="8556" borderId="0" xfId="0" applyFill="1"/>
    <xf numFmtId="0" fontId="0" fillId="8557" borderId="0" xfId="0" applyFill="1"/>
    <xf numFmtId="0" fontId="0" fillId="8558" borderId="0" xfId="0" applyFill="1"/>
    <xf numFmtId="0" fontId="0" fillId="8559" borderId="0" xfId="0" applyFill="1"/>
    <xf numFmtId="0" fontId="0" fillId="8560" borderId="0" xfId="0" applyFill="1"/>
    <xf numFmtId="0" fontId="0" fillId="8561" borderId="0" xfId="0" applyFill="1"/>
    <xf numFmtId="0" fontId="0" fillId="8562" borderId="0" xfId="0" applyFill="1"/>
    <xf numFmtId="0" fontId="0" fillId="8563" borderId="0" xfId="0" applyFill="1"/>
    <xf numFmtId="0" fontId="0" fillId="8564" borderId="0" xfId="0" applyFill="1"/>
    <xf numFmtId="0" fontId="0" fillId="8565" borderId="0" xfId="0" applyFill="1"/>
    <xf numFmtId="0" fontId="0" fillId="8566" borderId="0" xfId="0" applyFill="1"/>
    <xf numFmtId="0" fontId="0" fillId="8567" borderId="0" xfId="0" applyFill="1"/>
    <xf numFmtId="0" fontId="0" fillId="8568" borderId="0" xfId="0" applyFill="1"/>
    <xf numFmtId="0" fontId="0" fillId="8569" borderId="0" xfId="0" applyFill="1"/>
    <xf numFmtId="0" fontId="0" fillId="8570" borderId="0" xfId="0" applyFill="1"/>
    <xf numFmtId="0" fontId="0" fillId="8571" borderId="0" xfId="0" applyFill="1"/>
    <xf numFmtId="0" fontId="0" fillId="8572" borderId="0" xfId="0" applyFill="1"/>
    <xf numFmtId="0" fontId="0" fillId="8573" borderId="0" xfId="0" applyFill="1"/>
    <xf numFmtId="0" fontId="0" fillId="8574" borderId="0" xfId="0" applyFill="1"/>
    <xf numFmtId="0" fontId="0" fillId="8575" borderId="0" xfId="0" applyFill="1"/>
    <xf numFmtId="0" fontId="0" fillId="8576" borderId="0" xfId="0" applyFill="1"/>
    <xf numFmtId="0" fontId="0" fillId="8577" borderId="0" xfId="0" applyFill="1"/>
    <xf numFmtId="0" fontId="0" fillId="8578" borderId="0" xfId="0" applyFill="1"/>
    <xf numFmtId="0" fontId="0" fillId="8579" borderId="0" xfId="0" applyFill="1"/>
    <xf numFmtId="0" fontId="0" fillId="8580" borderId="0" xfId="0" applyFill="1"/>
    <xf numFmtId="0" fontId="0" fillId="8581" borderId="0" xfId="0" applyFill="1"/>
    <xf numFmtId="0" fontId="0" fillId="8582" borderId="0" xfId="0" applyFill="1"/>
    <xf numFmtId="0" fontId="0" fillId="8583" borderId="0" xfId="0" applyFill="1"/>
    <xf numFmtId="0" fontId="0" fillId="8584" borderId="0" xfId="0" applyFill="1"/>
    <xf numFmtId="0" fontId="0" fillId="8585" borderId="0" xfId="0" applyFill="1"/>
    <xf numFmtId="0" fontId="0" fillId="8586" borderId="0" xfId="0" applyFill="1"/>
    <xf numFmtId="0" fontId="0" fillId="8587" borderId="0" xfId="0" applyFill="1"/>
    <xf numFmtId="0" fontId="0" fillId="8588" borderId="0" xfId="0" applyFill="1"/>
    <xf numFmtId="0" fontId="0" fillId="8589" borderId="0" xfId="0" applyFill="1"/>
    <xf numFmtId="0" fontId="0" fillId="8590" borderId="0" xfId="0" applyFill="1"/>
    <xf numFmtId="0" fontId="0" fillId="8591" borderId="0" xfId="0" applyFill="1"/>
    <xf numFmtId="0" fontId="0" fillId="8592" borderId="0" xfId="0" applyFill="1"/>
    <xf numFmtId="0" fontId="0" fillId="8593" borderId="0" xfId="0" applyFill="1"/>
    <xf numFmtId="0" fontId="0" fillId="8594" borderId="0" xfId="0" applyFill="1"/>
    <xf numFmtId="0" fontId="0" fillId="8595" borderId="0" xfId="0" applyFill="1"/>
    <xf numFmtId="0" fontId="0" fillId="8596" borderId="0" xfId="0" applyFill="1"/>
    <xf numFmtId="0" fontId="0" fillId="8597" borderId="0" xfId="0" applyFill="1"/>
    <xf numFmtId="0" fontId="0" fillId="8598" borderId="0" xfId="0" applyFill="1"/>
    <xf numFmtId="0" fontId="0" fillId="8599" borderId="0" xfId="0" applyFill="1"/>
    <xf numFmtId="0" fontId="0" fillId="8600" borderId="0" xfId="0" applyFill="1"/>
    <xf numFmtId="0" fontId="0" fillId="8601" borderId="0" xfId="0" applyFill="1"/>
    <xf numFmtId="0" fontId="0" fillId="8602" borderId="0" xfId="0" applyFill="1"/>
    <xf numFmtId="0" fontId="0" fillId="8603" borderId="0" xfId="0" applyFill="1"/>
    <xf numFmtId="0" fontId="0" fillId="8604" borderId="0" xfId="0" applyFill="1"/>
    <xf numFmtId="0" fontId="0" fillId="8605" borderId="0" xfId="0" applyFill="1"/>
    <xf numFmtId="0" fontId="0" fillId="8606" borderId="0" xfId="0" applyFill="1"/>
    <xf numFmtId="0" fontId="0" fillId="8607" borderId="0" xfId="0" applyFill="1"/>
    <xf numFmtId="0" fontId="0" fillId="8608" borderId="0" xfId="0" applyFill="1"/>
    <xf numFmtId="0" fontId="0" fillId="8609" borderId="0" xfId="0" applyFill="1"/>
    <xf numFmtId="0" fontId="0" fillId="8610" borderId="0" xfId="0" applyFill="1"/>
    <xf numFmtId="0" fontId="0" fillId="8611" borderId="0" xfId="0" applyFill="1"/>
    <xf numFmtId="0" fontId="0" fillId="8612" borderId="0" xfId="0" applyFill="1"/>
    <xf numFmtId="0" fontId="0" fillId="8613" borderId="0" xfId="0" applyFill="1"/>
    <xf numFmtId="0" fontId="0" fillId="8614" borderId="0" xfId="0" applyFill="1"/>
    <xf numFmtId="0" fontId="0" fillId="8615" borderId="0" xfId="0" applyFill="1"/>
    <xf numFmtId="0" fontId="0" fillId="8616" borderId="0" xfId="0" applyFill="1"/>
    <xf numFmtId="0" fontId="0" fillId="8617" borderId="0" xfId="0" applyFill="1"/>
    <xf numFmtId="0" fontId="0" fillId="8618" borderId="0" xfId="0" applyFill="1"/>
    <xf numFmtId="0" fontId="0" fillId="8619" borderId="0" xfId="0" applyFill="1"/>
    <xf numFmtId="0" fontId="0" fillId="8620" borderId="0" xfId="0" applyFill="1"/>
    <xf numFmtId="0" fontId="0" fillId="8621" borderId="0" xfId="0" applyFill="1"/>
    <xf numFmtId="0" fontId="0" fillId="8622" borderId="0" xfId="0" applyFill="1"/>
    <xf numFmtId="0" fontId="0" fillId="8623" borderId="0" xfId="0" applyFill="1"/>
    <xf numFmtId="0" fontId="0" fillId="8624" borderId="0" xfId="0" applyFill="1"/>
    <xf numFmtId="0" fontId="0" fillId="8625" borderId="0" xfId="0" applyFill="1"/>
    <xf numFmtId="0" fontId="0" fillId="8626" borderId="0" xfId="0" applyFill="1"/>
    <xf numFmtId="0" fontId="0" fillId="8627" borderId="0" xfId="0" applyFill="1"/>
    <xf numFmtId="0" fontId="0" fillId="8628" borderId="0" xfId="0" applyFill="1"/>
    <xf numFmtId="0" fontId="0" fillId="8629" borderId="0" xfId="0" applyFill="1"/>
    <xf numFmtId="0" fontId="0" fillId="8630" borderId="0" xfId="0" applyFill="1"/>
    <xf numFmtId="0" fontId="0" fillId="8631" borderId="0" xfId="0" applyFill="1"/>
    <xf numFmtId="0" fontId="0" fillId="8632" borderId="0" xfId="0" applyFill="1"/>
    <xf numFmtId="0" fontId="0" fillId="8633" borderId="0" xfId="0" applyFill="1"/>
    <xf numFmtId="0" fontId="0" fillId="8634" borderId="0" xfId="0" applyFill="1"/>
    <xf numFmtId="0" fontId="0" fillId="8635" borderId="0" xfId="0" applyFill="1"/>
    <xf numFmtId="0" fontId="0" fillId="8636" borderId="0" xfId="0" applyFill="1"/>
    <xf numFmtId="0" fontId="0" fillId="8637" borderId="0" xfId="0" applyFill="1"/>
    <xf numFmtId="0" fontId="0" fillId="8638" borderId="0" xfId="0" applyFill="1"/>
    <xf numFmtId="0" fontId="0" fillId="8639" borderId="0" xfId="0" applyFill="1"/>
    <xf numFmtId="0" fontId="0" fillId="8640" borderId="0" xfId="0" applyFill="1"/>
    <xf numFmtId="0" fontId="0" fillId="8641" borderId="0" xfId="0" applyFill="1"/>
    <xf numFmtId="0" fontId="0" fillId="8642" borderId="0" xfId="0" applyFill="1"/>
    <xf numFmtId="0" fontId="0" fillId="8643" borderId="0" xfId="0" applyFill="1"/>
    <xf numFmtId="0" fontId="0" fillId="8644" borderId="0" xfId="0" applyFill="1"/>
    <xf numFmtId="0" fontId="0" fillId="8645" borderId="0" xfId="0" applyFill="1"/>
    <xf numFmtId="0" fontId="0" fillId="8646" borderId="0" xfId="0" applyFill="1"/>
    <xf numFmtId="0" fontId="0" fillId="8647" borderId="0" xfId="0" applyFill="1"/>
    <xf numFmtId="0" fontId="0" fillId="8648" borderId="0" xfId="0" applyFill="1"/>
    <xf numFmtId="0" fontId="0" fillId="8649" borderId="0" xfId="0" applyFill="1"/>
    <xf numFmtId="0" fontId="0" fillId="8650" borderId="0" xfId="0" applyFill="1"/>
    <xf numFmtId="0" fontId="0" fillId="8651" borderId="0" xfId="0" applyFill="1"/>
    <xf numFmtId="0" fontId="0" fillId="8652" borderId="0" xfId="0" applyFill="1"/>
    <xf numFmtId="0" fontId="0" fillId="8653" borderId="0" xfId="0" applyFill="1"/>
    <xf numFmtId="0" fontId="0" fillId="8654" borderId="0" xfId="0" applyFill="1"/>
    <xf numFmtId="0" fontId="0" fillId="8655" borderId="0" xfId="0" applyFill="1"/>
    <xf numFmtId="0" fontId="0" fillId="8656" borderId="0" xfId="0" applyFill="1"/>
    <xf numFmtId="0" fontId="0" fillId="8657" borderId="0" xfId="0" applyFill="1"/>
    <xf numFmtId="0" fontId="0" fillId="8658" borderId="0" xfId="0" applyFill="1"/>
    <xf numFmtId="0" fontId="0" fillId="8659" borderId="0" xfId="0" applyFill="1"/>
    <xf numFmtId="0" fontId="0" fillId="8660" borderId="0" xfId="0" applyFill="1"/>
    <xf numFmtId="0" fontId="0" fillId="8661" borderId="0" xfId="0" applyFill="1"/>
    <xf numFmtId="0" fontId="0" fillId="8662" borderId="0" xfId="0" applyFill="1"/>
    <xf numFmtId="0" fontId="0" fillId="8663" borderId="0" xfId="0" applyFill="1"/>
    <xf numFmtId="0" fontId="0" fillId="8664" borderId="0" xfId="0" applyFill="1"/>
    <xf numFmtId="0" fontId="0" fillId="8665" borderId="0" xfId="0" applyFill="1"/>
    <xf numFmtId="0" fontId="0" fillId="8666" borderId="0" xfId="0" applyFill="1"/>
    <xf numFmtId="0" fontId="0" fillId="8667" borderId="0" xfId="0" applyFill="1"/>
    <xf numFmtId="0" fontId="0" fillId="8668" borderId="0" xfId="0" applyFill="1"/>
    <xf numFmtId="0" fontId="0" fillId="8669" borderId="0" xfId="0" applyFill="1"/>
    <xf numFmtId="0" fontId="0" fillId="8670" borderId="0" xfId="0" applyFill="1"/>
    <xf numFmtId="0" fontId="0" fillId="8671" borderId="0" xfId="0" applyFill="1"/>
    <xf numFmtId="0" fontId="0" fillId="8672" borderId="0" xfId="0" applyFill="1"/>
    <xf numFmtId="0" fontId="0" fillId="8673" borderId="0" xfId="0" applyFill="1"/>
    <xf numFmtId="0" fontId="0" fillId="8674" borderId="0" xfId="0" applyFill="1"/>
    <xf numFmtId="0" fontId="0" fillId="8675" borderId="0" xfId="0" applyFill="1"/>
    <xf numFmtId="0" fontId="0" fillId="8676" borderId="0" xfId="0" applyFill="1"/>
    <xf numFmtId="0" fontId="0" fillId="8677" borderId="0" xfId="0" applyFill="1"/>
    <xf numFmtId="0" fontId="0" fillId="8678" borderId="0" xfId="0" applyFill="1"/>
    <xf numFmtId="0" fontId="0" fillId="8679" borderId="0" xfId="0" applyFill="1"/>
    <xf numFmtId="0" fontId="0" fillId="8680" borderId="0" xfId="0" applyFill="1"/>
    <xf numFmtId="0" fontId="0" fillId="8681" borderId="0" xfId="0" applyFill="1"/>
    <xf numFmtId="0" fontId="0" fillId="8682" borderId="0" xfId="0" applyFill="1"/>
    <xf numFmtId="0" fontId="0" fillId="8683" borderId="0" xfId="0" applyFill="1"/>
    <xf numFmtId="0" fontId="0" fillId="8684" borderId="0" xfId="0" applyFill="1"/>
    <xf numFmtId="0" fontId="0" fillId="8685" borderId="0" xfId="0" applyFill="1"/>
    <xf numFmtId="0" fontId="0" fillId="8686" borderId="0" xfId="0" applyFill="1"/>
    <xf numFmtId="0" fontId="0" fillId="8687" borderId="0" xfId="0" applyFill="1"/>
    <xf numFmtId="0" fontId="0" fillId="8688" borderId="0" xfId="0" applyFill="1"/>
    <xf numFmtId="0" fontId="0" fillId="8689" borderId="0" xfId="0" applyFill="1"/>
    <xf numFmtId="0" fontId="0" fillId="8690" borderId="0" xfId="0" applyFill="1"/>
    <xf numFmtId="0" fontId="0" fillId="8691" borderId="0" xfId="0" applyFill="1"/>
    <xf numFmtId="0" fontId="0" fillId="8692" borderId="0" xfId="0" applyFill="1"/>
    <xf numFmtId="0" fontId="0" fillId="8693" borderId="0" xfId="0" applyFill="1"/>
    <xf numFmtId="0" fontId="0" fillId="8694" borderId="0" xfId="0" applyFill="1"/>
    <xf numFmtId="0" fontId="0" fillId="8695" borderId="0" xfId="0" applyFill="1"/>
    <xf numFmtId="0" fontId="0" fillId="8696" borderId="0" xfId="0" applyFill="1"/>
    <xf numFmtId="0" fontId="0" fillId="8697" borderId="0" xfId="0" applyFill="1"/>
    <xf numFmtId="0" fontId="0" fillId="8698" borderId="0" xfId="0" applyFill="1"/>
    <xf numFmtId="0" fontId="0" fillId="8699" borderId="0" xfId="0" applyFill="1"/>
    <xf numFmtId="0" fontId="0" fillId="8700" borderId="0" xfId="0" applyFill="1"/>
    <xf numFmtId="0" fontId="0" fillId="8701" borderId="0" xfId="0" applyFill="1"/>
    <xf numFmtId="0" fontId="0" fillId="8702" borderId="0" xfId="0" applyFill="1"/>
    <xf numFmtId="0" fontId="0" fillId="8703" borderId="0" xfId="0" applyFill="1"/>
    <xf numFmtId="0" fontId="0" fillId="8704" borderId="0" xfId="0" applyFill="1"/>
    <xf numFmtId="0" fontId="0" fillId="8705" borderId="0" xfId="0" applyFill="1"/>
    <xf numFmtId="0" fontId="0" fillId="8706" borderId="0" xfId="0" applyFill="1"/>
    <xf numFmtId="0" fontId="0" fillId="8707" borderId="0" xfId="0" applyFill="1"/>
    <xf numFmtId="0" fontId="0" fillId="8708" borderId="0" xfId="0" applyFill="1"/>
    <xf numFmtId="0" fontId="0" fillId="8709" borderId="0" xfId="0" applyFill="1"/>
    <xf numFmtId="0" fontId="0" fillId="8710" borderId="0" xfId="0" applyFill="1"/>
    <xf numFmtId="0" fontId="0" fillId="8711" borderId="0" xfId="0" applyFill="1"/>
    <xf numFmtId="0" fontId="0" fillId="8712" borderId="0" xfId="0" applyFill="1"/>
    <xf numFmtId="0" fontId="0" fillId="8713" borderId="0" xfId="0" applyFill="1"/>
    <xf numFmtId="0" fontId="0" fillId="8714" borderId="0" xfId="0" applyFill="1"/>
    <xf numFmtId="0" fontId="0" fillId="8715" borderId="0" xfId="0" applyFill="1"/>
    <xf numFmtId="0" fontId="0" fillId="8716" borderId="0" xfId="0" applyFill="1"/>
    <xf numFmtId="0" fontId="0" fillId="8717" borderId="0" xfId="0" applyFill="1"/>
    <xf numFmtId="0" fontId="0" fillId="8718" borderId="0" xfId="0" applyFill="1"/>
    <xf numFmtId="0" fontId="0" fillId="8719" borderId="0" xfId="0" applyFill="1"/>
    <xf numFmtId="0" fontId="0" fillId="8720" borderId="0" xfId="0" applyFill="1"/>
    <xf numFmtId="0" fontId="0" fillId="8721" borderId="0" xfId="0" applyFill="1"/>
    <xf numFmtId="0" fontId="0" fillId="8722" borderId="0" xfId="0" applyFill="1"/>
    <xf numFmtId="0" fontId="0" fillId="8723" borderId="0" xfId="0" applyFill="1"/>
    <xf numFmtId="0" fontId="0" fillId="8724" borderId="0" xfId="0" applyFill="1"/>
    <xf numFmtId="0" fontId="0" fillId="8725" borderId="0" xfId="0" applyFill="1"/>
    <xf numFmtId="0" fontId="0" fillId="8726" borderId="0" xfId="0" applyFill="1"/>
    <xf numFmtId="0" fontId="0" fillId="8727" borderId="0" xfId="0" applyFill="1"/>
    <xf numFmtId="0" fontId="0" fillId="8728" borderId="0" xfId="0" applyFill="1"/>
    <xf numFmtId="0" fontId="0" fillId="8729" borderId="0" xfId="0" applyFill="1"/>
    <xf numFmtId="0" fontId="0" fillId="8730" borderId="0" xfId="0" applyFill="1"/>
    <xf numFmtId="0" fontId="0" fillId="8731" borderId="0" xfId="0" applyFill="1"/>
    <xf numFmtId="0" fontId="0" fillId="8732" borderId="0" xfId="0" applyFill="1"/>
    <xf numFmtId="0" fontId="0" fillId="8733" borderId="0" xfId="0" applyFill="1"/>
    <xf numFmtId="0" fontId="0" fillId="8734" borderId="0" xfId="0" applyFill="1"/>
    <xf numFmtId="0" fontId="0" fillId="8735" borderId="0" xfId="0" applyFill="1"/>
    <xf numFmtId="0" fontId="0" fillId="8736" borderId="0" xfId="0" applyFill="1"/>
    <xf numFmtId="0" fontId="0" fillId="8737" borderId="0" xfId="0" applyFill="1"/>
    <xf numFmtId="0" fontId="0" fillId="8738" borderId="0" xfId="0" applyFill="1"/>
    <xf numFmtId="0" fontId="0" fillId="8739" borderId="0" xfId="0" applyFill="1"/>
    <xf numFmtId="0" fontId="0" fillId="8740" borderId="0" xfId="0" applyFill="1"/>
    <xf numFmtId="0" fontId="0" fillId="8741" borderId="0" xfId="0" applyFill="1"/>
    <xf numFmtId="0" fontId="0" fillId="8742" borderId="0" xfId="0" applyFill="1"/>
    <xf numFmtId="0" fontId="0" fillId="8743" borderId="0" xfId="0" applyFill="1"/>
    <xf numFmtId="0" fontId="0" fillId="8744" borderId="0" xfId="0" applyFill="1"/>
    <xf numFmtId="0" fontId="0" fillId="8745" borderId="0" xfId="0" applyFill="1"/>
    <xf numFmtId="0" fontId="0" fillId="8746" borderId="0" xfId="0" applyFill="1"/>
    <xf numFmtId="0" fontId="0" fillId="8747" borderId="0" xfId="0" applyFill="1"/>
    <xf numFmtId="0" fontId="0" fillId="8748" borderId="0" xfId="0" applyFill="1"/>
    <xf numFmtId="0" fontId="0" fillId="8749" borderId="0" xfId="0" applyFill="1"/>
    <xf numFmtId="0" fontId="0" fillId="8750" borderId="0" xfId="0" applyFill="1"/>
    <xf numFmtId="0" fontId="0" fillId="8751" borderId="0" xfId="0" applyFill="1"/>
    <xf numFmtId="0" fontId="0" fillId="8752" borderId="0" xfId="0" applyFill="1"/>
    <xf numFmtId="0" fontId="0" fillId="8753" borderId="0" xfId="0" applyFill="1"/>
    <xf numFmtId="0" fontId="0" fillId="8754" borderId="0" xfId="0" applyFill="1"/>
    <xf numFmtId="0" fontId="0" fillId="8755" borderId="0" xfId="0" applyFill="1"/>
    <xf numFmtId="0" fontId="0" fillId="8756" borderId="0" xfId="0" applyFill="1"/>
    <xf numFmtId="0" fontId="0" fillId="8757" borderId="0" xfId="0" applyFill="1"/>
    <xf numFmtId="0" fontId="0" fillId="8758" borderId="0" xfId="0" applyFill="1"/>
    <xf numFmtId="0" fontId="0" fillId="8759" borderId="0" xfId="0" applyFill="1"/>
    <xf numFmtId="0" fontId="0" fillId="8760" borderId="0" xfId="0" applyFill="1"/>
    <xf numFmtId="0" fontId="0" fillId="8761" borderId="0" xfId="0" applyFill="1"/>
    <xf numFmtId="0" fontId="0" fillId="8762" borderId="0" xfId="0" applyFill="1"/>
    <xf numFmtId="0" fontId="0" fillId="8763" borderId="0" xfId="0" applyFill="1"/>
    <xf numFmtId="0" fontId="0" fillId="8764" borderId="0" xfId="0" applyFill="1"/>
    <xf numFmtId="0" fontId="0" fillId="8765" borderId="0" xfId="0" applyFill="1"/>
    <xf numFmtId="0" fontId="0" fillId="8766" borderId="0" xfId="0" applyFill="1"/>
    <xf numFmtId="0" fontId="0" fillId="8767" borderId="0" xfId="0" applyFill="1"/>
    <xf numFmtId="0" fontId="0" fillId="8768" borderId="0" xfId="0" applyFill="1"/>
    <xf numFmtId="0" fontId="0" fillId="8769" borderId="0" xfId="0" applyFill="1"/>
    <xf numFmtId="0" fontId="0" fillId="8770" borderId="0" xfId="0" applyFill="1"/>
    <xf numFmtId="0" fontId="0" fillId="8771" borderId="0" xfId="0" applyFill="1"/>
    <xf numFmtId="0" fontId="0" fillId="8772" borderId="0" xfId="0" applyFill="1"/>
    <xf numFmtId="0" fontId="0" fillId="8773" borderId="0" xfId="0" applyFill="1"/>
    <xf numFmtId="0" fontId="0" fillId="8774" borderId="0" xfId="0" applyFill="1"/>
    <xf numFmtId="0" fontId="0" fillId="8775" borderId="0" xfId="0" applyFill="1"/>
    <xf numFmtId="0" fontId="0" fillId="8776" borderId="0" xfId="0" applyFill="1"/>
    <xf numFmtId="0" fontId="0" fillId="8777" borderId="0" xfId="0" applyFill="1"/>
    <xf numFmtId="0" fontId="0" fillId="8778" borderId="0" xfId="0" applyFill="1"/>
    <xf numFmtId="0" fontId="0" fillId="8779" borderId="0" xfId="0" applyFill="1"/>
    <xf numFmtId="0" fontId="0" fillId="8780" borderId="0" xfId="0" applyFill="1"/>
    <xf numFmtId="0" fontId="0" fillId="8781" borderId="0" xfId="0" applyFill="1"/>
    <xf numFmtId="0" fontId="0" fillId="8782" borderId="0" xfId="0" applyFill="1"/>
    <xf numFmtId="0" fontId="0" fillId="8783" borderId="0" xfId="0" applyFill="1"/>
    <xf numFmtId="0" fontId="0" fillId="8784" borderId="0" xfId="0" applyFill="1"/>
    <xf numFmtId="0" fontId="0" fillId="8785" borderId="0" xfId="0" applyFill="1"/>
    <xf numFmtId="0" fontId="0" fillId="8786" borderId="0" xfId="0" applyFill="1"/>
    <xf numFmtId="0" fontId="0" fillId="8787" borderId="0" xfId="0" applyFill="1"/>
    <xf numFmtId="0" fontId="0" fillId="8788" borderId="0" xfId="0" applyFill="1"/>
    <xf numFmtId="0" fontId="0" fillId="8789" borderId="0" xfId="0" applyFill="1"/>
    <xf numFmtId="0" fontId="0" fillId="8790" borderId="0" xfId="0" applyFill="1"/>
    <xf numFmtId="0" fontId="0" fillId="8791" borderId="0" xfId="0" applyFill="1"/>
    <xf numFmtId="0" fontId="0" fillId="8792" borderId="0" xfId="0" applyFill="1"/>
    <xf numFmtId="0" fontId="0" fillId="8793" borderId="0" xfId="0" applyFill="1"/>
    <xf numFmtId="0" fontId="0" fillId="8794" borderId="0" xfId="0" applyFill="1"/>
    <xf numFmtId="0" fontId="0" fillId="8795" borderId="0" xfId="0" applyFill="1"/>
    <xf numFmtId="0" fontId="0" fillId="8796" borderId="0" xfId="0" applyFill="1"/>
    <xf numFmtId="0" fontId="0" fillId="8797" borderId="0" xfId="0" applyFill="1"/>
    <xf numFmtId="0" fontId="0" fillId="8798" borderId="0" xfId="0" applyFill="1"/>
    <xf numFmtId="0" fontId="0" fillId="8799" borderId="0" xfId="0" applyFill="1"/>
    <xf numFmtId="0" fontId="0" fillId="8800" borderId="0" xfId="0" applyFill="1"/>
    <xf numFmtId="0" fontId="0" fillId="8801" borderId="0" xfId="0" applyFill="1"/>
    <xf numFmtId="0" fontId="0" fillId="8802" borderId="0" xfId="0" applyFill="1"/>
    <xf numFmtId="0" fontId="0" fillId="8803" borderId="0" xfId="0" applyFill="1"/>
    <xf numFmtId="0" fontId="0" fillId="8804" borderId="0" xfId="0" applyFill="1"/>
    <xf numFmtId="0" fontId="0" fillId="8805" borderId="0" xfId="0" applyFill="1"/>
    <xf numFmtId="0" fontId="0" fillId="8806" borderId="0" xfId="0" applyFill="1"/>
    <xf numFmtId="0" fontId="0" fillId="8807" borderId="0" xfId="0" applyFill="1"/>
    <xf numFmtId="0" fontId="0" fillId="8808" borderId="0" xfId="0" applyFill="1"/>
    <xf numFmtId="0" fontId="0" fillId="8809" borderId="0" xfId="0" applyFill="1"/>
    <xf numFmtId="0" fontId="0" fillId="8810" borderId="0" xfId="0" applyFill="1"/>
    <xf numFmtId="0" fontId="0" fillId="8811" borderId="0" xfId="0" applyFill="1"/>
    <xf numFmtId="0" fontId="0" fillId="8812" borderId="0" xfId="0" applyFill="1"/>
    <xf numFmtId="0" fontId="0" fillId="8813" borderId="0" xfId="0" applyFill="1"/>
    <xf numFmtId="0" fontId="0" fillId="8814" borderId="0" xfId="0" applyFill="1"/>
    <xf numFmtId="0" fontId="0" fillId="8815" borderId="0" xfId="0" applyFill="1"/>
    <xf numFmtId="0" fontId="0" fillId="8816" borderId="0" xfId="0" applyFill="1"/>
    <xf numFmtId="0" fontId="0" fillId="8817" borderId="0" xfId="0" applyFill="1"/>
    <xf numFmtId="0" fontId="0" fillId="8818" borderId="0" xfId="0" applyFill="1"/>
    <xf numFmtId="0" fontId="0" fillId="8819" borderId="0" xfId="0" applyFill="1"/>
    <xf numFmtId="0" fontId="0" fillId="8820" borderId="0" xfId="0" applyFill="1"/>
    <xf numFmtId="0" fontId="0" fillId="8821" borderId="0" xfId="0" applyFill="1"/>
    <xf numFmtId="0" fontId="0" fillId="8822" borderId="0" xfId="0" applyFill="1"/>
    <xf numFmtId="0" fontId="0" fillId="8823" borderId="0" xfId="0" applyFill="1"/>
    <xf numFmtId="0" fontId="0" fillId="8824" borderId="0" xfId="0" applyFill="1"/>
    <xf numFmtId="0" fontId="0" fillId="8825" borderId="0" xfId="0" applyFill="1"/>
    <xf numFmtId="0" fontId="0" fillId="8826" borderId="0" xfId="0" applyFill="1"/>
    <xf numFmtId="0" fontId="0" fillId="8827" borderId="0" xfId="0" applyFill="1"/>
    <xf numFmtId="0" fontId="0" fillId="8828" borderId="0" xfId="0" applyFill="1"/>
    <xf numFmtId="0" fontId="0" fillId="8829" borderId="0" xfId="0" applyFill="1"/>
    <xf numFmtId="0" fontId="0" fillId="8830" borderId="0" xfId="0" applyFill="1"/>
    <xf numFmtId="0" fontId="0" fillId="8831" borderId="0" xfId="0" applyFill="1"/>
    <xf numFmtId="0" fontId="0" fillId="8832" borderId="0" xfId="0" applyFill="1"/>
    <xf numFmtId="0" fontId="0" fillId="8833" borderId="0" xfId="0" applyFill="1"/>
    <xf numFmtId="0" fontId="0" fillId="8834" borderId="0" xfId="0" applyFill="1"/>
    <xf numFmtId="0" fontId="0" fillId="8835" borderId="0" xfId="0" applyFill="1"/>
    <xf numFmtId="0" fontId="0" fillId="8836" borderId="0" xfId="0" applyFill="1"/>
    <xf numFmtId="0" fontId="0" fillId="8837" borderId="0" xfId="0" applyFill="1"/>
    <xf numFmtId="0" fontId="0" fillId="8838" borderId="0" xfId="0" applyFill="1"/>
    <xf numFmtId="0" fontId="0" fillId="8839" borderId="0" xfId="0" applyFill="1"/>
    <xf numFmtId="0" fontId="0" fillId="8840" borderId="0" xfId="0" applyFill="1"/>
    <xf numFmtId="0" fontId="0" fillId="8841" borderId="0" xfId="0" applyFill="1"/>
    <xf numFmtId="0" fontId="0" fillId="8842" borderId="0" xfId="0" applyFill="1"/>
    <xf numFmtId="0" fontId="0" fillId="8843" borderId="0" xfId="0" applyFill="1"/>
    <xf numFmtId="0" fontId="0" fillId="8844" borderId="0" xfId="0" applyFill="1"/>
    <xf numFmtId="0" fontId="0" fillId="8845" borderId="0" xfId="0" applyFill="1"/>
    <xf numFmtId="0" fontId="0" fillId="8846" borderId="0" xfId="0" applyFill="1"/>
    <xf numFmtId="0" fontId="0" fillId="8847" borderId="0" xfId="0" applyFill="1"/>
    <xf numFmtId="0" fontId="0" fillId="8848" borderId="0" xfId="0" applyFill="1"/>
    <xf numFmtId="0" fontId="0" fillId="8849" borderId="0" xfId="0" applyFill="1"/>
    <xf numFmtId="0" fontId="0" fillId="8850" borderId="0" xfId="0" applyFill="1"/>
    <xf numFmtId="0" fontId="0" fillId="8851" borderId="0" xfId="0" applyFill="1"/>
    <xf numFmtId="0" fontId="0" fillId="8852" borderId="0" xfId="0" applyFill="1"/>
    <xf numFmtId="0" fontId="0" fillId="8853" borderId="0" xfId="0" applyFill="1"/>
    <xf numFmtId="0" fontId="0" fillId="8854" borderId="0" xfId="0" applyFill="1"/>
    <xf numFmtId="0" fontId="0" fillId="8855" borderId="0" xfId="0" applyFill="1"/>
    <xf numFmtId="0" fontId="0" fillId="8856" borderId="0" xfId="0" applyFill="1"/>
    <xf numFmtId="0" fontId="0" fillId="8857" borderId="0" xfId="0" applyFill="1"/>
    <xf numFmtId="0" fontId="0" fillId="8858" borderId="0" xfId="0" applyFill="1"/>
    <xf numFmtId="0" fontId="0" fillId="8859" borderId="0" xfId="0" applyFill="1"/>
    <xf numFmtId="0" fontId="0" fillId="8860" borderId="0" xfId="0" applyFill="1"/>
    <xf numFmtId="0" fontId="0" fillId="8861" borderId="0" xfId="0" applyFill="1"/>
    <xf numFmtId="0" fontId="0" fillId="8862" borderId="0" xfId="0" applyFill="1"/>
    <xf numFmtId="0" fontId="0" fillId="8863" borderId="0" xfId="0" applyFill="1"/>
    <xf numFmtId="0" fontId="0" fillId="8864" borderId="0" xfId="0" applyFill="1"/>
    <xf numFmtId="0" fontId="0" fillId="8865" borderId="0" xfId="0" applyFill="1"/>
    <xf numFmtId="0" fontId="0" fillId="8866" borderId="0" xfId="0" applyFill="1"/>
    <xf numFmtId="0" fontId="0" fillId="8867" borderId="0" xfId="0" applyFill="1"/>
    <xf numFmtId="0" fontId="0" fillId="8868" borderId="0" xfId="0" applyFill="1"/>
    <xf numFmtId="0" fontId="0" fillId="8869" borderId="0" xfId="0" applyFill="1"/>
    <xf numFmtId="0" fontId="0" fillId="8870" borderId="0" xfId="0" applyFill="1"/>
    <xf numFmtId="0" fontId="0" fillId="8871" borderId="0" xfId="0" applyFill="1"/>
    <xf numFmtId="0" fontId="0" fillId="8872" borderId="0" xfId="0" applyFill="1"/>
    <xf numFmtId="0" fontId="0" fillId="8873" borderId="0" xfId="0" applyFill="1"/>
    <xf numFmtId="0" fontId="0" fillId="8874" borderId="0" xfId="0" applyFill="1"/>
    <xf numFmtId="0" fontId="0" fillId="8875" borderId="0" xfId="0" applyFill="1"/>
    <xf numFmtId="0" fontId="0" fillId="8876" borderId="0" xfId="0" applyFill="1"/>
    <xf numFmtId="0" fontId="0" fillId="8877" borderId="0" xfId="0" applyFill="1"/>
    <xf numFmtId="0" fontId="0" fillId="8878" borderId="0" xfId="0" applyFill="1"/>
    <xf numFmtId="0" fontId="0" fillId="8879" borderId="0" xfId="0" applyFill="1"/>
    <xf numFmtId="0" fontId="0" fillId="8880" borderId="0" xfId="0" applyFill="1"/>
    <xf numFmtId="0" fontId="0" fillId="8881" borderId="0" xfId="0" applyFill="1"/>
    <xf numFmtId="0" fontId="0" fillId="8882" borderId="0" xfId="0" applyFill="1"/>
    <xf numFmtId="0" fontId="0" fillId="8883" borderId="0" xfId="0" applyFill="1"/>
    <xf numFmtId="0" fontId="0" fillId="8884" borderId="0" xfId="0" applyFill="1"/>
    <xf numFmtId="0" fontId="0" fillId="8885" borderId="0" xfId="0" applyFill="1"/>
    <xf numFmtId="0" fontId="0" fillId="8886" borderId="0" xfId="0" applyFill="1"/>
    <xf numFmtId="0" fontId="0" fillId="8887" borderId="0" xfId="0" applyFill="1"/>
    <xf numFmtId="0" fontId="0" fillId="8888" borderId="0" xfId="0" applyFill="1"/>
    <xf numFmtId="0" fontId="0" fillId="8889" borderId="0" xfId="0" applyFill="1"/>
    <xf numFmtId="0" fontId="0" fillId="8890" borderId="0" xfId="0" applyFill="1"/>
    <xf numFmtId="0" fontId="0" fillId="8891" borderId="0" xfId="0" applyFill="1"/>
    <xf numFmtId="0" fontId="0" fillId="8892" borderId="0" xfId="0" applyFill="1"/>
    <xf numFmtId="0" fontId="0" fillId="8893" borderId="0" xfId="0" applyFill="1"/>
    <xf numFmtId="0" fontId="0" fillId="8894" borderId="0" xfId="0" applyFill="1"/>
    <xf numFmtId="0" fontId="0" fillId="8895" borderId="0" xfId="0" applyFill="1"/>
    <xf numFmtId="0" fontId="0" fillId="8896" borderId="0" xfId="0" applyFill="1"/>
    <xf numFmtId="0" fontId="0" fillId="8897" borderId="0" xfId="0" applyFill="1"/>
    <xf numFmtId="0" fontId="0" fillId="8898" borderId="0" xfId="0" applyFill="1"/>
    <xf numFmtId="0" fontId="0" fillId="8899" borderId="0" xfId="0" applyFill="1"/>
    <xf numFmtId="0" fontId="0" fillId="8900" borderId="0" xfId="0" applyFill="1"/>
    <xf numFmtId="0" fontId="0" fillId="8901" borderId="0" xfId="0" applyFill="1"/>
    <xf numFmtId="0" fontId="0" fillId="8902" borderId="0" xfId="0" applyFill="1"/>
    <xf numFmtId="0" fontId="0" fillId="8903" borderId="0" xfId="0" applyFill="1"/>
    <xf numFmtId="0" fontId="0" fillId="8904" borderId="0" xfId="0" applyFill="1"/>
    <xf numFmtId="0" fontId="0" fillId="8905" borderId="0" xfId="0" applyFill="1"/>
    <xf numFmtId="0" fontId="0" fillId="8906" borderId="0" xfId="0" applyFill="1"/>
    <xf numFmtId="0" fontId="0" fillId="8907" borderId="0" xfId="0" applyFill="1"/>
    <xf numFmtId="0" fontId="0" fillId="8908" borderId="0" xfId="0" applyFill="1"/>
    <xf numFmtId="0" fontId="0" fillId="8909" borderId="0" xfId="0" applyFill="1"/>
    <xf numFmtId="0" fontId="0" fillId="8910" borderId="0" xfId="0" applyFill="1"/>
    <xf numFmtId="0" fontId="0" fillId="8911" borderId="0" xfId="0" applyFill="1"/>
    <xf numFmtId="0" fontId="0" fillId="8912" borderId="0" xfId="0" applyFill="1"/>
    <xf numFmtId="0" fontId="0" fillId="8913" borderId="0" xfId="0" applyFill="1"/>
    <xf numFmtId="0" fontId="0" fillId="8914" borderId="0" xfId="0" applyFill="1"/>
    <xf numFmtId="0" fontId="0" fillId="8915" borderId="0" xfId="0" applyFill="1"/>
    <xf numFmtId="0" fontId="0" fillId="8916" borderId="0" xfId="0" applyFill="1"/>
    <xf numFmtId="0" fontId="0" fillId="8917" borderId="0" xfId="0" applyFill="1"/>
    <xf numFmtId="0" fontId="0" fillId="8918" borderId="0" xfId="0" applyFill="1"/>
    <xf numFmtId="0" fontId="0" fillId="8919" borderId="0" xfId="0" applyFill="1"/>
    <xf numFmtId="0" fontId="0" fillId="8920" borderId="0" xfId="0" applyFill="1"/>
    <xf numFmtId="0" fontId="0" fillId="8921" borderId="0" xfId="0" applyFill="1"/>
    <xf numFmtId="0" fontId="0" fillId="8922" borderId="0" xfId="0" applyFill="1"/>
    <xf numFmtId="0" fontId="0" fillId="8923" borderId="0" xfId="0" applyFill="1"/>
    <xf numFmtId="0" fontId="0" fillId="8924" borderId="0" xfId="0" applyFill="1"/>
    <xf numFmtId="0" fontId="0" fillId="8925" borderId="0" xfId="0" applyFill="1"/>
    <xf numFmtId="0" fontId="0" fillId="8926" borderId="0" xfId="0" applyFill="1"/>
    <xf numFmtId="0" fontId="0" fillId="8927" borderId="0" xfId="0" applyFill="1"/>
    <xf numFmtId="0" fontId="0" fillId="8928" borderId="0" xfId="0" applyFill="1"/>
    <xf numFmtId="0" fontId="0" fillId="8929" borderId="0" xfId="0" applyFill="1"/>
    <xf numFmtId="0" fontId="0" fillId="8930" borderId="0" xfId="0" applyFill="1"/>
    <xf numFmtId="0" fontId="0" fillId="8931" borderId="0" xfId="0" applyFill="1"/>
    <xf numFmtId="0" fontId="0" fillId="8932" borderId="0" xfId="0" applyFill="1"/>
    <xf numFmtId="0" fontId="0" fillId="8933" borderId="0" xfId="0" applyFill="1"/>
    <xf numFmtId="0" fontId="0" fillId="8934" borderId="0" xfId="0" applyFill="1"/>
    <xf numFmtId="0" fontId="0" fillId="8935" borderId="0" xfId="0" applyFill="1"/>
    <xf numFmtId="0" fontId="0" fillId="8936" borderId="0" xfId="0" applyFill="1"/>
    <xf numFmtId="0" fontId="0" fillId="8937" borderId="0" xfId="0" applyFill="1"/>
    <xf numFmtId="0" fontId="0" fillId="8938" borderId="0" xfId="0" applyFill="1"/>
    <xf numFmtId="0" fontId="0" fillId="8939" borderId="0" xfId="0" applyFill="1"/>
    <xf numFmtId="0" fontId="0" fillId="8940" borderId="0" xfId="0" applyFill="1"/>
    <xf numFmtId="0" fontId="0" fillId="8941" borderId="0" xfId="0" applyFill="1"/>
    <xf numFmtId="0" fontId="0" fillId="8942" borderId="0" xfId="0" applyFill="1"/>
    <xf numFmtId="0" fontId="0" fillId="8943" borderId="0" xfId="0" applyFill="1"/>
    <xf numFmtId="0" fontId="0" fillId="8944" borderId="0" xfId="0" applyFill="1"/>
    <xf numFmtId="0" fontId="0" fillId="8945" borderId="0" xfId="0" applyFill="1"/>
    <xf numFmtId="0" fontId="0" fillId="8946" borderId="0" xfId="0" applyFill="1"/>
    <xf numFmtId="0" fontId="0" fillId="8947" borderId="0" xfId="0" applyFill="1"/>
    <xf numFmtId="0" fontId="0" fillId="8948" borderId="0" xfId="0" applyFill="1"/>
    <xf numFmtId="0" fontId="0" fillId="8949" borderId="0" xfId="0" applyFill="1"/>
    <xf numFmtId="0" fontId="0" fillId="8950" borderId="0" xfId="0" applyFill="1"/>
    <xf numFmtId="0" fontId="0" fillId="8951" borderId="0" xfId="0" applyFill="1"/>
    <xf numFmtId="0" fontId="0" fillId="8952" borderId="0" xfId="0" applyFill="1"/>
    <xf numFmtId="0" fontId="0" fillId="8953" borderId="0" xfId="0" applyFill="1"/>
    <xf numFmtId="0" fontId="0" fillId="8954" borderId="0" xfId="0" applyFill="1"/>
    <xf numFmtId="0" fontId="0" fillId="8955" borderId="0" xfId="0" applyFill="1"/>
    <xf numFmtId="0" fontId="0" fillId="8956" borderId="0" xfId="0" applyFill="1"/>
    <xf numFmtId="0" fontId="0" fillId="8957" borderId="0" xfId="0" applyFill="1"/>
    <xf numFmtId="0" fontId="0" fillId="8958" borderId="0" xfId="0" applyFill="1"/>
    <xf numFmtId="0" fontId="0" fillId="8959" borderId="0" xfId="0" applyFill="1"/>
    <xf numFmtId="0" fontId="0" fillId="8960" borderId="0" xfId="0" applyFill="1"/>
    <xf numFmtId="0" fontId="0" fillId="8961" borderId="0" xfId="0" applyFill="1"/>
    <xf numFmtId="0" fontId="0" fillId="8962" borderId="0" xfId="0" applyFill="1"/>
    <xf numFmtId="0" fontId="0" fillId="8963" borderId="0" xfId="0" applyFill="1"/>
    <xf numFmtId="0" fontId="0" fillId="8964" borderId="0" xfId="0" applyFill="1"/>
    <xf numFmtId="0" fontId="0" fillId="8965" borderId="0" xfId="0" applyFill="1"/>
    <xf numFmtId="0" fontId="0" fillId="8966" borderId="0" xfId="0" applyFill="1"/>
    <xf numFmtId="0" fontId="0" fillId="8967" borderId="0" xfId="0" applyFill="1"/>
    <xf numFmtId="0" fontId="0" fillId="8968" borderId="0" xfId="0" applyFill="1"/>
    <xf numFmtId="0" fontId="0" fillId="8969" borderId="0" xfId="0" applyFill="1"/>
    <xf numFmtId="0" fontId="0" fillId="8970" borderId="0" xfId="0" applyFill="1"/>
    <xf numFmtId="0" fontId="0" fillId="8971" borderId="0" xfId="0" applyFill="1"/>
    <xf numFmtId="0" fontId="0" fillId="8972" borderId="0" xfId="0" applyFill="1"/>
    <xf numFmtId="0" fontId="0" fillId="8973" borderId="0" xfId="0" applyFill="1"/>
    <xf numFmtId="0" fontId="0" fillId="8974" borderId="0" xfId="0" applyFill="1"/>
    <xf numFmtId="0" fontId="0" fillId="8975" borderId="0" xfId="0" applyFill="1"/>
    <xf numFmtId="0" fontId="0" fillId="8976" borderId="0" xfId="0" applyFill="1"/>
    <xf numFmtId="0" fontId="0" fillId="8977" borderId="0" xfId="0" applyFill="1"/>
    <xf numFmtId="0" fontId="0" fillId="8978" borderId="0" xfId="0" applyFill="1"/>
    <xf numFmtId="0" fontId="0" fillId="8979" borderId="0" xfId="0" applyFill="1"/>
    <xf numFmtId="0" fontId="0" fillId="8980" borderId="0" xfId="0" applyFill="1"/>
    <xf numFmtId="0" fontId="0" fillId="8981" borderId="0" xfId="0" applyFill="1"/>
    <xf numFmtId="0" fontId="0" fillId="8982" borderId="0" xfId="0" applyFill="1"/>
    <xf numFmtId="0" fontId="0" fillId="8983" borderId="0" xfId="0" applyFill="1"/>
    <xf numFmtId="0" fontId="0" fillId="8984" borderId="0" xfId="0" applyFill="1"/>
    <xf numFmtId="0" fontId="0" fillId="8985" borderId="0" xfId="0" applyFill="1"/>
    <xf numFmtId="0" fontId="0" fillId="8986" borderId="0" xfId="0" applyFill="1"/>
    <xf numFmtId="0" fontId="0" fillId="8987" borderId="0" xfId="0" applyFill="1"/>
    <xf numFmtId="0" fontId="0" fillId="8988" borderId="0" xfId="0" applyFill="1"/>
    <xf numFmtId="0" fontId="0" fillId="8989" borderId="0" xfId="0" applyFill="1"/>
    <xf numFmtId="0" fontId="0" fillId="8990" borderId="0" xfId="0" applyFill="1"/>
    <xf numFmtId="0" fontId="0" fillId="8991" borderId="0" xfId="0" applyFill="1"/>
    <xf numFmtId="0" fontId="0" fillId="8992" borderId="0" xfId="0" applyFill="1"/>
    <xf numFmtId="0" fontId="0" fillId="8993" borderId="0" xfId="0" applyFill="1"/>
    <xf numFmtId="0" fontId="0" fillId="8994" borderId="0" xfId="0" applyFill="1"/>
    <xf numFmtId="0" fontId="0" fillId="8995" borderId="0" xfId="0" applyFill="1"/>
    <xf numFmtId="0" fontId="0" fillId="8996" borderId="0" xfId="0" applyFill="1"/>
    <xf numFmtId="0" fontId="0" fillId="8997" borderId="0" xfId="0" applyFill="1"/>
    <xf numFmtId="0" fontId="0" fillId="8998" borderId="0" xfId="0" applyFill="1"/>
    <xf numFmtId="0" fontId="0" fillId="8999" borderId="0" xfId="0" applyFill="1"/>
    <xf numFmtId="0" fontId="0" fillId="9000" borderId="0" xfId="0" applyFill="1"/>
    <xf numFmtId="0" fontId="0" fillId="9001" borderId="0" xfId="0" applyFill="1"/>
    <xf numFmtId="0" fontId="0" fillId="9002" borderId="0" xfId="0" applyFill="1"/>
    <xf numFmtId="0" fontId="0" fillId="9003" borderId="0" xfId="0" applyFill="1"/>
    <xf numFmtId="0" fontId="0" fillId="9004" borderId="0" xfId="0" applyFill="1"/>
    <xf numFmtId="0" fontId="0" fillId="9005" borderId="0" xfId="0" applyFill="1"/>
    <xf numFmtId="0" fontId="0" fillId="9006" borderId="0" xfId="0" applyFill="1"/>
    <xf numFmtId="0" fontId="0" fillId="9007" borderId="0" xfId="0" applyFill="1"/>
    <xf numFmtId="0" fontId="0" fillId="9008" borderId="0" xfId="0" applyFill="1"/>
    <xf numFmtId="0" fontId="0" fillId="9009" borderId="0" xfId="0" applyFill="1"/>
    <xf numFmtId="0" fontId="0" fillId="9010" borderId="0" xfId="0" applyFill="1"/>
    <xf numFmtId="0" fontId="0" fillId="9011" borderId="0" xfId="0" applyFill="1"/>
    <xf numFmtId="0" fontId="0" fillId="9012" borderId="0" xfId="0" applyFill="1"/>
    <xf numFmtId="0" fontId="0" fillId="9013" borderId="0" xfId="0" applyFill="1"/>
    <xf numFmtId="0" fontId="0" fillId="9014" borderId="0" xfId="0" applyFill="1"/>
    <xf numFmtId="0" fontId="0" fillId="9015" borderId="0" xfId="0" applyFill="1"/>
    <xf numFmtId="0" fontId="0" fillId="9016" borderId="0" xfId="0" applyFill="1"/>
    <xf numFmtId="0" fontId="0" fillId="9017" borderId="0" xfId="0" applyFill="1"/>
    <xf numFmtId="0" fontId="0" fillId="9018" borderId="0" xfId="0" applyFill="1"/>
    <xf numFmtId="0" fontId="0" fillId="9019" borderId="0" xfId="0" applyFill="1"/>
    <xf numFmtId="0" fontId="0" fillId="9020" borderId="0" xfId="0" applyFill="1"/>
    <xf numFmtId="0" fontId="0" fillId="9021" borderId="0" xfId="0" applyFill="1"/>
    <xf numFmtId="0" fontId="0" fillId="9022" borderId="0" xfId="0" applyFill="1"/>
    <xf numFmtId="0" fontId="0" fillId="9023" borderId="0" xfId="0" applyFill="1"/>
    <xf numFmtId="0" fontId="0" fillId="9024" borderId="0" xfId="0" applyFill="1"/>
    <xf numFmtId="0" fontId="0" fillId="9025" borderId="0" xfId="0" applyFill="1"/>
    <xf numFmtId="0" fontId="0" fillId="9026" borderId="0" xfId="0" applyFill="1"/>
    <xf numFmtId="0" fontId="0" fillId="9027" borderId="0" xfId="0" applyFill="1"/>
    <xf numFmtId="0" fontId="0" fillId="9028" borderId="0" xfId="0" applyFill="1"/>
    <xf numFmtId="0" fontId="0" fillId="9029" borderId="0" xfId="0" applyFill="1"/>
    <xf numFmtId="0" fontId="0" fillId="9030" borderId="0" xfId="0" applyFill="1"/>
    <xf numFmtId="0" fontId="0" fillId="9031" borderId="0" xfId="0" applyFill="1"/>
    <xf numFmtId="0" fontId="0" fillId="9032" borderId="0" xfId="0" applyFill="1"/>
    <xf numFmtId="0" fontId="0" fillId="9033" borderId="0" xfId="0" applyFill="1"/>
    <xf numFmtId="0" fontId="0" fillId="9034" borderId="0" xfId="0" applyFill="1"/>
    <xf numFmtId="0" fontId="0" fillId="9035" borderId="0" xfId="0" applyFill="1"/>
    <xf numFmtId="0" fontId="0" fillId="9036" borderId="0" xfId="0" applyFill="1"/>
    <xf numFmtId="0" fontId="0" fillId="9037" borderId="0" xfId="0" applyFill="1"/>
    <xf numFmtId="0" fontId="0" fillId="9038" borderId="0" xfId="0" applyFill="1"/>
    <xf numFmtId="0" fontId="0" fillId="9039" borderId="0" xfId="0" applyFill="1"/>
    <xf numFmtId="0" fontId="0" fillId="9040" borderId="0" xfId="0" applyFill="1"/>
    <xf numFmtId="0" fontId="0" fillId="9041" borderId="0" xfId="0" applyFill="1"/>
    <xf numFmtId="0" fontId="0" fillId="9042" borderId="0" xfId="0" applyFill="1"/>
    <xf numFmtId="0" fontId="0" fillId="9043" borderId="0" xfId="0" applyFill="1"/>
    <xf numFmtId="0" fontId="0" fillId="9044" borderId="0" xfId="0" applyFill="1"/>
    <xf numFmtId="0" fontId="0" fillId="9045" borderId="0" xfId="0" applyFill="1"/>
    <xf numFmtId="0" fontId="0" fillId="9046" borderId="0" xfId="0" applyFill="1"/>
    <xf numFmtId="0" fontId="0" fillId="9047" borderId="0" xfId="0" applyFill="1"/>
    <xf numFmtId="0" fontId="0" fillId="9048" borderId="0" xfId="0" applyFill="1"/>
    <xf numFmtId="0" fontId="0" fillId="9049" borderId="0" xfId="0" applyFill="1"/>
    <xf numFmtId="0" fontId="0" fillId="9050" borderId="0" xfId="0" applyFill="1"/>
    <xf numFmtId="0" fontId="0" fillId="9051" borderId="0" xfId="0" applyFill="1"/>
    <xf numFmtId="0" fontId="0" fillId="9052" borderId="0" xfId="0" applyFill="1"/>
    <xf numFmtId="0" fontId="0" fillId="9053" borderId="0" xfId="0" applyFill="1"/>
    <xf numFmtId="0" fontId="0" fillId="9054" borderId="0" xfId="0" applyFill="1"/>
    <xf numFmtId="0" fontId="0" fillId="9055" borderId="0" xfId="0" applyFill="1"/>
    <xf numFmtId="0" fontId="0" fillId="9056" borderId="0" xfId="0" applyFill="1"/>
    <xf numFmtId="0" fontId="0" fillId="9057" borderId="0" xfId="0" applyFill="1"/>
    <xf numFmtId="0" fontId="0" fillId="9058" borderId="0" xfId="0" applyFill="1"/>
    <xf numFmtId="0" fontId="0" fillId="9059" borderId="0" xfId="0" applyFill="1"/>
    <xf numFmtId="0" fontId="0" fillId="9060" borderId="0" xfId="0" applyFill="1"/>
    <xf numFmtId="0" fontId="0" fillId="9061" borderId="0" xfId="0" applyFill="1"/>
    <xf numFmtId="0" fontId="0" fillId="9062" borderId="0" xfId="0" applyFill="1"/>
    <xf numFmtId="0" fontId="0" fillId="9063" borderId="0" xfId="0" applyFill="1"/>
    <xf numFmtId="0" fontId="0" fillId="9064" borderId="0" xfId="0" applyFill="1"/>
    <xf numFmtId="0" fontId="0" fillId="9065" borderId="0" xfId="0" applyFill="1"/>
    <xf numFmtId="0" fontId="0" fillId="9066" borderId="0" xfId="0" applyFill="1"/>
    <xf numFmtId="0" fontId="0" fillId="9067" borderId="0" xfId="0" applyFill="1"/>
    <xf numFmtId="0" fontId="0" fillId="9068" borderId="0" xfId="0" applyFill="1"/>
    <xf numFmtId="0" fontId="0" fillId="9069" borderId="0" xfId="0" applyFill="1"/>
    <xf numFmtId="0" fontId="0" fillId="9070" borderId="0" xfId="0" applyFill="1"/>
    <xf numFmtId="0" fontId="0" fillId="9071" borderId="0" xfId="0" applyFill="1"/>
    <xf numFmtId="0" fontId="0" fillId="9072" borderId="0" xfId="0" applyFill="1"/>
    <xf numFmtId="0" fontId="0" fillId="9073" borderId="0" xfId="0" applyFill="1"/>
    <xf numFmtId="0" fontId="0" fillId="9074" borderId="0" xfId="0" applyFill="1"/>
    <xf numFmtId="0" fontId="0" fillId="9075" borderId="0" xfId="0" applyFill="1"/>
    <xf numFmtId="0" fontId="0" fillId="9076" borderId="0" xfId="0" applyFill="1"/>
    <xf numFmtId="0" fontId="0" fillId="9077" borderId="0" xfId="0" applyFill="1"/>
    <xf numFmtId="0" fontId="0" fillId="9078" borderId="0" xfId="0" applyFill="1"/>
    <xf numFmtId="0" fontId="0" fillId="9079" borderId="0" xfId="0" applyFill="1"/>
    <xf numFmtId="0" fontId="0" fillId="9080" borderId="0" xfId="0" applyFill="1"/>
    <xf numFmtId="0" fontId="0" fillId="9081" borderId="0" xfId="0" applyFill="1"/>
    <xf numFmtId="0" fontId="0" fillId="9082" borderId="0" xfId="0" applyFill="1"/>
    <xf numFmtId="0" fontId="0" fillId="9083" borderId="0" xfId="0" applyFill="1"/>
    <xf numFmtId="0" fontId="0" fillId="9084" borderId="0" xfId="0" applyFill="1"/>
    <xf numFmtId="0" fontId="0" fillId="9085" borderId="0" xfId="0" applyFill="1"/>
    <xf numFmtId="0" fontId="0" fillId="9086" borderId="0" xfId="0" applyFill="1"/>
    <xf numFmtId="0" fontId="0" fillId="9087" borderId="0" xfId="0" applyFill="1"/>
    <xf numFmtId="0" fontId="0" fillId="9088" borderId="0" xfId="0" applyFill="1"/>
    <xf numFmtId="0" fontId="0" fillId="9089" borderId="0" xfId="0" applyFill="1"/>
    <xf numFmtId="0" fontId="0" fillId="9090" borderId="0" xfId="0" applyFill="1"/>
    <xf numFmtId="0" fontId="0" fillId="9091" borderId="0" xfId="0" applyFill="1"/>
    <xf numFmtId="0" fontId="0" fillId="9092" borderId="0" xfId="0" applyFill="1"/>
    <xf numFmtId="0" fontId="0" fillId="9093" borderId="0" xfId="0" applyFill="1"/>
    <xf numFmtId="0" fontId="0" fillId="9094" borderId="0" xfId="0" applyFill="1"/>
    <xf numFmtId="0" fontId="0" fillId="9095" borderId="0" xfId="0" applyFill="1"/>
    <xf numFmtId="0" fontId="0" fillId="9096" borderId="0" xfId="0" applyFill="1"/>
    <xf numFmtId="0" fontId="0" fillId="9097" borderId="0" xfId="0" applyFill="1"/>
    <xf numFmtId="0" fontId="0" fillId="9098" borderId="0" xfId="0" applyFill="1"/>
    <xf numFmtId="0" fontId="0" fillId="9099" borderId="0" xfId="0" applyFill="1"/>
    <xf numFmtId="0" fontId="0" fillId="9100" borderId="0" xfId="0" applyFill="1"/>
    <xf numFmtId="0" fontId="0" fillId="9101" borderId="0" xfId="0" applyFill="1"/>
    <xf numFmtId="0" fontId="0" fillId="9102" borderId="0" xfId="0" applyFill="1"/>
    <xf numFmtId="0" fontId="0" fillId="9103" borderId="0" xfId="0" applyFill="1"/>
    <xf numFmtId="0" fontId="0" fillId="9104" borderId="0" xfId="0" applyFill="1"/>
    <xf numFmtId="0" fontId="0" fillId="9105" borderId="0" xfId="0" applyFill="1"/>
    <xf numFmtId="0" fontId="0" fillId="9106" borderId="0" xfId="0" applyFill="1"/>
    <xf numFmtId="0" fontId="0" fillId="9107" borderId="0" xfId="0" applyFill="1"/>
    <xf numFmtId="0" fontId="0" fillId="9108" borderId="0" xfId="0" applyFill="1"/>
    <xf numFmtId="0" fontId="0" fillId="9109" borderId="0" xfId="0" applyFill="1"/>
    <xf numFmtId="0" fontId="0" fillId="9110" borderId="0" xfId="0" applyFill="1"/>
    <xf numFmtId="0" fontId="0" fillId="9111" borderId="0" xfId="0" applyFill="1"/>
    <xf numFmtId="0" fontId="0" fillId="9112" borderId="0" xfId="0" applyFill="1"/>
    <xf numFmtId="0" fontId="0" fillId="9113" borderId="0" xfId="0" applyFill="1"/>
    <xf numFmtId="0" fontId="0" fillId="9114" borderId="0" xfId="0" applyFill="1"/>
    <xf numFmtId="0" fontId="0" fillId="9115" borderId="0" xfId="0" applyFill="1"/>
    <xf numFmtId="0" fontId="0" fillId="9116" borderId="0" xfId="0" applyFill="1"/>
    <xf numFmtId="0" fontId="0" fillId="9117" borderId="0" xfId="0" applyFill="1"/>
    <xf numFmtId="0" fontId="0" fillId="9118" borderId="0" xfId="0" applyFill="1"/>
    <xf numFmtId="0" fontId="0" fillId="9119" borderId="0" xfId="0" applyFill="1"/>
    <xf numFmtId="0" fontId="0" fillId="9120" borderId="0" xfId="0" applyFill="1"/>
    <xf numFmtId="0" fontId="0" fillId="9121" borderId="0" xfId="0" applyFill="1"/>
    <xf numFmtId="0" fontId="0" fillId="9122" borderId="0" xfId="0" applyFill="1"/>
    <xf numFmtId="0" fontId="0" fillId="9123" borderId="0" xfId="0" applyFill="1"/>
    <xf numFmtId="0" fontId="0" fillId="9124" borderId="0" xfId="0" applyFill="1"/>
    <xf numFmtId="0" fontId="0" fillId="9125" borderId="0" xfId="0" applyFill="1"/>
    <xf numFmtId="0" fontId="0" fillId="9126" borderId="0" xfId="0" applyFill="1"/>
    <xf numFmtId="0" fontId="0" fillId="9127" borderId="0" xfId="0" applyFill="1"/>
    <xf numFmtId="0" fontId="0" fillId="9128" borderId="0" xfId="0" applyFill="1"/>
    <xf numFmtId="0" fontId="0" fillId="9129" borderId="0" xfId="0" applyFill="1"/>
    <xf numFmtId="0" fontId="0" fillId="9130" borderId="0" xfId="0" applyFill="1"/>
    <xf numFmtId="0" fontId="0" fillId="9131" borderId="0" xfId="0" applyFill="1"/>
    <xf numFmtId="0" fontId="0" fillId="9132" borderId="0" xfId="0" applyFill="1"/>
    <xf numFmtId="0" fontId="0" fillId="9133" borderId="0" xfId="0" applyFill="1"/>
    <xf numFmtId="0" fontId="0" fillId="9134" borderId="0" xfId="0" applyFill="1"/>
    <xf numFmtId="0" fontId="0" fillId="9135" borderId="0" xfId="0" applyFill="1"/>
    <xf numFmtId="0" fontId="0" fillId="9136" borderId="0" xfId="0" applyFill="1"/>
    <xf numFmtId="0" fontId="0" fillId="9137" borderId="0" xfId="0" applyFill="1"/>
    <xf numFmtId="0" fontId="0" fillId="9138" borderId="0" xfId="0" applyFill="1"/>
    <xf numFmtId="0" fontId="0" fillId="9139" borderId="0" xfId="0" applyFill="1"/>
    <xf numFmtId="0" fontId="0" fillId="9140" borderId="0" xfId="0" applyFill="1"/>
    <xf numFmtId="0" fontId="0" fillId="9141" borderId="0" xfId="0" applyFill="1"/>
    <xf numFmtId="0" fontId="0" fillId="9142" borderId="0" xfId="0" applyFill="1"/>
    <xf numFmtId="0" fontId="0" fillId="9143" borderId="0" xfId="0" applyFill="1"/>
    <xf numFmtId="0" fontId="0" fillId="9144" borderId="0" xfId="0" applyFill="1"/>
    <xf numFmtId="0" fontId="0" fillId="9145" borderId="0" xfId="0" applyFill="1"/>
    <xf numFmtId="0" fontId="0" fillId="9146" borderId="0" xfId="0" applyFill="1"/>
    <xf numFmtId="0" fontId="0" fillId="9147" borderId="0" xfId="0" applyFill="1"/>
    <xf numFmtId="0" fontId="0" fillId="9148" borderId="0" xfId="0" applyFill="1"/>
    <xf numFmtId="0" fontId="0" fillId="9149" borderId="0" xfId="0" applyFill="1"/>
    <xf numFmtId="0" fontId="0" fillId="9150" borderId="0" xfId="0" applyFill="1"/>
    <xf numFmtId="0" fontId="0" fillId="9151" borderId="0" xfId="0" applyFill="1"/>
    <xf numFmtId="0" fontId="0" fillId="9152" borderId="0" xfId="0" applyFill="1"/>
    <xf numFmtId="0" fontId="0" fillId="9153" borderId="0" xfId="0" applyFill="1"/>
    <xf numFmtId="0" fontId="0" fillId="9154" borderId="0" xfId="0" applyFill="1"/>
    <xf numFmtId="0" fontId="0" fillId="9155" borderId="0" xfId="0" applyFill="1"/>
    <xf numFmtId="0" fontId="0" fillId="9156" borderId="0" xfId="0" applyFill="1"/>
    <xf numFmtId="0" fontId="0" fillId="9157" borderId="0" xfId="0" applyFill="1"/>
    <xf numFmtId="0" fontId="0" fillId="9158" borderId="0" xfId="0" applyFill="1"/>
    <xf numFmtId="0" fontId="0" fillId="9159" borderId="0" xfId="0" applyFill="1"/>
    <xf numFmtId="0" fontId="0" fillId="9160" borderId="0" xfId="0" applyFill="1"/>
    <xf numFmtId="0" fontId="0" fillId="9161" borderId="0" xfId="0" applyFill="1"/>
    <xf numFmtId="0" fontId="0" fillId="9162" borderId="0" xfId="0" applyFill="1"/>
    <xf numFmtId="0" fontId="0" fillId="9163" borderId="0" xfId="0" applyFill="1"/>
    <xf numFmtId="0" fontId="0" fillId="9164" borderId="0" xfId="0" applyFill="1"/>
    <xf numFmtId="0" fontId="0" fillId="9165" borderId="0" xfId="0" applyFill="1"/>
    <xf numFmtId="0" fontId="0" fillId="9166" borderId="0" xfId="0" applyFill="1"/>
    <xf numFmtId="0" fontId="0" fillId="9167" borderId="0" xfId="0" applyFill="1"/>
    <xf numFmtId="0" fontId="0" fillId="9168" borderId="0" xfId="0" applyFill="1"/>
    <xf numFmtId="0" fontId="0" fillId="9169" borderId="0" xfId="0" applyFill="1"/>
    <xf numFmtId="0" fontId="0" fillId="9170" borderId="0" xfId="0" applyFill="1"/>
    <xf numFmtId="0" fontId="0" fillId="9171" borderId="0" xfId="0" applyFill="1"/>
    <xf numFmtId="0" fontId="0" fillId="9172" borderId="0" xfId="0" applyFill="1"/>
    <xf numFmtId="0" fontId="0" fillId="9173" borderId="0" xfId="0" applyFill="1"/>
    <xf numFmtId="0" fontId="0" fillId="9174" borderId="0" xfId="0" applyFill="1"/>
    <xf numFmtId="0" fontId="0" fillId="9175" borderId="0" xfId="0" applyFill="1"/>
    <xf numFmtId="0" fontId="0" fillId="9176" borderId="0" xfId="0" applyFill="1"/>
    <xf numFmtId="0" fontId="0" fillId="9177" borderId="0" xfId="0" applyFill="1"/>
    <xf numFmtId="0" fontId="0" fillId="9178" borderId="0" xfId="0" applyFill="1"/>
    <xf numFmtId="0" fontId="0" fillId="9179" borderId="0" xfId="0" applyFill="1"/>
    <xf numFmtId="0" fontId="0" fillId="9180" borderId="0" xfId="0" applyFill="1"/>
    <xf numFmtId="0" fontId="0" fillId="9181" borderId="0" xfId="0" applyFill="1"/>
    <xf numFmtId="0" fontId="0" fillId="9182" borderId="0" xfId="0" applyFill="1"/>
    <xf numFmtId="0" fontId="0" fillId="9183" borderId="0" xfId="0" applyFill="1"/>
    <xf numFmtId="0" fontId="0" fillId="9184" borderId="0" xfId="0" applyFill="1"/>
    <xf numFmtId="0" fontId="0" fillId="9185" borderId="0" xfId="0" applyFill="1"/>
    <xf numFmtId="0" fontId="0" fillId="9186" borderId="0" xfId="0" applyFill="1"/>
    <xf numFmtId="0" fontId="0" fillId="9187" borderId="0" xfId="0" applyFill="1"/>
    <xf numFmtId="0" fontId="0" fillId="9188" borderId="0" xfId="0" applyFill="1"/>
    <xf numFmtId="0" fontId="0" fillId="9189" borderId="0" xfId="0" applyFill="1"/>
    <xf numFmtId="0" fontId="0" fillId="9190" borderId="0" xfId="0" applyFill="1"/>
    <xf numFmtId="0" fontId="0" fillId="9191" borderId="0" xfId="0" applyFill="1"/>
    <xf numFmtId="0" fontId="0" fillId="9192" borderId="0" xfId="0" applyFill="1"/>
    <xf numFmtId="0" fontId="0" fillId="9193" borderId="0" xfId="0" applyFill="1"/>
    <xf numFmtId="0" fontId="0" fillId="9194" borderId="0" xfId="0" applyFill="1"/>
    <xf numFmtId="0" fontId="0" fillId="9195" borderId="0" xfId="0" applyFill="1"/>
    <xf numFmtId="0" fontId="0" fillId="9196" borderId="0" xfId="0" applyFill="1"/>
    <xf numFmtId="0" fontId="0" fillId="9197" borderId="0" xfId="0" applyFill="1"/>
    <xf numFmtId="0" fontId="0" fillId="9198" borderId="0" xfId="0" applyFill="1"/>
    <xf numFmtId="0" fontId="0" fillId="9199" borderId="0" xfId="0" applyFill="1"/>
    <xf numFmtId="0" fontId="0" fillId="9200" borderId="0" xfId="0" applyFill="1"/>
    <xf numFmtId="0" fontId="0" fillId="9201" borderId="0" xfId="0" applyFill="1"/>
    <xf numFmtId="0" fontId="0" fillId="9202" borderId="0" xfId="0" applyFill="1"/>
    <xf numFmtId="0" fontId="0" fillId="9203" borderId="0" xfId="0" applyFill="1"/>
    <xf numFmtId="0" fontId="0" fillId="9204" borderId="0" xfId="0" applyFill="1"/>
    <xf numFmtId="0" fontId="0" fillId="9205" borderId="0" xfId="0" applyFill="1"/>
    <xf numFmtId="0" fontId="0" fillId="9206" borderId="0" xfId="0" applyFill="1"/>
    <xf numFmtId="0" fontId="0" fillId="9207" borderId="0" xfId="0" applyFill="1"/>
    <xf numFmtId="0" fontId="0" fillId="9208" borderId="0" xfId="0" applyFill="1"/>
    <xf numFmtId="0" fontId="0" fillId="9209" borderId="0" xfId="0" applyFill="1"/>
    <xf numFmtId="0" fontId="0" fillId="9210" borderId="0" xfId="0" applyFill="1"/>
    <xf numFmtId="0" fontId="0" fillId="9211" borderId="0" xfId="0" applyFill="1"/>
    <xf numFmtId="0" fontId="0" fillId="9212" borderId="0" xfId="0" applyFill="1"/>
    <xf numFmtId="0" fontId="0" fillId="9213" borderId="0" xfId="0" applyFill="1"/>
    <xf numFmtId="0" fontId="0" fillId="9214" borderId="0" xfId="0" applyFill="1"/>
    <xf numFmtId="0" fontId="0" fillId="9215" borderId="0" xfId="0" applyFill="1"/>
    <xf numFmtId="0" fontId="0" fillId="9216" borderId="0" xfId="0" applyFill="1"/>
    <xf numFmtId="0" fontId="0" fillId="9217" borderId="0" xfId="0" applyFill="1"/>
    <xf numFmtId="0" fontId="0" fillId="9218" borderId="0" xfId="0" applyFill="1"/>
    <xf numFmtId="0" fontId="0" fillId="9219" borderId="0" xfId="0" applyFill="1"/>
    <xf numFmtId="0" fontId="0" fillId="9220" borderId="0" xfId="0" applyFill="1"/>
    <xf numFmtId="0" fontId="0" fillId="9221" borderId="0" xfId="0" applyFill="1"/>
    <xf numFmtId="0" fontId="0" fillId="9222" borderId="0" xfId="0" applyFill="1"/>
    <xf numFmtId="0" fontId="0" fillId="9223" borderId="0" xfId="0" applyFill="1"/>
    <xf numFmtId="0" fontId="0" fillId="9224" borderId="0" xfId="0" applyFill="1"/>
    <xf numFmtId="0" fontId="0" fillId="9225" borderId="0" xfId="0" applyFill="1"/>
    <xf numFmtId="0" fontId="0" fillId="9226" borderId="0" xfId="0" applyFill="1"/>
    <xf numFmtId="0" fontId="0" fillId="9227" borderId="0" xfId="0" applyFill="1"/>
    <xf numFmtId="0" fontId="0" fillId="9228" borderId="0" xfId="0" applyFill="1"/>
    <xf numFmtId="0" fontId="0" fillId="9229" borderId="0" xfId="0" applyFill="1"/>
    <xf numFmtId="0" fontId="0" fillId="9230" borderId="0" xfId="0" applyFill="1"/>
    <xf numFmtId="0" fontId="0" fillId="9231" borderId="0" xfId="0" applyFill="1"/>
    <xf numFmtId="0" fontId="0" fillId="9232" borderId="0" xfId="0" applyFill="1"/>
    <xf numFmtId="0" fontId="0" fillId="9233" borderId="0" xfId="0" applyFill="1"/>
    <xf numFmtId="0" fontId="0" fillId="9234" borderId="0" xfId="0" applyFill="1"/>
    <xf numFmtId="0" fontId="0" fillId="9235" borderId="0" xfId="0" applyFill="1"/>
    <xf numFmtId="0" fontId="0" fillId="9236" borderId="0" xfId="0" applyFill="1"/>
    <xf numFmtId="0" fontId="0" fillId="9237" borderId="0" xfId="0" applyFill="1"/>
    <xf numFmtId="0" fontId="0" fillId="9238" borderId="0" xfId="0" applyFill="1"/>
    <xf numFmtId="0" fontId="0" fillId="9239" borderId="0" xfId="0" applyFill="1"/>
    <xf numFmtId="0" fontId="0" fillId="9240" borderId="0" xfId="0" applyFill="1"/>
    <xf numFmtId="0" fontId="0" fillId="9241" borderId="0" xfId="0" applyFill="1"/>
    <xf numFmtId="0" fontId="0" fillId="9242" borderId="0" xfId="0" applyFill="1"/>
    <xf numFmtId="0" fontId="0" fillId="9243" borderId="0" xfId="0" applyFill="1"/>
    <xf numFmtId="0" fontId="0" fillId="9244" borderId="0" xfId="0" applyFill="1"/>
    <xf numFmtId="0" fontId="0" fillId="9245" borderId="0" xfId="0" applyFill="1"/>
    <xf numFmtId="0" fontId="0" fillId="9246" borderId="0" xfId="0" applyFill="1"/>
    <xf numFmtId="0" fontId="0" fillId="9247" borderId="0" xfId="0" applyFill="1"/>
    <xf numFmtId="0" fontId="0" fillId="9248" borderId="0" xfId="0" applyFill="1"/>
    <xf numFmtId="0" fontId="0" fillId="9249" borderId="0" xfId="0" applyFill="1"/>
    <xf numFmtId="0" fontId="0" fillId="9250" borderId="0" xfId="0" applyFill="1"/>
    <xf numFmtId="0" fontId="0" fillId="9251" borderId="0" xfId="0" applyFill="1"/>
    <xf numFmtId="0" fontId="0" fillId="9252" borderId="0" xfId="0" applyFill="1"/>
    <xf numFmtId="0" fontId="0" fillId="9253" borderId="0" xfId="0" applyFill="1"/>
    <xf numFmtId="0" fontId="0" fillId="9254" borderId="0" xfId="0" applyFill="1"/>
    <xf numFmtId="0" fontId="0" fillId="9255" borderId="0" xfId="0" applyFill="1"/>
    <xf numFmtId="0" fontId="0" fillId="9256" borderId="0" xfId="0" applyFill="1"/>
    <xf numFmtId="0" fontId="0" fillId="9257" borderId="0" xfId="0" applyFill="1"/>
    <xf numFmtId="0" fontId="0" fillId="9258" borderId="0" xfId="0" applyFill="1"/>
    <xf numFmtId="0" fontId="0" fillId="9259" borderId="0" xfId="0" applyFill="1"/>
    <xf numFmtId="0" fontId="0" fillId="9260" borderId="0" xfId="0" applyFill="1"/>
    <xf numFmtId="0" fontId="0" fillId="9261" borderId="0" xfId="0" applyFill="1"/>
    <xf numFmtId="0" fontId="0" fillId="9262" borderId="0" xfId="0" applyFill="1"/>
    <xf numFmtId="0" fontId="0" fillId="9263" borderId="0" xfId="0" applyFill="1"/>
    <xf numFmtId="0" fontId="0" fillId="9264" borderId="0" xfId="0" applyFill="1"/>
    <xf numFmtId="0" fontId="0" fillId="9265" borderId="0" xfId="0" applyFill="1"/>
    <xf numFmtId="0" fontId="0" fillId="9266" borderId="0" xfId="0" applyFill="1"/>
    <xf numFmtId="0" fontId="0" fillId="9267" borderId="0" xfId="0" applyFill="1"/>
    <xf numFmtId="0" fontId="0" fillId="9268" borderId="0" xfId="0" applyFill="1"/>
    <xf numFmtId="0" fontId="0" fillId="9269" borderId="0" xfId="0" applyFill="1"/>
    <xf numFmtId="0" fontId="0" fillId="9270" borderId="0" xfId="0" applyFill="1"/>
    <xf numFmtId="0" fontId="0" fillId="9271" borderId="0" xfId="0" applyFill="1"/>
    <xf numFmtId="0" fontId="0" fillId="9272" borderId="0" xfId="0" applyFill="1"/>
    <xf numFmtId="0" fontId="0" fillId="9273" borderId="0" xfId="0" applyFill="1"/>
    <xf numFmtId="0" fontId="0" fillId="9274" borderId="0" xfId="0" applyFill="1"/>
    <xf numFmtId="0" fontId="0" fillId="9275" borderId="0" xfId="0" applyFill="1"/>
    <xf numFmtId="0" fontId="0" fillId="9276" borderId="0" xfId="0" applyFill="1"/>
    <xf numFmtId="0" fontId="0" fillId="9277" borderId="0" xfId="0" applyFill="1"/>
    <xf numFmtId="0" fontId="0" fillId="9278" borderId="0" xfId="0" applyFill="1"/>
    <xf numFmtId="0" fontId="0" fillId="9279" borderId="0" xfId="0" applyFill="1"/>
    <xf numFmtId="0" fontId="0" fillId="9280" borderId="0" xfId="0" applyFill="1"/>
    <xf numFmtId="0" fontId="0" fillId="9281" borderId="0" xfId="0" applyFill="1"/>
    <xf numFmtId="0" fontId="0" fillId="9282" borderId="0" xfId="0" applyFill="1"/>
    <xf numFmtId="0" fontId="0" fillId="9283" borderId="0" xfId="0" applyFill="1"/>
    <xf numFmtId="0" fontId="0" fillId="9284" borderId="0" xfId="0" applyFill="1"/>
    <xf numFmtId="0" fontId="0" fillId="9285" borderId="0" xfId="0" applyFill="1"/>
    <xf numFmtId="0" fontId="0" fillId="9286" borderId="0" xfId="0" applyFill="1"/>
    <xf numFmtId="0" fontId="0" fillId="9287" borderId="0" xfId="0" applyFill="1"/>
    <xf numFmtId="0" fontId="0" fillId="9288" borderId="0" xfId="0" applyFill="1"/>
    <xf numFmtId="0" fontId="0" fillId="9289" borderId="0" xfId="0" applyFill="1"/>
    <xf numFmtId="0" fontId="0" fillId="9290" borderId="0" xfId="0" applyFill="1"/>
    <xf numFmtId="0" fontId="0" fillId="9291" borderId="0" xfId="0" applyFill="1"/>
    <xf numFmtId="0" fontId="0" fillId="9292" borderId="0" xfId="0" applyFill="1"/>
    <xf numFmtId="0" fontId="0" fillId="9293" borderId="0" xfId="0" applyFill="1"/>
    <xf numFmtId="0" fontId="0" fillId="9294" borderId="0" xfId="0" applyFill="1"/>
    <xf numFmtId="0" fontId="0" fillId="9295" borderId="0" xfId="0" applyFill="1"/>
    <xf numFmtId="0" fontId="0" fillId="9296" borderId="0" xfId="0" applyFill="1"/>
    <xf numFmtId="0" fontId="0" fillId="9297" borderId="0" xfId="0" applyFill="1"/>
    <xf numFmtId="0" fontId="0" fillId="9298" borderId="0" xfId="0" applyFill="1"/>
    <xf numFmtId="0" fontId="0" fillId="9299" borderId="0" xfId="0" applyFill="1"/>
    <xf numFmtId="0" fontId="0" fillId="9300" borderId="0" xfId="0" applyFill="1"/>
    <xf numFmtId="0" fontId="0" fillId="9301" borderId="0" xfId="0" applyFill="1"/>
    <xf numFmtId="0" fontId="0" fillId="9302" borderId="0" xfId="0" applyFill="1"/>
    <xf numFmtId="0" fontId="0" fillId="9303" borderId="0" xfId="0" applyFill="1"/>
    <xf numFmtId="0" fontId="0" fillId="9304" borderId="0" xfId="0" applyFill="1"/>
    <xf numFmtId="0" fontId="0" fillId="9305" borderId="0" xfId="0" applyFill="1"/>
    <xf numFmtId="0" fontId="0" fillId="9306" borderId="0" xfId="0" applyFill="1"/>
    <xf numFmtId="0" fontId="0" fillId="9307" borderId="0" xfId="0" applyFill="1"/>
    <xf numFmtId="0" fontId="0" fillId="9308" borderId="0" xfId="0" applyFill="1"/>
    <xf numFmtId="0" fontId="0" fillId="9309" borderId="0" xfId="0" applyFill="1"/>
    <xf numFmtId="0" fontId="0" fillId="9310" borderId="0" xfId="0" applyFill="1"/>
    <xf numFmtId="0" fontId="0" fillId="9311" borderId="0" xfId="0" applyFill="1"/>
    <xf numFmtId="0" fontId="0" fillId="9312" borderId="0" xfId="0" applyFill="1"/>
    <xf numFmtId="0" fontId="0" fillId="9313" borderId="0" xfId="0" applyFill="1"/>
    <xf numFmtId="0" fontId="0" fillId="9314" borderId="0" xfId="0" applyFill="1"/>
    <xf numFmtId="0" fontId="0" fillId="9315" borderId="0" xfId="0" applyFill="1"/>
    <xf numFmtId="0" fontId="0" fillId="9316" borderId="0" xfId="0" applyFill="1"/>
    <xf numFmtId="0" fontId="0" fillId="9317" borderId="0" xfId="0" applyFill="1"/>
    <xf numFmtId="0" fontId="0" fillId="9318" borderId="0" xfId="0" applyFill="1"/>
    <xf numFmtId="0" fontId="0" fillId="9319" borderId="0" xfId="0" applyFill="1"/>
    <xf numFmtId="0" fontId="0" fillId="9320" borderId="0" xfId="0" applyFill="1"/>
    <xf numFmtId="0" fontId="0" fillId="9321" borderId="0" xfId="0" applyFill="1"/>
    <xf numFmtId="0" fontId="0" fillId="9322" borderId="0" xfId="0" applyFill="1"/>
    <xf numFmtId="0" fontId="0" fillId="9323" borderId="0" xfId="0" applyFill="1"/>
    <xf numFmtId="0" fontId="0" fillId="9324" borderId="0" xfId="0" applyFill="1"/>
    <xf numFmtId="0" fontId="0" fillId="9325" borderId="0" xfId="0" applyFill="1"/>
    <xf numFmtId="0" fontId="0" fillId="9326" borderId="0" xfId="0" applyFill="1"/>
    <xf numFmtId="0" fontId="0" fillId="9327" borderId="0" xfId="0" applyFill="1"/>
    <xf numFmtId="0" fontId="0" fillId="9328" borderId="0" xfId="0" applyFill="1"/>
    <xf numFmtId="0" fontId="0" fillId="9329" borderId="0" xfId="0" applyFill="1"/>
    <xf numFmtId="0" fontId="0" fillId="9330" borderId="0" xfId="0" applyFill="1"/>
    <xf numFmtId="0" fontId="0" fillId="9331" borderId="0" xfId="0" applyFill="1"/>
    <xf numFmtId="0" fontId="0" fillId="9332" borderId="0" xfId="0" applyFill="1"/>
    <xf numFmtId="0" fontId="0" fillId="9333" borderId="0" xfId="0" applyFill="1"/>
    <xf numFmtId="0" fontId="0" fillId="9334" borderId="0" xfId="0" applyFill="1"/>
    <xf numFmtId="0" fontId="0" fillId="9335" borderId="0" xfId="0" applyFill="1"/>
    <xf numFmtId="0" fontId="0" fillId="9336" borderId="0" xfId="0" applyFill="1"/>
    <xf numFmtId="0" fontId="0" fillId="9337" borderId="0" xfId="0" applyFill="1"/>
    <xf numFmtId="0" fontId="0" fillId="9338" borderId="0" xfId="0" applyFill="1"/>
    <xf numFmtId="0" fontId="0" fillId="9339" borderId="0" xfId="0" applyFill="1"/>
    <xf numFmtId="0" fontId="0" fillId="9340" borderId="0" xfId="0" applyFill="1"/>
    <xf numFmtId="0" fontId="0" fillId="9341" borderId="0" xfId="0" applyFill="1"/>
    <xf numFmtId="0" fontId="0" fillId="9342" borderId="0" xfId="0" applyFill="1"/>
    <xf numFmtId="0" fontId="0" fillId="9343" borderId="0" xfId="0" applyFill="1"/>
    <xf numFmtId="0" fontId="0" fillId="9344" borderId="0" xfId="0" applyFill="1"/>
    <xf numFmtId="0" fontId="0" fillId="9345" borderId="0" xfId="0" applyFill="1"/>
    <xf numFmtId="0" fontId="0" fillId="9346" borderId="0" xfId="0" applyFill="1"/>
    <xf numFmtId="0" fontId="0" fillId="9347" borderId="0" xfId="0" applyFill="1"/>
    <xf numFmtId="0" fontId="0" fillId="9348" borderId="0" xfId="0" applyFill="1"/>
    <xf numFmtId="0" fontId="0" fillId="9349" borderId="0" xfId="0" applyFill="1"/>
    <xf numFmtId="0" fontId="0" fillId="9350" borderId="0" xfId="0" applyFill="1"/>
    <xf numFmtId="0" fontId="0" fillId="9351" borderId="0" xfId="0" applyFill="1"/>
    <xf numFmtId="0" fontId="0" fillId="9352" borderId="0" xfId="0" applyFill="1"/>
    <xf numFmtId="0" fontId="0" fillId="9353" borderId="0" xfId="0" applyFill="1"/>
    <xf numFmtId="0" fontId="0" fillId="9354" borderId="0" xfId="0" applyFill="1"/>
    <xf numFmtId="0" fontId="0" fillId="9355" borderId="0" xfId="0" applyFill="1"/>
    <xf numFmtId="0" fontId="0" fillId="9356" borderId="0" xfId="0" applyFill="1"/>
    <xf numFmtId="0" fontId="0" fillId="9357" borderId="0" xfId="0" applyFill="1"/>
    <xf numFmtId="0" fontId="0" fillId="9358" borderId="0" xfId="0" applyFill="1"/>
    <xf numFmtId="0" fontId="0" fillId="9359" borderId="0" xfId="0" applyFill="1"/>
    <xf numFmtId="0" fontId="0" fillId="9360" borderId="0" xfId="0" applyFill="1"/>
    <xf numFmtId="0" fontId="0" fillId="9361" borderId="0" xfId="0" applyFill="1"/>
    <xf numFmtId="0" fontId="0" fillId="9362" borderId="0" xfId="0" applyFill="1"/>
    <xf numFmtId="0" fontId="0" fillId="9363" borderId="0" xfId="0" applyFill="1"/>
    <xf numFmtId="0" fontId="0" fillId="9364" borderId="0" xfId="0" applyFill="1"/>
    <xf numFmtId="0" fontId="0" fillId="9365" borderId="0" xfId="0" applyFill="1"/>
    <xf numFmtId="0" fontId="0" fillId="9366" borderId="0" xfId="0" applyFill="1"/>
    <xf numFmtId="0" fontId="0" fillId="9367" borderId="0" xfId="0" applyFill="1"/>
    <xf numFmtId="0" fontId="0" fillId="9368" borderId="0" xfId="0" applyFill="1"/>
    <xf numFmtId="0" fontId="0" fillId="9369" borderId="0" xfId="0" applyFill="1"/>
    <xf numFmtId="0" fontId="0" fillId="9370" borderId="0" xfId="0" applyFill="1"/>
    <xf numFmtId="0" fontId="0" fillId="9371" borderId="0" xfId="0" applyFill="1"/>
    <xf numFmtId="0" fontId="0" fillId="9372" borderId="0" xfId="0" applyFill="1"/>
    <xf numFmtId="0" fontId="0" fillId="9373" borderId="0" xfId="0" applyFill="1"/>
    <xf numFmtId="0" fontId="0" fillId="9374" borderId="0" xfId="0" applyFill="1"/>
    <xf numFmtId="0" fontId="0" fillId="9375" borderId="0" xfId="0" applyFill="1"/>
    <xf numFmtId="0" fontId="0" fillId="9376" borderId="0" xfId="0" applyFill="1"/>
    <xf numFmtId="0" fontId="0" fillId="9377" borderId="0" xfId="0" applyFill="1"/>
    <xf numFmtId="0" fontId="0" fillId="9378" borderId="0" xfId="0" applyFill="1"/>
    <xf numFmtId="0" fontId="0" fillId="9379" borderId="0" xfId="0" applyFill="1"/>
    <xf numFmtId="0" fontId="0" fillId="9380" borderId="0" xfId="0" applyFill="1"/>
    <xf numFmtId="0" fontId="0" fillId="9381" borderId="0" xfId="0" applyFill="1"/>
    <xf numFmtId="0" fontId="0" fillId="9382" borderId="0" xfId="0" applyFill="1"/>
    <xf numFmtId="0" fontId="0" fillId="9383" borderId="0" xfId="0" applyFill="1"/>
    <xf numFmtId="0" fontId="0" fillId="9384" borderId="0" xfId="0" applyFill="1"/>
    <xf numFmtId="0" fontId="0" fillId="9385" borderId="0" xfId="0" applyFill="1"/>
    <xf numFmtId="0" fontId="0" fillId="9386" borderId="0" xfId="0" applyFill="1"/>
    <xf numFmtId="0" fontId="0" fillId="9387" borderId="0" xfId="0" applyFill="1"/>
    <xf numFmtId="0" fontId="0" fillId="9388" borderId="0" xfId="0" applyFill="1"/>
    <xf numFmtId="0" fontId="0" fillId="9389" borderId="0" xfId="0" applyFill="1"/>
    <xf numFmtId="0" fontId="0" fillId="9390" borderId="0" xfId="0" applyFill="1"/>
    <xf numFmtId="0" fontId="0" fillId="9391" borderId="0" xfId="0" applyFill="1"/>
    <xf numFmtId="0" fontId="0" fillId="9392" borderId="0" xfId="0" applyFill="1"/>
    <xf numFmtId="0" fontId="0" fillId="9393" borderId="0" xfId="0" applyFill="1"/>
    <xf numFmtId="0" fontId="0" fillId="9394" borderId="0" xfId="0" applyFill="1"/>
    <xf numFmtId="0" fontId="0" fillId="9395" borderId="0" xfId="0" applyFill="1"/>
    <xf numFmtId="0" fontId="0" fillId="9396" borderId="0" xfId="0" applyFill="1"/>
    <xf numFmtId="0" fontId="0" fillId="9397" borderId="0" xfId="0" applyFill="1"/>
    <xf numFmtId="0" fontId="0" fillId="9398" borderId="0" xfId="0" applyFill="1"/>
    <xf numFmtId="0" fontId="0" fillId="9399" borderId="0" xfId="0" applyFill="1"/>
    <xf numFmtId="0" fontId="0" fillId="9400" borderId="0" xfId="0" applyFill="1"/>
    <xf numFmtId="0" fontId="0" fillId="9401" borderId="0" xfId="0" applyFill="1"/>
    <xf numFmtId="0" fontId="0" fillId="9402" borderId="0" xfId="0" applyFill="1"/>
    <xf numFmtId="0" fontId="0" fillId="9403" borderId="0" xfId="0" applyFill="1"/>
    <xf numFmtId="0" fontId="0" fillId="9404" borderId="0" xfId="0" applyFill="1"/>
    <xf numFmtId="0" fontId="0" fillId="9405" borderId="0" xfId="0" applyFill="1"/>
    <xf numFmtId="0" fontId="0" fillId="9406" borderId="0" xfId="0" applyFill="1"/>
    <xf numFmtId="0" fontId="0" fillId="9407" borderId="0" xfId="0" applyFill="1"/>
    <xf numFmtId="0" fontId="0" fillId="9408" borderId="0" xfId="0" applyFill="1"/>
    <xf numFmtId="0" fontId="0" fillId="9409" borderId="0" xfId="0" applyFill="1"/>
    <xf numFmtId="0" fontId="0" fillId="9410" borderId="0" xfId="0" applyFill="1"/>
    <xf numFmtId="0" fontId="0" fillId="9411" borderId="0" xfId="0" applyFill="1"/>
    <xf numFmtId="0" fontId="0" fillId="9412" borderId="0" xfId="0" applyFill="1"/>
    <xf numFmtId="0" fontId="0" fillId="9413" borderId="0" xfId="0" applyFill="1"/>
    <xf numFmtId="0" fontId="0" fillId="9414" borderId="0" xfId="0" applyFill="1"/>
    <xf numFmtId="0" fontId="0" fillId="9415" borderId="0" xfId="0" applyFill="1"/>
    <xf numFmtId="0" fontId="0" fillId="9416" borderId="0" xfId="0" applyFill="1"/>
    <xf numFmtId="0" fontId="0" fillId="9417" borderId="0" xfId="0" applyFill="1"/>
    <xf numFmtId="0" fontId="0" fillId="9418" borderId="0" xfId="0" applyFill="1"/>
    <xf numFmtId="0" fontId="0" fillId="9419" borderId="0" xfId="0" applyFill="1"/>
    <xf numFmtId="0" fontId="0" fillId="9420" borderId="0" xfId="0" applyFill="1"/>
    <xf numFmtId="0" fontId="0" fillId="9421" borderId="0" xfId="0" applyFill="1"/>
    <xf numFmtId="0" fontId="0" fillId="9422" borderId="0" xfId="0" applyFill="1"/>
    <xf numFmtId="0" fontId="0" fillId="9423" borderId="0" xfId="0" applyFill="1"/>
    <xf numFmtId="0" fontId="0" fillId="9424" borderId="0" xfId="0" applyFill="1"/>
    <xf numFmtId="0" fontId="0" fillId="9425" borderId="0" xfId="0" applyFill="1"/>
    <xf numFmtId="0" fontId="0" fillId="9426" borderId="0" xfId="0" applyFill="1"/>
    <xf numFmtId="0" fontId="0" fillId="9427" borderId="0" xfId="0" applyFill="1"/>
    <xf numFmtId="0" fontId="0" fillId="9428" borderId="0" xfId="0" applyFill="1"/>
    <xf numFmtId="0" fontId="0" fillId="9429" borderId="0" xfId="0" applyFill="1"/>
    <xf numFmtId="0" fontId="0" fillId="9430" borderId="0" xfId="0" applyFill="1"/>
    <xf numFmtId="0" fontId="0" fillId="9431" borderId="0" xfId="0" applyFill="1"/>
    <xf numFmtId="0" fontId="0" fillId="9432" borderId="0" xfId="0" applyFill="1"/>
    <xf numFmtId="0" fontId="0" fillId="9433" borderId="0" xfId="0" applyFill="1"/>
    <xf numFmtId="0" fontId="0" fillId="9434" borderId="0" xfId="0" applyFill="1"/>
    <xf numFmtId="0" fontId="0" fillId="9435" borderId="0" xfId="0" applyFill="1"/>
    <xf numFmtId="0" fontId="0" fillId="9436" borderId="0" xfId="0" applyFill="1"/>
    <xf numFmtId="0" fontId="0" fillId="9437" borderId="0" xfId="0" applyFill="1"/>
    <xf numFmtId="0" fontId="0" fillId="9438" borderId="0" xfId="0" applyFill="1"/>
    <xf numFmtId="0" fontId="0" fillId="9439" borderId="0" xfId="0" applyFill="1"/>
    <xf numFmtId="0" fontId="0" fillId="9440" borderId="0" xfId="0" applyFill="1"/>
    <xf numFmtId="0" fontId="0" fillId="9441" borderId="0" xfId="0" applyFill="1"/>
    <xf numFmtId="0" fontId="0" fillId="9442" borderId="0" xfId="0" applyFill="1"/>
    <xf numFmtId="0" fontId="0" fillId="9443" borderId="0" xfId="0" applyFill="1"/>
    <xf numFmtId="0" fontId="0" fillId="9444" borderId="0" xfId="0" applyFill="1"/>
    <xf numFmtId="0" fontId="0" fillId="9445" borderId="0" xfId="0" applyFill="1"/>
    <xf numFmtId="0" fontId="0" fillId="9446" borderId="0" xfId="0" applyFill="1"/>
    <xf numFmtId="0" fontId="0" fillId="9447" borderId="0" xfId="0" applyFill="1"/>
    <xf numFmtId="0" fontId="0" fillId="9448" borderId="0" xfId="0" applyFill="1"/>
    <xf numFmtId="0" fontId="0" fillId="9449" borderId="0" xfId="0" applyFill="1"/>
    <xf numFmtId="0" fontId="0" fillId="9450" borderId="0" xfId="0" applyFill="1"/>
    <xf numFmtId="0" fontId="0" fillId="9451" borderId="0" xfId="0" applyFill="1"/>
    <xf numFmtId="0" fontId="0" fillId="9452" borderId="0" xfId="0" applyFill="1"/>
    <xf numFmtId="0" fontId="0" fillId="9453" borderId="0" xfId="0" applyFill="1"/>
    <xf numFmtId="0" fontId="0" fillId="9454" borderId="0" xfId="0" applyFill="1"/>
    <xf numFmtId="0" fontId="0" fillId="9455" borderId="0" xfId="0" applyFill="1"/>
    <xf numFmtId="0" fontId="0" fillId="9456" borderId="0" xfId="0" applyFill="1"/>
    <xf numFmtId="0" fontId="0" fillId="9457" borderId="0" xfId="0" applyFill="1"/>
    <xf numFmtId="0" fontId="0" fillId="9458" borderId="0" xfId="0" applyFill="1"/>
    <xf numFmtId="0" fontId="0" fillId="9459" borderId="0" xfId="0" applyFill="1"/>
    <xf numFmtId="0" fontId="0" fillId="9460" borderId="0" xfId="0" applyFill="1"/>
    <xf numFmtId="0" fontId="0" fillId="9461" borderId="0" xfId="0" applyFill="1"/>
    <xf numFmtId="0" fontId="0" fillId="9462" borderId="0" xfId="0" applyFill="1"/>
    <xf numFmtId="0" fontId="0" fillId="9463" borderId="0" xfId="0" applyFill="1"/>
    <xf numFmtId="0" fontId="0" fillId="9464" borderId="0" xfId="0" applyFill="1"/>
    <xf numFmtId="0" fontId="0" fillId="9465" borderId="0" xfId="0" applyFill="1"/>
    <xf numFmtId="0" fontId="0" fillId="9466" borderId="0" xfId="0" applyFill="1"/>
    <xf numFmtId="0" fontId="0" fillId="9467" borderId="0" xfId="0" applyFill="1"/>
    <xf numFmtId="0" fontId="0" fillId="9468" borderId="0" xfId="0" applyFill="1"/>
    <xf numFmtId="0" fontId="0" fillId="9469" borderId="0" xfId="0" applyFill="1"/>
    <xf numFmtId="0" fontId="0" fillId="9470" borderId="0" xfId="0" applyFill="1"/>
    <xf numFmtId="0" fontId="0" fillId="9471" borderId="0" xfId="0" applyFill="1"/>
    <xf numFmtId="0" fontId="0" fillId="9472" borderId="0" xfId="0" applyFill="1"/>
    <xf numFmtId="0" fontId="0" fillId="9473" borderId="0" xfId="0" applyFill="1"/>
    <xf numFmtId="0" fontId="0" fillId="9474" borderId="0" xfId="0" applyFill="1"/>
    <xf numFmtId="0" fontId="0" fillId="9475" borderId="0" xfId="0" applyFill="1"/>
    <xf numFmtId="0" fontId="0" fillId="9476" borderId="0" xfId="0" applyFill="1"/>
    <xf numFmtId="0" fontId="0" fillId="9477" borderId="0" xfId="0" applyFill="1"/>
    <xf numFmtId="0" fontId="0" fillId="9478" borderId="0" xfId="0" applyFill="1"/>
    <xf numFmtId="0" fontId="0" fillId="9479" borderId="0" xfId="0" applyFill="1"/>
    <xf numFmtId="0" fontId="0" fillId="9480" borderId="0" xfId="0" applyFill="1"/>
    <xf numFmtId="0" fontId="0" fillId="9481" borderId="0" xfId="0" applyFill="1"/>
    <xf numFmtId="0" fontId="0" fillId="9482" borderId="0" xfId="0" applyFill="1"/>
    <xf numFmtId="0" fontId="0" fillId="9483" borderId="0" xfId="0" applyFill="1"/>
    <xf numFmtId="0" fontId="0" fillId="9484" borderId="0" xfId="0" applyFill="1"/>
    <xf numFmtId="0" fontId="0" fillId="9485" borderId="0" xfId="0" applyFill="1"/>
    <xf numFmtId="0" fontId="0" fillId="9486" borderId="0" xfId="0" applyFill="1"/>
    <xf numFmtId="0" fontId="0" fillId="9487" borderId="0" xfId="0" applyFill="1"/>
    <xf numFmtId="0" fontId="0" fillId="9488" borderId="0" xfId="0" applyFill="1"/>
    <xf numFmtId="0" fontId="0" fillId="9489" borderId="0" xfId="0" applyFill="1"/>
    <xf numFmtId="0" fontId="0" fillId="9490" borderId="0" xfId="0" applyFill="1"/>
    <xf numFmtId="0" fontId="0" fillId="9491" borderId="0" xfId="0" applyFill="1"/>
    <xf numFmtId="0" fontId="0" fillId="9492" borderId="0" xfId="0" applyFill="1"/>
    <xf numFmtId="0" fontId="0" fillId="9493" borderId="0" xfId="0" applyFill="1"/>
    <xf numFmtId="0" fontId="0" fillId="9494" borderId="0" xfId="0" applyFill="1"/>
    <xf numFmtId="0" fontId="0" fillId="9495" borderId="0" xfId="0" applyFill="1"/>
    <xf numFmtId="0" fontId="0" fillId="9496" borderId="0" xfId="0" applyFill="1"/>
    <xf numFmtId="0" fontId="0" fillId="9497" borderId="0" xfId="0" applyFill="1"/>
    <xf numFmtId="0" fontId="0" fillId="9498" borderId="0" xfId="0" applyFill="1"/>
    <xf numFmtId="0" fontId="0" fillId="9499" borderId="0" xfId="0" applyFill="1"/>
    <xf numFmtId="0" fontId="0" fillId="9500" borderId="0" xfId="0" applyFill="1"/>
    <xf numFmtId="0" fontId="0" fillId="9501" borderId="0" xfId="0" applyFill="1"/>
    <xf numFmtId="0" fontId="0" fillId="9502" borderId="0" xfId="0" applyFill="1"/>
    <xf numFmtId="0" fontId="0" fillId="9503" borderId="0" xfId="0" applyFill="1"/>
    <xf numFmtId="0" fontId="0" fillId="9504" borderId="0" xfId="0" applyFill="1"/>
    <xf numFmtId="0" fontId="0" fillId="9505" borderId="0" xfId="0" applyFill="1"/>
    <xf numFmtId="0" fontId="0" fillId="9506" borderId="0" xfId="0" applyFill="1"/>
    <xf numFmtId="0" fontId="0" fillId="9507" borderId="0" xfId="0" applyFill="1"/>
    <xf numFmtId="0" fontId="0" fillId="9508" borderId="0" xfId="0" applyFill="1"/>
    <xf numFmtId="0" fontId="0" fillId="9509" borderId="0" xfId="0" applyFill="1"/>
    <xf numFmtId="0" fontId="0" fillId="9510" borderId="0" xfId="0" applyFill="1"/>
    <xf numFmtId="0" fontId="0" fillId="9511" borderId="0" xfId="0" applyFill="1"/>
    <xf numFmtId="0" fontId="0" fillId="9512" borderId="0" xfId="0" applyFill="1"/>
    <xf numFmtId="0" fontId="0" fillId="9513" borderId="0" xfId="0" applyFill="1"/>
    <xf numFmtId="0" fontId="0" fillId="9514" borderId="0" xfId="0" applyFill="1"/>
    <xf numFmtId="0" fontId="0" fillId="9515" borderId="0" xfId="0" applyFill="1"/>
    <xf numFmtId="0" fontId="0" fillId="9516" borderId="0" xfId="0" applyFill="1"/>
    <xf numFmtId="0" fontId="0" fillId="9517" borderId="0" xfId="0" applyFill="1"/>
    <xf numFmtId="0" fontId="0" fillId="9518" borderId="0" xfId="0" applyFill="1"/>
    <xf numFmtId="0" fontId="0" fillId="9519" borderId="0" xfId="0" applyFill="1"/>
    <xf numFmtId="0" fontId="0" fillId="9520" borderId="0" xfId="0" applyFill="1"/>
    <xf numFmtId="0" fontId="0" fillId="9521" borderId="0" xfId="0" applyFill="1"/>
    <xf numFmtId="0" fontId="0" fillId="9522" borderId="0" xfId="0" applyFill="1"/>
    <xf numFmtId="0" fontId="0" fillId="9523" borderId="0" xfId="0" applyFill="1"/>
    <xf numFmtId="0" fontId="0" fillId="9524" borderId="0" xfId="0" applyFill="1"/>
    <xf numFmtId="0" fontId="0" fillId="9525" borderId="0" xfId="0" applyFill="1"/>
    <xf numFmtId="0" fontId="0" fillId="9526" borderId="0" xfId="0" applyFill="1"/>
    <xf numFmtId="0" fontId="0" fillId="9527" borderId="0" xfId="0" applyFill="1"/>
    <xf numFmtId="0" fontId="0" fillId="9528" borderId="0" xfId="0" applyFill="1"/>
    <xf numFmtId="0" fontId="0" fillId="9529" borderId="0" xfId="0" applyFill="1"/>
    <xf numFmtId="0" fontId="0" fillId="9530" borderId="0" xfId="0" applyFill="1"/>
    <xf numFmtId="0" fontId="0" fillId="9531" borderId="0" xfId="0" applyFill="1"/>
    <xf numFmtId="0" fontId="0" fillId="9532" borderId="0" xfId="0" applyFill="1"/>
    <xf numFmtId="0" fontId="0" fillId="9533" borderId="0" xfId="0" applyFill="1"/>
    <xf numFmtId="0" fontId="0" fillId="9534" borderId="0" xfId="0" applyFill="1"/>
    <xf numFmtId="0" fontId="0" fillId="9535" borderId="0" xfId="0" applyFill="1"/>
    <xf numFmtId="0" fontId="0" fillId="9536" borderId="0" xfId="0" applyFill="1"/>
    <xf numFmtId="0" fontId="0" fillId="9537" borderId="0" xfId="0" applyFill="1"/>
    <xf numFmtId="0" fontId="0" fillId="9538" borderId="0" xfId="0" applyFill="1"/>
    <xf numFmtId="0" fontId="0" fillId="9539" borderId="0" xfId="0" applyFill="1"/>
    <xf numFmtId="0" fontId="0" fillId="9540" borderId="0" xfId="0" applyFill="1"/>
    <xf numFmtId="0" fontId="0" fillId="9541" borderId="0" xfId="0" applyFill="1"/>
    <xf numFmtId="0" fontId="0" fillId="9542" borderId="0" xfId="0" applyFill="1"/>
    <xf numFmtId="0" fontId="0" fillId="9543" borderId="0" xfId="0" applyFill="1"/>
    <xf numFmtId="0" fontId="0" fillId="9544" borderId="0" xfId="0" applyFill="1"/>
    <xf numFmtId="0" fontId="0" fillId="9545" borderId="0" xfId="0" applyFill="1"/>
    <xf numFmtId="0" fontId="0" fillId="9546" borderId="0" xfId="0" applyFill="1"/>
    <xf numFmtId="0" fontId="0" fillId="9547" borderId="0" xfId="0" applyFill="1"/>
    <xf numFmtId="0" fontId="0" fillId="9548" borderId="0" xfId="0" applyFill="1"/>
    <xf numFmtId="0" fontId="0" fillId="9549" borderId="0" xfId="0" applyFill="1"/>
    <xf numFmtId="0" fontId="0" fillId="9550" borderId="0" xfId="0" applyFill="1"/>
    <xf numFmtId="0" fontId="0" fillId="9551" borderId="0" xfId="0" applyFill="1"/>
    <xf numFmtId="0" fontId="0" fillId="9552" borderId="0" xfId="0" applyFill="1"/>
    <xf numFmtId="0" fontId="0" fillId="9553" borderId="0" xfId="0" applyFill="1"/>
    <xf numFmtId="0" fontId="0" fillId="9554" borderId="0" xfId="0" applyFill="1"/>
    <xf numFmtId="0" fontId="0" fillId="9555" borderId="0" xfId="0" applyFill="1"/>
    <xf numFmtId="0" fontId="0" fillId="9556" borderId="0" xfId="0" applyFill="1"/>
    <xf numFmtId="0" fontId="0" fillId="9557" borderId="0" xfId="0" applyFill="1"/>
    <xf numFmtId="0" fontId="0" fillId="9558" borderId="0" xfId="0" applyFill="1"/>
    <xf numFmtId="0" fontId="0" fillId="9559" borderId="0" xfId="0" applyFill="1"/>
    <xf numFmtId="0" fontId="0" fillId="9560" borderId="0" xfId="0" applyFill="1"/>
    <xf numFmtId="0" fontId="0" fillId="9561" borderId="0" xfId="0" applyFill="1"/>
    <xf numFmtId="0" fontId="0" fillId="9562" borderId="0" xfId="0" applyFill="1"/>
    <xf numFmtId="0" fontId="0" fillId="9563" borderId="0" xfId="0" applyFill="1"/>
    <xf numFmtId="0" fontId="0" fillId="9564" borderId="0" xfId="0" applyFill="1"/>
    <xf numFmtId="0" fontId="0" fillId="9565" borderId="0" xfId="0" applyFill="1"/>
    <xf numFmtId="0" fontId="0" fillId="9566" borderId="0" xfId="0" applyFill="1"/>
    <xf numFmtId="0" fontId="0" fillId="9567" borderId="0" xfId="0" applyFill="1"/>
    <xf numFmtId="0" fontId="0" fillId="9568" borderId="0" xfId="0" applyFill="1"/>
    <xf numFmtId="0" fontId="0" fillId="9569" borderId="0" xfId="0" applyFill="1"/>
    <xf numFmtId="0" fontId="0" fillId="9570" borderId="0" xfId="0" applyFill="1"/>
    <xf numFmtId="0" fontId="0" fillId="9571" borderId="0" xfId="0" applyFill="1"/>
    <xf numFmtId="0" fontId="0" fillId="9572" borderId="0" xfId="0" applyFill="1"/>
    <xf numFmtId="0" fontId="0" fillId="9573" borderId="0" xfId="0" applyFill="1"/>
    <xf numFmtId="0" fontId="0" fillId="9574" borderId="0" xfId="0" applyFill="1"/>
    <xf numFmtId="0" fontId="0" fillId="9575" borderId="0" xfId="0" applyFill="1"/>
    <xf numFmtId="0" fontId="0" fillId="9576" borderId="0" xfId="0" applyFill="1"/>
    <xf numFmtId="0" fontId="0" fillId="9577" borderId="0" xfId="0" applyFill="1"/>
    <xf numFmtId="0" fontId="0" fillId="9578" borderId="0" xfId="0" applyFill="1"/>
    <xf numFmtId="0" fontId="0" fillId="9579" borderId="0" xfId="0" applyFill="1"/>
    <xf numFmtId="0" fontId="0" fillId="9580" borderId="0" xfId="0" applyFill="1"/>
    <xf numFmtId="0" fontId="0" fillId="9581" borderId="0" xfId="0" applyFill="1"/>
    <xf numFmtId="0" fontId="0" fillId="9582" borderId="0" xfId="0" applyFill="1"/>
    <xf numFmtId="0" fontId="0" fillId="9583" borderId="0" xfId="0" applyFill="1"/>
    <xf numFmtId="0" fontId="0" fillId="9584" borderId="0" xfId="0" applyFill="1"/>
    <xf numFmtId="0" fontId="0" fillId="9585" borderId="0" xfId="0" applyFill="1"/>
    <xf numFmtId="0" fontId="0" fillId="9586" borderId="0" xfId="0" applyFill="1"/>
    <xf numFmtId="0" fontId="0" fillId="9587" borderId="0" xfId="0" applyFill="1"/>
    <xf numFmtId="0" fontId="0" fillId="9588" borderId="0" xfId="0" applyFill="1"/>
    <xf numFmtId="0" fontId="0" fillId="9589" borderId="0" xfId="0" applyFill="1"/>
    <xf numFmtId="0" fontId="0" fillId="9590" borderId="0" xfId="0" applyFill="1"/>
    <xf numFmtId="0" fontId="0" fillId="9591" borderId="0" xfId="0" applyFill="1"/>
    <xf numFmtId="0" fontId="0" fillId="9592" borderId="0" xfId="0" applyFill="1"/>
    <xf numFmtId="0" fontId="0" fillId="9593" borderId="0" xfId="0" applyFill="1"/>
    <xf numFmtId="0" fontId="0" fillId="9594" borderId="0" xfId="0" applyFill="1"/>
    <xf numFmtId="0" fontId="0" fillId="9595" borderId="0" xfId="0" applyFill="1"/>
    <xf numFmtId="0" fontId="0" fillId="9596" borderId="0" xfId="0" applyFill="1"/>
    <xf numFmtId="0" fontId="0" fillId="9597" borderId="0" xfId="0" applyFill="1"/>
    <xf numFmtId="0" fontId="0" fillId="9598" borderId="0" xfId="0" applyFill="1"/>
    <xf numFmtId="0" fontId="0" fillId="9599" borderId="0" xfId="0" applyFill="1"/>
    <xf numFmtId="0" fontId="0" fillId="9600" borderId="0" xfId="0" applyFill="1"/>
    <xf numFmtId="0" fontId="0" fillId="9601" borderId="0" xfId="0" applyFill="1"/>
    <xf numFmtId="0" fontId="0" fillId="9602" borderId="0" xfId="0" applyFill="1"/>
    <xf numFmtId="0" fontId="0" fillId="9603" borderId="0" xfId="0" applyFill="1"/>
    <xf numFmtId="0" fontId="0" fillId="9604" borderId="0" xfId="0" applyFill="1"/>
    <xf numFmtId="0" fontId="0" fillId="9605" borderId="0" xfId="0" applyFill="1"/>
    <xf numFmtId="0" fontId="0" fillId="9606" borderId="0" xfId="0" applyFill="1"/>
    <xf numFmtId="0" fontId="0" fillId="9607" borderId="0" xfId="0" applyFill="1"/>
    <xf numFmtId="0" fontId="0" fillId="9608" borderId="0" xfId="0" applyFill="1"/>
    <xf numFmtId="0" fontId="0" fillId="9609" borderId="0" xfId="0" applyFill="1"/>
    <xf numFmtId="0" fontId="0" fillId="9610" borderId="0" xfId="0" applyFill="1"/>
    <xf numFmtId="0" fontId="0" fillId="9611" borderId="0" xfId="0" applyFill="1"/>
    <xf numFmtId="0" fontId="0" fillId="9612" borderId="0" xfId="0" applyFill="1"/>
    <xf numFmtId="0" fontId="0" fillId="9613" borderId="0" xfId="0" applyFill="1"/>
    <xf numFmtId="0" fontId="0" fillId="9614" borderId="0" xfId="0" applyFill="1"/>
    <xf numFmtId="0" fontId="0" fillId="9615" borderId="0" xfId="0" applyFill="1"/>
    <xf numFmtId="0" fontId="0" fillId="9616" borderId="0" xfId="0" applyFill="1"/>
    <xf numFmtId="0" fontId="0" fillId="9617" borderId="0" xfId="0" applyFill="1"/>
    <xf numFmtId="0" fontId="0" fillId="9618" borderId="0" xfId="0" applyFill="1"/>
    <xf numFmtId="0" fontId="0" fillId="9619" borderId="0" xfId="0" applyFill="1"/>
    <xf numFmtId="0" fontId="0" fillId="9620" borderId="0" xfId="0" applyFill="1"/>
    <xf numFmtId="0" fontId="0" fillId="9621" borderId="0" xfId="0" applyFill="1"/>
    <xf numFmtId="0" fontId="0" fillId="9622" borderId="0" xfId="0" applyFill="1"/>
    <xf numFmtId="0" fontId="0" fillId="9623" borderId="0" xfId="0" applyFill="1"/>
    <xf numFmtId="0" fontId="0" fillId="9624" borderId="0" xfId="0" applyFill="1"/>
    <xf numFmtId="0" fontId="0" fillId="9625" borderId="0" xfId="0" applyFill="1"/>
    <xf numFmtId="0" fontId="0" fillId="9626" borderId="0" xfId="0" applyFill="1"/>
    <xf numFmtId="0" fontId="0" fillId="9627" borderId="0" xfId="0" applyFill="1"/>
    <xf numFmtId="0" fontId="0" fillId="9628" borderId="0" xfId="0" applyFill="1"/>
    <xf numFmtId="0" fontId="0" fillId="9629" borderId="0" xfId="0" applyFill="1"/>
    <xf numFmtId="0" fontId="0" fillId="9630" borderId="0" xfId="0" applyFill="1"/>
    <xf numFmtId="0" fontId="0" fillId="9631" borderId="0" xfId="0" applyFill="1"/>
    <xf numFmtId="0" fontId="0" fillId="9632" borderId="0" xfId="0" applyFill="1"/>
    <xf numFmtId="0" fontId="0" fillId="9633" borderId="0" xfId="0" applyFill="1"/>
    <xf numFmtId="0" fontId="0" fillId="9634" borderId="0" xfId="0" applyFill="1"/>
    <xf numFmtId="0" fontId="0" fillId="9635" borderId="0" xfId="0" applyFill="1"/>
    <xf numFmtId="0" fontId="0" fillId="9636" borderId="0" xfId="0" applyFill="1"/>
    <xf numFmtId="0" fontId="0" fillId="9637" borderId="0" xfId="0" applyFill="1"/>
    <xf numFmtId="0" fontId="0" fillId="9638" borderId="0" xfId="0" applyFill="1"/>
    <xf numFmtId="0" fontId="0" fillId="9639" borderId="0" xfId="0" applyFill="1"/>
    <xf numFmtId="0" fontId="0" fillId="9640" borderId="0" xfId="0" applyFill="1"/>
    <xf numFmtId="0" fontId="0" fillId="9641" borderId="0" xfId="0" applyFill="1"/>
    <xf numFmtId="0" fontId="0" fillId="9642" borderId="0" xfId="0" applyFill="1"/>
    <xf numFmtId="0" fontId="0" fillId="9643" borderId="0" xfId="0" applyFill="1"/>
    <xf numFmtId="0" fontId="0" fillId="9644" borderId="0" xfId="0" applyFill="1"/>
    <xf numFmtId="0" fontId="0" fillId="9645" borderId="0" xfId="0" applyFill="1"/>
    <xf numFmtId="0" fontId="0" fillId="9646" borderId="0" xfId="0" applyFill="1"/>
    <xf numFmtId="0" fontId="0" fillId="9647" borderId="0" xfId="0" applyFill="1"/>
    <xf numFmtId="0" fontId="0" fillId="9648" borderId="0" xfId="0" applyFill="1"/>
    <xf numFmtId="0" fontId="0" fillId="9649" borderId="0" xfId="0" applyFill="1"/>
    <xf numFmtId="0" fontId="0" fillId="9650" borderId="0" xfId="0" applyFill="1"/>
    <xf numFmtId="0" fontId="0" fillId="9651" borderId="0" xfId="0" applyFill="1"/>
    <xf numFmtId="0" fontId="0" fillId="9652" borderId="0" xfId="0" applyFill="1"/>
    <xf numFmtId="0" fontId="0" fillId="9653" borderId="0" xfId="0" applyFill="1"/>
    <xf numFmtId="0" fontId="0" fillId="9654" borderId="0" xfId="0" applyFill="1"/>
    <xf numFmtId="0" fontId="0" fillId="9655" borderId="0" xfId="0" applyFill="1"/>
    <xf numFmtId="0" fontId="0" fillId="9656" borderId="0" xfId="0" applyFill="1"/>
    <xf numFmtId="0" fontId="0" fillId="9657" borderId="0" xfId="0" applyFill="1"/>
    <xf numFmtId="0" fontId="0" fillId="9658" borderId="0" xfId="0" applyFill="1"/>
    <xf numFmtId="0" fontId="0" fillId="9659" borderId="0" xfId="0" applyFill="1"/>
    <xf numFmtId="0" fontId="0" fillId="9660" borderId="0" xfId="0" applyFill="1"/>
    <xf numFmtId="0" fontId="0" fillId="9661" borderId="0" xfId="0" applyFill="1"/>
    <xf numFmtId="0" fontId="0" fillId="9662" borderId="0" xfId="0" applyFill="1"/>
    <xf numFmtId="0" fontId="0" fillId="9663" borderId="0" xfId="0" applyFill="1"/>
    <xf numFmtId="0" fontId="0" fillId="9664" borderId="0" xfId="0" applyFill="1"/>
    <xf numFmtId="0" fontId="0" fillId="9665" borderId="0" xfId="0" applyFill="1"/>
    <xf numFmtId="0" fontId="0" fillId="9666" borderId="0" xfId="0" applyFill="1"/>
    <xf numFmtId="0" fontId="0" fillId="9667" borderId="0" xfId="0" applyFill="1"/>
    <xf numFmtId="0" fontId="0" fillId="9668" borderId="0" xfId="0" applyFill="1"/>
    <xf numFmtId="0" fontId="0" fillId="9669" borderId="0" xfId="0" applyFill="1"/>
    <xf numFmtId="0" fontId="0" fillId="9670" borderId="0" xfId="0" applyFill="1"/>
    <xf numFmtId="0" fontId="0" fillId="9671" borderId="0" xfId="0" applyFill="1"/>
    <xf numFmtId="0" fontId="0" fillId="9672" borderId="0" xfId="0" applyFill="1"/>
    <xf numFmtId="0" fontId="0" fillId="9673" borderId="0" xfId="0" applyFill="1"/>
    <xf numFmtId="0" fontId="0" fillId="9674" borderId="0" xfId="0" applyFill="1"/>
    <xf numFmtId="0" fontId="0" fillId="9675" borderId="0" xfId="0" applyFill="1"/>
    <xf numFmtId="0" fontId="0" fillId="9676" borderId="0" xfId="0" applyFill="1"/>
    <xf numFmtId="0" fontId="0" fillId="9677" borderId="0" xfId="0" applyFill="1"/>
    <xf numFmtId="0" fontId="0" fillId="9678" borderId="0" xfId="0" applyFill="1"/>
    <xf numFmtId="0" fontId="0" fillId="9679" borderId="0" xfId="0" applyFill="1"/>
    <xf numFmtId="0" fontId="0" fillId="9680" borderId="0" xfId="0" applyFill="1"/>
    <xf numFmtId="0" fontId="0" fillId="9681" borderId="0" xfId="0" applyFill="1"/>
    <xf numFmtId="0" fontId="0" fillId="9682" borderId="0" xfId="0" applyFill="1"/>
    <xf numFmtId="0" fontId="0" fillId="9683" borderId="0" xfId="0" applyFill="1"/>
    <xf numFmtId="0" fontId="0" fillId="9684" borderId="0" xfId="0" applyFill="1"/>
    <xf numFmtId="0" fontId="0" fillId="9685" borderId="0" xfId="0" applyFill="1"/>
    <xf numFmtId="0" fontId="0" fillId="9686" borderId="0" xfId="0" applyFill="1"/>
    <xf numFmtId="0" fontId="0" fillId="9687" borderId="0" xfId="0" applyFill="1"/>
    <xf numFmtId="0" fontId="0" fillId="9688" borderId="0" xfId="0" applyFill="1"/>
    <xf numFmtId="0" fontId="0" fillId="9689" borderId="0" xfId="0" applyFill="1"/>
    <xf numFmtId="0" fontId="0" fillId="9690" borderId="0" xfId="0" applyFill="1"/>
    <xf numFmtId="0" fontId="0" fillId="9691" borderId="0" xfId="0" applyFill="1"/>
    <xf numFmtId="0" fontId="0" fillId="9692" borderId="0" xfId="0" applyFill="1"/>
    <xf numFmtId="0" fontId="0" fillId="9693" borderId="0" xfId="0" applyFill="1"/>
    <xf numFmtId="0" fontId="0" fillId="9694" borderId="0" xfId="0" applyFill="1"/>
    <xf numFmtId="0" fontId="0" fillId="9695" borderId="0" xfId="0" applyFill="1"/>
    <xf numFmtId="0" fontId="0" fillId="9696" borderId="0" xfId="0" applyFill="1"/>
    <xf numFmtId="0" fontId="0" fillId="9697" borderId="0" xfId="0" applyFill="1"/>
    <xf numFmtId="0" fontId="0" fillId="9698" borderId="0" xfId="0" applyFill="1"/>
    <xf numFmtId="0" fontId="0" fillId="9699" borderId="0" xfId="0" applyFill="1"/>
    <xf numFmtId="0" fontId="0" fillId="9700" borderId="0" xfId="0" applyFill="1"/>
    <xf numFmtId="0" fontId="0" fillId="9701" borderId="0" xfId="0" applyFill="1"/>
    <xf numFmtId="0" fontId="0" fillId="9702" borderId="0" xfId="0" applyFill="1"/>
    <xf numFmtId="0" fontId="0" fillId="9703" borderId="0" xfId="0" applyFill="1"/>
    <xf numFmtId="0" fontId="0" fillId="9704" borderId="0" xfId="0" applyFill="1"/>
    <xf numFmtId="0" fontId="0" fillId="9705" borderId="0" xfId="0" applyFill="1"/>
    <xf numFmtId="0" fontId="0" fillId="9706" borderId="0" xfId="0" applyFill="1"/>
    <xf numFmtId="0" fontId="0" fillId="9707" borderId="0" xfId="0" applyFill="1"/>
    <xf numFmtId="0" fontId="0" fillId="9708" borderId="0" xfId="0" applyFill="1"/>
    <xf numFmtId="0" fontId="0" fillId="9709" borderId="0" xfId="0" applyFill="1"/>
    <xf numFmtId="0" fontId="0" fillId="9710" borderId="0" xfId="0" applyFill="1"/>
    <xf numFmtId="0" fontId="0" fillId="9711" borderId="0" xfId="0" applyFill="1"/>
    <xf numFmtId="0" fontId="0" fillId="9712" borderId="0" xfId="0" applyFill="1"/>
    <xf numFmtId="0" fontId="0" fillId="9713" borderId="0" xfId="0" applyFill="1"/>
    <xf numFmtId="0" fontId="0" fillId="9714" borderId="0" xfId="0" applyFill="1"/>
    <xf numFmtId="0" fontId="0" fillId="9715" borderId="0" xfId="0" applyFill="1"/>
    <xf numFmtId="0" fontId="0" fillId="9716" borderId="0" xfId="0" applyFill="1"/>
    <xf numFmtId="0" fontId="0" fillId="9717" borderId="0" xfId="0" applyFill="1"/>
    <xf numFmtId="0" fontId="0" fillId="9718" borderId="0" xfId="0" applyFill="1"/>
    <xf numFmtId="0" fontId="0" fillId="9719" borderId="0" xfId="0" applyFill="1"/>
    <xf numFmtId="0" fontId="0" fillId="9720" borderId="0" xfId="0" applyFill="1"/>
    <xf numFmtId="0" fontId="0" fillId="9721" borderId="0" xfId="0" applyFill="1"/>
    <xf numFmtId="0" fontId="0" fillId="9722" borderId="0" xfId="0" applyFill="1"/>
    <xf numFmtId="0" fontId="0" fillId="9723" borderId="0" xfId="0" applyFill="1"/>
    <xf numFmtId="0" fontId="0" fillId="9724" borderId="0" xfId="0" applyFill="1"/>
    <xf numFmtId="0" fontId="0" fillId="9725" borderId="0" xfId="0" applyFill="1"/>
    <xf numFmtId="0" fontId="0" fillId="9726" borderId="0" xfId="0" applyFill="1"/>
    <xf numFmtId="0" fontId="0" fillId="9727" borderId="0" xfId="0" applyFill="1"/>
    <xf numFmtId="0" fontId="0" fillId="9728" borderId="0" xfId="0" applyFill="1"/>
    <xf numFmtId="0" fontId="0" fillId="9729" borderId="0" xfId="0" applyFill="1"/>
    <xf numFmtId="0" fontId="0" fillId="9730" borderId="0" xfId="0" applyFill="1"/>
    <xf numFmtId="0" fontId="0" fillId="9731" borderId="0" xfId="0" applyFill="1"/>
    <xf numFmtId="0" fontId="0" fillId="9732" borderId="0" xfId="0" applyFill="1"/>
    <xf numFmtId="0" fontId="0" fillId="9733" borderId="0" xfId="0" applyFill="1"/>
    <xf numFmtId="0" fontId="0" fillId="9734" borderId="0" xfId="0" applyFill="1"/>
    <xf numFmtId="0" fontId="0" fillId="9735" borderId="0" xfId="0" applyFill="1"/>
    <xf numFmtId="0" fontId="0" fillId="9736" borderId="0" xfId="0" applyFill="1"/>
    <xf numFmtId="0" fontId="0" fillId="9737" borderId="0" xfId="0" applyFill="1"/>
    <xf numFmtId="0" fontId="0" fillId="9738" borderId="0" xfId="0" applyFill="1"/>
    <xf numFmtId="0" fontId="0" fillId="9739" borderId="0" xfId="0" applyFill="1"/>
    <xf numFmtId="0" fontId="0" fillId="9740" borderId="0" xfId="0" applyFill="1"/>
    <xf numFmtId="0" fontId="0" fillId="9741" borderId="0" xfId="0" applyFill="1"/>
    <xf numFmtId="0" fontId="0" fillId="9742" borderId="0" xfId="0" applyFill="1"/>
    <xf numFmtId="0" fontId="0" fillId="9743" borderId="0" xfId="0" applyFill="1"/>
    <xf numFmtId="0" fontId="0" fillId="9744" borderId="0" xfId="0" applyFill="1"/>
    <xf numFmtId="0" fontId="0" fillId="9745" borderId="0" xfId="0" applyFill="1"/>
    <xf numFmtId="0" fontId="0" fillId="9746" borderId="0" xfId="0" applyFill="1"/>
    <xf numFmtId="0" fontId="0" fillId="9747" borderId="0" xfId="0" applyFill="1"/>
    <xf numFmtId="0" fontId="0" fillId="9748" borderId="0" xfId="0" applyFill="1"/>
    <xf numFmtId="0" fontId="0" fillId="9749" borderId="0" xfId="0" applyFill="1"/>
    <xf numFmtId="0" fontId="0" fillId="9750" borderId="0" xfId="0" applyFill="1"/>
    <xf numFmtId="0" fontId="0" fillId="9751" borderId="0" xfId="0" applyFill="1"/>
    <xf numFmtId="0" fontId="0" fillId="9752" borderId="0" xfId="0" applyFill="1"/>
    <xf numFmtId="0" fontId="0" fillId="9753" borderId="0" xfId="0" applyFill="1"/>
    <xf numFmtId="0" fontId="0" fillId="9754" borderId="0" xfId="0" applyFill="1"/>
    <xf numFmtId="0" fontId="0" fillId="9755" borderId="0" xfId="0" applyFill="1"/>
    <xf numFmtId="0" fontId="0" fillId="9756" borderId="0" xfId="0" applyFill="1"/>
    <xf numFmtId="0" fontId="0" fillId="9757" borderId="0" xfId="0" applyFill="1"/>
    <xf numFmtId="0" fontId="0" fillId="9758" borderId="0" xfId="0" applyFill="1"/>
    <xf numFmtId="0" fontId="0" fillId="9759" borderId="0" xfId="0" applyFill="1"/>
    <xf numFmtId="0" fontId="0" fillId="9760" borderId="0" xfId="0" applyFill="1"/>
    <xf numFmtId="0" fontId="0" fillId="9761" borderId="0" xfId="0" applyFill="1"/>
    <xf numFmtId="0" fontId="0" fillId="9762" borderId="0" xfId="0" applyFill="1"/>
    <xf numFmtId="0" fontId="0" fillId="9763" borderId="0" xfId="0" applyFill="1"/>
    <xf numFmtId="0" fontId="0" fillId="9764" borderId="0" xfId="0" applyFill="1"/>
    <xf numFmtId="0" fontId="0" fillId="9765" borderId="0" xfId="0" applyFill="1"/>
    <xf numFmtId="0" fontId="0" fillId="9766" borderId="0" xfId="0" applyFill="1"/>
    <xf numFmtId="0" fontId="0" fillId="9767" borderId="0" xfId="0" applyFill="1"/>
    <xf numFmtId="0" fontId="0" fillId="9768" borderId="0" xfId="0" applyFill="1"/>
    <xf numFmtId="0" fontId="0" fillId="9769" borderId="0" xfId="0" applyFill="1"/>
    <xf numFmtId="0" fontId="0" fillId="9770" borderId="0" xfId="0" applyFill="1"/>
    <xf numFmtId="0" fontId="0" fillId="9771" borderId="0" xfId="0" applyFill="1"/>
    <xf numFmtId="0" fontId="0" fillId="9772" borderId="0" xfId="0" applyFill="1"/>
    <xf numFmtId="0" fontId="0" fillId="9773" borderId="0" xfId="0" applyFill="1"/>
    <xf numFmtId="0" fontId="0" fillId="9774" borderId="0" xfId="0" applyFill="1"/>
    <xf numFmtId="0" fontId="0" fillId="9775" borderId="0" xfId="0" applyFill="1"/>
    <xf numFmtId="0" fontId="0" fillId="9776" borderId="0" xfId="0" applyFill="1"/>
    <xf numFmtId="0" fontId="0" fillId="9777" borderId="0" xfId="0" applyFill="1"/>
    <xf numFmtId="0" fontId="0" fillId="9778" borderId="0" xfId="0" applyFill="1"/>
    <xf numFmtId="0" fontId="0" fillId="9779" borderId="0" xfId="0" applyFill="1"/>
    <xf numFmtId="0" fontId="0" fillId="9780" borderId="0" xfId="0" applyFill="1"/>
    <xf numFmtId="0" fontId="0" fillId="9781" borderId="0" xfId="0" applyFill="1"/>
    <xf numFmtId="0" fontId="0" fillId="9782" borderId="0" xfId="0" applyFill="1"/>
    <xf numFmtId="0" fontId="0" fillId="9783" borderId="0" xfId="0" applyFill="1"/>
    <xf numFmtId="0" fontId="0" fillId="9784" borderId="0" xfId="0" applyFill="1"/>
    <xf numFmtId="0" fontId="0" fillId="9785" borderId="0" xfId="0" applyFill="1"/>
    <xf numFmtId="0" fontId="0" fillId="9786" borderId="0" xfId="0" applyFill="1"/>
    <xf numFmtId="0" fontId="0" fillId="9787" borderId="0" xfId="0" applyFill="1"/>
    <xf numFmtId="0" fontId="0" fillId="9788" borderId="0" xfId="0" applyFill="1"/>
    <xf numFmtId="0" fontId="0" fillId="9789" borderId="0" xfId="0" applyFill="1"/>
    <xf numFmtId="0" fontId="0" fillId="9790" borderId="0" xfId="0" applyFill="1"/>
    <xf numFmtId="0" fontId="0" fillId="9791" borderId="0" xfId="0" applyFill="1"/>
    <xf numFmtId="0" fontId="0" fillId="9792" borderId="0" xfId="0" applyFill="1"/>
    <xf numFmtId="0" fontId="0" fillId="9793" borderId="0" xfId="0" applyFill="1"/>
    <xf numFmtId="0" fontId="0" fillId="9794" borderId="0" xfId="0" applyFill="1"/>
    <xf numFmtId="0" fontId="0" fillId="9795" borderId="0" xfId="0" applyFill="1"/>
    <xf numFmtId="0" fontId="0" fillId="9796" borderId="0" xfId="0" applyFill="1"/>
    <xf numFmtId="0" fontId="0" fillId="9797" borderId="0" xfId="0" applyFill="1"/>
    <xf numFmtId="0" fontId="0" fillId="9798" borderId="0" xfId="0" applyFill="1"/>
    <xf numFmtId="0" fontId="0" fillId="9799" borderId="0" xfId="0" applyFill="1"/>
    <xf numFmtId="0" fontId="0" fillId="9800" borderId="0" xfId="0" applyFill="1"/>
    <xf numFmtId="0" fontId="0" fillId="9801" borderId="0" xfId="0" applyFill="1"/>
    <xf numFmtId="0" fontId="0" fillId="9802" borderId="0" xfId="0" applyFill="1"/>
    <xf numFmtId="0" fontId="0" fillId="9803" borderId="0" xfId="0" applyFill="1"/>
    <xf numFmtId="0" fontId="0" fillId="9804" borderId="0" xfId="0" applyFill="1"/>
    <xf numFmtId="0" fontId="0" fillId="9805" borderId="0" xfId="0" applyFill="1"/>
    <xf numFmtId="0" fontId="0" fillId="9806" borderId="0" xfId="0" applyFill="1"/>
    <xf numFmtId="0" fontId="0" fillId="9807" borderId="0" xfId="0" applyFill="1"/>
    <xf numFmtId="0" fontId="0" fillId="9808" borderId="0" xfId="0" applyFill="1"/>
    <xf numFmtId="0" fontId="0" fillId="9809" borderId="0" xfId="0" applyFill="1"/>
    <xf numFmtId="0" fontId="0" fillId="9810" borderId="0" xfId="0" applyFill="1"/>
    <xf numFmtId="0" fontId="0" fillId="9811" borderId="0" xfId="0" applyFill="1"/>
    <xf numFmtId="0" fontId="0" fillId="9812" borderId="0" xfId="0" applyFill="1"/>
    <xf numFmtId="0" fontId="0" fillId="9813" borderId="0" xfId="0" applyFill="1"/>
    <xf numFmtId="0" fontId="0" fillId="9814" borderId="0" xfId="0" applyFill="1"/>
    <xf numFmtId="0" fontId="0" fillId="9815" borderId="0" xfId="0" applyFill="1"/>
    <xf numFmtId="0" fontId="0" fillId="9816" borderId="0" xfId="0" applyFill="1"/>
    <xf numFmtId="0" fontId="0" fillId="9817" borderId="0" xfId="0" applyFill="1"/>
    <xf numFmtId="0" fontId="0" fillId="9818" borderId="0" xfId="0" applyFill="1"/>
    <xf numFmtId="0" fontId="0" fillId="9819" borderId="0" xfId="0" applyFill="1"/>
    <xf numFmtId="0" fontId="0" fillId="9820" borderId="0" xfId="0" applyFill="1"/>
    <xf numFmtId="0" fontId="0" fillId="9821" borderId="0" xfId="0" applyFill="1"/>
    <xf numFmtId="0" fontId="0" fillId="9822" borderId="0" xfId="0" applyFill="1"/>
    <xf numFmtId="0" fontId="0" fillId="9823" borderId="0" xfId="0" applyFill="1"/>
    <xf numFmtId="0" fontId="0" fillId="9824" borderId="0" xfId="0" applyFill="1"/>
    <xf numFmtId="0" fontId="0" fillId="9825" borderId="0" xfId="0" applyFill="1"/>
    <xf numFmtId="0" fontId="0" fillId="9826" borderId="0" xfId="0" applyFill="1"/>
    <xf numFmtId="0" fontId="0" fillId="9827" borderId="0" xfId="0" applyFill="1"/>
    <xf numFmtId="0" fontId="0" fillId="9828" borderId="0" xfId="0" applyFill="1"/>
    <xf numFmtId="0" fontId="0" fillId="9829" borderId="0" xfId="0" applyFill="1"/>
    <xf numFmtId="0" fontId="0" fillId="9830" borderId="0" xfId="0" applyFill="1"/>
    <xf numFmtId="0" fontId="0" fillId="9831" borderId="0" xfId="0" applyFill="1"/>
    <xf numFmtId="0" fontId="0" fillId="9832" borderId="0" xfId="0" applyFill="1"/>
    <xf numFmtId="0" fontId="0" fillId="9833" borderId="0" xfId="0" applyFill="1"/>
    <xf numFmtId="0" fontId="0" fillId="9834" borderId="0" xfId="0" applyFill="1"/>
    <xf numFmtId="0" fontId="0" fillId="9835" borderId="0" xfId="0" applyFill="1"/>
    <xf numFmtId="0" fontId="0" fillId="9836" borderId="0" xfId="0" applyFill="1"/>
    <xf numFmtId="0" fontId="0" fillId="9837" borderId="0" xfId="0" applyFill="1"/>
    <xf numFmtId="0" fontId="0" fillId="9838" borderId="0" xfId="0" applyFill="1"/>
    <xf numFmtId="0" fontId="0" fillId="9839" borderId="0" xfId="0" applyFill="1"/>
    <xf numFmtId="0" fontId="0" fillId="9840" borderId="0" xfId="0" applyFill="1"/>
    <xf numFmtId="0" fontId="0" fillId="9841" borderId="0" xfId="0" applyFill="1"/>
    <xf numFmtId="0" fontId="0" fillId="9842" borderId="0" xfId="0" applyFill="1"/>
    <xf numFmtId="0" fontId="0" fillId="9843" borderId="0" xfId="0" applyFill="1"/>
    <xf numFmtId="0" fontId="0" fillId="9844" borderId="0" xfId="0" applyFill="1"/>
    <xf numFmtId="0" fontId="0" fillId="9845" borderId="0" xfId="0" applyFill="1"/>
    <xf numFmtId="0" fontId="0" fillId="9846" borderId="0" xfId="0" applyFill="1"/>
    <xf numFmtId="0" fontId="0" fillId="9847" borderId="0" xfId="0" applyFill="1"/>
    <xf numFmtId="0" fontId="0" fillId="9848" borderId="0" xfId="0" applyFill="1"/>
    <xf numFmtId="0" fontId="0" fillId="9849" borderId="0" xfId="0" applyFill="1"/>
    <xf numFmtId="0" fontId="0" fillId="9850" borderId="0" xfId="0" applyFill="1"/>
    <xf numFmtId="0" fontId="0" fillId="9851" borderId="0" xfId="0" applyFill="1"/>
    <xf numFmtId="0" fontId="0" fillId="9852" borderId="0" xfId="0" applyFill="1"/>
    <xf numFmtId="0" fontId="0" fillId="9853" borderId="0" xfId="0" applyFill="1"/>
    <xf numFmtId="0" fontId="0" fillId="9854" borderId="0" xfId="0" applyFill="1"/>
    <xf numFmtId="0" fontId="0" fillId="9855" borderId="0" xfId="0" applyFill="1"/>
    <xf numFmtId="0" fontId="0" fillId="9856" borderId="0" xfId="0" applyFill="1"/>
    <xf numFmtId="0" fontId="0" fillId="9857" borderId="0" xfId="0" applyFill="1"/>
    <xf numFmtId="0" fontId="0" fillId="9858" borderId="0" xfId="0" applyFill="1"/>
    <xf numFmtId="0" fontId="0" fillId="9859" borderId="0" xfId="0" applyFill="1"/>
    <xf numFmtId="0" fontId="0" fillId="9860" borderId="0" xfId="0" applyFill="1"/>
    <xf numFmtId="0" fontId="0" fillId="9861" borderId="0" xfId="0" applyFill="1"/>
    <xf numFmtId="0" fontId="0" fillId="9862" borderId="0" xfId="0" applyFill="1"/>
    <xf numFmtId="0" fontId="0" fillId="9863" borderId="0" xfId="0" applyFill="1"/>
    <xf numFmtId="0" fontId="0" fillId="9864" borderId="0" xfId="0" applyFill="1"/>
    <xf numFmtId="0" fontId="0" fillId="9865" borderId="0" xfId="0" applyFill="1"/>
    <xf numFmtId="0" fontId="0" fillId="9866" borderId="0" xfId="0" applyFill="1"/>
    <xf numFmtId="0" fontId="0" fillId="9867" borderId="0" xfId="0" applyFill="1"/>
    <xf numFmtId="0" fontId="0" fillId="9868" borderId="0" xfId="0" applyFill="1"/>
    <xf numFmtId="0" fontId="0" fillId="9869" borderId="0" xfId="0" applyFill="1"/>
    <xf numFmtId="0" fontId="0" fillId="9870" borderId="0" xfId="0" applyFill="1"/>
    <xf numFmtId="0" fontId="0" fillId="9871" borderId="0" xfId="0" applyFill="1"/>
    <xf numFmtId="0" fontId="0" fillId="9872" borderId="0" xfId="0" applyFill="1"/>
    <xf numFmtId="0" fontId="0" fillId="9873" borderId="0" xfId="0" applyFill="1"/>
    <xf numFmtId="0" fontId="0" fillId="9874" borderId="0" xfId="0" applyFill="1"/>
    <xf numFmtId="0" fontId="0" fillId="9875" borderId="0" xfId="0" applyFill="1"/>
    <xf numFmtId="0" fontId="0" fillId="9876" borderId="0" xfId="0" applyFill="1"/>
    <xf numFmtId="0" fontId="0" fillId="9877" borderId="0" xfId="0" applyFill="1"/>
    <xf numFmtId="0" fontId="0" fillId="9878" borderId="0" xfId="0" applyFill="1"/>
    <xf numFmtId="0" fontId="0" fillId="9879" borderId="0" xfId="0" applyFill="1"/>
    <xf numFmtId="0" fontId="0" fillId="9880" borderId="0" xfId="0" applyFill="1"/>
    <xf numFmtId="0" fontId="0" fillId="9881" borderId="0" xfId="0" applyFill="1"/>
    <xf numFmtId="0" fontId="0" fillId="9882" borderId="0" xfId="0" applyFill="1"/>
    <xf numFmtId="0" fontId="0" fillId="9883" borderId="0" xfId="0" applyFill="1"/>
    <xf numFmtId="0" fontId="0" fillId="9884" borderId="0" xfId="0" applyFill="1"/>
    <xf numFmtId="0" fontId="0" fillId="9885" borderId="0" xfId="0" applyFill="1"/>
    <xf numFmtId="0" fontId="0" fillId="9886" borderId="0" xfId="0" applyFill="1"/>
    <xf numFmtId="0" fontId="0" fillId="9887" borderId="0" xfId="0" applyFill="1"/>
    <xf numFmtId="0" fontId="0" fillId="9888" borderId="0" xfId="0" applyFill="1"/>
    <xf numFmtId="0" fontId="0" fillId="9889" borderId="0" xfId="0" applyFill="1"/>
    <xf numFmtId="0" fontId="0" fillId="9890" borderId="0" xfId="0" applyFill="1"/>
    <xf numFmtId="0" fontId="0" fillId="9891" borderId="0" xfId="0" applyFill="1"/>
    <xf numFmtId="0" fontId="0" fillId="9892" borderId="0" xfId="0" applyFill="1"/>
    <xf numFmtId="0" fontId="0" fillId="9893" borderId="0" xfId="0" applyFill="1"/>
    <xf numFmtId="0" fontId="0" fillId="9894" borderId="0" xfId="0" applyFill="1"/>
    <xf numFmtId="0" fontId="0" fillId="9895" borderId="0" xfId="0" applyFill="1"/>
    <xf numFmtId="0" fontId="0" fillId="9896" borderId="0" xfId="0" applyFill="1"/>
    <xf numFmtId="0" fontId="0" fillId="9897" borderId="0" xfId="0" applyFill="1"/>
    <xf numFmtId="0" fontId="0" fillId="9898" borderId="0" xfId="0" applyFill="1"/>
    <xf numFmtId="0" fontId="0" fillId="9899" borderId="0" xfId="0" applyFill="1"/>
    <xf numFmtId="0" fontId="0" fillId="9900" borderId="0" xfId="0" applyFill="1"/>
    <xf numFmtId="0" fontId="0" fillId="9901" borderId="0" xfId="0" applyFill="1"/>
    <xf numFmtId="0" fontId="0" fillId="9902" borderId="0" xfId="0" applyFill="1"/>
    <xf numFmtId="0" fontId="0" fillId="9903" borderId="0" xfId="0" applyFill="1"/>
    <xf numFmtId="0" fontId="0" fillId="9904" borderId="0" xfId="0" applyFill="1"/>
    <xf numFmtId="0" fontId="0" fillId="9905" borderId="0" xfId="0" applyFill="1"/>
    <xf numFmtId="0" fontId="0" fillId="9906" borderId="0" xfId="0" applyFill="1"/>
    <xf numFmtId="0" fontId="0" fillId="9907" borderId="0" xfId="0" applyFill="1"/>
    <xf numFmtId="0" fontId="0" fillId="9908" borderId="0" xfId="0" applyFill="1"/>
    <xf numFmtId="0" fontId="0" fillId="9909" borderId="0" xfId="0" applyFill="1"/>
    <xf numFmtId="0" fontId="0" fillId="9910" borderId="0" xfId="0" applyFill="1"/>
    <xf numFmtId="0" fontId="0" fillId="9911" borderId="0" xfId="0" applyFill="1"/>
    <xf numFmtId="0" fontId="0" fillId="9912" borderId="0" xfId="0" applyFill="1"/>
    <xf numFmtId="0" fontId="0" fillId="9913" borderId="0" xfId="0" applyFill="1"/>
    <xf numFmtId="0" fontId="0" fillId="9914" borderId="0" xfId="0" applyFill="1"/>
    <xf numFmtId="0" fontId="0" fillId="9915" borderId="0" xfId="0" applyFill="1"/>
    <xf numFmtId="0" fontId="0" fillId="9916" borderId="0" xfId="0" applyFill="1"/>
    <xf numFmtId="0" fontId="0" fillId="9917" borderId="0" xfId="0" applyFill="1"/>
    <xf numFmtId="0" fontId="0" fillId="9918" borderId="0" xfId="0" applyFill="1"/>
    <xf numFmtId="0" fontId="0" fillId="9919" borderId="0" xfId="0" applyFill="1"/>
    <xf numFmtId="0" fontId="0" fillId="9920" borderId="0" xfId="0" applyFill="1"/>
    <xf numFmtId="0" fontId="0" fillId="9921" borderId="0" xfId="0" applyFill="1"/>
    <xf numFmtId="0" fontId="0" fillId="9922" borderId="0" xfId="0" applyFill="1"/>
    <xf numFmtId="0" fontId="0" fillId="9923" borderId="0" xfId="0" applyFill="1"/>
    <xf numFmtId="0" fontId="0" fillId="9924" borderId="0" xfId="0" applyFill="1"/>
    <xf numFmtId="0" fontId="0" fillId="9925" borderId="0" xfId="0" applyFill="1"/>
    <xf numFmtId="0" fontId="0" fillId="9926" borderId="0" xfId="0" applyFill="1"/>
    <xf numFmtId="0" fontId="0" fillId="9927" borderId="0" xfId="0" applyFill="1"/>
    <xf numFmtId="0" fontId="0" fillId="9928" borderId="0" xfId="0" applyFill="1"/>
    <xf numFmtId="0" fontId="0" fillId="9929" borderId="0" xfId="0" applyFill="1"/>
    <xf numFmtId="0" fontId="0" fillId="9930" borderId="0" xfId="0" applyFill="1"/>
    <xf numFmtId="0" fontId="0" fillId="9931" borderId="0" xfId="0" applyFill="1"/>
    <xf numFmtId="0" fontId="0" fillId="9932" borderId="0" xfId="0" applyFill="1"/>
    <xf numFmtId="0" fontId="0" fillId="9933" borderId="0" xfId="0" applyFill="1"/>
    <xf numFmtId="0" fontId="0" fillId="9934" borderId="0" xfId="0" applyFill="1"/>
    <xf numFmtId="0" fontId="0" fillId="9935" borderId="0" xfId="0" applyFill="1"/>
    <xf numFmtId="0" fontId="0" fillId="9936" borderId="0" xfId="0" applyFill="1"/>
    <xf numFmtId="0" fontId="0" fillId="9937" borderId="0" xfId="0" applyFill="1"/>
    <xf numFmtId="0" fontId="0" fillId="9938" borderId="0" xfId="0" applyFill="1"/>
    <xf numFmtId="0" fontId="0" fillId="9939" borderId="0" xfId="0" applyFill="1"/>
    <xf numFmtId="0" fontId="0" fillId="9940" borderId="0" xfId="0" applyFill="1"/>
    <xf numFmtId="0" fontId="0" fillId="9941" borderId="0" xfId="0" applyFill="1"/>
    <xf numFmtId="0" fontId="0" fillId="9942" borderId="0" xfId="0" applyFill="1"/>
    <xf numFmtId="0" fontId="0" fillId="9943" borderId="0" xfId="0" applyFill="1"/>
    <xf numFmtId="0" fontId="0" fillId="9944" borderId="0" xfId="0" applyFill="1"/>
    <xf numFmtId="0" fontId="0" fillId="9945" borderId="0" xfId="0" applyFill="1"/>
    <xf numFmtId="0" fontId="0" fillId="9946" borderId="0" xfId="0" applyFill="1"/>
    <xf numFmtId="0" fontId="0" fillId="9947" borderId="0" xfId="0" applyFill="1"/>
    <xf numFmtId="0" fontId="0" fillId="9948" borderId="0" xfId="0" applyFill="1"/>
    <xf numFmtId="0" fontId="0" fillId="9949" borderId="0" xfId="0" applyFill="1"/>
    <xf numFmtId="0" fontId="0" fillId="9950" borderId="0" xfId="0" applyFill="1"/>
    <xf numFmtId="0" fontId="0" fillId="9951" borderId="0" xfId="0" applyFill="1"/>
    <xf numFmtId="0" fontId="0" fillId="9952" borderId="0" xfId="0" applyFill="1"/>
    <xf numFmtId="0" fontId="0" fillId="9953" borderId="0" xfId="0" applyFill="1"/>
    <xf numFmtId="0" fontId="0" fillId="9954" borderId="0" xfId="0" applyFill="1"/>
    <xf numFmtId="0" fontId="0" fillId="9955" borderId="0" xfId="0" applyFill="1"/>
    <xf numFmtId="0" fontId="0" fillId="9956" borderId="0" xfId="0" applyFill="1"/>
    <xf numFmtId="0" fontId="0" fillId="9957" borderId="0" xfId="0" applyFill="1"/>
    <xf numFmtId="0" fontId="0" fillId="9958" borderId="0" xfId="0" applyFill="1"/>
    <xf numFmtId="0" fontId="0" fillId="9959" borderId="0" xfId="0" applyFill="1"/>
    <xf numFmtId="0" fontId="0" fillId="9960" borderId="0" xfId="0" applyFill="1"/>
    <xf numFmtId="0" fontId="0" fillId="9961" borderId="0" xfId="0" applyFill="1"/>
    <xf numFmtId="0" fontId="0" fillId="9962" borderId="0" xfId="0" applyFill="1"/>
    <xf numFmtId="0" fontId="0" fillId="9963" borderId="0" xfId="0" applyFill="1"/>
    <xf numFmtId="0" fontId="0" fillId="9964" borderId="0" xfId="0" applyFill="1"/>
    <xf numFmtId="0" fontId="0" fillId="9965" borderId="0" xfId="0" applyFill="1"/>
    <xf numFmtId="0" fontId="0" fillId="9966" borderId="0" xfId="0" applyFill="1"/>
    <xf numFmtId="0" fontId="0" fillId="9967" borderId="0" xfId="0" applyFill="1"/>
    <xf numFmtId="0" fontId="0" fillId="9968" borderId="0" xfId="0" applyFill="1"/>
    <xf numFmtId="0" fontId="0" fillId="9969" borderId="0" xfId="0" applyFill="1"/>
    <xf numFmtId="0" fontId="0" fillId="9970" borderId="0" xfId="0" applyFill="1"/>
    <xf numFmtId="0" fontId="0" fillId="9971" borderId="0" xfId="0" applyFill="1"/>
    <xf numFmtId="0" fontId="0" fillId="9972" borderId="0" xfId="0" applyFill="1"/>
    <xf numFmtId="0" fontId="0" fillId="9973" borderId="0" xfId="0" applyFill="1"/>
    <xf numFmtId="0" fontId="0" fillId="9974" borderId="0" xfId="0" applyFill="1"/>
    <xf numFmtId="0" fontId="0" fillId="9975" borderId="0" xfId="0" applyFill="1"/>
    <xf numFmtId="0" fontId="0" fillId="9976" borderId="0" xfId="0" applyFill="1"/>
    <xf numFmtId="0" fontId="0" fillId="9977" borderId="0" xfId="0" applyFill="1"/>
    <xf numFmtId="0" fontId="0" fillId="9978" borderId="0" xfId="0" applyFill="1"/>
    <xf numFmtId="0" fontId="0" fillId="9979" borderId="0" xfId="0" applyFill="1"/>
    <xf numFmtId="0" fontId="0" fillId="9980" borderId="0" xfId="0" applyFill="1"/>
    <xf numFmtId="0" fontId="0" fillId="9981" borderId="0" xfId="0" applyFill="1"/>
    <xf numFmtId="0" fontId="0" fillId="9982" borderId="0" xfId="0" applyFill="1"/>
    <xf numFmtId="0" fontId="0" fillId="9983" borderId="0" xfId="0" applyFill="1"/>
    <xf numFmtId="0" fontId="0" fillId="9984" borderId="0" xfId="0" applyFill="1"/>
    <xf numFmtId="0" fontId="0" fillId="9985" borderId="0" xfId="0" applyFill="1"/>
    <xf numFmtId="0" fontId="0" fillId="9986" borderId="0" xfId="0" applyFill="1"/>
    <xf numFmtId="0" fontId="0" fillId="9987" borderId="0" xfId="0" applyFill="1"/>
    <xf numFmtId="0" fontId="0" fillId="9988" borderId="0" xfId="0" applyFill="1"/>
    <xf numFmtId="0" fontId="0" fillId="9989" borderId="0" xfId="0" applyFill="1"/>
    <xf numFmtId="0" fontId="0" fillId="9990" borderId="0" xfId="0" applyFill="1"/>
    <xf numFmtId="0" fontId="0" fillId="9991" borderId="0" xfId="0" applyFill="1"/>
    <xf numFmtId="0" fontId="0" fillId="9992" borderId="0" xfId="0" applyFill="1"/>
    <xf numFmtId="0" fontId="0" fillId="9993" borderId="0" xfId="0" applyFill="1"/>
    <xf numFmtId="0" fontId="0" fillId="9994" borderId="0" xfId="0" applyFill="1"/>
    <xf numFmtId="0" fontId="0" fillId="9995" borderId="0" xfId="0" applyFill="1"/>
    <xf numFmtId="0" fontId="0" fillId="9996" borderId="0" xfId="0" applyFill="1"/>
    <xf numFmtId="0" fontId="0" fillId="9997" borderId="0" xfId="0" applyFill="1"/>
    <xf numFmtId="0" fontId="0" fillId="9998" borderId="0" xfId="0" applyFill="1"/>
    <xf numFmtId="0" fontId="0" fillId="9999" borderId="0" xfId="0" applyFill="1"/>
    <xf numFmtId="0" fontId="0" fillId="10000" borderId="0" xfId="0" applyFill="1"/>
    <xf numFmtId="0" fontId="0" fillId="10001" borderId="0" xfId="0" applyFill="1"/>
    <xf numFmtId="0" fontId="0" fillId="10002" borderId="0" xfId="0" applyFill="1"/>
    <xf numFmtId="0" fontId="0" fillId="10003" borderId="0" xfId="0" applyFill="1"/>
    <xf numFmtId="0" fontId="0" fillId="10004" borderId="0" xfId="0" applyFill="1"/>
    <xf numFmtId="0" fontId="0" fillId="10005" borderId="0" xfId="0" applyFill="1"/>
    <xf numFmtId="0" fontId="0" fillId="10006" borderId="0" xfId="0" applyFill="1"/>
    <xf numFmtId="0" fontId="0" fillId="10007" borderId="0" xfId="0" applyFill="1"/>
    <xf numFmtId="0" fontId="0" fillId="10008" borderId="0" xfId="0" applyFill="1"/>
    <xf numFmtId="0" fontId="0" fillId="10009" borderId="0" xfId="0" applyFill="1"/>
    <xf numFmtId="0" fontId="0" fillId="10010" borderId="0" xfId="0" applyFill="1"/>
    <xf numFmtId="0" fontId="0" fillId="10011" borderId="0" xfId="0" applyFill="1"/>
    <xf numFmtId="0" fontId="0" fillId="10012" borderId="0" xfId="0" applyFill="1"/>
    <xf numFmtId="0" fontId="0" fillId="10013" borderId="0" xfId="0" applyFill="1"/>
    <xf numFmtId="0" fontId="0" fillId="10014" borderId="0" xfId="0" applyFill="1"/>
    <xf numFmtId="0" fontId="0" fillId="10015" borderId="0" xfId="0" applyFill="1"/>
    <xf numFmtId="0" fontId="0" fillId="10016" borderId="0" xfId="0" applyFill="1"/>
    <xf numFmtId="0" fontId="0" fillId="10017" borderId="0" xfId="0" applyFill="1"/>
    <xf numFmtId="0" fontId="0" fillId="10018" borderId="0" xfId="0" applyFill="1"/>
    <xf numFmtId="0" fontId="0" fillId="10019" borderId="0" xfId="0" applyFill="1"/>
    <xf numFmtId="0" fontId="0" fillId="10020" borderId="0" xfId="0" applyFill="1"/>
    <xf numFmtId="0" fontId="0" fillId="10021" borderId="0" xfId="0" applyFill="1"/>
    <xf numFmtId="0" fontId="0" fillId="10022" borderId="0" xfId="0" applyFill="1"/>
    <xf numFmtId="0" fontId="0" fillId="10023" borderId="0" xfId="0" applyFill="1"/>
    <xf numFmtId="0" fontId="0" fillId="10024" borderId="0" xfId="0" applyFill="1"/>
    <xf numFmtId="0" fontId="0" fillId="10025" borderId="0" xfId="0" applyFill="1"/>
    <xf numFmtId="0" fontId="0" fillId="10026" borderId="0" xfId="0" applyFill="1"/>
    <xf numFmtId="0" fontId="0" fillId="10027" borderId="0" xfId="0" applyFill="1"/>
    <xf numFmtId="0" fontId="0" fillId="10028" borderId="0" xfId="0" applyFill="1"/>
    <xf numFmtId="0" fontId="0" fillId="10029" borderId="0" xfId="0" applyFill="1"/>
    <xf numFmtId="0" fontId="0" fillId="10030" borderId="0" xfId="0" applyFill="1"/>
    <xf numFmtId="0" fontId="0" fillId="10031" borderId="0" xfId="0" applyFill="1"/>
    <xf numFmtId="0" fontId="0" fillId="10032" borderId="0" xfId="0" applyFill="1"/>
    <xf numFmtId="0" fontId="0" fillId="10033" borderId="0" xfId="0" applyFill="1"/>
    <xf numFmtId="0" fontId="0" fillId="10034" borderId="0" xfId="0" applyFill="1"/>
    <xf numFmtId="0" fontId="0" fillId="10035" borderId="0" xfId="0" applyFill="1"/>
    <xf numFmtId="0" fontId="0" fillId="10036" borderId="0" xfId="0" applyFill="1"/>
    <xf numFmtId="0" fontId="0" fillId="10037" borderId="0" xfId="0" applyFill="1"/>
    <xf numFmtId="0" fontId="0" fillId="10038" borderId="0" xfId="0" applyFill="1"/>
    <xf numFmtId="0" fontId="0" fillId="10039" borderId="0" xfId="0" applyFill="1"/>
    <xf numFmtId="0" fontId="0" fillId="10040" borderId="0" xfId="0" applyFill="1"/>
    <xf numFmtId="0" fontId="0" fillId="10041" borderId="0" xfId="0" applyFill="1"/>
    <xf numFmtId="0" fontId="0" fillId="10042" borderId="0" xfId="0" applyFill="1"/>
    <xf numFmtId="0" fontId="0" fillId="10043" borderId="0" xfId="0" applyFill="1"/>
    <xf numFmtId="0" fontId="0" fillId="10044" borderId="0" xfId="0" applyFill="1"/>
    <xf numFmtId="0" fontId="0" fillId="10045" borderId="0" xfId="0" applyFill="1"/>
    <xf numFmtId="0" fontId="0" fillId="10046" borderId="0" xfId="0" applyFill="1"/>
    <xf numFmtId="0" fontId="0" fillId="10047" borderId="0" xfId="0" applyFill="1"/>
    <xf numFmtId="0" fontId="0" fillId="10048" borderId="0" xfId="0" applyFill="1"/>
    <xf numFmtId="0" fontId="0" fillId="10049" borderId="0" xfId="0" applyFill="1"/>
    <xf numFmtId="0" fontId="0" fillId="10050" borderId="0" xfId="0" applyFill="1"/>
    <xf numFmtId="0" fontId="0" fillId="10051" borderId="0" xfId="0" applyFill="1"/>
    <xf numFmtId="0" fontId="0" fillId="10052" borderId="0" xfId="0" applyFill="1"/>
    <xf numFmtId="0" fontId="0" fillId="10053" borderId="0" xfId="0" applyFill="1"/>
    <xf numFmtId="0" fontId="0" fillId="10054" borderId="0" xfId="0" applyFill="1"/>
    <xf numFmtId="0" fontId="0" fillId="10055" borderId="0" xfId="0" applyFill="1"/>
    <xf numFmtId="0" fontId="0" fillId="10056" borderId="0" xfId="0" applyFill="1"/>
    <xf numFmtId="0" fontId="0" fillId="10057" borderId="0" xfId="0" applyFill="1"/>
    <xf numFmtId="0" fontId="0" fillId="10058" borderId="0" xfId="0" applyFill="1"/>
    <xf numFmtId="0" fontId="0" fillId="10059" borderId="0" xfId="0" applyFill="1"/>
    <xf numFmtId="0" fontId="0" fillId="10060" borderId="0" xfId="0" applyFill="1"/>
    <xf numFmtId="0" fontId="0" fillId="10061" borderId="0" xfId="0" applyFill="1"/>
    <xf numFmtId="0" fontId="0" fillId="10062" borderId="0" xfId="0" applyFill="1"/>
    <xf numFmtId="0" fontId="0" fillId="10063" borderId="0" xfId="0" applyFill="1"/>
    <xf numFmtId="0" fontId="0" fillId="10064" borderId="0" xfId="0" applyFill="1"/>
    <xf numFmtId="0" fontId="0" fillId="10065" borderId="0" xfId="0" applyFill="1"/>
    <xf numFmtId="0" fontId="0" fillId="10066" borderId="0" xfId="0" applyFill="1"/>
    <xf numFmtId="0" fontId="0" fillId="10067" borderId="0" xfId="0" applyFill="1"/>
    <xf numFmtId="0" fontId="0" fillId="10068" borderId="0" xfId="0" applyFill="1"/>
    <xf numFmtId="0" fontId="0" fillId="10069" borderId="0" xfId="0" applyFill="1"/>
    <xf numFmtId="0" fontId="0" fillId="10070" borderId="0" xfId="0" applyFill="1"/>
    <xf numFmtId="0" fontId="0" fillId="10071" borderId="0" xfId="0" applyFill="1"/>
    <xf numFmtId="0" fontId="0" fillId="10072" borderId="0" xfId="0" applyFill="1"/>
    <xf numFmtId="0" fontId="0" fillId="10073" borderId="0" xfId="0" applyFill="1"/>
    <xf numFmtId="0" fontId="0" fillId="10074" borderId="0" xfId="0" applyFill="1"/>
    <xf numFmtId="0" fontId="0" fillId="10075" borderId="0" xfId="0" applyFill="1"/>
    <xf numFmtId="0" fontId="0" fillId="10076" borderId="0" xfId="0" applyFill="1"/>
    <xf numFmtId="0" fontId="0" fillId="10077" borderId="0" xfId="0" applyFill="1"/>
    <xf numFmtId="0" fontId="0" fillId="10078" borderId="0" xfId="0" applyFill="1"/>
    <xf numFmtId="0" fontId="0" fillId="10079" borderId="0" xfId="0" applyFill="1"/>
    <xf numFmtId="0" fontId="0" fillId="10080" borderId="0" xfId="0" applyFill="1"/>
    <xf numFmtId="0" fontId="0" fillId="10081" borderId="0" xfId="0" applyFill="1"/>
    <xf numFmtId="0" fontId="0" fillId="10082" borderId="0" xfId="0" applyFill="1"/>
    <xf numFmtId="0" fontId="0" fillId="10083" borderId="0" xfId="0" applyFill="1"/>
    <xf numFmtId="0" fontId="0" fillId="10084" borderId="0" xfId="0" applyFill="1"/>
    <xf numFmtId="0" fontId="0" fillId="10085" borderId="0" xfId="0" applyFill="1"/>
    <xf numFmtId="0" fontId="0" fillId="10086" borderId="0" xfId="0" applyFill="1"/>
    <xf numFmtId="0" fontId="0" fillId="10087" borderId="0" xfId="0" applyFill="1"/>
    <xf numFmtId="0" fontId="0" fillId="10088" borderId="0" xfId="0" applyFill="1"/>
    <xf numFmtId="0" fontId="0" fillId="10089" borderId="0" xfId="0" applyFill="1"/>
    <xf numFmtId="0" fontId="0" fillId="10090" borderId="0" xfId="0" applyFill="1"/>
    <xf numFmtId="0" fontId="0" fillId="10091" borderId="0" xfId="0" applyFill="1"/>
    <xf numFmtId="0" fontId="0" fillId="10092" borderId="0" xfId="0" applyFill="1"/>
    <xf numFmtId="0" fontId="0" fillId="10093" borderId="0" xfId="0" applyFill="1"/>
    <xf numFmtId="0" fontId="0" fillId="10094" borderId="0" xfId="0" applyFill="1"/>
    <xf numFmtId="0" fontId="0" fillId="10095" borderId="0" xfId="0" applyFill="1"/>
    <xf numFmtId="0" fontId="0" fillId="10096" borderId="0" xfId="0" applyFill="1"/>
    <xf numFmtId="0" fontId="0" fillId="10097" borderId="0" xfId="0" applyFill="1"/>
    <xf numFmtId="0" fontId="0" fillId="10098" borderId="0" xfId="0" applyFill="1"/>
    <xf numFmtId="0" fontId="0" fillId="10099" borderId="0" xfId="0" applyFill="1"/>
    <xf numFmtId="0" fontId="0" fillId="10100" borderId="0" xfId="0" applyFill="1"/>
    <xf numFmtId="0" fontId="0" fillId="10101" borderId="0" xfId="0" applyFill="1"/>
    <xf numFmtId="0" fontId="0" fillId="10102" borderId="0" xfId="0" applyFill="1"/>
    <xf numFmtId="0" fontId="0" fillId="10103" borderId="0" xfId="0" applyFill="1"/>
    <xf numFmtId="0" fontId="0" fillId="10104" borderId="0" xfId="0" applyFill="1"/>
    <xf numFmtId="0" fontId="0" fillId="10105" borderId="0" xfId="0" applyFill="1"/>
    <xf numFmtId="0" fontId="0" fillId="10106" borderId="0" xfId="0" applyFill="1"/>
    <xf numFmtId="0" fontId="0" fillId="10107" borderId="0" xfId="0" applyFill="1"/>
    <xf numFmtId="0" fontId="0" fillId="10108" borderId="0" xfId="0" applyFill="1"/>
    <xf numFmtId="0" fontId="0" fillId="10109" borderId="0" xfId="0" applyFill="1"/>
    <xf numFmtId="0" fontId="0" fillId="10110" borderId="0" xfId="0" applyFill="1"/>
    <xf numFmtId="0" fontId="0" fillId="10111" borderId="0" xfId="0" applyFill="1"/>
    <xf numFmtId="0" fontId="0" fillId="10112" borderId="0" xfId="0" applyFill="1"/>
    <xf numFmtId="0" fontId="0" fillId="10113" borderId="0" xfId="0" applyFill="1"/>
    <xf numFmtId="0" fontId="0" fillId="10114" borderId="0" xfId="0" applyFill="1"/>
    <xf numFmtId="0" fontId="0" fillId="10115" borderId="0" xfId="0" applyFill="1"/>
    <xf numFmtId="0" fontId="0" fillId="10116" borderId="0" xfId="0" applyFill="1"/>
    <xf numFmtId="0" fontId="0" fillId="10117" borderId="0" xfId="0" applyFill="1"/>
    <xf numFmtId="0" fontId="0" fillId="10118" borderId="0" xfId="0" applyFill="1"/>
    <xf numFmtId="0" fontId="0" fillId="10119" borderId="0" xfId="0" applyFill="1"/>
    <xf numFmtId="0" fontId="0" fillId="10120" borderId="0" xfId="0" applyFill="1"/>
    <xf numFmtId="0" fontId="0" fillId="10121" borderId="0" xfId="0" applyFill="1"/>
    <xf numFmtId="0" fontId="0" fillId="10122" borderId="0" xfId="0" applyFill="1"/>
    <xf numFmtId="0" fontId="0" fillId="10123" borderId="0" xfId="0" applyFill="1"/>
    <xf numFmtId="0" fontId="0" fillId="10124" borderId="0" xfId="0" applyFill="1"/>
    <xf numFmtId="0" fontId="0" fillId="10125" borderId="0" xfId="0" applyFill="1"/>
    <xf numFmtId="0" fontId="0" fillId="10126" borderId="0" xfId="0" applyFill="1"/>
    <xf numFmtId="0" fontId="0" fillId="10127" borderId="0" xfId="0" applyFill="1"/>
    <xf numFmtId="0" fontId="0" fillId="10128" borderId="0" xfId="0" applyFill="1"/>
    <xf numFmtId="0" fontId="0" fillId="10129" borderId="0" xfId="0" applyFill="1"/>
    <xf numFmtId="0" fontId="0" fillId="10130" borderId="0" xfId="0" applyFill="1"/>
    <xf numFmtId="0" fontId="0" fillId="10131" borderId="0" xfId="0" applyFill="1"/>
    <xf numFmtId="0" fontId="0" fillId="10132" borderId="0" xfId="0" applyFill="1"/>
    <xf numFmtId="0" fontId="0" fillId="10133" borderId="0" xfId="0" applyFill="1"/>
    <xf numFmtId="0" fontId="0" fillId="10134" borderId="0" xfId="0" applyFill="1"/>
    <xf numFmtId="0" fontId="0" fillId="10135" borderId="0" xfId="0" applyFill="1"/>
    <xf numFmtId="0" fontId="0" fillId="10136" borderId="0" xfId="0" applyFill="1"/>
    <xf numFmtId="0" fontId="0" fillId="10137" borderId="0" xfId="0" applyFill="1"/>
    <xf numFmtId="0" fontId="0" fillId="10138" borderId="0" xfId="0" applyFill="1"/>
    <xf numFmtId="0" fontId="0" fillId="10139" borderId="0" xfId="0" applyFill="1"/>
    <xf numFmtId="0" fontId="0" fillId="10140" borderId="0" xfId="0" applyFill="1"/>
    <xf numFmtId="0" fontId="0" fillId="10141" borderId="0" xfId="0" applyFill="1"/>
    <xf numFmtId="0" fontId="0" fillId="10142" borderId="0" xfId="0" applyFill="1"/>
    <xf numFmtId="0" fontId="0" fillId="10143" borderId="0" xfId="0" applyFill="1"/>
    <xf numFmtId="0" fontId="0" fillId="10144" borderId="0" xfId="0" applyFill="1"/>
    <xf numFmtId="0" fontId="0" fillId="10145" borderId="0" xfId="0" applyFill="1"/>
    <xf numFmtId="0" fontId="0" fillId="10146" borderId="0" xfId="0" applyFill="1"/>
    <xf numFmtId="0" fontId="0" fillId="10147" borderId="0" xfId="0" applyFill="1"/>
    <xf numFmtId="0" fontId="0" fillId="10148" borderId="0" xfId="0" applyFill="1"/>
    <xf numFmtId="0" fontId="0" fillId="10149" borderId="0" xfId="0" applyFill="1"/>
    <xf numFmtId="0" fontId="0" fillId="10150" borderId="0" xfId="0" applyFill="1"/>
    <xf numFmtId="0" fontId="0" fillId="10151" borderId="0" xfId="0" applyFill="1"/>
    <xf numFmtId="0" fontId="0" fillId="10152" borderId="0" xfId="0" applyFill="1"/>
    <xf numFmtId="0" fontId="0" fillId="10153" borderId="0" xfId="0" applyFill="1"/>
    <xf numFmtId="0" fontId="0" fillId="10154" borderId="0" xfId="0" applyFill="1"/>
    <xf numFmtId="0" fontId="0" fillId="10155" borderId="0" xfId="0" applyFill="1"/>
    <xf numFmtId="0" fontId="0" fillId="10156" borderId="0" xfId="0" applyFill="1"/>
    <xf numFmtId="0" fontId="0" fillId="10157" borderId="0" xfId="0" applyFill="1"/>
    <xf numFmtId="0" fontId="0" fillId="10158" borderId="0" xfId="0" applyFill="1"/>
    <xf numFmtId="0" fontId="0" fillId="10159" borderId="0" xfId="0" applyFill="1"/>
    <xf numFmtId="0" fontId="0" fillId="10160" borderId="0" xfId="0" applyFill="1"/>
    <xf numFmtId="0" fontId="0" fillId="10161" borderId="0" xfId="0" applyFill="1"/>
    <xf numFmtId="0" fontId="0" fillId="10162" borderId="0" xfId="0" applyFill="1"/>
    <xf numFmtId="0" fontId="0" fillId="10163" borderId="0" xfId="0" applyFill="1"/>
    <xf numFmtId="0" fontId="0" fillId="10164" borderId="0" xfId="0" applyFill="1"/>
    <xf numFmtId="0" fontId="0" fillId="10165" borderId="0" xfId="0" applyFill="1"/>
    <xf numFmtId="0" fontId="0" fillId="10166" borderId="0" xfId="0" applyFill="1"/>
    <xf numFmtId="0" fontId="0" fillId="10167" borderId="0" xfId="0" applyFill="1"/>
    <xf numFmtId="0" fontId="0" fillId="10168" borderId="0" xfId="0" applyFill="1"/>
    <xf numFmtId="0" fontId="0" fillId="10169" borderId="0" xfId="0" applyFill="1"/>
    <xf numFmtId="0" fontId="0" fillId="10170" borderId="0" xfId="0" applyFill="1"/>
    <xf numFmtId="0" fontId="0" fillId="10171" borderId="0" xfId="0" applyFill="1"/>
    <xf numFmtId="0" fontId="0" fillId="10172" borderId="0" xfId="0" applyFill="1"/>
    <xf numFmtId="0" fontId="0" fillId="10173" borderId="0" xfId="0" applyFill="1"/>
    <xf numFmtId="0" fontId="0" fillId="10174" borderId="0" xfId="0" applyFill="1"/>
    <xf numFmtId="0" fontId="0" fillId="10175" borderId="0" xfId="0" applyFill="1"/>
    <xf numFmtId="0" fontId="0" fillId="10176" borderId="0" xfId="0" applyFill="1"/>
    <xf numFmtId="0" fontId="0" fillId="10177" borderId="0" xfId="0" applyFill="1"/>
    <xf numFmtId="0" fontId="0" fillId="10178" borderId="0" xfId="0" applyFill="1"/>
    <xf numFmtId="0" fontId="0" fillId="10179" borderId="0" xfId="0" applyFill="1"/>
    <xf numFmtId="0" fontId="0" fillId="10180" borderId="0" xfId="0" applyFill="1"/>
    <xf numFmtId="0" fontId="0" fillId="10181" borderId="0" xfId="0" applyFill="1"/>
    <xf numFmtId="0" fontId="0" fillId="10182" borderId="0" xfId="0" applyFill="1"/>
    <xf numFmtId="0" fontId="0" fillId="10183" borderId="0" xfId="0" applyFill="1"/>
    <xf numFmtId="0" fontId="0" fillId="10184" borderId="0" xfId="0" applyFill="1"/>
    <xf numFmtId="0" fontId="0" fillId="10185" borderId="0" xfId="0" applyFill="1"/>
    <xf numFmtId="0" fontId="0" fillId="10186" borderId="0" xfId="0" applyFill="1"/>
    <xf numFmtId="0" fontId="0" fillId="10187" borderId="0" xfId="0" applyFill="1"/>
    <xf numFmtId="0" fontId="0" fillId="10188" borderId="0" xfId="0" applyFill="1"/>
    <xf numFmtId="0" fontId="0" fillId="10189" borderId="0" xfId="0" applyFill="1"/>
    <xf numFmtId="0" fontId="0" fillId="10190" borderId="0" xfId="0" applyFill="1"/>
    <xf numFmtId="0" fontId="0" fillId="10191" borderId="0" xfId="0" applyFill="1"/>
    <xf numFmtId="0" fontId="0" fillId="10192" borderId="0" xfId="0" applyFill="1"/>
    <xf numFmtId="0" fontId="0" fillId="10193" borderId="0" xfId="0" applyFill="1"/>
    <xf numFmtId="0" fontId="0" fillId="10194" borderId="0" xfId="0" applyFill="1"/>
    <xf numFmtId="0" fontId="0" fillId="10195" borderId="0" xfId="0" applyFill="1"/>
    <xf numFmtId="0" fontId="0" fillId="10196" borderId="0" xfId="0" applyFill="1"/>
    <xf numFmtId="0" fontId="0" fillId="10197" borderId="0" xfId="0" applyFill="1"/>
    <xf numFmtId="0" fontId="0" fillId="10198" borderId="0" xfId="0" applyFill="1"/>
    <xf numFmtId="0" fontId="0" fillId="10199" borderId="0" xfId="0" applyFill="1"/>
    <xf numFmtId="0" fontId="0" fillId="10200" borderId="0" xfId="0" applyFill="1"/>
    <xf numFmtId="0" fontId="0" fillId="10201" borderId="0" xfId="0" applyFill="1"/>
    <xf numFmtId="0" fontId="0" fillId="10202" borderId="0" xfId="0" applyFill="1"/>
    <xf numFmtId="0" fontId="0" fillId="10203" borderId="0" xfId="0" applyFill="1"/>
    <xf numFmtId="0" fontId="0" fillId="10204" borderId="0" xfId="0" applyFill="1"/>
    <xf numFmtId="0" fontId="0" fillId="10205" borderId="0" xfId="0" applyFill="1"/>
    <xf numFmtId="0" fontId="0" fillId="10206" borderId="0" xfId="0" applyFill="1"/>
    <xf numFmtId="0" fontId="0" fillId="10207" borderId="0" xfId="0" applyFill="1"/>
    <xf numFmtId="0" fontId="0" fillId="10208" borderId="0" xfId="0" applyFill="1"/>
    <xf numFmtId="0" fontId="0" fillId="10209" borderId="0" xfId="0" applyFill="1"/>
    <xf numFmtId="0" fontId="0" fillId="10210" borderId="0" xfId="0" applyFill="1"/>
    <xf numFmtId="0" fontId="0" fillId="10211" borderId="0" xfId="0" applyFill="1"/>
    <xf numFmtId="0" fontId="0" fillId="10212" borderId="0" xfId="0" applyFill="1"/>
    <xf numFmtId="0" fontId="0" fillId="10213" borderId="0" xfId="0" applyFill="1"/>
    <xf numFmtId="0" fontId="0" fillId="10214" borderId="0" xfId="0" applyFill="1"/>
    <xf numFmtId="0" fontId="0" fillId="10215" borderId="0" xfId="0" applyFill="1"/>
    <xf numFmtId="0" fontId="0" fillId="10216" borderId="0" xfId="0" applyFill="1"/>
    <xf numFmtId="0" fontId="0" fillId="10217" borderId="0" xfId="0" applyFill="1"/>
    <xf numFmtId="0" fontId="0" fillId="10218" borderId="0" xfId="0" applyFill="1"/>
    <xf numFmtId="0" fontId="0" fillId="10219" borderId="0" xfId="0" applyFill="1"/>
    <xf numFmtId="0" fontId="0" fillId="10220" borderId="0" xfId="0" applyFill="1"/>
    <xf numFmtId="0" fontId="0" fillId="10221" borderId="0" xfId="0" applyFill="1"/>
    <xf numFmtId="0" fontId="0" fillId="10222" borderId="0" xfId="0" applyFill="1"/>
    <xf numFmtId="0" fontId="0" fillId="10223" borderId="0" xfId="0" applyFill="1"/>
    <xf numFmtId="0" fontId="0" fillId="10224" borderId="0" xfId="0" applyFill="1"/>
    <xf numFmtId="0" fontId="0" fillId="10225" borderId="0" xfId="0" applyFill="1"/>
    <xf numFmtId="0" fontId="0" fillId="10226" borderId="0" xfId="0" applyFill="1"/>
    <xf numFmtId="0" fontId="0" fillId="10227" borderId="0" xfId="0" applyFill="1"/>
    <xf numFmtId="0" fontId="0" fillId="10228" borderId="0" xfId="0" applyFill="1"/>
    <xf numFmtId="0" fontId="0" fillId="10229" borderId="0" xfId="0" applyFill="1"/>
    <xf numFmtId="0" fontId="0" fillId="10230" borderId="0" xfId="0" applyFill="1"/>
    <xf numFmtId="0" fontId="0" fillId="10231" borderId="0" xfId="0" applyFill="1"/>
    <xf numFmtId="0" fontId="0" fillId="10232" borderId="0" xfId="0" applyFill="1"/>
    <xf numFmtId="0" fontId="0" fillId="10233" borderId="0" xfId="0" applyFill="1"/>
    <xf numFmtId="0" fontId="0" fillId="10234" borderId="0" xfId="0" applyFill="1"/>
    <xf numFmtId="0" fontId="0" fillId="10235" borderId="0" xfId="0" applyFill="1"/>
    <xf numFmtId="0" fontId="0" fillId="10236" borderId="0" xfId="0" applyFill="1"/>
    <xf numFmtId="0" fontId="0" fillId="10237" borderId="0" xfId="0" applyFill="1"/>
    <xf numFmtId="0" fontId="0" fillId="10238" borderId="0" xfId="0" applyFill="1"/>
    <xf numFmtId="0" fontId="0" fillId="10239" borderId="0" xfId="0" applyFill="1"/>
    <xf numFmtId="0" fontId="0" fillId="10240" borderId="0" xfId="0" applyFill="1"/>
    <xf numFmtId="0" fontId="0" fillId="10241" borderId="0" xfId="0" applyFill="1"/>
    <xf numFmtId="0" fontId="0" fillId="10242" borderId="0" xfId="0" applyFill="1"/>
    <xf numFmtId="0" fontId="0" fillId="10243" borderId="0" xfId="0" applyFill="1"/>
    <xf numFmtId="0" fontId="0" fillId="10244" borderId="0" xfId="0" applyFill="1"/>
    <xf numFmtId="0" fontId="0" fillId="10245" borderId="0" xfId="0" applyFill="1"/>
    <xf numFmtId="0" fontId="0" fillId="10246" borderId="0" xfId="0" applyFill="1"/>
    <xf numFmtId="0" fontId="0" fillId="10247" borderId="0" xfId="0" applyFill="1"/>
    <xf numFmtId="0" fontId="0" fillId="10248" borderId="0" xfId="0" applyFill="1"/>
    <xf numFmtId="0" fontId="0" fillId="10249" borderId="0" xfId="0" applyFill="1"/>
    <xf numFmtId="0" fontId="0" fillId="10250" borderId="0" xfId="0" applyFill="1"/>
    <xf numFmtId="0" fontId="0" fillId="10251" borderId="0" xfId="0" applyFill="1"/>
    <xf numFmtId="0" fontId="0" fillId="10252" borderId="0" xfId="0" applyFill="1"/>
    <xf numFmtId="0" fontId="0" fillId="10253" borderId="0" xfId="0" applyFill="1"/>
    <xf numFmtId="0" fontId="0" fillId="10254" borderId="0" xfId="0" applyFill="1"/>
    <xf numFmtId="0" fontId="0" fillId="10255" borderId="0" xfId="0" applyFill="1"/>
    <xf numFmtId="0" fontId="0" fillId="10256" borderId="0" xfId="0" applyFill="1"/>
    <xf numFmtId="0" fontId="0" fillId="10257" borderId="0" xfId="0" applyFill="1"/>
    <xf numFmtId="0" fontId="0" fillId="10258" borderId="0" xfId="0" applyFill="1"/>
    <xf numFmtId="0" fontId="0" fillId="10259" borderId="0" xfId="0" applyFill="1"/>
    <xf numFmtId="0" fontId="0" fillId="10260" borderId="0" xfId="0" applyFill="1"/>
    <xf numFmtId="0" fontId="0" fillId="10261" borderId="0" xfId="0" applyFill="1"/>
    <xf numFmtId="0" fontId="0" fillId="10262" borderId="0" xfId="0" applyFill="1"/>
    <xf numFmtId="0" fontId="0" fillId="10263" borderId="0" xfId="0" applyFill="1"/>
    <xf numFmtId="0" fontId="0" fillId="10264" borderId="0" xfId="0" applyFill="1"/>
    <xf numFmtId="0" fontId="0" fillId="10265" borderId="0" xfId="0" applyFill="1"/>
    <xf numFmtId="0" fontId="0" fillId="10266" borderId="0" xfId="0" applyFill="1"/>
    <xf numFmtId="0" fontId="0" fillId="10267" borderId="0" xfId="0" applyFill="1"/>
    <xf numFmtId="0" fontId="0" fillId="10268" borderId="0" xfId="0" applyFill="1"/>
    <xf numFmtId="0" fontId="0" fillId="10269" borderId="0" xfId="0" applyFill="1"/>
    <xf numFmtId="0" fontId="0" fillId="10270" borderId="0" xfId="0" applyFill="1"/>
    <xf numFmtId="0" fontId="0" fillId="10271" borderId="0" xfId="0" applyFill="1"/>
    <xf numFmtId="0" fontId="0" fillId="10272" borderId="0" xfId="0" applyFill="1"/>
    <xf numFmtId="0" fontId="0" fillId="10273" borderId="0" xfId="0" applyFill="1"/>
    <xf numFmtId="0" fontId="0" fillId="10274" borderId="0" xfId="0" applyFill="1"/>
    <xf numFmtId="0" fontId="0" fillId="10275" borderId="0" xfId="0" applyFill="1"/>
    <xf numFmtId="0" fontId="0" fillId="10276" borderId="0" xfId="0" applyFill="1"/>
    <xf numFmtId="0" fontId="0" fillId="10277" borderId="0" xfId="0" applyFill="1"/>
    <xf numFmtId="0" fontId="0" fillId="10278" borderId="0" xfId="0" applyFill="1"/>
    <xf numFmtId="0" fontId="0" fillId="10279" borderId="0" xfId="0" applyFill="1"/>
    <xf numFmtId="0" fontId="0" fillId="10280" borderId="0" xfId="0" applyFill="1"/>
    <xf numFmtId="0" fontId="0" fillId="10281" borderId="0" xfId="0" applyFill="1"/>
    <xf numFmtId="0" fontId="0" fillId="10282" borderId="0" xfId="0" applyFill="1"/>
    <xf numFmtId="0" fontId="0" fillId="10283" borderId="0" xfId="0" applyFill="1"/>
    <xf numFmtId="0" fontId="0" fillId="10284" borderId="0" xfId="0" applyFill="1"/>
    <xf numFmtId="0" fontId="0" fillId="10285" borderId="0" xfId="0" applyFill="1"/>
    <xf numFmtId="0" fontId="0" fillId="10286" borderId="0" xfId="0" applyFill="1"/>
    <xf numFmtId="0" fontId="0" fillId="10287" borderId="0" xfId="0" applyFill="1"/>
    <xf numFmtId="0" fontId="0" fillId="10288" borderId="0" xfId="0" applyFill="1"/>
    <xf numFmtId="0" fontId="0" fillId="10289" borderId="0" xfId="0" applyFill="1"/>
    <xf numFmtId="0" fontId="0" fillId="10290" borderId="0" xfId="0" applyFill="1"/>
    <xf numFmtId="0" fontId="0" fillId="10291" borderId="0" xfId="0" applyFill="1"/>
    <xf numFmtId="0" fontId="0" fillId="10292" borderId="0" xfId="0" applyFill="1"/>
    <xf numFmtId="0" fontId="0" fillId="10293" borderId="0" xfId="0" applyFill="1"/>
    <xf numFmtId="0" fontId="0" fillId="10294" borderId="0" xfId="0" applyFill="1"/>
    <xf numFmtId="0" fontId="0" fillId="10295" borderId="0" xfId="0" applyFill="1"/>
    <xf numFmtId="0" fontId="0" fillId="10296" borderId="0" xfId="0" applyFill="1"/>
    <xf numFmtId="0" fontId="0" fillId="10297" borderId="0" xfId="0" applyFill="1"/>
    <xf numFmtId="0" fontId="0" fillId="10298" borderId="0" xfId="0" applyFill="1"/>
    <xf numFmtId="0" fontId="0" fillId="10299" borderId="0" xfId="0" applyFill="1"/>
    <xf numFmtId="0" fontId="0" fillId="10300" borderId="0" xfId="0" applyFill="1"/>
    <xf numFmtId="0" fontId="0" fillId="10301" borderId="0" xfId="0" applyFill="1"/>
    <xf numFmtId="0" fontId="0" fillId="10302" borderId="0" xfId="0" applyFill="1"/>
    <xf numFmtId="0" fontId="0" fillId="10303" borderId="0" xfId="0" applyFill="1"/>
    <xf numFmtId="0" fontId="0" fillId="10304" borderId="0" xfId="0" applyFill="1"/>
    <xf numFmtId="0" fontId="0" fillId="10305" borderId="0" xfId="0" applyFill="1"/>
    <xf numFmtId="0" fontId="0" fillId="10306" borderId="0" xfId="0" applyFill="1"/>
    <xf numFmtId="0" fontId="0" fillId="10307" borderId="0" xfId="0" applyFill="1"/>
    <xf numFmtId="0" fontId="0" fillId="10308" borderId="0" xfId="0" applyFill="1"/>
    <xf numFmtId="0" fontId="0" fillId="10309" borderId="0" xfId="0" applyFill="1"/>
    <xf numFmtId="0" fontId="0" fillId="10310" borderId="0" xfId="0" applyFill="1"/>
    <xf numFmtId="0" fontId="0" fillId="10311" borderId="0" xfId="0" applyFill="1"/>
    <xf numFmtId="0" fontId="0" fillId="10312" borderId="0" xfId="0" applyFill="1"/>
    <xf numFmtId="0" fontId="0" fillId="10313" borderId="0" xfId="0" applyFill="1"/>
    <xf numFmtId="0" fontId="0" fillId="10314" borderId="0" xfId="0" applyFill="1"/>
    <xf numFmtId="0" fontId="0" fillId="10315" borderId="0" xfId="0" applyFill="1"/>
    <xf numFmtId="0" fontId="0" fillId="10316" borderId="0" xfId="0" applyFill="1"/>
    <xf numFmtId="0" fontId="0" fillId="10317" borderId="0" xfId="0" applyFill="1"/>
    <xf numFmtId="0" fontId="0" fillId="10318" borderId="0" xfId="0" applyFill="1"/>
    <xf numFmtId="0" fontId="0" fillId="10319" borderId="0" xfId="0" applyFill="1"/>
    <xf numFmtId="0" fontId="0" fillId="10320" borderId="0" xfId="0" applyFill="1"/>
    <xf numFmtId="0" fontId="0" fillId="10321" borderId="0" xfId="0" applyFill="1"/>
    <xf numFmtId="0" fontId="0" fillId="10322" borderId="0" xfId="0" applyFill="1"/>
    <xf numFmtId="0" fontId="0" fillId="10323" borderId="0" xfId="0" applyFill="1"/>
    <xf numFmtId="0" fontId="0" fillId="10324" borderId="0" xfId="0" applyFill="1"/>
    <xf numFmtId="0" fontId="0" fillId="10325" borderId="0" xfId="0" applyFill="1"/>
    <xf numFmtId="0" fontId="0" fillId="10326" borderId="0" xfId="0" applyFill="1"/>
    <xf numFmtId="0" fontId="0" fillId="10327" borderId="0" xfId="0" applyFill="1"/>
    <xf numFmtId="0" fontId="0" fillId="10328" borderId="0" xfId="0" applyFill="1"/>
    <xf numFmtId="0" fontId="0" fillId="10329" borderId="0" xfId="0" applyFill="1"/>
    <xf numFmtId="0" fontId="0" fillId="10330" borderId="0" xfId="0" applyFill="1"/>
    <xf numFmtId="0" fontId="0" fillId="10331" borderId="0" xfId="0" applyFill="1"/>
    <xf numFmtId="0" fontId="0" fillId="10332" borderId="0" xfId="0" applyFill="1"/>
    <xf numFmtId="0" fontId="0" fillId="10333" borderId="0" xfId="0" applyFill="1"/>
    <xf numFmtId="0" fontId="0" fillId="10334" borderId="0" xfId="0" applyFill="1"/>
    <xf numFmtId="0" fontId="0" fillId="10335" borderId="0" xfId="0" applyFill="1"/>
    <xf numFmtId="0" fontId="0" fillId="10336" borderId="0" xfId="0" applyFill="1"/>
    <xf numFmtId="0" fontId="0" fillId="10337" borderId="0" xfId="0" applyFill="1"/>
    <xf numFmtId="0" fontId="0" fillId="10338" borderId="0" xfId="0" applyFill="1"/>
    <xf numFmtId="0" fontId="0" fillId="10339" borderId="0" xfId="0" applyFill="1"/>
    <xf numFmtId="0" fontId="0" fillId="10340" borderId="0" xfId="0" applyFill="1"/>
    <xf numFmtId="0" fontId="0" fillId="10341" borderId="0" xfId="0" applyFill="1"/>
    <xf numFmtId="0" fontId="0" fillId="10342" borderId="0" xfId="0" applyFill="1"/>
    <xf numFmtId="0" fontId="0" fillId="10343" borderId="0" xfId="0" applyFill="1"/>
    <xf numFmtId="0" fontId="0" fillId="10344" borderId="0" xfId="0" applyFill="1"/>
    <xf numFmtId="0" fontId="0" fillId="10345" borderId="0" xfId="0" applyFill="1"/>
    <xf numFmtId="0" fontId="0" fillId="10346" borderId="0" xfId="0" applyFill="1"/>
    <xf numFmtId="0" fontId="0" fillId="10347" borderId="0" xfId="0" applyFill="1"/>
    <xf numFmtId="0" fontId="0" fillId="10348" borderId="0" xfId="0" applyFill="1"/>
    <xf numFmtId="0" fontId="0" fillId="10349" borderId="0" xfId="0" applyFill="1"/>
    <xf numFmtId="0" fontId="0" fillId="10350" borderId="0" xfId="0" applyFill="1"/>
    <xf numFmtId="0" fontId="0" fillId="10351" borderId="0" xfId="0" applyFill="1"/>
    <xf numFmtId="0" fontId="0" fillId="10352" borderId="0" xfId="0" applyFill="1"/>
    <xf numFmtId="0" fontId="0" fillId="10353" borderId="0" xfId="0" applyFill="1"/>
    <xf numFmtId="0" fontId="0" fillId="10354" borderId="0" xfId="0" applyFill="1"/>
    <xf numFmtId="0" fontId="0" fillId="10355" borderId="0" xfId="0" applyFill="1"/>
    <xf numFmtId="0" fontId="0" fillId="10356" borderId="0" xfId="0" applyFill="1"/>
    <xf numFmtId="0" fontId="0" fillId="10357" borderId="0" xfId="0" applyFill="1"/>
    <xf numFmtId="0" fontId="0" fillId="10358" borderId="0" xfId="0" applyFill="1"/>
    <xf numFmtId="0" fontId="0" fillId="10359" borderId="0" xfId="0" applyFill="1"/>
    <xf numFmtId="0" fontId="0" fillId="10360" borderId="0" xfId="0" applyFill="1"/>
    <xf numFmtId="0" fontId="0" fillId="10361" borderId="0" xfId="0" applyFill="1"/>
    <xf numFmtId="0" fontId="0" fillId="10362" borderId="0" xfId="0" applyFill="1"/>
    <xf numFmtId="0" fontId="0" fillId="10363" borderId="0" xfId="0" applyFill="1"/>
    <xf numFmtId="0" fontId="0" fillId="10364" borderId="0" xfId="0" applyFill="1"/>
    <xf numFmtId="0" fontId="0" fillId="10365" borderId="0" xfId="0" applyFill="1"/>
    <xf numFmtId="0" fontId="0" fillId="10366" borderId="0" xfId="0" applyFill="1"/>
    <xf numFmtId="0" fontId="0" fillId="10367" borderId="0" xfId="0" applyFill="1"/>
    <xf numFmtId="0" fontId="0" fillId="10368" borderId="0" xfId="0" applyFill="1"/>
    <xf numFmtId="0" fontId="0" fillId="10369" borderId="0" xfId="0" applyFill="1"/>
    <xf numFmtId="0" fontId="0" fillId="10370" borderId="0" xfId="0" applyFill="1"/>
    <xf numFmtId="0" fontId="0" fillId="10371" borderId="0" xfId="0" applyFill="1"/>
    <xf numFmtId="0" fontId="0" fillId="10372" borderId="0" xfId="0" applyFill="1"/>
    <xf numFmtId="0" fontId="0" fillId="10373" borderId="0" xfId="0" applyFill="1"/>
    <xf numFmtId="0" fontId="0" fillId="10374" borderId="0" xfId="0" applyFill="1"/>
    <xf numFmtId="0" fontId="0" fillId="10375" borderId="0" xfId="0" applyFill="1"/>
    <xf numFmtId="0" fontId="0" fillId="10376" borderId="0" xfId="0" applyFill="1"/>
    <xf numFmtId="0" fontId="0" fillId="10377" borderId="0" xfId="0" applyFill="1"/>
    <xf numFmtId="0" fontId="0" fillId="10378" borderId="0" xfId="0" applyFill="1"/>
    <xf numFmtId="0" fontId="0" fillId="10379" borderId="0" xfId="0" applyFill="1"/>
    <xf numFmtId="0" fontId="0" fillId="10380" borderId="0" xfId="0" applyFill="1"/>
    <xf numFmtId="0" fontId="0" fillId="10381" borderId="0" xfId="0" applyFill="1"/>
    <xf numFmtId="0" fontId="0" fillId="10382" borderId="0" xfId="0" applyFill="1"/>
    <xf numFmtId="0" fontId="0" fillId="10383" borderId="0" xfId="0" applyFill="1"/>
    <xf numFmtId="0" fontId="0" fillId="10384" borderId="0" xfId="0" applyFill="1"/>
    <xf numFmtId="0" fontId="0" fillId="10385" borderId="0" xfId="0" applyFill="1"/>
    <xf numFmtId="0" fontId="0" fillId="10386" borderId="0" xfId="0" applyFill="1"/>
    <xf numFmtId="0" fontId="0" fillId="10387" borderId="0" xfId="0" applyFill="1"/>
    <xf numFmtId="0" fontId="0" fillId="10388" borderId="0" xfId="0" applyFill="1"/>
    <xf numFmtId="0" fontId="0" fillId="10389" borderId="0" xfId="0" applyFill="1"/>
    <xf numFmtId="0" fontId="0" fillId="10390" borderId="0" xfId="0" applyFill="1"/>
    <xf numFmtId="0" fontId="0" fillId="10391" borderId="0" xfId="0" applyFill="1"/>
    <xf numFmtId="0" fontId="0" fillId="10392" borderId="0" xfId="0" applyFill="1"/>
    <xf numFmtId="0" fontId="0" fillId="10393" borderId="0" xfId="0" applyFill="1"/>
    <xf numFmtId="0" fontId="0" fillId="10394" borderId="0" xfId="0" applyFill="1"/>
    <xf numFmtId="0" fontId="0" fillId="10395" borderId="0" xfId="0" applyFill="1"/>
    <xf numFmtId="0" fontId="0" fillId="10396" borderId="0" xfId="0" applyFill="1"/>
    <xf numFmtId="0" fontId="0" fillId="10397" borderId="0" xfId="0" applyFill="1"/>
    <xf numFmtId="0" fontId="0" fillId="10398" borderId="0" xfId="0" applyFill="1"/>
    <xf numFmtId="0" fontId="0" fillId="10399" borderId="0" xfId="0" applyFill="1"/>
    <xf numFmtId="0" fontId="0" fillId="10400" borderId="0" xfId="0" applyFill="1"/>
    <xf numFmtId="0" fontId="0" fillId="10401" borderId="0" xfId="0" applyFill="1"/>
    <xf numFmtId="0" fontId="0" fillId="10402" borderId="0" xfId="0" applyFill="1"/>
    <xf numFmtId="0" fontId="0" fillId="10403" borderId="0" xfId="0" applyFill="1"/>
    <xf numFmtId="0" fontId="0" fillId="10404" borderId="0" xfId="0" applyFill="1"/>
    <xf numFmtId="0" fontId="0" fillId="10405" borderId="0" xfId="0" applyFill="1"/>
    <xf numFmtId="0" fontId="0" fillId="10406" borderId="0" xfId="0" applyFill="1"/>
    <xf numFmtId="0" fontId="0" fillId="10407" borderId="0" xfId="0" applyFill="1"/>
    <xf numFmtId="0" fontId="0" fillId="10408" borderId="0" xfId="0" applyFill="1"/>
    <xf numFmtId="0" fontId="0" fillId="10409" borderId="0" xfId="0" applyFill="1"/>
    <xf numFmtId="0" fontId="0" fillId="10410" borderId="0" xfId="0" applyFill="1"/>
    <xf numFmtId="0" fontId="0" fillId="10411" borderId="0" xfId="0" applyFill="1"/>
    <xf numFmtId="0" fontId="0" fillId="10412" borderId="0" xfId="0" applyFill="1"/>
    <xf numFmtId="0" fontId="0" fillId="10413" borderId="0" xfId="0" applyFill="1"/>
    <xf numFmtId="0" fontId="0" fillId="10414" borderId="0" xfId="0" applyFill="1"/>
    <xf numFmtId="0" fontId="0" fillId="10415" borderId="0" xfId="0" applyFill="1"/>
    <xf numFmtId="0" fontId="0" fillId="10416" borderId="0" xfId="0" applyFill="1"/>
    <xf numFmtId="0" fontId="0" fillId="10417" borderId="0" xfId="0" applyFill="1"/>
    <xf numFmtId="0" fontId="0" fillId="10418" borderId="0" xfId="0" applyFill="1"/>
    <xf numFmtId="0" fontId="0" fillId="10419" borderId="0" xfId="0" applyFill="1"/>
    <xf numFmtId="0" fontId="0" fillId="10420" borderId="0" xfId="0" applyFill="1"/>
    <xf numFmtId="0" fontId="0" fillId="10421" borderId="0" xfId="0" applyFill="1"/>
    <xf numFmtId="0" fontId="0" fillId="10422" borderId="0" xfId="0" applyFill="1"/>
    <xf numFmtId="0" fontId="0" fillId="10423" borderId="0" xfId="0" applyFill="1"/>
    <xf numFmtId="0" fontId="0" fillId="10424" borderId="0" xfId="0" applyFill="1"/>
    <xf numFmtId="0" fontId="0" fillId="10425" borderId="0" xfId="0" applyFill="1"/>
    <xf numFmtId="0" fontId="0" fillId="10426" borderId="0" xfId="0" applyFill="1"/>
    <xf numFmtId="0" fontId="0" fillId="10427" borderId="0" xfId="0" applyFill="1"/>
    <xf numFmtId="0" fontId="0" fillId="10428" borderId="0" xfId="0" applyFill="1"/>
    <xf numFmtId="0" fontId="0" fillId="10429" borderId="0" xfId="0" applyFill="1"/>
    <xf numFmtId="0" fontId="0" fillId="10430" borderId="0" xfId="0" applyFill="1"/>
    <xf numFmtId="0" fontId="0" fillId="10431" borderId="0" xfId="0" applyFill="1"/>
    <xf numFmtId="0" fontId="0" fillId="10432" borderId="0" xfId="0" applyFill="1"/>
    <xf numFmtId="0" fontId="0" fillId="10433" borderId="0" xfId="0" applyFill="1"/>
    <xf numFmtId="0" fontId="0" fillId="10434" borderId="0" xfId="0" applyFill="1"/>
    <xf numFmtId="0" fontId="0" fillId="10435" borderId="0" xfId="0" applyFill="1"/>
    <xf numFmtId="0" fontId="0" fillId="10436" borderId="0" xfId="0" applyFill="1"/>
    <xf numFmtId="0" fontId="0" fillId="10437" borderId="0" xfId="0" applyFill="1"/>
    <xf numFmtId="0" fontId="0" fillId="10438" borderId="0" xfId="0" applyFill="1"/>
    <xf numFmtId="0" fontId="0" fillId="10439" borderId="0" xfId="0" applyFill="1"/>
    <xf numFmtId="0" fontId="0" fillId="10440" borderId="0" xfId="0" applyFill="1"/>
    <xf numFmtId="0" fontId="0" fillId="10441" borderId="0" xfId="0" applyFill="1"/>
    <xf numFmtId="0" fontId="0" fillId="10442" borderId="0" xfId="0" applyFill="1"/>
    <xf numFmtId="0" fontId="0" fillId="10443" borderId="0" xfId="0" applyFill="1"/>
    <xf numFmtId="0" fontId="0" fillId="10444" borderId="0" xfId="0" applyFill="1"/>
    <xf numFmtId="0" fontId="0" fillId="10445" borderId="0" xfId="0" applyFill="1"/>
    <xf numFmtId="0" fontId="0" fillId="10446" borderId="0" xfId="0" applyFill="1"/>
    <xf numFmtId="0" fontId="0" fillId="10447" borderId="0" xfId="0" applyFill="1"/>
    <xf numFmtId="0" fontId="0" fillId="10448" borderId="0" xfId="0" applyFill="1"/>
    <xf numFmtId="0" fontId="0" fillId="10449" borderId="0" xfId="0" applyFill="1"/>
    <xf numFmtId="0" fontId="0" fillId="10450" borderId="0" xfId="0" applyFill="1"/>
    <xf numFmtId="0" fontId="0" fillId="10451" borderId="0" xfId="0" applyFill="1"/>
    <xf numFmtId="0" fontId="0" fillId="10452" borderId="0" xfId="0" applyFill="1"/>
    <xf numFmtId="0" fontId="0" fillId="10453" borderId="0" xfId="0" applyFill="1"/>
    <xf numFmtId="0" fontId="0" fillId="10454" borderId="0" xfId="0" applyFill="1"/>
    <xf numFmtId="0" fontId="0" fillId="10455" borderId="0" xfId="0" applyFill="1"/>
    <xf numFmtId="0" fontId="0" fillId="10456" borderId="0" xfId="0" applyFill="1"/>
    <xf numFmtId="0" fontId="0" fillId="10457" borderId="0" xfId="0" applyFill="1"/>
    <xf numFmtId="0" fontId="0" fillId="10458" borderId="0" xfId="0" applyFill="1"/>
    <xf numFmtId="0" fontId="0" fillId="10459" borderId="0" xfId="0" applyFill="1"/>
    <xf numFmtId="0" fontId="0" fillId="10460" borderId="0" xfId="0" applyFill="1"/>
    <xf numFmtId="0" fontId="0" fillId="10461" borderId="0" xfId="0" applyFill="1"/>
    <xf numFmtId="0" fontId="0" fillId="10462" borderId="0" xfId="0" applyFill="1"/>
    <xf numFmtId="0" fontId="0" fillId="10463" borderId="0" xfId="0" applyFill="1"/>
    <xf numFmtId="0" fontId="0" fillId="10464" borderId="0" xfId="0" applyFill="1"/>
    <xf numFmtId="0" fontId="0" fillId="10465" borderId="0" xfId="0" applyFill="1"/>
    <xf numFmtId="0" fontId="0" fillId="10466" borderId="0" xfId="0" applyFill="1"/>
    <xf numFmtId="0" fontId="0" fillId="10467" borderId="0" xfId="0" applyFill="1"/>
    <xf numFmtId="0" fontId="0" fillId="10468" borderId="0" xfId="0" applyFill="1"/>
    <xf numFmtId="0" fontId="0" fillId="10469" borderId="0" xfId="0" applyFill="1"/>
    <xf numFmtId="0" fontId="0" fillId="10470" borderId="0" xfId="0" applyFill="1"/>
    <xf numFmtId="0" fontId="0" fillId="10471" borderId="0" xfId="0" applyFill="1"/>
    <xf numFmtId="0" fontId="0" fillId="10472" borderId="0" xfId="0" applyFill="1"/>
    <xf numFmtId="0" fontId="0" fillId="10473" borderId="0" xfId="0" applyFill="1"/>
    <xf numFmtId="0" fontId="0" fillId="10474" borderId="0" xfId="0" applyFill="1"/>
    <xf numFmtId="0" fontId="0" fillId="10475" borderId="0" xfId="0" applyFill="1"/>
    <xf numFmtId="0" fontId="0" fillId="10476" borderId="0" xfId="0" applyFill="1"/>
    <xf numFmtId="0" fontId="0" fillId="10477" borderId="0" xfId="0" applyFill="1"/>
    <xf numFmtId="0" fontId="0" fillId="10478" borderId="0" xfId="0" applyFill="1"/>
    <xf numFmtId="0" fontId="0" fillId="10479" borderId="0" xfId="0" applyFill="1"/>
    <xf numFmtId="0" fontId="0" fillId="10480" borderId="0" xfId="0" applyFill="1"/>
    <xf numFmtId="0" fontId="0" fillId="10481" borderId="0" xfId="0" applyFill="1"/>
    <xf numFmtId="0" fontId="0" fillId="10482" borderId="0" xfId="0" applyFill="1"/>
    <xf numFmtId="0" fontId="0" fillId="10483" borderId="0" xfId="0" applyFill="1"/>
    <xf numFmtId="0" fontId="0" fillId="10484" borderId="0" xfId="0" applyFill="1"/>
    <xf numFmtId="0" fontId="0" fillId="10485" borderId="0" xfId="0" applyFill="1"/>
    <xf numFmtId="0" fontId="0" fillId="10486" borderId="0" xfId="0" applyFill="1"/>
    <xf numFmtId="0" fontId="0" fillId="10487" borderId="0" xfId="0" applyFill="1"/>
    <xf numFmtId="0" fontId="0" fillId="10488" borderId="0" xfId="0" applyFill="1"/>
    <xf numFmtId="0" fontId="0" fillId="10489" borderId="0" xfId="0" applyFill="1"/>
    <xf numFmtId="0" fontId="0" fillId="10490" borderId="0" xfId="0" applyFill="1"/>
    <xf numFmtId="0" fontId="0" fillId="10491" borderId="0" xfId="0" applyFill="1"/>
    <xf numFmtId="0" fontId="0" fillId="10492" borderId="0" xfId="0" applyFill="1"/>
    <xf numFmtId="0" fontId="0" fillId="10493" borderId="0" xfId="0" applyFill="1"/>
    <xf numFmtId="0" fontId="0" fillId="10494" borderId="0" xfId="0" applyFill="1"/>
    <xf numFmtId="0" fontId="0" fillId="10495" borderId="0" xfId="0" applyFill="1"/>
    <xf numFmtId="0" fontId="0" fillId="10496" borderId="0" xfId="0" applyFill="1"/>
    <xf numFmtId="0" fontId="0" fillId="10497" borderId="0" xfId="0" applyFill="1"/>
    <xf numFmtId="0" fontId="0" fillId="10498" borderId="0" xfId="0" applyFill="1"/>
    <xf numFmtId="0" fontId="0" fillId="10499" borderId="0" xfId="0" applyFill="1"/>
    <xf numFmtId="0" fontId="0" fillId="10500" borderId="0" xfId="0" applyFill="1"/>
    <xf numFmtId="0" fontId="0" fillId="10501" borderId="0" xfId="0" applyFill="1"/>
    <xf numFmtId="0" fontId="0" fillId="10502" borderId="0" xfId="0" applyFill="1"/>
    <xf numFmtId="0" fontId="0" fillId="10503" borderId="0" xfId="0" applyFill="1"/>
    <xf numFmtId="0" fontId="0" fillId="10504" borderId="0" xfId="0" applyFill="1"/>
    <xf numFmtId="0" fontId="0" fillId="10505" borderId="0" xfId="0" applyFill="1"/>
    <xf numFmtId="0" fontId="0" fillId="10506" borderId="0" xfId="0" applyFill="1"/>
    <xf numFmtId="0" fontId="0" fillId="10507" borderId="0" xfId="0" applyFill="1"/>
    <xf numFmtId="0" fontId="0" fillId="10508" borderId="0" xfId="0" applyFill="1"/>
    <xf numFmtId="0" fontId="0" fillId="10509" borderId="0" xfId="0" applyFill="1"/>
    <xf numFmtId="0" fontId="0" fillId="10510" borderId="0" xfId="0" applyFill="1"/>
    <xf numFmtId="0" fontId="0" fillId="10511" borderId="0" xfId="0" applyFill="1"/>
    <xf numFmtId="0" fontId="0" fillId="10512" borderId="0" xfId="0" applyFill="1"/>
    <xf numFmtId="0" fontId="0" fillId="10513" borderId="0" xfId="0" applyFill="1"/>
    <xf numFmtId="0" fontId="0" fillId="10514" borderId="0" xfId="0" applyFill="1"/>
    <xf numFmtId="0" fontId="0" fillId="10515" borderId="0" xfId="0" applyFill="1"/>
    <xf numFmtId="0" fontId="0" fillId="10516" borderId="0" xfId="0" applyFill="1"/>
    <xf numFmtId="0" fontId="0" fillId="10517" borderId="0" xfId="0" applyFill="1"/>
    <xf numFmtId="0" fontId="0" fillId="10518" borderId="0" xfId="0" applyFill="1"/>
    <xf numFmtId="0" fontId="0" fillId="10519" borderId="0" xfId="0" applyFill="1"/>
    <xf numFmtId="0" fontId="0" fillId="10520" borderId="0" xfId="0" applyFill="1"/>
    <xf numFmtId="0" fontId="0" fillId="10521" borderId="0" xfId="0" applyFill="1"/>
    <xf numFmtId="0" fontId="0" fillId="10522" borderId="0" xfId="0" applyFill="1"/>
    <xf numFmtId="0" fontId="0" fillId="10523" borderId="0" xfId="0" applyFill="1"/>
    <xf numFmtId="0" fontId="0" fillId="10524" borderId="0" xfId="0" applyFill="1"/>
    <xf numFmtId="0" fontId="0" fillId="10525" borderId="0" xfId="0" applyFill="1"/>
    <xf numFmtId="0" fontId="0" fillId="10526" borderId="0" xfId="0" applyFill="1"/>
    <xf numFmtId="0" fontId="0" fillId="10527" borderId="0" xfId="0" applyFill="1"/>
    <xf numFmtId="0" fontId="0" fillId="10528" borderId="0" xfId="0" applyFill="1"/>
    <xf numFmtId="0" fontId="0" fillId="10529" borderId="0" xfId="0" applyFill="1"/>
    <xf numFmtId="0" fontId="0" fillId="10530" borderId="0" xfId="0" applyFill="1"/>
    <xf numFmtId="0" fontId="0" fillId="10531" borderId="0" xfId="0" applyFill="1"/>
    <xf numFmtId="0" fontId="0" fillId="10532" borderId="0" xfId="0" applyFill="1"/>
    <xf numFmtId="0" fontId="0" fillId="10533" borderId="0" xfId="0" applyFill="1"/>
    <xf numFmtId="0" fontId="0" fillId="10534" borderId="0" xfId="0" applyFill="1"/>
    <xf numFmtId="0" fontId="0" fillId="10535" borderId="0" xfId="0" applyFill="1"/>
    <xf numFmtId="0" fontId="0" fillId="10536" borderId="0" xfId="0" applyFill="1"/>
    <xf numFmtId="0" fontId="0" fillId="10537" borderId="0" xfId="0" applyFill="1"/>
    <xf numFmtId="0" fontId="0" fillId="10538" borderId="0" xfId="0" applyFill="1"/>
    <xf numFmtId="0" fontId="0" fillId="10539" borderId="0" xfId="0" applyFill="1"/>
    <xf numFmtId="0" fontId="0" fillId="10540" borderId="0" xfId="0" applyFill="1"/>
    <xf numFmtId="0" fontId="0" fillId="10541" borderId="0" xfId="0" applyFill="1"/>
    <xf numFmtId="0" fontId="0" fillId="10542" borderId="0" xfId="0" applyFill="1"/>
    <xf numFmtId="0" fontId="0" fillId="10543" borderId="0" xfId="0" applyFill="1"/>
    <xf numFmtId="0" fontId="0" fillId="10544" borderId="0" xfId="0" applyFill="1"/>
    <xf numFmtId="0" fontId="0" fillId="10545" borderId="0" xfId="0" applyFill="1"/>
    <xf numFmtId="0" fontId="0" fillId="10546" borderId="0" xfId="0" applyFill="1"/>
    <xf numFmtId="0" fontId="0" fillId="10547" borderId="0" xfId="0" applyFill="1"/>
    <xf numFmtId="0" fontId="0" fillId="10548" borderId="0" xfId="0" applyFill="1"/>
    <xf numFmtId="0" fontId="0" fillId="10549" borderId="0" xfId="0" applyFill="1"/>
    <xf numFmtId="0" fontId="0" fillId="10550" borderId="0" xfId="0" applyFill="1"/>
    <xf numFmtId="0" fontId="0" fillId="10551" borderId="0" xfId="0" applyFill="1"/>
    <xf numFmtId="0" fontId="0" fillId="10552" borderId="0" xfId="0" applyFill="1"/>
    <xf numFmtId="0" fontId="0" fillId="10553" borderId="0" xfId="0" applyFill="1"/>
    <xf numFmtId="0" fontId="0" fillId="10554" borderId="0" xfId="0" applyFill="1"/>
    <xf numFmtId="0" fontId="0" fillId="10555" borderId="0" xfId="0" applyFill="1"/>
    <xf numFmtId="0" fontId="0" fillId="10556" borderId="0" xfId="0" applyFill="1"/>
    <xf numFmtId="0" fontId="0" fillId="10557" borderId="0" xfId="0" applyFill="1"/>
    <xf numFmtId="0" fontId="0" fillId="10558" borderId="0" xfId="0" applyFill="1"/>
    <xf numFmtId="0" fontId="0" fillId="10559" borderId="0" xfId="0" applyFill="1"/>
    <xf numFmtId="0" fontId="0" fillId="10560" borderId="0" xfId="0" applyFill="1"/>
    <xf numFmtId="0" fontId="0" fillId="10561" borderId="0" xfId="0" applyFill="1"/>
    <xf numFmtId="0" fontId="0" fillId="10562" borderId="0" xfId="0" applyFill="1"/>
    <xf numFmtId="0" fontId="0" fillId="10563" borderId="0" xfId="0" applyFill="1"/>
    <xf numFmtId="0" fontId="0" fillId="10564" borderId="0" xfId="0" applyFill="1"/>
    <xf numFmtId="0" fontId="0" fillId="10565" borderId="0" xfId="0" applyFill="1"/>
    <xf numFmtId="0" fontId="0" fillId="10566" borderId="0" xfId="0" applyFill="1"/>
    <xf numFmtId="0" fontId="0" fillId="10567" borderId="0" xfId="0" applyFill="1"/>
    <xf numFmtId="0" fontId="0" fillId="10568" borderId="0" xfId="0" applyFill="1"/>
    <xf numFmtId="0" fontId="0" fillId="10569" borderId="0" xfId="0" applyFill="1"/>
    <xf numFmtId="0" fontId="0" fillId="10570" borderId="0" xfId="0" applyFill="1"/>
    <xf numFmtId="0" fontId="0" fillId="10571" borderId="0" xfId="0" applyFill="1"/>
    <xf numFmtId="0" fontId="0" fillId="10572" borderId="0" xfId="0" applyFill="1"/>
    <xf numFmtId="0" fontId="0" fillId="10573" borderId="0" xfId="0" applyFill="1"/>
    <xf numFmtId="0" fontId="0" fillId="10574" borderId="0" xfId="0" applyFill="1"/>
    <xf numFmtId="0" fontId="0" fillId="10575" borderId="0" xfId="0" applyFill="1"/>
    <xf numFmtId="0" fontId="0" fillId="10576" borderId="0" xfId="0" applyFill="1"/>
    <xf numFmtId="0" fontId="0" fillId="10577" borderId="0" xfId="0" applyFill="1"/>
    <xf numFmtId="0" fontId="0" fillId="10578" borderId="0" xfId="0" applyFill="1"/>
    <xf numFmtId="0" fontId="0" fillId="10579" borderId="0" xfId="0" applyFill="1"/>
    <xf numFmtId="0" fontId="0" fillId="10580" borderId="0" xfId="0" applyFill="1"/>
    <xf numFmtId="0" fontId="0" fillId="10581" borderId="0" xfId="0" applyFill="1"/>
    <xf numFmtId="0" fontId="0" fillId="10582" borderId="0" xfId="0" applyFill="1"/>
    <xf numFmtId="0" fontId="0" fillId="10583" borderId="0" xfId="0" applyFill="1"/>
    <xf numFmtId="0" fontId="0" fillId="10584" borderId="0" xfId="0" applyFill="1"/>
    <xf numFmtId="0" fontId="0" fillId="10585" borderId="0" xfId="0" applyFill="1"/>
    <xf numFmtId="0" fontId="0" fillId="10586" borderId="0" xfId="0" applyFill="1"/>
    <xf numFmtId="0" fontId="0" fillId="10587" borderId="0" xfId="0" applyFill="1"/>
    <xf numFmtId="0" fontId="0" fillId="10588" borderId="0" xfId="0" applyFill="1"/>
    <xf numFmtId="0" fontId="0" fillId="10589" borderId="0" xfId="0" applyFill="1"/>
    <xf numFmtId="0" fontId="0" fillId="10590" borderId="0" xfId="0" applyFill="1"/>
    <xf numFmtId="0" fontId="0" fillId="10591" borderId="0" xfId="0" applyFill="1"/>
    <xf numFmtId="0" fontId="0" fillId="10592" borderId="0" xfId="0" applyFill="1"/>
    <xf numFmtId="0" fontId="0" fillId="10593" borderId="0" xfId="0" applyFill="1"/>
    <xf numFmtId="0" fontId="0" fillId="10594" borderId="0" xfId="0" applyFill="1"/>
    <xf numFmtId="0" fontId="0" fillId="10595" borderId="0" xfId="0" applyFill="1"/>
    <xf numFmtId="0" fontId="0" fillId="10596" borderId="0" xfId="0" applyFill="1"/>
    <xf numFmtId="0" fontId="0" fillId="10597" borderId="0" xfId="0" applyFill="1"/>
    <xf numFmtId="0" fontId="0" fillId="10598" borderId="0" xfId="0" applyFill="1"/>
    <xf numFmtId="0" fontId="0" fillId="10599" borderId="0" xfId="0" applyFill="1"/>
    <xf numFmtId="0" fontId="0" fillId="10600" borderId="0" xfId="0" applyFill="1"/>
    <xf numFmtId="0" fontId="0" fillId="10601" borderId="0" xfId="0" applyFill="1"/>
    <xf numFmtId="0" fontId="0" fillId="10602" borderId="0" xfId="0" applyFill="1"/>
    <xf numFmtId="0" fontId="0" fillId="10603" borderId="0" xfId="0" applyFill="1"/>
    <xf numFmtId="0" fontId="0" fillId="10604" borderId="0" xfId="0" applyFill="1"/>
    <xf numFmtId="0" fontId="0" fillId="10605" borderId="0" xfId="0" applyFill="1"/>
    <xf numFmtId="0" fontId="0" fillId="10606" borderId="0" xfId="0" applyFill="1"/>
    <xf numFmtId="0" fontId="0" fillId="10607" borderId="0" xfId="0" applyFill="1"/>
    <xf numFmtId="0" fontId="0" fillId="10608" borderId="0" xfId="0" applyFill="1"/>
    <xf numFmtId="0" fontId="0" fillId="10609" borderId="0" xfId="0" applyFill="1"/>
    <xf numFmtId="0" fontId="0" fillId="10610" borderId="0" xfId="0" applyFill="1"/>
    <xf numFmtId="0" fontId="0" fillId="10611" borderId="0" xfId="0" applyFill="1"/>
    <xf numFmtId="0" fontId="0" fillId="10612" borderId="0" xfId="0" applyFill="1"/>
    <xf numFmtId="0" fontId="0" fillId="10613" borderId="0" xfId="0" applyFill="1"/>
    <xf numFmtId="0" fontId="0" fillId="10614" borderId="0" xfId="0" applyFill="1"/>
    <xf numFmtId="0" fontId="0" fillId="10615" borderId="0" xfId="0" applyFill="1"/>
    <xf numFmtId="0" fontId="0" fillId="10616" borderId="0" xfId="0" applyFill="1"/>
    <xf numFmtId="0" fontId="0" fillId="10617" borderId="0" xfId="0" applyFill="1"/>
    <xf numFmtId="0" fontId="0" fillId="10618" borderId="0" xfId="0" applyFill="1"/>
    <xf numFmtId="0" fontId="0" fillId="10619" borderId="0" xfId="0" applyFill="1"/>
    <xf numFmtId="0" fontId="0" fillId="10620" borderId="0" xfId="0" applyFill="1"/>
    <xf numFmtId="0" fontId="0" fillId="10621" borderId="0" xfId="0" applyFill="1"/>
    <xf numFmtId="0" fontId="0" fillId="10622" borderId="0" xfId="0" applyFill="1"/>
    <xf numFmtId="0" fontId="0" fillId="10623" borderId="0" xfId="0" applyFill="1"/>
    <xf numFmtId="0" fontId="0" fillId="10624" borderId="0" xfId="0" applyFill="1"/>
    <xf numFmtId="0" fontId="0" fillId="10625" borderId="0" xfId="0" applyFill="1"/>
    <xf numFmtId="0" fontId="0" fillId="10626" borderId="0" xfId="0" applyFill="1"/>
    <xf numFmtId="0" fontId="0" fillId="10627" borderId="0" xfId="0" applyFill="1"/>
    <xf numFmtId="0" fontId="0" fillId="10628" borderId="0" xfId="0" applyFill="1"/>
    <xf numFmtId="0" fontId="0" fillId="10629" borderId="0" xfId="0" applyFill="1"/>
    <xf numFmtId="0" fontId="0" fillId="10630" borderId="0" xfId="0" applyFill="1"/>
    <xf numFmtId="0" fontId="0" fillId="10631" borderId="0" xfId="0" applyFill="1"/>
    <xf numFmtId="0" fontId="0" fillId="10632" borderId="0" xfId="0" applyFill="1"/>
    <xf numFmtId="0" fontId="0" fillId="10633" borderId="0" xfId="0" applyFill="1"/>
    <xf numFmtId="0" fontId="0" fillId="10634" borderId="0" xfId="0" applyFill="1"/>
    <xf numFmtId="0" fontId="0" fillId="10635" borderId="0" xfId="0" applyFill="1"/>
    <xf numFmtId="0" fontId="0" fillId="10636" borderId="0" xfId="0" applyFill="1"/>
    <xf numFmtId="0" fontId="0" fillId="10637" borderId="0" xfId="0" applyFill="1"/>
    <xf numFmtId="0" fontId="0" fillId="10638" borderId="0" xfId="0" applyFill="1"/>
    <xf numFmtId="0" fontId="0" fillId="10639" borderId="0" xfId="0" applyFill="1"/>
    <xf numFmtId="0" fontId="0" fillId="10640" borderId="0" xfId="0" applyFill="1"/>
    <xf numFmtId="0" fontId="0" fillId="10641" borderId="0" xfId="0" applyFill="1"/>
    <xf numFmtId="0" fontId="0" fillId="10642" borderId="0" xfId="0" applyFill="1"/>
    <xf numFmtId="0" fontId="0" fillId="10643" borderId="0" xfId="0" applyFill="1"/>
    <xf numFmtId="0" fontId="0" fillId="10644" borderId="0" xfId="0" applyFill="1"/>
    <xf numFmtId="0" fontId="0" fillId="10645" borderId="0" xfId="0" applyFill="1"/>
    <xf numFmtId="0" fontId="0" fillId="10646" borderId="0" xfId="0" applyFill="1"/>
    <xf numFmtId="0" fontId="0" fillId="10647" borderId="0" xfId="0" applyFill="1"/>
    <xf numFmtId="0" fontId="0" fillId="10648" borderId="0" xfId="0" applyFill="1"/>
    <xf numFmtId="0" fontId="0" fillId="10649" borderId="0" xfId="0" applyFill="1"/>
    <xf numFmtId="0" fontId="0" fillId="10650" borderId="0" xfId="0" applyFill="1"/>
    <xf numFmtId="0" fontId="0" fillId="10651" borderId="0" xfId="0" applyFill="1"/>
    <xf numFmtId="0" fontId="0" fillId="10652" borderId="0" xfId="0" applyFill="1"/>
    <xf numFmtId="0" fontId="0" fillId="10653" borderId="0" xfId="0" applyFill="1"/>
    <xf numFmtId="0" fontId="0" fillId="10654" borderId="0" xfId="0" applyFill="1"/>
    <xf numFmtId="0" fontId="0" fillId="10655" borderId="0" xfId="0" applyFill="1"/>
    <xf numFmtId="0" fontId="0" fillId="10656" borderId="0" xfId="0" applyFill="1"/>
    <xf numFmtId="0" fontId="0" fillId="10657" borderId="0" xfId="0" applyFill="1"/>
    <xf numFmtId="0" fontId="0" fillId="10658" borderId="0" xfId="0" applyFill="1"/>
    <xf numFmtId="0" fontId="0" fillId="10659" borderId="0" xfId="0" applyFill="1"/>
    <xf numFmtId="0" fontId="0" fillId="10660" borderId="0" xfId="0" applyFill="1"/>
    <xf numFmtId="0" fontId="0" fillId="10661" borderId="0" xfId="0" applyFill="1"/>
    <xf numFmtId="0" fontId="0" fillId="10662" borderId="0" xfId="0" applyFill="1"/>
    <xf numFmtId="0" fontId="0" fillId="10663" borderId="0" xfId="0" applyFill="1"/>
    <xf numFmtId="0" fontId="0" fillId="10664" borderId="0" xfId="0" applyFill="1"/>
    <xf numFmtId="0" fontId="0" fillId="10665" borderId="0" xfId="0" applyFill="1"/>
    <xf numFmtId="0" fontId="0" fillId="10666" borderId="0" xfId="0" applyFill="1"/>
    <xf numFmtId="0" fontId="0" fillId="10667" borderId="0" xfId="0" applyFill="1"/>
    <xf numFmtId="0" fontId="0" fillId="10668" borderId="0" xfId="0" applyFill="1"/>
    <xf numFmtId="0" fontId="0" fillId="10669" borderId="0" xfId="0" applyFill="1"/>
    <xf numFmtId="0" fontId="0" fillId="10670" borderId="0" xfId="0" applyFill="1"/>
    <xf numFmtId="0" fontId="0" fillId="10671" borderId="0" xfId="0" applyFill="1"/>
    <xf numFmtId="0" fontId="0" fillId="10672" borderId="0" xfId="0" applyFill="1"/>
    <xf numFmtId="0" fontId="0" fillId="10673" borderId="0" xfId="0" applyFill="1"/>
    <xf numFmtId="0" fontId="0" fillId="10674" borderId="0" xfId="0" applyFill="1"/>
    <xf numFmtId="0" fontId="0" fillId="10675" borderId="0" xfId="0" applyFill="1"/>
    <xf numFmtId="0" fontId="0" fillId="10676" borderId="0" xfId="0" applyFill="1"/>
    <xf numFmtId="0" fontId="0" fillId="10677" borderId="0" xfId="0" applyFill="1"/>
    <xf numFmtId="0" fontId="0" fillId="10678" borderId="0" xfId="0" applyFill="1"/>
    <xf numFmtId="0" fontId="0" fillId="10679" borderId="0" xfId="0" applyFill="1"/>
    <xf numFmtId="0" fontId="0" fillId="10680" borderId="0" xfId="0" applyFill="1"/>
    <xf numFmtId="0" fontId="0" fillId="10681" borderId="0" xfId="0" applyFill="1"/>
    <xf numFmtId="0" fontId="0" fillId="10682" borderId="0" xfId="0" applyFill="1"/>
    <xf numFmtId="0" fontId="0" fillId="10683" borderId="0" xfId="0" applyFill="1"/>
    <xf numFmtId="0" fontId="0" fillId="10684" borderId="0" xfId="0" applyFill="1"/>
    <xf numFmtId="0" fontId="0" fillId="10685" borderId="0" xfId="0" applyFill="1"/>
    <xf numFmtId="0" fontId="0" fillId="10686" borderId="0" xfId="0" applyFill="1"/>
    <xf numFmtId="0" fontId="0" fillId="10687" borderId="0" xfId="0" applyFill="1"/>
    <xf numFmtId="0" fontId="0" fillId="10688" borderId="0" xfId="0" applyFill="1"/>
    <xf numFmtId="0" fontId="0" fillId="10689" borderId="0" xfId="0" applyFill="1"/>
    <xf numFmtId="0" fontId="0" fillId="10690" borderId="0" xfId="0" applyFill="1"/>
    <xf numFmtId="0" fontId="0" fillId="10691" borderId="0" xfId="0" applyFill="1"/>
    <xf numFmtId="0" fontId="0" fillId="10692" borderId="0" xfId="0" applyFill="1"/>
    <xf numFmtId="0" fontId="0" fillId="10693" borderId="0" xfId="0" applyFill="1"/>
    <xf numFmtId="0" fontId="0" fillId="10694" borderId="0" xfId="0" applyFill="1"/>
    <xf numFmtId="0" fontId="0" fillId="10695" borderId="0" xfId="0" applyFill="1"/>
    <xf numFmtId="0" fontId="0" fillId="10696" borderId="0" xfId="0" applyFill="1"/>
    <xf numFmtId="0" fontId="0" fillId="10697" borderId="0" xfId="0" applyFill="1"/>
    <xf numFmtId="0" fontId="0" fillId="10698" borderId="0" xfId="0" applyFill="1"/>
    <xf numFmtId="0" fontId="0" fillId="10699" borderId="0" xfId="0" applyFill="1"/>
    <xf numFmtId="0" fontId="0" fillId="10700" borderId="0" xfId="0" applyFill="1"/>
    <xf numFmtId="0" fontId="0" fillId="10701" borderId="0" xfId="0" applyFill="1"/>
    <xf numFmtId="0" fontId="0" fillId="10702" borderId="0" xfId="0" applyFill="1"/>
    <xf numFmtId="0" fontId="0" fillId="10703" borderId="0" xfId="0" applyFill="1"/>
    <xf numFmtId="0" fontId="0" fillId="10704" borderId="0" xfId="0" applyFill="1"/>
    <xf numFmtId="0" fontId="0" fillId="10705" borderId="0" xfId="0" applyFill="1"/>
    <xf numFmtId="0" fontId="0" fillId="10706" borderId="0" xfId="0" applyFill="1"/>
    <xf numFmtId="0" fontId="0" fillId="10707" borderId="0" xfId="0" applyFill="1"/>
    <xf numFmtId="0" fontId="0" fillId="10708" borderId="0" xfId="0" applyFill="1"/>
    <xf numFmtId="0" fontId="0" fillId="10709" borderId="0" xfId="0" applyFill="1"/>
    <xf numFmtId="0" fontId="0" fillId="10710" borderId="0" xfId="0" applyFill="1"/>
    <xf numFmtId="0" fontId="0" fillId="10711" borderId="0" xfId="0" applyFill="1"/>
    <xf numFmtId="0" fontId="0" fillId="10712" borderId="0" xfId="0" applyFill="1"/>
    <xf numFmtId="0" fontId="0" fillId="10713" borderId="0" xfId="0" applyFill="1"/>
    <xf numFmtId="0" fontId="0" fillId="10714" borderId="0" xfId="0" applyFill="1"/>
    <xf numFmtId="0" fontId="0" fillId="10715" borderId="0" xfId="0" applyFill="1"/>
    <xf numFmtId="0" fontId="0" fillId="10716" borderId="0" xfId="0" applyFill="1"/>
    <xf numFmtId="0" fontId="0" fillId="10717" borderId="0" xfId="0" applyFill="1"/>
    <xf numFmtId="0" fontId="0" fillId="10718" borderId="0" xfId="0" applyFill="1"/>
    <xf numFmtId="0" fontId="0" fillId="10719" borderId="0" xfId="0" applyFill="1"/>
    <xf numFmtId="0" fontId="0" fillId="10720" borderId="0" xfId="0" applyFill="1"/>
    <xf numFmtId="0" fontId="0" fillId="10721" borderId="0" xfId="0" applyFill="1"/>
    <xf numFmtId="0" fontId="0" fillId="10722" borderId="0" xfId="0" applyFill="1"/>
    <xf numFmtId="0" fontId="0" fillId="10723" borderId="0" xfId="0" applyFill="1"/>
    <xf numFmtId="0" fontId="0" fillId="10724" borderId="0" xfId="0" applyFill="1"/>
    <xf numFmtId="0" fontId="0" fillId="10725" borderId="0" xfId="0" applyFill="1"/>
    <xf numFmtId="0" fontId="0" fillId="10726" borderId="0" xfId="0" applyFill="1"/>
    <xf numFmtId="0" fontId="0" fillId="10727" borderId="0" xfId="0" applyFill="1"/>
    <xf numFmtId="0" fontId="0" fillId="10728" borderId="0" xfId="0" applyFill="1"/>
    <xf numFmtId="0" fontId="0" fillId="10729" borderId="0" xfId="0" applyFill="1"/>
    <xf numFmtId="0" fontId="0" fillId="10730" borderId="0" xfId="0" applyFill="1"/>
    <xf numFmtId="0" fontId="0" fillId="10731" borderId="0" xfId="0" applyFill="1"/>
    <xf numFmtId="0" fontId="0" fillId="10732" borderId="0" xfId="0" applyFill="1"/>
    <xf numFmtId="0" fontId="0" fillId="10733" borderId="0" xfId="0" applyFill="1"/>
    <xf numFmtId="0" fontId="0" fillId="10734" borderId="0" xfId="0" applyFill="1"/>
    <xf numFmtId="0" fontId="0" fillId="10735" borderId="0" xfId="0" applyFill="1"/>
    <xf numFmtId="0" fontId="0" fillId="10736" borderId="0" xfId="0" applyFill="1"/>
    <xf numFmtId="0" fontId="0" fillId="10737" borderId="0" xfId="0" applyFill="1"/>
    <xf numFmtId="0" fontId="0" fillId="10738" borderId="0" xfId="0" applyFill="1"/>
    <xf numFmtId="0" fontId="0" fillId="10739" borderId="0" xfId="0" applyFill="1"/>
    <xf numFmtId="0" fontId="0" fillId="10740" borderId="0" xfId="0" applyFill="1"/>
    <xf numFmtId="0" fontId="0" fillId="10741" borderId="0" xfId="0" applyFill="1"/>
    <xf numFmtId="0" fontId="0" fillId="10742" borderId="0" xfId="0" applyFill="1"/>
    <xf numFmtId="0" fontId="0" fillId="10743" borderId="0" xfId="0" applyFill="1"/>
    <xf numFmtId="0" fontId="0" fillId="10744" borderId="0" xfId="0" applyFill="1"/>
    <xf numFmtId="0" fontId="0" fillId="10745" borderId="0" xfId="0" applyFill="1"/>
    <xf numFmtId="0" fontId="0" fillId="10746" borderId="0" xfId="0" applyFill="1"/>
    <xf numFmtId="0" fontId="0" fillId="10747" borderId="0" xfId="0" applyFill="1"/>
    <xf numFmtId="0" fontId="0" fillId="10748" borderId="0" xfId="0" applyFill="1"/>
    <xf numFmtId="0" fontId="0" fillId="10749" borderId="0" xfId="0" applyFill="1"/>
    <xf numFmtId="0" fontId="0" fillId="10750" borderId="0" xfId="0" applyFill="1"/>
    <xf numFmtId="0" fontId="0" fillId="10751" borderId="0" xfId="0" applyFill="1"/>
    <xf numFmtId="0" fontId="0" fillId="10752" borderId="0" xfId="0" applyFill="1"/>
    <xf numFmtId="0" fontId="0" fillId="10753" borderId="0" xfId="0" applyFill="1"/>
    <xf numFmtId="0" fontId="0" fillId="10754" borderId="0" xfId="0" applyFill="1"/>
    <xf numFmtId="0" fontId="0" fillId="10755" borderId="0" xfId="0" applyFill="1"/>
    <xf numFmtId="0" fontId="0" fillId="10756" borderId="0" xfId="0" applyFill="1"/>
    <xf numFmtId="0" fontId="0" fillId="10757" borderId="0" xfId="0" applyFill="1"/>
    <xf numFmtId="0" fontId="0" fillId="10758" borderId="0" xfId="0" applyFill="1"/>
    <xf numFmtId="0" fontId="0" fillId="10759" borderId="0" xfId="0" applyFill="1"/>
    <xf numFmtId="0" fontId="0" fillId="10760" borderId="0" xfId="0" applyFill="1"/>
    <xf numFmtId="0" fontId="0" fillId="10761" borderId="0" xfId="0" applyFill="1"/>
    <xf numFmtId="0" fontId="0" fillId="10762" borderId="0" xfId="0" applyFill="1"/>
    <xf numFmtId="0" fontId="0" fillId="10763" borderId="0" xfId="0" applyFill="1"/>
    <xf numFmtId="0" fontId="0" fillId="10764" borderId="0" xfId="0" applyFill="1"/>
    <xf numFmtId="0" fontId="0" fillId="10765" borderId="0" xfId="0" applyFill="1"/>
    <xf numFmtId="0" fontId="0" fillId="10766" borderId="0" xfId="0" applyFill="1"/>
    <xf numFmtId="0" fontId="0" fillId="10767" borderId="0" xfId="0" applyFill="1"/>
    <xf numFmtId="0" fontId="0" fillId="10768" borderId="0" xfId="0" applyFill="1"/>
    <xf numFmtId="0" fontId="0" fillId="10769" borderId="0" xfId="0" applyFill="1"/>
    <xf numFmtId="0" fontId="0" fillId="10770" borderId="0" xfId="0" applyFill="1"/>
    <xf numFmtId="0" fontId="0" fillId="10771" borderId="0" xfId="0" applyFill="1"/>
    <xf numFmtId="0" fontId="0" fillId="10772" borderId="0" xfId="0" applyFill="1"/>
    <xf numFmtId="0" fontId="0" fillId="10773" borderId="0" xfId="0" applyFill="1"/>
    <xf numFmtId="0" fontId="0" fillId="10774" borderId="0" xfId="0" applyFill="1"/>
    <xf numFmtId="0" fontId="0" fillId="10775" borderId="0" xfId="0" applyFill="1"/>
    <xf numFmtId="0" fontId="0" fillId="10776" borderId="0" xfId="0" applyFill="1"/>
    <xf numFmtId="0" fontId="0" fillId="10777" borderId="0" xfId="0" applyFill="1"/>
    <xf numFmtId="0" fontId="0" fillId="10778" borderId="0" xfId="0" applyFill="1"/>
    <xf numFmtId="0" fontId="0" fillId="10779" borderId="0" xfId="0" applyFill="1"/>
    <xf numFmtId="0" fontId="0" fillId="10780" borderId="0" xfId="0" applyFill="1"/>
    <xf numFmtId="0" fontId="0" fillId="10781" borderId="0" xfId="0" applyFill="1"/>
    <xf numFmtId="0" fontId="0" fillId="10782" borderId="0" xfId="0" applyFill="1"/>
    <xf numFmtId="0" fontId="0" fillId="10783" borderId="0" xfId="0" applyFill="1"/>
    <xf numFmtId="0" fontId="0" fillId="10784" borderId="0" xfId="0" applyFill="1"/>
    <xf numFmtId="0" fontId="0" fillId="10785" borderId="0" xfId="0" applyFill="1"/>
    <xf numFmtId="0" fontId="0" fillId="10786" borderId="0" xfId="0" applyFill="1"/>
    <xf numFmtId="0" fontId="0" fillId="10787" borderId="0" xfId="0" applyFill="1"/>
    <xf numFmtId="0" fontId="0" fillId="10788" borderId="0" xfId="0" applyFill="1"/>
    <xf numFmtId="0" fontId="0" fillId="10789" borderId="0" xfId="0" applyFill="1"/>
    <xf numFmtId="0" fontId="0" fillId="10790" borderId="0" xfId="0" applyFill="1"/>
    <xf numFmtId="0" fontId="0" fillId="10791" borderId="0" xfId="0" applyFill="1"/>
    <xf numFmtId="0" fontId="0" fillId="10792" borderId="0" xfId="0" applyFill="1"/>
    <xf numFmtId="0" fontId="0" fillId="10793" borderId="0" xfId="0" applyFill="1"/>
    <xf numFmtId="0" fontId="0" fillId="10794" borderId="0" xfId="0" applyFill="1"/>
    <xf numFmtId="0" fontId="0" fillId="10795" borderId="0" xfId="0" applyFill="1"/>
    <xf numFmtId="0" fontId="0" fillId="10796" borderId="0" xfId="0" applyFill="1"/>
    <xf numFmtId="0" fontId="0" fillId="10797" borderId="0" xfId="0" applyFill="1"/>
    <xf numFmtId="0" fontId="0" fillId="10798" borderId="0" xfId="0" applyFill="1"/>
    <xf numFmtId="0" fontId="0" fillId="10799" borderId="0" xfId="0" applyFill="1"/>
    <xf numFmtId="0" fontId="0" fillId="10800" borderId="0" xfId="0" applyFill="1"/>
    <xf numFmtId="0" fontId="0" fillId="10801" borderId="0" xfId="0" applyFill="1"/>
    <xf numFmtId="0" fontId="0" fillId="10802" borderId="0" xfId="0" applyFill="1"/>
    <xf numFmtId="0" fontId="0" fillId="10803" borderId="0" xfId="0" applyFill="1"/>
    <xf numFmtId="0" fontId="0" fillId="10804" borderId="0" xfId="0" applyFill="1"/>
    <xf numFmtId="0" fontId="0" fillId="10805" borderId="0" xfId="0" applyFill="1"/>
    <xf numFmtId="0" fontId="0" fillId="10806" borderId="0" xfId="0" applyFill="1"/>
    <xf numFmtId="0" fontId="0" fillId="10807" borderId="0" xfId="0" applyFill="1"/>
    <xf numFmtId="0" fontId="0" fillId="10808" borderId="0" xfId="0" applyFill="1"/>
    <xf numFmtId="0" fontId="0" fillId="10809" borderId="0" xfId="0" applyFill="1"/>
    <xf numFmtId="0" fontId="0" fillId="10810" borderId="0" xfId="0" applyFill="1"/>
    <xf numFmtId="0" fontId="0" fillId="10811" borderId="0" xfId="0" applyFill="1"/>
    <xf numFmtId="0" fontId="0" fillId="10812" borderId="0" xfId="0" applyFill="1"/>
    <xf numFmtId="0" fontId="0" fillId="10813" borderId="0" xfId="0" applyFill="1"/>
    <xf numFmtId="0" fontId="0" fillId="10814" borderId="0" xfId="0" applyFill="1"/>
    <xf numFmtId="0" fontId="0" fillId="10815" borderId="0" xfId="0" applyFill="1"/>
    <xf numFmtId="0" fontId="0" fillId="10816" borderId="0" xfId="0" applyFill="1"/>
    <xf numFmtId="0" fontId="0" fillId="10817" borderId="0" xfId="0" applyFill="1"/>
    <xf numFmtId="0" fontId="0" fillId="10818" borderId="0" xfId="0" applyFill="1"/>
    <xf numFmtId="0" fontId="0" fillId="10819" borderId="0" xfId="0" applyFill="1"/>
    <xf numFmtId="0" fontId="0" fillId="10820" borderId="0" xfId="0" applyFill="1"/>
    <xf numFmtId="0" fontId="0" fillId="10821" borderId="0" xfId="0" applyFill="1"/>
    <xf numFmtId="0" fontId="0" fillId="10822" borderId="0" xfId="0" applyFill="1"/>
    <xf numFmtId="0" fontId="0" fillId="10823" borderId="0" xfId="0" applyFill="1"/>
    <xf numFmtId="0" fontId="0" fillId="10824" borderId="0" xfId="0" applyFill="1"/>
    <xf numFmtId="0" fontId="0" fillId="10825" borderId="0" xfId="0" applyFill="1"/>
    <xf numFmtId="0" fontId="0" fillId="10826" borderId="0" xfId="0" applyFill="1"/>
    <xf numFmtId="0" fontId="0" fillId="10827" borderId="0" xfId="0" applyFill="1"/>
    <xf numFmtId="0" fontId="0" fillId="10828" borderId="0" xfId="0" applyFill="1"/>
    <xf numFmtId="0" fontId="0" fillId="10829" borderId="0" xfId="0" applyFill="1"/>
    <xf numFmtId="0" fontId="0" fillId="10830" borderId="0" xfId="0" applyFill="1"/>
    <xf numFmtId="0" fontId="0" fillId="10831" borderId="0" xfId="0" applyFill="1"/>
    <xf numFmtId="0" fontId="0" fillId="10832" borderId="0" xfId="0" applyFill="1"/>
    <xf numFmtId="0" fontId="0" fillId="10833" borderId="0" xfId="0" applyFill="1"/>
    <xf numFmtId="0" fontId="0" fillId="10834" borderId="0" xfId="0" applyFill="1"/>
    <xf numFmtId="0" fontId="0" fillId="10835" borderId="0" xfId="0" applyFill="1"/>
    <xf numFmtId="0" fontId="0" fillId="10836" borderId="0" xfId="0" applyFill="1"/>
    <xf numFmtId="0" fontId="0" fillId="10837" borderId="0" xfId="0" applyFill="1"/>
    <xf numFmtId="0" fontId="0" fillId="10838" borderId="0" xfId="0" applyFill="1"/>
    <xf numFmtId="0" fontId="0" fillId="10839" borderId="0" xfId="0" applyFill="1"/>
    <xf numFmtId="0" fontId="0" fillId="10840" borderId="0" xfId="0" applyFill="1"/>
    <xf numFmtId="0" fontId="0" fillId="10841" borderId="0" xfId="0" applyFill="1"/>
    <xf numFmtId="0" fontId="0" fillId="10842" borderId="0" xfId="0" applyFill="1"/>
    <xf numFmtId="0" fontId="0" fillId="10843" borderId="0" xfId="0" applyFill="1"/>
    <xf numFmtId="0" fontId="0" fillId="10844" borderId="0" xfId="0" applyFill="1"/>
    <xf numFmtId="0" fontId="0" fillId="10845" borderId="0" xfId="0" applyFill="1"/>
    <xf numFmtId="0" fontId="0" fillId="10846" borderId="0" xfId="0" applyFill="1"/>
    <xf numFmtId="0" fontId="0" fillId="10847" borderId="0" xfId="0" applyFill="1"/>
    <xf numFmtId="0" fontId="0" fillId="10848" borderId="0" xfId="0" applyFill="1"/>
    <xf numFmtId="0" fontId="0" fillId="10849" borderId="0" xfId="0" applyFill="1"/>
    <xf numFmtId="0" fontId="0" fillId="10850" borderId="0" xfId="0" applyFill="1"/>
    <xf numFmtId="0" fontId="0" fillId="10851" borderId="0" xfId="0" applyFill="1"/>
    <xf numFmtId="0" fontId="0" fillId="10852" borderId="0" xfId="0" applyFill="1"/>
    <xf numFmtId="0" fontId="0" fillId="10853" borderId="0" xfId="0" applyFill="1"/>
    <xf numFmtId="0" fontId="0" fillId="10854" borderId="0" xfId="0" applyFill="1"/>
    <xf numFmtId="0" fontId="0" fillId="10855" borderId="0" xfId="0" applyFill="1"/>
    <xf numFmtId="0" fontId="0" fillId="10856" borderId="0" xfId="0" applyFill="1"/>
    <xf numFmtId="0" fontId="0" fillId="10857" borderId="0" xfId="0" applyFill="1"/>
    <xf numFmtId="0" fontId="0" fillId="10858" borderId="0" xfId="0" applyFill="1"/>
    <xf numFmtId="0" fontId="0" fillId="10859" borderId="0" xfId="0" applyFill="1"/>
    <xf numFmtId="0" fontId="0" fillId="10860" borderId="0" xfId="0" applyFill="1"/>
    <xf numFmtId="0" fontId="0" fillId="10861" borderId="0" xfId="0" applyFill="1"/>
    <xf numFmtId="0" fontId="0" fillId="10862" borderId="0" xfId="0" applyFill="1"/>
    <xf numFmtId="0" fontId="0" fillId="10863" borderId="0" xfId="0" applyFill="1"/>
    <xf numFmtId="0" fontId="0" fillId="10864" borderId="0" xfId="0" applyFill="1"/>
    <xf numFmtId="0" fontId="0" fillId="10865" borderId="0" xfId="0" applyFill="1"/>
    <xf numFmtId="0" fontId="0" fillId="10866" borderId="0" xfId="0" applyFill="1"/>
    <xf numFmtId="0" fontId="0" fillId="10867" borderId="0" xfId="0" applyFill="1"/>
    <xf numFmtId="0" fontId="0" fillId="10868" borderId="0" xfId="0" applyFill="1"/>
    <xf numFmtId="0" fontId="0" fillId="10869" borderId="0" xfId="0" applyFill="1"/>
    <xf numFmtId="0" fontId="0" fillId="10870" borderId="0" xfId="0" applyFill="1"/>
    <xf numFmtId="0" fontId="0" fillId="10871" borderId="0" xfId="0" applyFill="1"/>
    <xf numFmtId="0" fontId="0" fillId="10872" borderId="0" xfId="0" applyFill="1"/>
    <xf numFmtId="0" fontId="0" fillId="10873" borderId="0" xfId="0" applyFill="1"/>
    <xf numFmtId="0" fontId="0" fillId="10874" borderId="0" xfId="0" applyFill="1"/>
    <xf numFmtId="0" fontId="0" fillId="10875" borderId="0" xfId="0" applyFill="1"/>
    <xf numFmtId="0" fontId="0" fillId="10876" borderId="0" xfId="0" applyFill="1"/>
    <xf numFmtId="0" fontId="0" fillId="10877" borderId="0" xfId="0" applyFill="1"/>
    <xf numFmtId="0" fontId="0" fillId="10878" borderId="0" xfId="0" applyFill="1"/>
    <xf numFmtId="0" fontId="0" fillId="10879" borderId="0" xfId="0" applyFill="1"/>
    <xf numFmtId="0" fontId="0" fillId="10880" borderId="0" xfId="0" applyFill="1"/>
    <xf numFmtId="0" fontId="0" fillId="10881" borderId="0" xfId="0" applyFill="1"/>
    <xf numFmtId="0" fontId="0" fillId="10882" borderId="0" xfId="0" applyFill="1"/>
    <xf numFmtId="0" fontId="0" fillId="10883" borderId="0" xfId="0" applyFill="1"/>
    <xf numFmtId="0" fontId="0" fillId="10884" borderId="0" xfId="0" applyFill="1"/>
    <xf numFmtId="0" fontId="0" fillId="10885" borderId="0" xfId="0" applyFill="1"/>
    <xf numFmtId="0" fontId="0" fillId="10886" borderId="0" xfId="0" applyFill="1"/>
    <xf numFmtId="0" fontId="0" fillId="10887" borderId="0" xfId="0" applyFill="1"/>
    <xf numFmtId="0" fontId="0" fillId="10888" borderId="0" xfId="0" applyFill="1"/>
    <xf numFmtId="0" fontId="0" fillId="10889" borderId="0" xfId="0" applyFill="1"/>
    <xf numFmtId="0" fontId="0" fillId="10890" borderId="0" xfId="0" applyFill="1"/>
    <xf numFmtId="0" fontId="0" fillId="10891" borderId="0" xfId="0" applyFill="1"/>
    <xf numFmtId="0" fontId="0" fillId="10892" borderId="0" xfId="0" applyFill="1"/>
    <xf numFmtId="0" fontId="0" fillId="10893" borderId="0" xfId="0" applyFill="1"/>
    <xf numFmtId="0" fontId="0" fillId="10894" borderId="0" xfId="0" applyFill="1"/>
    <xf numFmtId="0" fontId="0" fillId="10895" borderId="0" xfId="0" applyFill="1"/>
    <xf numFmtId="0" fontId="0" fillId="10896" borderId="0" xfId="0" applyFill="1"/>
    <xf numFmtId="0" fontId="0" fillId="10897" borderId="0" xfId="0" applyFill="1"/>
    <xf numFmtId="0" fontId="0" fillId="10898" borderId="0" xfId="0" applyFill="1"/>
    <xf numFmtId="0" fontId="0" fillId="10899" borderId="0" xfId="0" applyFill="1"/>
    <xf numFmtId="0" fontId="0" fillId="10900" borderId="0" xfId="0" applyFill="1"/>
    <xf numFmtId="0" fontId="0" fillId="10901" borderId="0" xfId="0" applyFill="1"/>
    <xf numFmtId="0" fontId="0" fillId="10902" borderId="0" xfId="0" applyFill="1"/>
    <xf numFmtId="0" fontId="0" fillId="10903" borderId="0" xfId="0" applyFill="1"/>
    <xf numFmtId="0" fontId="0" fillId="10904" borderId="0" xfId="0" applyFill="1"/>
    <xf numFmtId="0" fontId="0" fillId="10905" borderId="0" xfId="0" applyFill="1"/>
    <xf numFmtId="0" fontId="0" fillId="10906" borderId="0" xfId="0" applyFill="1"/>
    <xf numFmtId="0" fontId="0" fillId="10907" borderId="0" xfId="0" applyFill="1"/>
    <xf numFmtId="0" fontId="0" fillId="10908" borderId="0" xfId="0" applyFill="1"/>
    <xf numFmtId="0" fontId="0" fillId="10909" borderId="0" xfId="0" applyFill="1"/>
    <xf numFmtId="0" fontId="0" fillId="10910" borderId="0" xfId="0" applyFill="1"/>
    <xf numFmtId="0" fontId="0" fillId="10911" borderId="0" xfId="0" applyFill="1"/>
    <xf numFmtId="0" fontId="0" fillId="10912" borderId="0" xfId="0" applyFill="1"/>
    <xf numFmtId="0" fontId="0" fillId="10913" borderId="0" xfId="0" applyFill="1"/>
    <xf numFmtId="0" fontId="0" fillId="10914" borderId="0" xfId="0" applyFill="1"/>
    <xf numFmtId="0" fontId="0" fillId="10915" borderId="0" xfId="0" applyFill="1"/>
    <xf numFmtId="0" fontId="0" fillId="10916" borderId="0" xfId="0" applyFill="1"/>
    <xf numFmtId="0" fontId="0" fillId="10917" borderId="0" xfId="0" applyFill="1"/>
    <xf numFmtId="0" fontId="0" fillId="10918" borderId="0" xfId="0" applyFill="1"/>
    <xf numFmtId="0" fontId="0" fillId="10919" borderId="0" xfId="0" applyFill="1"/>
    <xf numFmtId="0" fontId="0" fillId="10920" borderId="0" xfId="0" applyFill="1"/>
    <xf numFmtId="0" fontId="0" fillId="10921" borderId="0" xfId="0" applyFill="1"/>
    <xf numFmtId="0" fontId="0" fillId="10922" borderId="0" xfId="0" applyFill="1"/>
    <xf numFmtId="0" fontId="0" fillId="10923" borderId="0" xfId="0" applyFill="1"/>
    <xf numFmtId="0" fontId="0" fillId="10924" borderId="0" xfId="0" applyFill="1"/>
    <xf numFmtId="0" fontId="0" fillId="10925" borderId="0" xfId="0" applyFill="1"/>
    <xf numFmtId="0" fontId="0" fillId="10926" borderId="0" xfId="0" applyFill="1"/>
    <xf numFmtId="0" fontId="0" fillId="10927" borderId="0" xfId="0" applyFill="1"/>
    <xf numFmtId="0" fontId="0" fillId="10928" borderId="0" xfId="0" applyFill="1"/>
    <xf numFmtId="0" fontId="0" fillId="10929" borderId="0" xfId="0" applyFill="1"/>
    <xf numFmtId="0" fontId="0" fillId="10930" borderId="0" xfId="0" applyFill="1"/>
    <xf numFmtId="0" fontId="0" fillId="10931" borderId="0" xfId="0" applyFill="1"/>
    <xf numFmtId="0" fontId="0" fillId="10932" borderId="0" xfId="0" applyFill="1"/>
    <xf numFmtId="0" fontId="0" fillId="10933" borderId="0" xfId="0" applyFill="1"/>
    <xf numFmtId="0" fontId="0" fillId="10934" borderId="0" xfId="0" applyFill="1"/>
    <xf numFmtId="0" fontId="0" fillId="10935" borderId="0" xfId="0" applyFill="1"/>
    <xf numFmtId="0" fontId="0" fillId="10936" borderId="0" xfId="0" applyFill="1"/>
    <xf numFmtId="0" fontId="0" fillId="10937" borderId="0" xfId="0" applyFill="1"/>
    <xf numFmtId="0" fontId="0" fillId="10938" borderId="0" xfId="0" applyFill="1"/>
    <xf numFmtId="0" fontId="0" fillId="10939" borderId="0" xfId="0" applyFill="1"/>
    <xf numFmtId="0" fontId="0" fillId="10940" borderId="0" xfId="0" applyFill="1"/>
    <xf numFmtId="0" fontId="0" fillId="10941" borderId="0" xfId="0" applyFill="1"/>
    <xf numFmtId="0" fontId="0" fillId="10942" borderId="0" xfId="0" applyFill="1"/>
    <xf numFmtId="0" fontId="0" fillId="10943" borderId="0" xfId="0" applyFill="1"/>
    <xf numFmtId="0" fontId="0" fillId="10944" borderId="0" xfId="0" applyFill="1"/>
    <xf numFmtId="0" fontId="0" fillId="10945" borderId="0" xfId="0" applyFill="1"/>
    <xf numFmtId="0" fontId="0" fillId="10946" borderId="0" xfId="0" applyFill="1"/>
    <xf numFmtId="0" fontId="0" fillId="10947" borderId="0" xfId="0" applyFill="1"/>
    <xf numFmtId="0" fontId="0" fillId="10948" borderId="0" xfId="0" applyFill="1"/>
    <xf numFmtId="0" fontId="0" fillId="10949" borderId="0" xfId="0" applyFill="1"/>
    <xf numFmtId="0" fontId="0" fillId="10950" borderId="0" xfId="0" applyFill="1"/>
    <xf numFmtId="0" fontId="0" fillId="10951" borderId="0" xfId="0" applyFill="1"/>
    <xf numFmtId="0" fontId="0" fillId="10952" borderId="0" xfId="0" applyFill="1"/>
    <xf numFmtId="0" fontId="0" fillId="10953" borderId="0" xfId="0" applyFill="1"/>
    <xf numFmtId="0" fontId="0" fillId="10954" borderId="0" xfId="0" applyFill="1"/>
    <xf numFmtId="0" fontId="0" fillId="10955" borderId="0" xfId="0" applyFill="1"/>
    <xf numFmtId="0" fontId="0" fillId="10956" borderId="0" xfId="0" applyFill="1"/>
    <xf numFmtId="0" fontId="0" fillId="10957" borderId="0" xfId="0" applyFill="1"/>
    <xf numFmtId="0" fontId="0" fillId="10958" borderId="0" xfId="0" applyFill="1"/>
    <xf numFmtId="0" fontId="0" fillId="10959" borderId="0" xfId="0" applyFill="1"/>
    <xf numFmtId="0" fontId="0" fillId="10960" borderId="0" xfId="0" applyFill="1"/>
    <xf numFmtId="0" fontId="0" fillId="10961" borderId="0" xfId="0" applyFill="1"/>
    <xf numFmtId="0" fontId="0" fillId="10962" borderId="0" xfId="0" applyFill="1"/>
    <xf numFmtId="0" fontId="0" fillId="10963" borderId="0" xfId="0" applyFill="1"/>
    <xf numFmtId="0" fontId="0" fillId="10964" borderId="0" xfId="0" applyFill="1"/>
    <xf numFmtId="0" fontId="0" fillId="10965" borderId="0" xfId="0" applyFill="1"/>
    <xf numFmtId="0" fontId="0" fillId="10966" borderId="0" xfId="0" applyFill="1"/>
    <xf numFmtId="0" fontId="0" fillId="10967" borderId="0" xfId="0" applyFill="1"/>
    <xf numFmtId="0" fontId="0" fillId="10968" borderId="0" xfId="0" applyFill="1"/>
    <xf numFmtId="0" fontId="0" fillId="10969" borderId="0" xfId="0" applyFill="1"/>
    <xf numFmtId="0" fontId="0" fillId="10970" borderId="0" xfId="0" applyFill="1"/>
    <xf numFmtId="0" fontId="0" fillId="10971" borderId="0" xfId="0" applyFill="1"/>
    <xf numFmtId="0" fontId="0" fillId="10972" borderId="0" xfId="0" applyFill="1"/>
    <xf numFmtId="0" fontId="0" fillId="10973" borderId="0" xfId="0" applyFill="1"/>
    <xf numFmtId="0" fontId="0" fillId="10974" borderId="0" xfId="0" applyFill="1"/>
    <xf numFmtId="0" fontId="0" fillId="10975" borderId="0" xfId="0" applyFill="1"/>
    <xf numFmtId="0" fontId="0" fillId="10976" borderId="0" xfId="0" applyFill="1"/>
    <xf numFmtId="0" fontId="0" fillId="10977" borderId="0" xfId="0" applyFill="1"/>
    <xf numFmtId="0" fontId="0" fillId="10978" borderId="0" xfId="0" applyFill="1"/>
    <xf numFmtId="0" fontId="0" fillId="10979" borderId="0" xfId="0" applyFill="1"/>
    <xf numFmtId="0" fontId="0" fillId="10980" borderId="0" xfId="0" applyFill="1"/>
    <xf numFmtId="0" fontId="0" fillId="10981" borderId="0" xfId="0" applyFill="1"/>
    <xf numFmtId="0" fontId="0" fillId="10982" borderId="0" xfId="0" applyFill="1"/>
    <xf numFmtId="0" fontId="0" fillId="10983" borderId="0" xfId="0" applyFill="1"/>
    <xf numFmtId="0" fontId="0" fillId="10984" borderId="0" xfId="0" applyFill="1"/>
    <xf numFmtId="0" fontId="0" fillId="10985" borderId="0" xfId="0" applyFill="1"/>
    <xf numFmtId="0" fontId="0" fillId="10986" borderId="0" xfId="0" applyFill="1"/>
    <xf numFmtId="0" fontId="0" fillId="10987" borderId="0" xfId="0" applyFill="1"/>
    <xf numFmtId="0" fontId="0" fillId="10988" borderId="0" xfId="0" applyFill="1"/>
    <xf numFmtId="0" fontId="0" fillId="10989" borderId="0" xfId="0" applyFill="1"/>
    <xf numFmtId="0" fontId="0" fillId="10990" borderId="0" xfId="0" applyFill="1"/>
    <xf numFmtId="0" fontId="0" fillId="10991" borderId="0" xfId="0" applyFill="1"/>
    <xf numFmtId="0" fontId="0" fillId="10992" borderId="0" xfId="0" applyFill="1"/>
    <xf numFmtId="0" fontId="0" fillId="10993" borderId="0" xfId="0" applyFill="1"/>
    <xf numFmtId="0" fontId="0" fillId="10994" borderId="0" xfId="0" applyFill="1"/>
    <xf numFmtId="0" fontId="0" fillId="10995" borderId="0" xfId="0" applyFill="1"/>
    <xf numFmtId="0" fontId="0" fillId="10996" borderId="0" xfId="0" applyFill="1"/>
    <xf numFmtId="0" fontId="0" fillId="10997" borderId="0" xfId="0" applyFill="1"/>
    <xf numFmtId="0" fontId="0" fillId="10998" borderId="0" xfId="0" applyFill="1"/>
    <xf numFmtId="0" fontId="0" fillId="10999" borderId="0" xfId="0" applyFill="1"/>
    <xf numFmtId="0" fontId="0" fillId="11000" borderId="0" xfId="0" applyFill="1"/>
    <xf numFmtId="0" fontId="0" fillId="11001" borderId="0" xfId="0" applyFill="1"/>
    <xf numFmtId="0" fontId="0" fillId="11002" borderId="0" xfId="0" applyFill="1"/>
    <xf numFmtId="0" fontId="0" fillId="11003" borderId="0" xfId="0" applyFill="1"/>
    <xf numFmtId="0" fontId="0" fillId="11004" borderId="0" xfId="0" applyFill="1"/>
    <xf numFmtId="0" fontId="0" fillId="11005" borderId="0" xfId="0" applyFill="1"/>
    <xf numFmtId="0" fontId="0" fillId="11006" borderId="0" xfId="0" applyFill="1"/>
    <xf numFmtId="0" fontId="0" fillId="11007" borderId="0" xfId="0" applyFill="1"/>
    <xf numFmtId="0" fontId="0" fillId="11008" borderId="0" xfId="0" applyFill="1"/>
    <xf numFmtId="0" fontId="0" fillId="11009" borderId="0" xfId="0" applyFill="1"/>
    <xf numFmtId="0" fontId="0" fillId="11010" borderId="0" xfId="0" applyFill="1"/>
    <xf numFmtId="0" fontId="0" fillId="11011" borderId="0" xfId="0" applyFill="1"/>
    <xf numFmtId="0" fontId="0" fillId="11012" borderId="0" xfId="0" applyFill="1"/>
    <xf numFmtId="0" fontId="0" fillId="11013" borderId="0" xfId="0" applyFill="1"/>
    <xf numFmtId="0" fontId="0" fillId="11014" borderId="0" xfId="0" applyFill="1"/>
    <xf numFmtId="0" fontId="0" fillId="11015" borderId="0" xfId="0" applyFill="1"/>
    <xf numFmtId="0" fontId="0" fillId="11016" borderId="0" xfId="0" applyFill="1"/>
    <xf numFmtId="0" fontId="0" fillId="11017" borderId="0" xfId="0" applyFill="1"/>
    <xf numFmtId="0" fontId="0" fillId="11018" borderId="0" xfId="0" applyFill="1"/>
    <xf numFmtId="0" fontId="0" fillId="11019" borderId="0" xfId="0" applyFill="1"/>
    <xf numFmtId="0" fontId="0" fillId="11020" borderId="0" xfId="0" applyFill="1"/>
    <xf numFmtId="0" fontId="0" fillId="11021" borderId="0" xfId="0" applyFill="1"/>
    <xf numFmtId="0" fontId="0" fillId="11022" borderId="0" xfId="0" applyFill="1"/>
    <xf numFmtId="0" fontId="0" fillId="11023" borderId="0" xfId="0" applyFill="1"/>
    <xf numFmtId="0" fontId="0" fillId="11024" borderId="0" xfId="0" applyFill="1"/>
    <xf numFmtId="0" fontId="0" fillId="11025" borderId="0" xfId="0" applyFill="1"/>
    <xf numFmtId="0" fontId="0" fillId="11026" borderId="0" xfId="0" applyFill="1"/>
    <xf numFmtId="0" fontId="0" fillId="11027" borderId="0" xfId="0" applyFill="1"/>
    <xf numFmtId="0" fontId="0" fillId="11028" borderId="0" xfId="0" applyFill="1"/>
    <xf numFmtId="0" fontId="0" fillId="11029" borderId="0" xfId="0" applyFill="1"/>
    <xf numFmtId="0" fontId="0" fillId="11030" borderId="0" xfId="0" applyFill="1"/>
    <xf numFmtId="0" fontId="0" fillId="11031" borderId="0" xfId="0" applyFill="1"/>
    <xf numFmtId="0" fontId="0" fillId="11032" borderId="0" xfId="0" applyFill="1"/>
    <xf numFmtId="0" fontId="0" fillId="11033" borderId="0" xfId="0" applyFill="1"/>
    <xf numFmtId="0" fontId="0" fillId="11034" borderId="0" xfId="0" applyFill="1"/>
    <xf numFmtId="0" fontId="0" fillId="11035" borderId="0" xfId="0" applyFill="1"/>
    <xf numFmtId="0" fontId="0" fillId="11036" borderId="0" xfId="0" applyFill="1"/>
    <xf numFmtId="0" fontId="0" fillId="11037" borderId="0" xfId="0" applyFill="1"/>
    <xf numFmtId="0" fontId="0" fillId="11038" borderId="0" xfId="0" applyFill="1"/>
    <xf numFmtId="0" fontId="0" fillId="11039" borderId="0" xfId="0" applyFill="1"/>
    <xf numFmtId="0" fontId="0" fillId="11040" borderId="0" xfId="0" applyFill="1"/>
    <xf numFmtId="0" fontId="0" fillId="11041" borderId="0" xfId="0" applyFill="1"/>
    <xf numFmtId="0" fontId="0" fillId="11042" borderId="0" xfId="0" applyFill="1"/>
    <xf numFmtId="0" fontId="0" fillId="11043" borderId="0" xfId="0" applyFill="1"/>
    <xf numFmtId="0" fontId="0" fillId="11044" borderId="0" xfId="0" applyFill="1"/>
    <xf numFmtId="0" fontId="0" fillId="11045" borderId="0" xfId="0" applyFill="1"/>
    <xf numFmtId="0" fontId="0" fillId="11046" borderId="0" xfId="0" applyFill="1"/>
    <xf numFmtId="0" fontId="0" fillId="11047" borderId="0" xfId="0" applyFill="1"/>
    <xf numFmtId="0" fontId="0" fillId="11048" borderId="0" xfId="0" applyFill="1"/>
    <xf numFmtId="0" fontId="0" fillId="11049" borderId="0" xfId="0" applyFill="1"/>
    <xf numFmtId="0" fontId="0" fillId="11050" borderId="0" xfId="0" applyFill="1"/>
    <xf numFmtId="0" fontId="0" fillId="11051" borderId="0" xfId="0" applyFill="1"/>
    <xf numFmtId="0" fontId="0" fillId="11052" borderId="0" xfId="0" applyFill="1"/>
    <xf numFmtId="0" fontId="0" fillId="11053" borderId="0" xfId="0" applyFill="1"/>
    <xf numFmtId="0" fontId="0" fillId="11054" borderId="0" xfId="0" applyFill="1"/>
    <xf numFmtId="0" fontId="0" fillId="11055" borderId="0" xfId="0" applyFill="1"/>
    <xf numFmtId="0" fontId="0" fillId="11056" borderId="0" xfId="0" applyFill="1"/>
    <xf numFmtId="0" fontId="0" fillId="11057" borderId="0" xfId="0" applyFill="1"/>
    <xf numFmtId="0" fontId="0" fillId="11058" borderId="0" xfId="0" applyFill="1"/>
    <xf numFmtId="0" fontId="0" fillId="11059" borderId="0" xfId="0" applyFill="1"/>
    <xf numFmtId="0" fontId="0" fillId="11060" borderId="0" xfId="0" applyFill="1"/>
    <xf numFmtId="0" fontId="0" fillId="11061" borderId="0" xfId="0" applyFill="1"/>
    <xf numFmtId="0" fontId="0" fillId="11062" borderId="0" xfId="0" applyFill="1"/>
    <xf numFmtId="0" fontId="0" fillId="11063" borderId="0" xfId="0" applyFill="1"/>
    <xf numFmtId="0" fontId="0" fillId="11064" borderId="0" xfId="0" applyFill="1"/>
    <xf numFmtId="0" fontId="0" fillId="11065" borderId="0" xfId="0" applyFill="1"/>
    <xf numFmtId="0" fontId="0" fillId="11066" borderId="0" xfId="0" applyFill="1"/>
    <xf numFmtId="0" fontId="0" fillId="11067" borderId="0" xfId="0" applyFill="1"/>
    <xf numFmtId="0" fontId="0" fillId="11068" borderId="0" xfId="0" applyFill="1"/>
    <xf numFmtId="0" fontId="0" fillId="11069" borderId="0" xfId="0" applyFill="1"/>
    <xf numFmtId="0" fontId="0" fillId="11070" borderId="0" xfId="0" applyFill="1"/>
    <xf numFmtId="0" fontId="0" fillId="11071" borderId="0" xfId="0" applyFill="1"/>
    <xf numFmtId="0" fontId="0" fillId="11072" borderId="0" xfId="0" applyFill="1"/>
    <xf numFmtId="0" fontId="0" fillId="11073" borderId="0" xfId="0" applyFill="1"/>
    <xf numFmtId="0" fontId="0" fillId="11074" borderId="0" xfId="0" applyFill="1"/>
    <xf numFmtId="0" fontId="0" fillId="11075" borderId="0" xfId="0" applyFill="1"/>
    <xf numFmtId="0" fontId="0" fillId="11076" borderId="0" xfId="0" applyFill="1"/>
    <xf numFmtId="0" fontId="0" fillId="11077" borderId="0" xfId="0" applyFill="1"/>
    <xf numFmtId="0" fontId="0" fillId="11078" borderId="0" xfId="0" applyFill="1"/>
    <xf numFmtId="0" fontId="0" fillId="11079" borderId="0" xfId="0" applyFill="1"/>
    <xf numFmtId="0" fontId="0" fillId="11080" borderId="0" xfId="0" applyFill="1"/>
    <xf numFmtId="0" fontId="0" fillId="11081" borderId="0" xfId="0" applyFill="1"/>
    <xf numFmtId="0" fontId="0" fillId="11082" borderId="0" xfId="0" applyFill="1"/>
    <xf numFmtId="0" fontId="0" fillId="11083" borderId="0" xfId="0" applyFill="1"/>
    <xf numFmtId="0" fontId="0" fillId="11084" borderId="0" xfId="0" applyFill="1"/>
    <xf numFmtId="0" fontId="0" fillId="11085" borderId="0" xfId="0" applyFill="1"/>
    <xf numFmtId="0" fontId="0" fillId="11086" borderId="0" xfId="0" applyFill="1"/>
    <xf numFmtId="0" fontId="0" fillId="11087" borderId="0" xfId="0" applyFill="1"/>
    <xf numFmtId="0" fontId="0" fillId="11088" borderId="0" xfId="0" applyFill="1"/>
    <xf numFmtId="0" fontId="0" fillId="11089" borderId="0" xfId="0" applyFill="1"/>
    <xf numFmtId="0" fontId="0" fillId="11090" borderId="0" xfId="0" applyFill="1"/>
    <xf numFmtId="0" fontId="0" fillId="11091" borderId="0" xfId="0" applyFill="1"/>
    <xf numFmtId="0" fontId="0" fillId="11092" borderId="0" xfId="0" applyFill="1"/>
    <xf numFmtId="0" fontId="0" fillId="11093" borderId="0" xfId="0" applyFill="1"/>
    <xf numFmtId="0" fontId="0" fillId="11094" borderId="0" xfId="0" applyFill="1"/>
    <xf numFmtId="0" fontId="0" fillId="11095" borderId="0" xfId="0" applyFill="1"/>
    <xf numFmtId="0" fontId="0" fillId="11096" borderId="0" xfId="0" applyFill="1"/>
    <xf numFmtId="0" fontId="0" fillId="11097" borderId="0" xfId="0" applyFill="1"/>
    <xf numFmtId="0" fontId="0" fillId="11098" borderId="0" xfId="0" applyFill="1"/>
    <xf numFmtId="0" fontId="0" fillId="11099" borderId="0" xfId="0" applyFill="1"/>
    <xf numFmtId="0" fontId="0" fillId="11100" borderId="0" xfId="0" applyFill="1"/>
    <xf numFmtId="0" fontId="0" fillId="11101" borderId="0" xfId="0" applyFill="1"/>
    <xf numFmtId="0" fontId="0" fillId="11102" borderId="0" xfId="0" applyFill="1"/>
    <xf numFmtId="0" fontId="0" fillId="11103" borderId="0" xfId="0" applyFill="1"/>
    <xf numFmtId="0" fontId="0" fillId="11104" borderId="0" xfId="0" applyFill="1"/>
    <xf numFmtId="0" fontId="0" fillId="11105" borderId="0" xfId="0" applyFill="1"/>
    <xf numFmtId="0" fontId="0" fillId="11106" borderId="0" xfId="0" applyFill="1"/>
    <xf numFmtId="0" fontId="0" fillId="11107" borderId="0" xfId="0" applyFill="1"/>
    <xf numFmtId="0" fontId="0" fillId="11108" borderId="0" xfId="0" applyFill="1"/>
    <xf numFmtId="0" fontId="0" fillId="11109" borderId="0" xfId="0" applyFill="1"/>
    <xf numFmtId="0" fontId="0" fillId="11110" borderId="0" xfId="0" applyFill="1"/>
    <xf numFmtId="0" fontId="0" fillId="11111" borderId="0" xfId="0" applyFill="1"/>
    <xf numFmtId="0" fontId="0" fillId="11112" borderId="0" xfId="0" applyFill="1"/>
    <xf numFmtId="0" fontId="0" fillId="11113" borderId="0" xfId="0" applyFill="1"/>
    <xf numFmtId="0" fontId="0" fillId="11114" borderId="0" xfId="0" applyFill="1"/>
    <xf numFmtId="0" fontId="0" fillId="11115" borderId="0" xfId="0" applyFill="1"/>
    <xf numFmtId="0" fontId="0" fillId="11116" borderId="0" xfId="0" applyFill="1"/>
    <xf numFmtId="0" fontId="0" fillId="11117" borderId="0" xfId="0" applyFill="1"/>
    <xf numFmtId="0" fontId="0" fillId="11118" borderId="0" xfId="0" applyFill="1"/>
    <xf numFmtId="0" fontId="0" fillId="11119" borderId="0" xfId="0" applyFill="1"/>
    <xf numFmtId="0" fontId="0" fillId="11120" borderId="0" xfId="0" applyFill="1"/>
    <xf numFmtId="0" fontId="0" fillId="11121" borderId="0" xfId="0" applyFill="1"/>
    <xf numFmtId="0" fontId="0" fillId="11122" borderId="0" xfId="0" applyFill="1"/>
    <xf numFmtId="0" fontId="0" fillId="11123" borderId="0" xfId="0" applyFill="1"/>
    <xf numFmtId="0" fontId="0" fillId="11124" borderId="0" xfId="0" applyFill="1"/>
    <xf numFmtId="0" fontId="0" fillId="11125" borderId="0" xfId="0" applyFill="1"/>
    <xf numFmtId="0" fontId="0" fillId="11126" borderId="0" xfId="0" applyFill="1"/>
    <xf numFmtId="0" fontId="0" fillId="11127" borderId="0" xfId="0" applyFill="1"/>
    <xf numFmtId="0" fontId="0" fillId="11128" borderId="0" xfId="0" applyFill="1"/>
    <xf numFmtId="0" fontId="0" fillId="11129" borderId="0" xfId="0" applyFill="1"/>
    <xf numFmtId="0" fontId="0" fillId="11130" borderId="0" xfId="0" applyFill="1"/>
    <xf numFmtId="0" fontId="0" fillId="11131" borderId="0" xfId="0" applyFill="1"/>
    <xf numFmtId="0" fontId="0" fillId="11132" borderId="0" xfId="0" applyFill="1"/>
    <xf numFmtId="0" fontId="0" fillId="11133" borderId="0" xfId="0" applyFill="1"/>
    <xf numFmtId="0" fontId="0" fillId="11134" borderId="0" xfId="0" applyFill="1"/>
    <xf numFmtId="0" fontId="0" fillId="11135" borderId="0" xfId="0" applyFill="1"/>
    <xf numFmtId="0" fontId="0" fillId="11136" borderId="0" xfId="0" applyFill="1"/>
    <xf numFmtId="0" fontId="0" fillId="11137" borderId="0" xfId="0" applyFill="1"/>
    <xf numFmtId="0" fontId="0" fillId="11138" borderId="0" xfId="0" applyFill="1"/>
    <xf numFmtId="0" fontId="0" fillId="11139" borderId="0" xfId="0" applyFill="1"/>
    <xf numFmtId="0" fontId="0" fillId="11140" borderId="0" xfId="0" applyFill="1"/>
    <xf numFmtId="0" fontId="0" fillId="11141" borderId="0" xfId="0" applyFill="1"/>
    <xf numFmtId="0" fontId="0" fillId="11142" borderId="0" xfId="0" applyFill="1"/>
    <xf numFmtId="0" fontId="0" fillId="11143" borderId="0" xfId="0" applyFill="1"/>
    <xf numFmtId="0" fontId="0" fillId="11144" borderId="0" xfId="0" applyFill="1"/>
    <xf numFmtId="0" fontId="0" fillId="11145" borderId="0" xfId="0" applyFill="1"/>
    <xf numFmtId="0" fontId="0" fillId="11146" borderId="0" xfId="0" applyFill="1"/>
    <xf numFmtId="0" fontId="0" fillId="11147" borderId="0" xfId="0" applyFill="1"/>
    <xf numFmtId="0" fontId="0" fillId="11148" borderId="0" xfId="0" applyFill="1"/>
    <xf numFmtId="0" fontId="0" fillId="11149" borderId="0" xfId="0" applyFill="1"/>
    <xf numFmtId="0" fontId="0" fillId="11150" borderId="0" xfId="0" applyFill="1"/>
    <xf numFmtId="0" fontId="0" fillId="11151" borderId="0" xfId="0" applyFill="1"/>
    <xf numFmtId="0" fontId="0" fillId="11152" borderId="0" xfId="0" applyFill="1"/>
    <xf numFmtId="0" fontId="0" fillId="11153" borderId="0" xfId="0" applyFill="1"/>
    <xf numFmtId="0" fontId="0" fillId="11154" borderId="0" xfId="0" applyFill="1"/>
    <xf numFmtId="0" fontId="0" fillId="11155" borderId="0" xfId="0" applyFill="1"/>
    <xf numFmtId="0" fontId="0" fillId="11156" borderId="0" xfId="0" applyFill="1"/>
    <xf numFmtId="0" fontId="0" fillId="11157" borderId="0" xfId="0" applyFill="1"/>
    <xf numFmtId="0" fontId="0" fillId="11158" borderId="0" xfId="0" applyFill="1"/>
    <xf numFmtId="0" fontId="0" fillId="11159" borderId="0" xfId="0" applyFill="1"/>
    <xf numFmtId="0" fontId="0" fillId="11160" borderId="0" xfId="0" applyFill="1"/>
    <xf numFmtId="0" fontId="0" fillId="11161" borderId="0" xfId="0" applyFill="1"/>
    <xf numFmtId="0" fontId="0" fillId="11162" borderId="0" xfId="0" applyFill="1"/>
    <xf numFmtId="0" fontId="0" fillId="11163" borderId="0" xfId="0" applyFill="1"/>
    <xf numFmtId="0" fontId="0" fillId="11164" borderId="0" xfId="0" applyFill="1"/>
    <xf numFmtId="0" fontId="0" fillId="11165" borderId="0" xfId="0" applyFill="1"/>
    <xf numFmtId="0" fontId="0" fillId="11166" borderId="0" xfId="0" applyFill="1"/>
    <xf numFmtId="0" fontId="0" fillId="11167" borderId="0" xfId="0" applyFill="1"/>
    <xf numFmtId="0" fontId="0" fillId="11168" borderId="0" xfId="0" applyFill="1"/>
    <xf numFmtId="0" fontId="0" fillId="11169" borderId="0" xfId="0" applyFill="1"/>
    <xf numFmtId="0" fontId="0" fillId="11170" borderId="0" xfId="0" applyFill="1"/>
    <xf numFmtId="0" fontId="0" fillId="11171" borderId="0" xfId="0" applyFill="1"/>
    <xf numFmtId="0" fontId="0" fillId="11172" borderId="0" xfId="0" applyFill="1"/>
    <xf numFmtId="0" fontId="0" fillId="11173" borderId="0" xfId="0" applyFill="1"/>
    <xf numFmtId="0" fontId="0" fillId="11174" borderId="0" xfId="0" applyFill="1"/>
    <xf numFmtId="0" fontId="0" fillId="11175" borderId="0" xfId="0" applyFill="1"/>
    <xf numFmtId="0" fontId="0" fillId="11176" borderId="0" xfId="0" applyFill="1"/>
    <xf numFmtId="0" fontId="0" fillId="11177" borderId="0" xfId="0" applyFill="1"/>
    <xf numFmtId="0" fontId="0" fillId="11178" borderId="0" xfId="0" applyFill="1"/>
    <xf numFmtId="0" fontId="0" fillId="11179" borderId="0" xfId="0" applyFill="1"/>
    <xf numFmtId="0" fontId="0" fillId="11180" borderId="0" xfId="0" applyFill="1"/>
    <xf numFmtId="0" fontId="0" fillId="11181" borderId="0" xfId="0" applyFill="1"/>
    <xf numFmtId="0" fontId="0" fillId="11182" borderId="0" xfId="0" applyFill="1"/>
    <xf numFmtId="0" fontId="0" fillId="11183" borderId="0" xfId="0" applyFill="1"/>
    <xf numFmtId="0" fontId="0" fillId="11184" borderId="0" xfId="0" applyFill="1"/>
    <xf numFmtId="0" fontId="0" fillId="11185" borderId="0" xfId="0" applyFill="1"/>
    <xf numFmtId="0" fontId="0" fillId="11186" borderId="0" xfId="0" applyFill="1"/>
    <xf numFmtId="0" fontId="0" fillId="11187" borderId="0" xfId="0" applyFill="1"/>
    <xf numFmtId="0" fontId="0" fillId="11188" borderId="0" xfId="0" applyFill="1"/>
    <xf numFmtId="0" fontId="0" fillId="11189" borderId="0" xfId="0" applyFill="1"/>
    <xf numFmtId="0" fontId="0" fillId="11190" borderId="0" xfId="0" applyFill="1"/>
    <xf numFmtId="0" fontId="0" fillId="11191" borderId="0" xfId="0" applyFill="1"/>
    <xf numFmtId="0" fontId="0" fillId="11192" borderId="0" xfId="0" applyFill="1"/>
    <xf numFmtId="0" fontId="0" fillId="11193" borderId="0" xfId="0" applyFill="1"/>
    <xf numFmtId="0" fontId="0" fillId="11194" borderId="0" xfId="0" applyFill="1"/>
    <xf numFmtId="0" fontId="0" fillId="11195" borderId="0" xfId="0" applyFill="1"/>
    <xf numFmtId="0" fontId="0" fillId="11196" borderId="0" xfId="0" applyFill="1"/>
    <xf numFmtId="0" fontId="0" fillId="11197" borderId="0" xfId="0" applyFill="1"/>
    <xf numFmtId="0" fontId="0" fillId="11198" borderId="0" xfId="0" applyFill="1"/>
    <xf numFmtId="0" fontId="0" fillId="11199" borderId="0" xfId="0" applyFill="1"/>
    <xf numFmtId="0" fontId="0" fillId="11200" borderId="0" xfId="0" applyFill="1"/>
    <xf numFmtId="0" fontId="0" fillId="11201" borderId="0" xfId="0" applyFill="1"/>
    <xf numFmtId="0" fontId="0" fillId="11202" borderId="0" xfId="0" applyFill="1"/>
    <xf numFmtId="0" fontId="0" fillId="11203" borderId="0" xfId="0" applyFill="1"/>
    <xf numFmtId="0" fontId="0" fillId="11204" borderId="0" xfId="0" applyFill="1"/>
    <xf numFmtId="0" fontId="0" fillId="11205" borderId="0" xfId="0" applyFill="1"/>
    <xf numFmtId="0" fontId="0" fillId="11206" borderId="0" xfId="0" applyFill="1"/>
    <xf numFmtId="0" fontId="0" fillId="11207" borderId="0" xfId="0" applyFill="1"/>
    <xf numFmtId="0" fontId="0" fillId="11208" borderId="0" xfId="0" applyFill="1"/>
    <xf numFmtId="0" fontId="0" fillId="11209" borderId="0" xfId="0" applyFill="1"/>
    <xf numFmtId="0" fontId="0" fillId="11210" borderId="0" xfId="0" applyFill="1"/>
    <xf numFmtId="0" fontId="0" fillId="11211" borderId="0" xfId="0" applyFill="1"/>
    <xf numFmtId="0" fontId="0" fillId="11212" borderId="0" xfId="0" applyFill="1"/>
    <xf numFmtId="0" fontId="0" fillId="11213" borderId="0" xfId="0" applyFill="1"/>
    <xf numFmtId="0" fontId="0" fillId="11214" borderId="0" xfId="0" applyFill="1"/>
    <xf numFmtId="0" fontId="0" fillId="11215" borderId="0" xfId="0" applyFill="1"/>
    <xf numFmtId="0" fontId="0" fillId="11216" borderId="0" xfId="0" applyFill="1"/>
    <xf numFmtId="0" fontId="0" fillId="11217" borderId="0" xfId="0" applyFill="1"/>
    <xf numFmtId="0" fontId="0" fillId="11218" borderId="0" xfId="0" applyFill="1"/>
    <xf numFmtId="0" fontId="0" fillId="11219" borderId="0" xfId="0" applyFill="1"/>
    <xf numFmtId="0" fontId="0" fillId="11220" borderId="0" xfId="0" applyFill="1"/>
    <xf numFmtId="0" fontId="0" fillId="11221" borderId="0" xfId="0" applyFill="1"/>
    <xf numFmtId="0" fontId="0" fillId="11222" borderId="0" xfId="0" applyFill="1"/>
    <xf numFmtId="0" fontId="0" fillId="11223" borderId="0" xfId="0" applyFill="1"/>
    <xf numFmtId="0" fontId="0" fillId="11224" borderId="0" xfId="0" applyFill="1"/>
    <xf numFmtId="0" fontId="0" fillId="11225" borderId="0" xfId="0" applyFill="1"/>
    <xf numFmtId="0" fontId="0" fillId="11226" borderId="0" xfId="0" applyFill="1"/>
    <xf numFmtId="0" fontId="0" fillId="11227" borderId="0" xfId="0" applyFill="1"/>
    <xf numFmtId="0" fontId="0" fillId="11228" borderId="0" xfId="0" applyFill="1"/>
    <xf numFmtId="0" fontId="0" fillId="11229" borderId="0" xfId="0" applyFill="1"/>
    <xf numFmtId="0" fontId="0" fillId="11230" borderId="0" xfId="0" applyFill="1"/>
    <xf numFmtId="0" fontId="0" fillId="11231" borderId="0" xfId="0" applyFill="1"/>
    <xf numFmtId="0" fontId="0" fillId="11232" borderId="0" xfId="0" applyFill="1"/>
    <xf numFmtId="0" fontId="0" fillId="11233" borderId="0" xfId="0" applyFill="1"/>
    <xf numFmtId="0" fontId="0" fillId="11234" borderId="0" xfId="0" applyFill="1"/>
    <xf numFmtId="0" fontId="0" fillId="11235" borderId="0" xfId="0" applyFill="1"/>
    <xf numFmtId="0" fontId="0" fillId="11236" borderId="0" xfId="0" applyFill="1"/>
    <xf numFmtId="0" fontId="0" fillId="11237" borderId="0" xfId="0" applyFill="1"/>
    <xf numFmtId="0" fontId="0" fillId="11238" borderId="0" xfId="0" applyFill="1"/>
    <xf numFmtId="0" fontId="0" fillId="11239" borderId="0" xfId="0" applyFill="1"/>
    <xf numFmtId="0" fontId="0" fillId="11240" borderId="0" xfId="0" applyFill="1"/>
    <xf numFmtId="0" fontId="0" fillId="11241" borderId="0" xfId="0" applyFill="1"/>
    <xf numFmtId="0" fontId="0" fillId="11242" borderId="0" xfId="0" applyFill="1"/>
    <xf numFmtId="0" fontId="0" fillId="11243" borderId="0" xfId="0" applyFill="1"/>
    <xf numFmtId="0" fontId="0" fillId="11244" borderId="0" xfId="0" applyFill="1"/>
    <xf numFmtId="0" fontId="0" fillId="11245" borderId="0" xfId="0" applyFill="1"/>
    <xf numFmtId="0" fontId="0" fillId="11246" borderId="0" xfId="0" applyFill="1"/>
    <xf numFmtId="0" fontId="0" fillId="11247" borderId="0" xfId="0" applyFill="1"/>
    <xf numFmtId="0" fontId="0" fillId="11248" borderId="0" xfId="0" applyFill="1"/>
    <xf numFmtId="0" fontId="0" fillId="11249" borderId="0" xfId="0" applyFill="1"/>
    <xf numFmtId="0" fontId="0" fillId="11250" borderId="0" xfId="0" applyFill="1"/>
    <xf numFmtId="0" fontId="0" fillId="11251" borderId="0" xfId="0" applyFill="1"/>
    <xf numFmtId="0" fontId="0" fillId="11252" borderId="0" xfId="0" applyFill="1"/>
    <xf numFmtId="0" fontId="0" fillId="11253" borderId="0" xfId="0" applyFill="1"/>
    <xf numFmtId="0" fontId="0" fillId="11254" borderId="0" xfId="0" applyFill="1"/>
    <xf numFmtId="0" fontId="0" fillId="11255" borderId="0" xfId="0" applyFill="1"/>
    <xf numFmtId="0" fontId="0" fillId="11256" borderId="0" xfId="0" applyFill="1"/>
    <xf numFmtId="0" fontId="0" fillId="11257" borderId="0" xfId="0" applyFill="1"/>
    <xf numFmtId="0" fontId="0" fillId="11258" borderId="0" xfId="0" applyFill="1"/>
    <xf numFmtId="0" fontId="0" fillId="11259" borderId="0" xfId="0" applyFill="1"/>
    <xf numFmtId="0" fontId="0" fillId="11260" borderId="0" xfId="0" applyFill="1"/>
    <xf numFmtId="0" fontId="0" fillId="11261" borderId="0" xfId="0" applyFill="1"/>
    <xf numFmtId="0" fontId="0" fillId="11262" borderId="0" xfId="0" applyFill="1"/>
    <xf numFmtId="0" fontId="0" fillId="11263" borderId="0" xfId="0" applyFill="1"/>
    <xf numFmtId="0" fontId="0" fillId="11264" borderId="0" xfId="0" applyFill="1"/>
    <xf numFmtId="0" fontId="0" fillId="11265" borderId="0" xfId="0" applyFill="1"/>
    <xf numFmtId="0" fontId="0" fillId="11266" borderId="0" xfId="0" applyFill="1"/>
    <xf numFmtId="0" fontId="0" fillId="11267" borderId="0" xfId="0" applyFill="1"/>
    <xf numFmtId="0" fontId="0" fillId="11268" borderId="0" xfId="0" applyFill="1"/>
    <xf numFmtId="0" fontId="0" fillId="11269" borderId="0" xfId="0" applyFill="1"/>
    <xf numFmtId="0" fontId="0" fillId="11270" borderId="0" xfId="0" applyFill="1"/>
    <xf numFmtId="0" fontId="0" fillId="11271" borderId="0" xfId="0" applyFill="1"/>
    <xf numFmtId="0" fontId="0" fillId="11272" borderId="0" xfId="0" applyFill="1"/>
    <xf numFmtId="0" fontId="0" fillId="11273" borderId="0" xfId="0" applyFill="1"/>
    <xf numFmtId="0" fontId="0" fillId="11274" borderId="0" xfId="0" applyFill="1"/>
    <xf numFmtId="0" fontId="0" fillId="11275" borderId="0" xfId="0" applyFill="1"/>
    <xf numFmtId="0" fontId="0" fillId="11276" borderId="0" xfId="0" applyFill="1"/>
    <xf numFmtId="0" fontId="0" fillId="11277" borderId="0" xfId="0" applyFill="1"/>
    <xf numFmtId="0" fontId="0" fillId="11278" borderId="0" xfId="0" applyFill="1"/>
    <xf numFmtId="0" fontId="0" fillId="11279" borderId="0" xfId="0" applyFill="1"/>
    <xf numFmtId="0" fontId="0" fillId="11280" borderId="0" xfId="0" applyFill="1"/>
    <xf numFmtId="0" fontId="0" fillId="11281" borderId="0" xfId="0" applyFill="1"/>
    <xf numFmtId="0" fontId="0" fillId="11282" borderId="0" xfId="0" applyFill="1"/>
    <xf numFmtId="0" fontId="0" fillId="11283" borderId="0" xfId="0" applyFill="1"/>
    <xf numFmtId="0" fontId="0" fillId="11284" borderId="0" xfId="0" applyFill="1"/>
    <xf numFmtId="0" fontId="0" fillId="11285" borderId="0" xfId="0" applyFill="1"/>
    <xf numFmtId="0" fontId="0" fillId="11286" borderId="0" xfId="0" applyFill="1"/>
    <xf numFmtId="0" fontId="0" fillId="11287" borderId="0" xfId="0" applyFill="1"/>
    <xf numFmtId="0" fontId="0" fillId="11288" borderId="0" xfId="0" applyFill="1"/>
    <xf numFmtId="0" fontId="0" fillId="11289" borderId="0" xfId="0" applyFill="1"/>
    <xf numFmtId="0" fontId="0" fillId="11290" borderId="0" xfId="0" applyFill="1"/>
    <xf numFmtId="0" fontId="0" fillId="11291" borderId="0" xfId="0" applyFill="1"/>
    <xf numFmtId="0" fontId="0" fillId="11292" borderId="0" xfId="0" applyFill="1"/>
    <xf numFmtId="0" fontId="0" fillId="11293" borderId="0" xfId="0" applyFill="1"/>
    <xf numFmtId="0" fontId="0" fillId="11294" borderId="0" xfId="0" applyFill="1"/>
    <xf numFmtId="0" fontId="0" fillId="11295" borderId="0" xfId="0" applyFill="1"/>
    <xf numFmtId="0" fontId="0" fillId="11296" borderId="0" xfId="0" applyFill="1"/>
    <xf numFmtId="0" fontId="0" fillId="11297" borderId="0" xfId="0" applyFill="1"/>
    <xf numFmtId="0" fontId="0" fillId="11298" borderId="0" xfId="0" applyFill="1"/>
    <xf numFmtId="0" fontId="0" fillId="11299" borderId="0" xfId="0" applyFill="1"/>
    <xf numFmtId="0" fontId="0" fillId="11300" borderId="0" xfId="0" applyFill="1"/>
    <xf numFmtId="0" fontId="0" fillId="11301" borderId="0" xfId="0" applyFill="1"/>
    <xf numFmtId="0" fontId="0" fillId="11302" borderId="0" xfId="0" applyFill="1"/>
    <xf numFmtId="0" fontId="0" fillId="11303" borderId="0" xfId="0" applyFill="1"/>
    <xf numFmtId="0" fontId="0" fillId="11304" borderId="0" xfId="0" applyFill="1"/>
    <xf numFmtId="0" fontId="0" fillId="11305" borderId="0" xfId="0" applyFill="1"/>
    <xf numFmtId="0" fontId="0" fillId="11306" borderId="0" xfId="0" applyFill="1"/>
    <xf numFmtId="0" fontId="0" fillId="11307" borderId="0" xfId="0" applyFill="1"/>
    <xf numFmtId="0" fontId="0" fillId="11308" borderId="0" xfId="0" applyFill="1"/>
    <xf numFmtId="0" fontId="0" fillId="11309" borderId="0" xfId="0" applyFill="1"/>
    <xf numFmtId="0" fontId="0" fillId="11310" borderId="0" xfId="0" applyFill="1"/>
    <xf numFmtId="0" fontId="0" fillId="11311" borderId="0" xfId="0" applyFill="1"/>
    <xf numFmtId="0" fontId="0" fillId="11312" borderId="0" xfId="0" applyFill="1"/>
    <xf numFmtId="0" fontId="0" fillId="11313" borderId="0" xfId="0" applyFill="1"/>
    <xf numFmtId="0" fontId="0" fillId="11314" borderId="0" xfId="0" applyFill="1"/>
    <xf numFmtId="0" fontId="0" fillId="11315" borderId="0" xfId="0" applyFill="1"/>
    <xf numFmtId="0" fontId="0" fillId="11316" borderId="0" xfId="0" applyFill="1"/>
    <xf numFmtId="0" fontId="0" fillId="11317" borderId="0" xfId="0" applyFill="1"/>
    <xf numFmtId="0" fontId="0" fillId="11318" borderId="0" xfId="0" applyFill="1"/>
    <xf numFmtId="0" fontId="0" fillId="11319" borderId="0" xfId="0" applyFill="1"/>
    <xf numFmtId="0" fontId="0" fillId="11320" borderId="0" xfId="0" applyFill="1"/>
    <xf numFmtId="0" fontId="0" fillId="11321" borderId="0" xfId="0" applyFill="1"/>
    <xf numFmtId="0" fontId="0" fillId="11322" borderId="0" xfId="0" applyFill="1"/>
    <xf numFmtId="0" fontId="0" fillId="11323" borderId="0" xfId="0" applyFill="1"/>
    <xf numFmtId="0" fontId="0" fillId="11324" borderId="0" xfId="0" applyFill="1"/>
    <xf numFmtId="0" fontId="0" fillId="11325" borderId="0" xfId="0" applyFill="1"/>
    <xf numFmtId="0" fontId="0" fillId="11326" borderId="0" xfId="0" applyFill="1"/>
    <xf numFmtId="0" fontId="0" fillId="11327" borderId="0" xfId="0" applyFill="1"/>
    <xf numFmtId="0" fontId="0" fillId="11328" borderId="0" xfId="0" applyFill="1"/>
    <xf numFmtId="0" fontId="0" fillId="11329" borderId="0" xfId="0" applyFill="1"/>
    <xf numFmtId="0" fontId="0" fillId="11330" borderId="0" xfId="0" applyFill="1"/>
    <xf numFmtId="0" fontId="0" fillId="11331" borderId="0" xfId="0" applyFill="1"/>
    <xf numFmtId="0" fontId="0" fillId="11332" borderId="0" xfId="0" applyFill="1"/>
    <xf numFmtId="0" fontId="0" fillId="11333" borderId="0" xfId="0" applyFill="1"/>
    <xf numFmtId="0" fontId="0" fillId="11334" borderId="0" xfId="0" applyFill="1"/>
    <xf numFmtId="0" fontId="0" fillId="11335" borderId="0" xfId="0" applyFill="1"/>
    <xf numFmtId="0" fontId="0" fillId="11336" borderId="0" xfId="0" applyFill="1"/>
    <xf numFmtId="0" fontId="0" fillId="11337" borderId="0" xfId="0" applyFill="1"/>
    <xf numFmtId="0" fontId="0" fillId="11338" borderId="0" xfId="0" applyFill="1"/>
    <xf numFmtId="0" fontId="0" fillId="11339" borderId="0" xfId="0" applyFill="1"/>
    <xf numFmtId="0" fontId="0" fillId="11340" borderId="0" xfId="0" applyFill="1"/>
    <xf numFmtId="0" fontId="0" fillId="11341" borderId="0" xfId="0" applyFill="1"/>
    <xf numFmtId="0" fontId="0" fillId="11342" borderId="0" xfId="0" applyFill="1"/>
    <xf numFmtId="0" fontId="0" fillId="11343" borderId="0" xfId="0" applyFill="1"/>
    <xf numFmtId="0" fontId="0" fillId="11344" borderId="0" xfId="0" applyFill="1"/>
    <xf numFmtId="0" fontId="0" fillId="11345" borderId="0" xfId="0" applyFill="1"/>
    <xf numFmtId="0" fontId="0" fillId="11346" borderId="0" xfId="0" applyFill="1"/>
    <xf numFmtId="0" fontId="0" fillId="11347" borderId="0" xfId="0" applyFill="1"/>
    <xf numFmtId="0" fontId="0" fillId="11348" borderId="0" xfId="0" applyFill="1"/>
    <xf numFmtId="0" fontId="0" fillId="11349" borderId="0" xfId="0" applyFill="1"/>
    <xf numFmtId="0" fontId="0" fillId="11350" borderId="0" xfId="0" applyFill="1"/>
    <xf numFmtId="0" fontId="0" fillId="11351" borderId="0" xfId="0" applyFill="1"/>
    <xf numFmtId="0" fontId="0" fillId="11352" borderId="0" xfId="0" applyFill="1"/>
    <xf numFmtId="0" fontId="0" fillId="11353" borderId="0" xfId="0" applyFill="1"/>
    <xf numFmtId="0" fontId="0" fillId="11354" borderId="0" xfId="0" applyFill="1"/>
    <xf numFmtId="0" fontId="0" fillId="11355" borderId="0" xfId="0" applyFill="1"/>
    <xf numFmtId="0" fontId="0" fillId="11356" borderId="0" xfId="0" applyFill="1"/>
    <xf numFmtId="0" fontId="0" fillId="11357" borderId="0" xfId="0" applyFill="1"/>
    <xf numFmtId="0" fontId="0" fillId="11358" borderId="0" xfId="0" applyFill="1"/>
    <xf numFmtId="0" fontId="0" fillId="11359" borderId="0" xfId="0" applyFill="1"/>
    <xf numFmtId="0" fontId="0" fillId="11360" borderId="0" xfId="0" applyFill="1"/>
    <xf numFmtId="0" fontId="0" fillId="11361" borderId="0" xfId="0" applyFill="1"/>
    <xf numFmtId="0" fontId="0" fillId="11362" borderId="0" xfId="0" applyFill="1"/>
    <xf numFmtId="0" fontId="0" fillId="11363" borderId="0" xfId="0" applyFill="1"/>
    <xf numFmtId="0" fontId="0" fillId="11364" borderId="0" xfId="0" applyFill="1"/>
    <xf numFmtId="0" fontId="0" fillId="11365" borderId="0" xfId="0" applyFill="1"/>
    <xf numFmtId="0" fontId="0" fillId="11366" borderId="0" xfId="0" applyFill="1"/>
    <xf numFmtId="0" fontId="0" fillId="11367" borderId="0" xfId="0" applyFill="1"/>
    <xf numFmtId="0" fontId="0" fillId="11368" borderId="0" xfId="0" applyFill="1"/>
    <xf numFmtId="0" fontId="0" fillId="11369" borderId="0" xfId="0" applyFill="1"/>
    <xf numFmtId="0" fontId="0" fillId="11370" borderId="0" xfId="0" applyFill="1"/>
    <xf numFmtId="0" fontId="0" fillId="11371" borderId="0" xfId="0" applyFill="1"/>
    <xf numFmtId="0" fontId="0" fillId="11372" borderId="0" xfId="0" applyFill="1"/>
    <xf numFmtId="0" fontId="0" fillId="11373" borderId="0" xfId="0" applyFill="1"/>
    <xf numFmtId="0" fontId="0" fillId="11374" borderId="0" xfId="0" applyFill="1"/>
    <xf numFmtId="0" fontId="0" fillId="11375" borderId="0" xfId="0" applyFill="1"/>
    <xf numFmtId="0" fontId="0" fillId="11376" borderId="0" xfId="0" applyFill="1"/>
    <xf numFmtId="0" fontId="0" fillId="11377" borderId="0" xfId="0" applyFill="1"/>
    <xf numFmtId="0" fontId="0" fillId="11378" borderId="0" xfId="0" applyFill="1"/>
    <xf numFmtId="0" fontId="0" fillId="11379" borderId="0" xfId="0" applyFill="1"/>
    <xf numFmtId="0" fontId="0" fillId="11380" borderId="0" xfId="0" applyFill="1"/>
    <xf numFmtId="0" fontId="0" fillId="11381" borderId="0" xfId="0" applyFill="1"/>
    <xf numFmtId="0" fontId="0" fillId="11382" borderId="0" xfId="0" applyFill="1"/>
    <xf numFmtId="0" fontId="0" fillId="11383" borderId="0" xfId="0" applyFill="1"/>
    <xf numFmtId="0" fontId="0" fillId="11384" borderId="0" xfId="0" applyFill="1"/>
    <xf numFmtId="0" fontId="0" fillId="11385" borderId="0" xfId="0" applyFill="1"/>
    <xf numFmtId="0" fontId="0" fillId="11386" borderId="0" xfId="0" applyFill="1"/>
    <xf numFmtId="0" fontId="0" fillId="11387" borderId="0" xfId="0" applyFill="1"/>
    <xf numFmtId="0" fontId="0" fillId="11388" borderId="0" xfId="0" applyFill="1"/>
    <xf numFmtId="0" fontId="0" fillId="11389" borderId="0" xfId="0" applyFill="1"/>
    <xf numFmtId="0" fontId="0" fillId="11390" borderId="0" xfId="0" applyFill="1"/>
    <xf numFmtId="0" fontId="0" fillId="11391" borderId="0" xfId="0" applyFill="1"/>
    <xf numFmtId="0" fontId="0" fillId="11392" borderId="0" xfId="0" applyFill="1"/>
    <xf numFmtId="0" fontId="0" fillId="11393" borderId="0" xfId="0" applyFill="1"/>
    <xf numFmtId="0" fontId="0" fillId="11394" borderId="0" xfId="0" applyFill="1"/>
    <xf numFmtId="0" fontId="0" fillId="11395" borderId="0" xfId="0" applyFill="1"/>
    <xf numFmtId="0" fontId="0" fillId="11396" borderId="0" xfId="0" applyFill="1"/>
    <xf numFmtId="0" fontId="0" fillId="11397" borderId="0" xfId="0" applyFill="1"/>
    <xf numFmtId="0" fontId="0" fillId="11398" borderId="0" xfId="0" applyFill="1"/>
    <xf numFmtId="0" fontId="0" fillId="11399" borderId="0" xfId="0" applyFill="1"/>
    <xf numFmtId="0" fontId="0" fillId="11400" borderId="0" xfId="0" applyFill="1"/>
    <xf numFmtId="0" fontId="0" fillId="11401" borderId="0" xfId="0" applyFill="1"/>
    <xf numFmtId="0" fontId="0" fillId="11402" borderId="0" xfId="0" applyFill="1"/>
    <xf numFmtId="0" fontId="0" fillId="11403" borderId="0" xfId="0" applyFill="1"/>
    <xf numFmtId="0" fontId="0" fillId="11404" borderId="0" xfId="0" applyFill="1"/>
    <xf numFmtId="0" fontId="0" fillId="11405" borderId="0" xfId="0" applyFill="1"/>
    <xf numFmtId="0" fontId="0" fillId="11406" borderId="0" xfId="0" applyFill="1"/>
    <xf numFmtId="0" fontId="0" fillId="11407" borderId="0" xfId="0" applyFill="1"/>
    <xf numFmtId="0" fontId="0" fillId="11408" borderId="0" xfId="0" applyFill="1"/>
    <xf numFmtId="0" fontId="0" fillId="11409" borderId="0" xfId="0" applyFill="1"/>
    <xf numFmtId="0" fontId="0" fillId="11410" borderId="0" xfId="0" applyFill="1"/>
    <xf numFmtId="0" fontId="0" fillId="11411" borderId="0" xfId="0" applyFill="1"/>
    <xf numFmtId="0" fontId="0" fillId="11412" borderId="0" xfId="0" applyFill="1"/>
    <xf numFmtId="0" fontId="0" fillId="11413" borderId="0" xfId="0" applyFill="1"/>
    <xf numFmtId="0" fontId="0" fillId="11414" borderId="0" xfId="0" applyFill="1"/>
    <xf numFmtId="0" fontId="0" fillId="11415" borderId="0" xfId="0" applyFill="1"/>
    <xf numFmtId="0" fontId="0" fillId="11416" borderId="0" xfId="0" applyFill="1"/>
    <xf numFmtId="0" fontId="0" fillId="11417" borderId="0" xfId="0" applyFill="1"/>
    <xf numFmtId="0" fontId="0" fillId="11418" borderId="0" xfId="0" applyFill="1"/>
    <xf numFmtId="0" fontId="0" fillId="11419" borderId="0" xfId="0" applyFill="1"/>
    <xf numFmtId="0" fontId="0" fillId="11420" borderId="0" xfId="0" applyFill="1"/>
    <xf numFmtId="0" fontId="0" fillId="11421" borderId="0" xfId="0" applyFill="1"/>
    <xf numFmtId="0" fontId="0" fillId="11422" borderId="0" xfId="0" applyFill="1"/>
    <xf numFmtId="0" fontId="0" fillId="11423" borderId="0" xfId="0" applyFill="1"/>
    <xf numFmtId="0" fontId="0" fillId="11424" borderId="0" xfId="0" applyFill="1"/>
    <xf numFmtId="0" fontId="0" fillId="11425" borderId="0" xfId="0" applyFill="1"/>
    <xf numFmtId="0" fontId="0" fillId="11426" borderId="0" xfId="0" applyFill="1"/>
    <xf numFmtId="0" fontId="0" fillId="11427" borderId="0" xfId="0" applyFill="1"/>
    <xf numFmtId="0" fontId="0" fillId="11428" borderId="0" xfId="0" applyFill="1"/>
    <xf numFmtId="0" fontId="0" fillId="11429" borderId="0" xfId="0" applyFill="1"/>
    <xf numFmtId="0" fontId="0" fillId="11430" borderId="0" xfId="0" applyFill="1"/>
    <xf numFmtId="0" fontId="0" fillId="11431" borderId="0" xfId="0" applyFill="1"/>
    <xf numFmtId="0" fontId="0" fillId="11432" borderId="0" xfId="0" applyFill="1"/>
    <xf numFmtId="0" fontId="0" fillId="11433" borderId="0" xfId="0" applyFill="1"/>
    <xf numFmtId="0" fontId="0" fillId="11434" borderId="0" xfId="0" applyFill="1"/>
    <xf numFmtId="0" fontId="0" fillId="11435" borderId="0" xfId="0" applyFill="1"/>
    <xf numFmtId="0" fontId="0" fillId="11436" borderId="0" xfId="0" applyFill="1"/>
    <xf numFmtId="0" fontId="0" fillId="11437" borderId="0" xfId="0" applyFill="1"/>
    <xf numFmtId="0" fontId="0" fillId="11438" borderId="0" xfId="0" applyFill="1"/>
    <xf numFmtId="0" fontId="0" fillId="11439" borderId="0" xfId="0" applyFill="1"/>
    <xf numFmtId="0" fontId="0" fillId="11440" borderId="0" xfId="0" applyFill="1"/>
    <xf numFmtId="0" fontId="0" fillId="11441" borderId="0" xfId="0" applyFill="1"/>
    <xf numFmtId="0" fontId="0" fillId="11442" borderId="0" xfId="0" applyFill="1"/>
    <xf numFmtId="0" fontId="0" fillId="11443" borderId="0" xfId="0" applyFill="1"/>
    <xf numFmtId="0" fontId="0" fillId="11444" borderId="0" xfId="0" applyFill="1"/>
    <xf numFmtId="0" fontId="0" fillId="11445" borderId="0" xfId="0" applyFill="1"/>
    <xf numFmtId="0" fontId="0" fillId="11446" borderId="0" xfId="0" applyFill="1"/>
    <xf numFmtId="0" fontId="0" fillId="11447" borderId="0" xfId="0" applyFill="1"/>
    <xf numFmtId="0" fontId="0" fillId="11448" borderId="0" xfId="0" applyFill="1"/>
    <xf numFmtId="0" fontId="0" fillId="11449" borderId="0" xfId="0" applyFill="1"/>
    <xf numFmtId="0" fontId="0" fillId="11450" borderId="0" xfId="0" applyFill="1"/>
    <xf numFmtId="0" fontId="0" fillId="11451" borderId="0" xfId="0" applyFill="1"/>
    <xf numFmtId="0" fontId="0" fillId="11452" borderId="0" xfId="0" applyFill="1"/>
    <xf numFmtId="0" fontId="0" fillId="11453" borderId="0" xfId="0" applyFill="1"/>
    <xf numFmtId="0" fontId="0" fillId="11454" borderId="0" xfId="0" applyFill="1"/>
    <xf numFmtId="0" fontId="0" fillId="11455" borderId="0" xfId="0" applyFill="1"/>
    <xf numFmtId="0" fontId="0" fillId="11456" borderId="0" xfId="0" applyFill="1"/>
    <xf numFmtId="0" fontId="0" fillId="11457" borderId="0" xfId="0" applyFill="1"/>
    <xf numFmtId="0" fontId="0" fillId="11458" borderId="0" xfId="0" applyFill="1"/>
    <xf numFmtId="0" fontId="0" fillId="11459" borderId="0" xfId="0" applyFill="1"/>
    <xf numFmtId="0" fontId="0" fillId="11460" borderId="0" xfId="0" applyFill="1"/>
    <xf numFmtId="0" fontId="0" fillId="11461" borderId="0" xfId="0" applyFill="1"/>
    <xf numFmtId="0" fontId="0" fillId="11462" borderId="0" xfId="0" applyFill="1"/>
    <xf numFmtId="0" fontId="0" fillId="11463" borderId="0" xfId="0" applyFill="1"/>
    <xf numFmtId="0" fontId="0" fillId="11464" borderId="0" xfId="0" applyFill="1"/>
    <xf numFmtId="0" fontId="0" fillId="11465" borderId="0" xfId="0" applyFill="1"/>
    <xf numFmtId="0" fontId="0" fillId="11466" borderId="0" xfId="0" applyFill="1"/>
    <xf numFmtId="0" fontId="0" fillId="11467" borderId="0" xfId="0" applyFill="1"/>
    <xf numFmtId="0" fontId="0" fillId="11468" borderId="0" xfId="0" applyFill="1"/>
    <xf numFmtId="0" fontId="0" fillId="11469" borderId="0" xfId="0" applyFill="1"/>
    <xf numFmtId="0" fontId="0" fillId="11470" borderId="0" xfId="0" applyFill="1"/>
    <xf numFmtId="0" fontId="0" fillId="11471" borderId="0" xfId="0" applyFill="1"/>
    <xf numFmtId="0" fontId="0" fillId="11472" borderId="0" xfId="0" applyFill="1"/>
    <xf numFmtId="0" fontId="0" fillId="11473" borderId="0" xfId="0" applyFill="1"/>
    <xf numFmtId="0" fontId="0" fillId="11474" borderId="0" xfId="0" applyFill="1"/>
    <xf numFmtId="0" fontId="0" fillId="11475" borderId="0" xfId="0" applyFill="1"/>
    <xf numFmtId="0" fontId="0" fillId="11476" borderId="0" xfId="0" applyFill="1"/>
    <xf numFmtId="0" fontId="0" fillId="11477" borderId="0" xfId="0" applyFill="1"/>
    <xf numFmtId="0" fontId="0" fillId="11478" borderId="0" xfId="0" applyFill="1"/>
    <xf numFmtId="0" fontId="0" fillId="11479" borderId="0" xfId="0" applyFill="1"/>
    <xf numFmtId="0" fontId="0" fillId="11480" borderId="0" xfId="0" applyFill="1"/>
    <xf numFmtId="0" fontId="0" fillId="11481" borderId="0" xfId="0" applyFill="1"/>
    <xf numFmtId="0" fontId="0" fillId="11482" borderId="0" xfId="0" applyFill="1"/>
    <xf numFmtId="0" fontId="0" fillId="11483" borderId="0" xfId="0" applyFill="1"/>
    <xf numFmtId="0" fontId="0" fillId="11484" borderId="0" xfId="0" applyFill="1"/>
    <xf numFmtId="0" fontId="0" fillId="11485" borderId="0" xfId="0" applyFill="1"/>
    <xf numFmtId="0" fontId="0" fillId="11486" borderId="0" xfId="0" applyFill="1"/>
    <xf numFmtId="0" fontId="0" fillId="11487" borderId="0" xfId="0" applyFill="1"/>
    <xf numFmtId="0" fontId="0" fillId="11488" borderId="0" xfId="0" applyFill="1"/>
    <xf numFmtId="0" fontId="0" fillId="11489" borderId="0" xfId="0" applyFill="1"/>
    <xf numFmtId="0" fontId="0" fillId="11490" borderId="0" xfId="0" applyFill="1"/>
    <xf numFmtId="0" fontId="0" fillId="11491" borderId="0" xfId="0" applyFill="1"/>
    <xf numFmtId="0" fontId="0" fillId="11492" borderId="0" xfId="0" applyFill="1"/>
    <xf numFmtId="0" fontId="0" fillId="11493" borderId="0" xfId="0" applyFill="1"/>
    <xf numFmtId="0" fontId="0" fillId="11494" borderId="0" xfId="0" applyFill="1"/>
    <xf numFmtId="0" fontId="0" fillId="11495" borderId="0" xfId="0" applyFill="1"/>
    <xf numFmtId="0" fontId="0" fillId="11496" borderId="0" xfId="0" applyFill="1"/>
    <xf numFmtId="0" fontId="0" fillId="11497" borderId="0" xfId="0" applyFill="1"/>
    <xf numFmtId="0" fontId="0" fillId="11498" borderId="0" xfId="0" applyFill="1"/>
    <xf numFmtId="0" fontId="0" fillId="11499" borderId="0" xfId="0" applyFill="1"/>
    <xf numFmtId="0" fontId="0" fillId="11500" borderId="0" xfId="0" applyFill="1"/>
    <xf numFmtId="0" fontId="0" fillId="11501" borderId="0" xfId="0" applyFill="1"/>
    <xf numFmtId="0" fontId="0" fillId="11502" borderId="0" xfId="0" applyFill="1"/>
    <xf numFmtId="0" fontId="0" fillId="11503" borderId="0" xfId="0" applyFill="1"/>
    <xf numFmtId="0" fontId="0" fillId="11504" borderId="0" xfId="0" applyFill="1"/>
    <xf numFmtId="0" fontId="0" fillId="11505" borderId="0" xfId="0" applyFill="1"/>
    <xf numFmtId="0" fontId="0" fillId="11506" borderId="0" xfId="0" applyFill="1"/>
    <xf numFmtId="0" fontId="0" fillId="11507" borderId="0" xfId="0" applyFill="1"/>
    <xf numFmtId="0" fontId="0" fillId="11508" borderId="0" xfId="0" applyFill="1"/>
    <xf numFmtId="0" fontId="0" fillId="11509" borderId="0" xfId="0" applyFill="1"/>
    <xf numFmtId="0" fontId="0" fillId="11510" borderId="0" xfId="0" applyFill="1"/>
    <xf numFmtId="0" fontId="0" fillId="11511" borderId="0" xfId="0" applyFill="1"/>
    <xf numFmtId="0" fontId="0" fillId="11512" borderId="0" xfId="0" applyFill="1"/>
    <xf numFmtId="0" fontId="0" fillId="11513" borderId="0" xfId="0" applyFill="1"/>
    <xf numFmtId="0" fontId="0" fillId="11514" borderId="0" xfId="0" applyFill="1"/>
    <xf numFmtId="0" fontId="0" fillId="11515" borderId="0" xfId="0" applyFill="1"/>
    <xf numFmtId="0" fontId="0" fillId="11516" borderId="0" xfId="0" applyFill="1"/>
    <xf numFmtId="0" fontId="0" fillId="11517" borderId="0" xfId="0" applyFill="1"/>
    <xf numFmtId="0" fontId="0" fillId="11518" borderId="0" xfId="0" applyFill="1"/>
    <xf numFmtId="0" fontId="0" fillId="11519" borderId="0" xfId="0" applyFill="1"/>
    <xf numFmtId="0" fontId="0" fillId="11520" borderId="0" xfId="0" applyFill="1"/>
    <xf numFmtId="0" fontId="0" fillId="11521" borderId="0" xfId="0" applyFill="1"/>
    <xf numFmtId="0" fontId="0" fillId="11522" borderId="0" xfId="0" applyFill="1"/>
    <xf numFmtId="0" fontId="0" fillId="11523" borderId="0" xfId="0" applyFill="1"/>
    <xf numFmtId="0" fontId="0" fillId="11524" borderId="0" xfId="0" applyFill="1"/>
    <xf numFmtId="0" fontId="0" fillId="11525" borderId="0" xfId="0" applyFill="1"/>
    <xf numFmtId="0" fontId="0" fillId="11526" borderId="0" xfId="0" applyFill="1"/>
    <xf numFmtId="0" fontId="0" fillId="11527" borderId="0" xfId="0" applyFill="1"/>
    <xf numFmtId="0" fontId="0" fillId="11528" borderId="0" xfId="0" applyFill="1"/>
    <xf numFmtId="0" fontId="0" fillId="11529" borderId="0" xfId="0" applyFill="1"/>
    <xf numFmtId="0" fontId="0" fillId="11530" borderId="0" xfId="0" applyFill="1"/>
    <xf numFmtId="0" fontId="0" fillId="11531" borderId="0" xfId="0" applyFill="1"/>
    <xf numFmtId="0" fontId="0" fillId="11532" borderId="0" xfId="0" applyFill="1"/>
    <xf numFmtId="0" fontId="0" fillId="11533" borderId="0" xfId="0" applyFill="1"/>
    <xf numFmtId="0" fontId="0" fillId="11534" borderId="0" xfId="0" applyFill="1"/>
    <xf numFmtId="0" fontId="0" fillId="11535" borderId="0" xfId="0" applyFill="1"/>
    <xf numFmtId="0" fontId="0" fillId="11536" borderId="0" xfId="0" applyFill="1"/>
    <xf numFmtId="0" fontId="0" fillId="11537" borderId="0" xfId="0" applyFill="1"/>
    <xf numFmtId="0" fontId="0" fillId="11538" borderId="0" xfId="0" applyFill="1"/>
    <xf numFmtId="0" fontId="0" fillId="11539" borderId="0" xfId="0" applyFill="1"/>
    <xf numFmtId="0" fontId="0" fillId="11540" borderId="0" xfId="0" applyFill="1"/>
    <xf numFmtId="0" fontId="0" fillId="11541" borderId="0" xfId="0" applyFill="1"/>
    <xf numFmtId="0" fontId="0" fillId="11542" borderId="0" xfId="0" applyFill="1"/>
    <xf numFmtId="0" fontId="0" fillId="11543" borderId="0" xfId="0" applyFill="1"/>
    <xf numFmtId="0" fontId="0" fillId="11544" borderId="0" xfId="0" applyFill="1"/>
    <xf numFmtId="0" fontId="0" fillId="11545" borderId="0" xfId="0" applyFill="1"/>
    <xf numFmtId="0" fontId="0" fillId="11546" borderId="0" xfId="0" applyFill="1"/>
    <xf numFmtId="0" fontId="0" fillId="11547" borderId="0" xfId="0" applyFill="1"/>
    <xf numFmtId="0" fontId="0" fillId="11548" borderId="0" xfId="0" applyFill="1"/>
    <xf numFmtId="0" fontId="0" fillId="11549" borderId="0" xfId="0" applyFill="1"/>
    <xf numFmtId="0" fontId="0" fillId="11550" borderId="0" xfId="0" applyFill="1"/>
    <xf numFmtId="0" fontId="0" fillId="11551" borderId="0" xfId="0" applyFill="1"/>
    <xf numFmtId="0" fontId="0" fillId="11552" borderId="0" xfId="0" applyFill="1"/>
    <xf numFmtId="0" fontId="0" fillId="11553" borderId="0" xfId="0" applyFill="1"/>
    <xf numFmtId="0" fontId="0" fillId="11554" borderId="0" xfId="0" applyFill="1"/>
    <xf numFmtId="0" fontId="0" fillId="11555" borderId="0" xfId="0" applyFill="1"/>
    <xf numFmtId="0" fontId="0" fillId="11556" borderId="0" xfId="0" applyFill="1"/>
    <xf numFmtId="0" fontId="0" fillId="11557" borderId="0" xfId="0" applyFill="1"/>
    <xf numFmtId="0" fontId="0" fillId="11558" borderId="0" xfId="0" applyFill="1"/>
    <xf numFmtId="0" fontId="0" fillId="11559" borderId="0" xfId="0" applyFill="1"/>
    <xf numFmtId="0" fontId="0" fillId="11560" borderId="0" xfId="0" applyFill="1"/>
    <xf numFmtId="0" fontId="0" fillId="11561" borderId="0" xfId="0" applyFill="1"/>
    <xf numFmtId="0" fontId="0" fillId="11562" borderId="0" xfId="0" applyFill="1"/>
    <xf numFmtId="0" fontId="0" fillId="11563" borderId="0" xfId="0" applyFill="1"/>
    <xf numFmtId="0" fontId="0" fillId="11564" borderId="0" xfId="0" applyFill="1"/>
    <xf numFmtId="0" fontId="0" fillId="11565" borderId="0" xfId="0" applyFill="1"/>
    <xf numFmtId="0" fontId="0" fillId="11566" borderId="0" xfId="0" applyFill="1"/>
    <xf numFmtId="0" fontId="0" fillId="11567" borderId="0" xfId="0" applyFill="1"/>
    <xf numFmtId="0" fontId="0" fillId="11568" borderId="0" xfId="0" applyFill="1"/>
    <xf numFmtId="0" fontId="0" fillId="11569" borderId="0" xfId="0" applyFill="1"/>
    <xf numFmtId="0" fontId="0" fillId="11570" borderId="0" xfId="0" applyFill="1"/>
    <xf numFmtId="0" fontId="0" fillId="11571" borderId="0" xfId="0" applyFill="1"/>
    <xf numFmtId="0" fontId="0" fillId="11572" borderId="0" xfId="0" applyFill="1"/>
    <xf numFmtId="0" fontId="0" fillId="11573" borderId="0" xfId="0" applyFill="1"/>
    <xf numFmtId="0" fontId="0" fillId="11574" borderId="0" xfId="0" applyFill="1"/>
    <xf numFmtId="0" fontId="0" fillId="11575" borderId="0" xfId="0" applyFill="1"/>
    <xf numFmtId="0" fontId="0" fillId="11576" borderId="0" xfId="0" applyFill="1"/>
    <xf numFmtId="0" fontId="0" fillId="11577" borderId="0" xfId="0" applyFill="1"/>
    <xf numFmtId="0" fontId="0" fillId="11578" borderId="0" xfId="0" applyFill="1"/>
    <xf numFmtId="0" fontId="0" fillId="11579" borderId="0" xfId="0" applyFill="1"/>
    <xf numFmtId="0" fontId="0" fillId="11580" borderId="0" xfId="0" applyFill="1"/>
    <xf numFmtId="0" fontId="0" fillId="11581" borderId="0" xfId="0" applyFill="1"/>
    <xf numFmtId="0" fontId="0" fillId="11582" borderId="0" xfId="0" applyFill="1"/>
    <xf numFmtId="0" fontId="0" fillId="11583" borderId="0" xfId="0" applyFill="1"/>
    <xf numFmtId="0" fontId="0" fillId="11584" borderId="0" xfId="0" applyFill="1"/>
    <xf numFmtId="0" fontId="0" fillId="11585" borderId="0" xfId="0" applyFill="1"/>
    <xf numFmtId="0" fontId="0" fillId="11586" borderId="0" xfId="0" applyFill="1"/>
    <xf numFmtId="0" fontId="0" fillId="11587" borderId="0" xfId="0" applyFill="1"/>
    <xf numFmtId="0" fontId="0" fillId="11588" borderId="0" xfId="0" applyFill="1"/>
    <xf numFmtId="0" fontId="0" fillId="11589" borderId="0" xfId="0" applyFill="1"/>
    <xf numFmtId="0" fontId="0" fillId="11590" borderId="0" xfId="0" applyFill="1"/>
    <xf numFmtId="0" fontId="0" fillId="11591" borderId="0" xfId="0" applyFill="1"/>
    <xf numFmtId="0" fontId="0" fillId="11592" borderId="0" xfId="0" applyFill="1"/>
    <xf numFmtId="0" fontId="0" fillId="11593" borderId="0" xfId="0" applyFill="1"/>
    <xf numFmtId="0" fontId="0" fillId="11594" borderId="0" xfId="0" applyFill="1"/>
    <xf numFmtId="0" fontId="0" fillId="11595" borderId="0" xfId="0" applyFill="1"/>
    <xf numFmtId="0" fontId="0" fillId="11596" borderId="0" xfId="0" applyFill="1"/>
    <xf numFmtId="0" fontId="0" fillId="11597" borderId="0" xfId="0" applyFill="1"/>
    <xf numFmtId="0" fontId="0" fillId="11598" borderId="0" xfId="0" applyFill="1"/>
    <xf numFmtId="0" fontId="0" fillId="11599" borderId="0" xfId="0" applyFill="1"/>
    <xf numFmtId="0" fontId="0" fillId="11600" borderId="0" xfId="0" applyFill="1"/>
    <xf numFmtId="0" fontId="0" fillId="11601" borderId="0" xfId="0" applyFill="1"/>
    <xf numFmtId="0" fontId="0" fillId="11602" borderId="0" xfId="0" applyFill="1"/>
    <xf numFmtId="0" fontId="0" fillId="11603" borderId="0" xfId="0" applyFill="1"/>
    <xf numFmtId="0" fontId="0" fillId="11604" borderId="0" xfId="0" applyFill="1"/>
    <xf numFmtId="0" fontId="0" fillId="11605" borderId="0" xfId="0" applyFill="1"/>
    <xf numFmtId="0" fontId="0" fillId="11606" borderId="0" xfId="0" applyFill="1"/>
    <xf numFmtId="0" fontId="0" fillId="11607" borderId="0" xfId="0" applyFill="1"/>
    <xf numFmtId="0" fontId="0" fillId="11608" borderId="0" xfId="0" applyFill="1"/>
    <xf numFmtId="0" fontId="0" fillId="11609" borderId="0" xfId="0" applyFill="1"/>
    <xf numFmtId="0" fontId="0" fillId="11610" borderId="0" xfId="0" applyFill="1"/>
    <xf numFmtId="0" fontId="0" fillId="11611" borderId="0" xfId="0" applyFill="1"/>
    <xf numFmtId="0" fontId="0" fillId="11612" borderId="0" xfId="0" applyFill="1"/>
    <xf numFmtId="0" fontId="0" fillId="11613" borderId="0" xfId="0" applyFill="1"/>
    <xf numFmtId="0" fontId="0" fillId="11614" borderId="0" xfId="0" applyFill="1"/>
    <xf numFmtId="0" fontId="0" fillId="11615" borderId="0" xfId="0" applyFill="1"/>
    <xf numFmtId="0" fontId="0" fillId="11616" borderId="0" xfId="0" applyFill="1"/>
    <xf numFmtId="0" fontId="0" fillId="11617" borderId="0" xfId="0" applyFill="1"/>
    <xf numFmtId="0" fontId="0" fillId="11618" borderId="0" xfId="0" applyFill="1"/>
    <xf numFmtId="0" fontId="0" fillId="11619" borderId="0" xfId="0" applyFill="1"/>
    <xf numFmtId="0" fontId="0" fillId="11620" borderId="0" xfId="0" applyFill="1"/>
    <xf numFmtId="0" fontId="0" fillId="11621" borderId="0" xfId="0" applyFill="1"/>
    <xf numFmtId="0" fontId="0" fillId="11622" borderId="0" xfId="0" applyFill="1"/>
    <xf numFmtId="0" fontId="0" fillId="11623" borderId="0" xfId="0" applyFill="1"/>
    <xf numFmtId="0" fontId="0" fillId="11624" borderId="0" xfId="0" applyFill="1"/>
    <xf numFmtId="0" fontId="0" fillId="11625" borderId="0" xfId="0" applyFill="1"/>
    <xf numFmtId="0" fontId="0" fillId="11626" borderId="0" xfId="0" applyFill="1"/>
    <xf numFmtId="0" fontId="0" fillId="11627" borderId="0" xfId="0" applyFill="1"/>
    <xf numFmtId="0" fontId="0" fillId="11628" borderId="0" xfId="0" applyFill="1"/>
    <xf numFmtId="0" fontId="0" fillId="11629" borderId="0" xfId="0" applyFill="1"/>
    <xf numFmtId="0" fontId="0" fillId="11630" borderId="0" xfId="0" applyFill="1"/>
    <xf numFmtId="0" fontId="0" fillId="11631" borderId="0" xfId="0" applyFill="1"/>
    <xf numFmtId="0" fontId="0" fillId="11632" borderId="0" xfId="0" applyFill="1"/>
    <xf numFmtId="0" fontId="0" fillId="11633" borderId="0" xfId="0" applyFill="1"/>
    <xf numFmtId="0" fontId="0" fillId="11634" borderId="0" xfId="0" applyFill="1"/>
    <xf numFmtId="0" fontId="0" fillId="11635" borderId="0" xfId="0" applyFill="1"/>
    <xf numFmtId="0" fontId="0" fillId="11636" borderId="0" xfId="0" applyFill="1"/>
    <xf numFmtId="0" fontId="0" fillId="11637" borderId="0" xfId="0" applyFill="1"/>
    <xf numFmtId="0" fontId="0" fillId="11638" borderId="0" xfId="0" applyFill="1"/>
    <xf numFmtId="0" fontId="0" fillId="11639" borderId="0" xfId="0" applyFill="1"/>
    <xf numFmtId="0" fontId="0" fillId="11640" borderId="0" xfId="0" applyFill="1"/>
    <xf numFmtId="0" fontId="0" fillId="11641" borderId="0" xfId="0" applyFill="1"/>
    <xf numFmtId="0" fontId="0" fillId="11642" borderId="0" xfId="0" applyFill="1"/>
    <xf numFmtId="0" fontId="0" fillId="11643" borderId="0" xfId="0" applyFill="1"/>
    <xf numFmtId="0" fontId="0" fillId="11644" borderId="0" xfId="0" applyFill="1"/>
    <xf numFmtId="0" fontId="0" fillId="11645" borderId="0" xfId="0" applyFill="1"/>
    <xf numFmtId="0" fontId="0" fillId="11646" borderId="0" xfId="0" applyFill="1"/>
    <xf numFmtId="0" fontId="0" fillId="11647" borderId="0" xfId="0" applyFill="1"/>
    <xf numFmtId="0" fontId="0" fillId="11648" borderId="0" xfId="0" applyFill="1"/>
    <xf numFmtId="0" fontId="0" fillId="11649" borderId="0" xfId="0" applyFill="1"/>
    <xf numFmtId="0" fontId="0" fillId="11650" borderId="0" xfId="0" applyFill="1"/>
    <xf numFmtId="0" fontId="0" fillId="11651" borderId="0" xfId="0" applyFill="1"/>
    <xf numFmtId="0" fontId="0" fillId="11652" borderId="0" xfId="0" applyFill="1"/>
    <xf numFmtId="0" fontId="0" fillId="11653" borderId="0" xfId="0" applyFill="1"/>
    <xf numFmtId="0" fontId="0" fillId="11654" borderId="0" xfId="0" applyFill="1"/>
    <xf numFmtId="0" fontId="0" fillId="11655" borderId="0" xfId="0" applyFill="1"/>
    <xf numFmtId="0" fontId="0" fillId="11656" borderId="0" xfId="0" applyFill="1"/>
    <xf numFmtId="0" fontId="0" fillId="11657" borderId="0" xfId="0" applyFill="1"/>
    <xf numFmtId="0" fontId="0" fillId="11658" borderId="0" xfId="0" applyFill="1"/>
    <xf numFmtId="0" fontId="0" fillId="11659" borderId="0" xfId="0" applyFill="1"/>
    <xf numFmtId="0" fontId="0" fillId="11660" borderId="0" xfId="0" applyFill="1"/>
    <xf numFmtId="0" fontId="0" fillId="11661" borderId="0" xfId="0" applyFill="1"/>
    <xf numFmtId="0" fontId="0" fillId="11662" borderId="0" xfId="0" applyFill="1"/>
    <xf numFmtId="0" fontId="0" fillId="11663" borderId="0" xfId="0" applyFill="1"/>
    <xf numFmtId="0" fontId="0" fillId="11664" borderId="0" xfId="0" applyFill="1"/>
    <xf numFmtId="0" fontId="0" fillId="11665" borderId="0" xfId="0" applyFill="1"/>
    <xf numFmtId="0" fontId="0" fillId="11666" borderId="0" xfId="0" applyFill="1"/>
    <xf numFmtId="0" fontId="0" fillId="11667" borderId="0" xfId="0" applyFill="1"/>
    <xf numFmtId="0" fontId="0" fillId="11668" borderId="0" xfId="0" applyFill="1"/>
    <xf numFmtId="0" fontId="0" fillId="11669" borderId="0" xfId="0" applyFill="1"/>
    <xf numFmtId="0" fontId="0" fillId="11670" borderId="0" xfId="0" applyFill="1"/>
    <xf numFmtId="0" fontId="0" fillId="11671" borderId="0" xfId="0" applyFill="1"/>
    <xf numFmtId="0" fontId="0" fillId="11672" borderId="0" xfId="0" applyFill="1"/>
    <xf numFmtId="0" fontId="0" fillId="11673" borderId="0" xfId="0" applyFill="1"/>
    <xf numFmtId="0" fontId="0" fillId="11674" borderId="0" xfId="0" applyFill="1"/>
    <xf numFmtId="0" fontId="0" fillId="11675" borderId="0" xfId="0" applyFill="1"/>
    <xf numFmtId="0" fontId="0" fillId="11676" borderId="0" xfId="0" applyFill="1"/>
    <xf numFmtId="0" fontId="0" fillId="11677" borderId="0" xfId="0" applyFill="1"/>
    <xf numFmtId="0" fontId="0" fillId="11678" borderId="0" xfId="0" applyFill="1"/>
    <xf numFmtId="0" fontId="0" fillId="11679" borderId="0" xfId="0" applyFill="1"/>
    <xf numFmtId="0" fontId="0" fillId="11680" borderId="0" xfId="0" applyFill="1"/>
    <xf numFmtId="0" fontId="0" fillId="11681" borderId="0" xfId="0" applyFill="1"/>
    <xf numFmtId="0" fontId="0" fillId="11682" borderId="0" xfId="0" applyFill="1"/>
    <xf numFmtId="0" fontId="0" fillId="11683" borderId="0" xfId="0" applyFill="1"/>
    <xf numFmtId="0" fontId="0" fillId="11684" borderId="0" xfId="0" applyFill="1"/>
    <xf numFmtId="0" fontId="0" fillId="11685" borderId="0" xfId="0" applyFill="1"/>
    <xf numFmtId="0" fontId="0" fillId="11686" borderId="0" xfId="0" applyFill="1"/>
    <xf numFmtId="0" fontId="0" fillId="11687" borderId="0" xfId="0" applyFill="1"/>
    <xf numFmtId="0" fontId="0" fillId="11688" borderId="0" xfId="0" applyFill="1"/>
    <xf numFmtId="0" fontId="0" fillId="11689" borderId="0" xfId="0" applyFill="1"/>
    <xf numFmtId="0" fontId="0" fillId="11690" borderId="0" xfId="0" applyFill="1"/>
    <xf numFmtId="0" fontId="0" fillId="11691" borderId="0" xfId="0" applyFill="1"/>
    <xf numFmtId="0" fontId="0" fillId="11692" borderId="0" xfId="0" applyFill="1"/>
    <xf numFmtId="0" fontId="0" fillId="11693" borderId="0" xfId="0" applyFill="1"/>
    <xf numFmtId="0" fontId="0" fillId="11694" borderId="0" xfId="0" applyFill="1"/>
    <xf numFmtId="0" fontId="0" fillId="11695" borderId="0" xfId="0" applyFill="1"/>
    <xf numFmtId="0" fontId="0" fillId="11696" borderId="0" xfId="0" applyFill="1"/>
    <xf numFmtId="0" fontId="0" fillId="11697" borderId="0" xfId="0" applyFill="1"/>
    <xf numFmtId="0" fontId="0" fillId="11698" borderId="0" xfId="0" applyFill="1"/>
    <xf numFmtId="0" fontId="0" fillId="11699" borderId="0" xfId="0" applyFill="1"/>
    <xf numFmtId="0" fontId="0" fillId="11700" borderId="0" xfId="0" applyFill="1"/>
    <xf numFmtId="0" fontId="0" fillId="11701" borderId="0" xfId="0" applyFill="1"/>
    <xf numFmtId="0" fontId="0" fillId="11702" borderId="0" xfId="0" applyFill="1"/>
    <xf numFmtId="0" fontId="0" fillId="11703" borderId="0" xfId="0" applyFill="1"/>
    <xf numFmtId="0" fontId="0" fillId="11704" borderId="0" xfId="0" applyFill="1"/>
    <xf numFmtId="0" fontId="0" fillId="11705" borderId="0" xfId="0" applyFill="1"/>
    <xf numFmtId="0" fontId="0" fillId="11706" borderId="0" xfId="0" applyFill="1"/>
    <xf numFmtId="0" fontId="0" fillId="11707" borderId="0" xfId="0" applyFill="1"/>
    <xf numFmtId="0" fontId="0" fillId="11708" borderId="0" xfId="0" applyFill="1"/>
    <xf numFmtId="0" fontId="0" fillId="11709" borderId="0" xfId="0" applyFill="1"/>
    <xf numFmtId="0" fontId="0" fillId="11710" borderId="0" xfId="0" applyFill="1"/>
    <xf numFmtId="0" fontId="0" fillId="11711" borderId="0" xfId="0" applyFill="1"/>
    <xf numFmtId="0" fontId="0" fillId="11712" borderId="0" xfId="0" applyFill="1"/>
    <xf numFmtId="0" fontId="0" fillId="11713" borderId="0" xfId="0" applyFill="1"/>
    <xf numFmtId="0" fontId="0" fillId="11714" borderId="0" xfId="0" applyFill="1"/>
    <xf numFmtId="0" fontId="0" fillId="11715" borderId="0" xfId="0" applyFill="1"/>
    <xf numFmtId="0" fontId="0" fillId="11716" borderId="0" xfId="0" applyFill="1"/>
    <xf numFmtId="0" fontId="0" fillId="11717" borderId="0" xfId="0" applyFill="1"/>
    <xf numFmtId="0" fontId="0" fillId="11718" borderId="0" xfId="0" applyFill="1"/>
    <xf numFmtId="0" fontId="0" fillId="11719" borderId="0" xfId="0" applyFill="1"/>
    <xf numFmtId="0" fontId="0" fillId="11720" borderId="0" xfId="0" applyFill="1"/>
    <xf numFmtId="0" fontId="0" fillId="11721" borderId="0" xfId="0" applyFill="1"/>
    <xf numFmtId="0" fontId="0" fillId="11722" borderId="0" xfId="0" applyFill="1"/>
    <xf numFmtId="0" fontId="0" fillId="11723" borderId="0" xfId="0" applyFill="1"/>
    <xf numFmtId="0" fontId="0" fillId="11724" borderId="0" xfId="0" applyFill="1"/>
    <xf numFmtId="0" fontId="0" fillId="11725" borderId="0" xfId="0" applyFill="1"/>
    <xf numFmtId="0" fontId="0" fillId="11726" borderId="0" xfId="0" applyFill="1"/>
    <xf numFmtId="0" fontId="0" fillId="11727" borderId="0" xfId="0" applyFill="1"/>
    <xf numFmtId="0" fontId="0" fillId="11728" borderId="0" xfId="0" applyFill="1"/>
    <xf numFmtId="0" fontId="0" fillId="11729" borderId="0" xfId="0" applyFill="1"/>
    <xf numFmtId="0" fontId="0" fillId="11730" borderId="0" xfId="0" applyFill="1"/>
    <xf numFmtId="0" fontId="0" fillId="11731" borderId="0" xfId="0" applyFill="1"/>
    <xf numFmtId="0" fontId="0" fillId="11732" borderId="0" xfId="0" applyFill="1"/>
    <xf numFmtId="0" fontId="0" fillId="11733" borderId="0" xfId="0" applyFill="1"/>
    <xf numFmtId="0" fontId="0" fillId="11734" borderId="0" xfId="0" applyFill="1"/>
    <xf numFmtId="0" fontId="0" fillId="11735" borderId="0" xfId="0" applyFill="1"/>
    <xf numFmtId="0" fontId="0" fillId="11736" borderId="0" xfId="0" applyFill="1"/>
    <xf numFmtId="0" fontId="0" fillId="11737" borderId="0" xfId="0" applyFill="1"/>
    <xf numFmtId="0" fontId="0" fillId="11738" borderId="0" xfId="0" applyFill="1"/>
    <xf numFmtId="0" fontId="0" fillId="11739" borderId="0" xfId="0" applyFill="1"/>
    <xf numFmtId="0" fontId="0" fillId="11740" borderId="0" xfId="0" applyFill="1"/>
    <xf numFmtId="0" fontId="0" fillId="11741" borderId="0" xfId="0" applyFill="1"/>
    <xf numFmtId="0" fontId="0" fillId="11742" borderId="0" xfId="0" applyFill="1"/>
    <xf numFmtId="0" fontId="0" fillId="11743" borderId="0" xfId="0" applyFill="1"/>
    <xf numFmtId="0" fontId="0" fillId="11744" borderId="0" xfId="0" applyFill="1"/>
    <xf numFmtId="0" fontId="0" fillId="11745" borderId="0" xfId="0" applyFill="1"/>
    <xf numFmtId="0" fontId="0" fillId="11746" borderId="0" xfId="0" applyFill="1"/>
    <xf numFmtId="0" fontId="0" fillId="11747" borderId="0" xfId="0" applyFill="1"/>
    <xf numFmtId="0" fontId="0" fillId="11748" borderId="0" xfId="0" applyFill="1"/>
    <xf numFmtId="0" fontId="0" fillId="11749" borderId="0" xfId="0" applyFill="1"/>
    <xf numFmtId="0" fontId="0" fillId="11750" borderId="0" xfId="0" applyFill="1"/>
    <xf numFmtId="0" fontId="0" fillId="11751" borderId="0" xfId="0" applyFill="1"/>
    <xf numFmtId="0" fontId="0" fillId="11752" borderId="0" xfId="0" applyFill="1"/>
    <xf numFmtId="0" fontId="0" fillId="11753" borderId="0" xfId="0" applyFill="1"/>
    <xf numFmtId="0" fontId="0" fillId="11754" borderId="0" xfId="0" applyFill="1"/>
    <xf numFmtId="0" fontId="0" fillId="11755" borderId="0" xfId="0" applyFill="1"/>
    <xf numFmtId="0" fontId="0" fillId="11756" borderId="0" xfId="0" applyFill="1"/>
    <xf numFmtId="0" fontId="0" fillId="11757" borderId="0" xfId="0" applyFill="1"/>
    <xf numFmtId="0" fontId="0" fillId="11758" borderId="0" xfId="0" applyFill="1"/>
    <xf numFmtId="0" fontId="0" fillId="11759" borderId="0" xfId="0" applyFill="1"/>
    <xf numFmtId="0" fontId="0" fillId="11760" borderId="0" xfId="0" applyFill="1"/>
    <xf numFmtId="0" fontId="0" fillId="11761" borderId="0" xfId="0" applyFill="1"/>
    <xf numFmtId="0" fontId="0" fillId="11762" borderId="0" xfId="0" applyFill="1"/>
    <xf numFmtId="0" fontId="0" fillId="11763" borderId="0" xfId="0" applyFill="1"/>
    <xf numFmtId="0" fontId="0" fillId="11764" borderId="0" xfId="0" applyFill="1"/>
    <xf numFmtId="0" fontId="0" fillId="11765" borderId="0" xfId="0" applyFill="1"/>
    <xf numFmtId="0" fontId="0" fillId="11766" borderId="0" xfId="0" applyFill="1"/>
    <xf numFmtId="0" fontId="0" fillId="11767" borderId="0" xfId="0" applyFill="1"/>
    <xf numFmtId="0" fontId="0" fillId="11768" borderId="0" xfId="0" applyFill="1"/>
    <xf numFmtId="0" fontId="0" fillId="11769" borderId="0" xfId="0" applyFill="1"/>
    <xf numFmtId="0" fontId="0" fillId="11770" borderId="0" xfId="0" applyFill="1"/>
    <xf numFmtId="0" fontId="0" fillId="11771" borderId="0" xfId="0" applyFill="1"/>
    <xf numFmtId="0" fontId="0" fillId="11772" borderId="0" xfId="0" applyFill="1"/>
    <xf numFmtId="0" fontId="0" fillId="11773" borderId="0" xfId="0" applyFill="1"/>
    <xf numFmtId="0" fontId="0" fillId="11774" borderId="0" xfId="0" applyFill="1"/>
    <xf numFmtId="0" fontId="0" fillId="11775" borderId="0" xfId="0" applyFill="1"/>
    <xf numFmtId="0" fontId="0" fillId="11776" borderId="0" xfId="0" applyFill="1"/>
    <xf numFmtId="0" fontId="0" fillId="11777" borderId="0" xfId="0" applyFill="1"/>
    <xf numFmtId="0" fontId="0" fillId="11778" borderId="0" xfId="0" applyFill="1"/>
    <xf numFmtId="0" fontId="0" fillId="11779" borderId="0" xfId="0" applyFill="1"/>
    <xf numFmtId="0" fontId="0" fillId="11780" borderId="0" xfId="0" applyFill="1"/>
    <xf numFmtId="0" fontId="0" fillId="11781" borderId="0" xfId="0" applyFill="1"/>
    <xf numFmtId="0" fontId="0" fillId="11782" borderId="0" xfId="0" applyFill="1"/>
    <xf numFmtId="0" fontId="0" fillId="11783" borderId="0" xfId="0" applyFill="1"/>
    <xf numFmtId="0" fontId="0" fillId="11784" borderId="0" xfId="0" applyFill="1"/>
    <xf numFmtId="0" fontId="0" fillId="11785" borderId="0" xfId="0" applyFill="1"/>
    <xf numFmtId="0" fontId="0" fillId="11786" borderId="0" xfId="0" applyFill="1"/>
    <xf numFmtId="0" fontId="0" fillId="11787" borderId="0" xfId="0" applyFill="1"/>
    <xf numFmtId="0" fontId="0" fillId="11788" borderId="0" xfId="0" applyFill="1"/>
    <xf numFmtId="0" fontId="0" fillId="11789" borderId="0" xfId="0" applyFill="1"/>
    <xf numFmtId="0" fontId="0" fillId="11790" borderId="0" xfId="0" applyFill="1"/>
    <xf numFmtId="0" fontId="0" fillId="11791" borderId="0" xfId="0" applyFill="1"/>
    <xf numFmtId="0" fontId="0" fillId="11792" borderId="0" xfId="0" applyFill="1"/>
    <xf numFmtId="0" fontId="0" fillId="11793" borderId="0" xfId="0" applyFill="1"/>
    <xf numFmtId="0" fontId="0" fillId="11794" borderId="0" xfId="0" applyFill="1"/>
    <xf numFmtId="0" fontId="0" fillId="11795" borderId="0" xfId="0" applyFill="1"/>
    <xf numFmtId="0" fontId="0" fillId="11796" borderId="0" xfId="0" applyFill="1"/>
    <xf numFmtId="0" fontId="0" fillId="11797" borderId="0" xfId="0" applyFill="1"/>
    <xf numFmtId="0" fontId="0" fillId="11798" borderId="0" xfId="0" applyFill="1"/>
    <xf numFmtId="0" fontId="0" fillId="11799" borderId="0" xfId="0" applyFill="1"/>
    <xf numFmtId="0" fontId="0" fillId="11800" borderId="0" xfId="0" applyFill="1"/>
    <xf numFmtId="0" fontId="0" fillId="11801" borderId="0" xfId="0" applyFill="1"/>
    <xf numFmtId="0" fontId="0" fillId="11802" borderId="0" xfId="0" applyFill="1"/>
    <xf numFmtId="0" fontId="0" fillId="11803" borderId="0" xfId="0" applyFill="1"/>
    <xf numFmtId="0" fontId="0" fillId="11804" borderId="0" xfId="0" applyFill="1"/>
    <xf numFmtId="0" fontId="0" fillId="11805" borderId="0" xfId="0" applyFill="1"/>
    <xf numFmtId="0" fontId="0" fillId="11806" borderId="0" xfId="0" applyFill="1"/>
    <xf numFmtId="0" fontId="0" fillId="11807" borderId="0" xfId="0" applyFill="1"/>
    <xf numFmtId="0" fontId="0" fillId="11808" borderId="0" xfId="0" applyFill="1"/>
    <xf numFmtId="0" fontId="0" fillId="11809" borderId="0" xfId="0" applyFill="1"/>
    <xf numFmtId="0" fontId="0" fillId="11810" borderId="0" xfId="0" applyFill="1"/>
    <xf numFmtId="0" fontId="0" fillId="11811" borderId="0" xfId="0" applyFill="1"/>
    <xf numFmtId="0" fontId="0" fillId="11812" borderId="0" xfId="0" applyFill="1"/>
    <xf numFmtId="0" fontId="0" fillId="11813" borderId="0" xfId="0" applyFill="1"/>
    <xf numFmtId="0" fontId="0" fillId="11814" borderId="0" xfId="0" applyFill="1"/>
    <xf numFmtId="0" fontId="0" fillId="11815" borderId="0" xfId="0" applyFill="1"/>
    <xf numFmtId="0" fontId="0" fillId="11816" borderId="0" xfId="0" applyFill="1"/>
    <xf numFmtId="0" fontId="0" fillId="11817" borderId="0" xfId="0" applyFill="1"/>
    <xf numFmtId="0" fontId="0" fillId="11818" borderId="0" xfId="0" applyFill="1"/>
    <xf numFmtId="0" fontId="0" fillId="11819" borderId="0" xfId="0" applyFill="1"/>
    <xf numFmtId="0" fontId="0" fillId="11820" borderId="0" xfId="0" applyFill="1"/>
    <xf numFmtId="0" fontId="0" fillId="11821" borderId="0" xfId="0" applyFill="1"/>
    <xf numFmtId="0" fontId="0" fillId="11822" borderId="0" xfId="0" applyFill="1"/>
    <xf numFmtId="0" fontId="0" fillId="11823" borderId="0" xfId="0" applyFill="1"/>
    <xf numFmtId="0" fontId="0" fillId="11824" borderId="0" xfId="0" applyFill="1"/>
    <xf numFmtId="0" fontId="0" fillId="11825" borderId="0" xfId="0" applyFill="1"/>
    <xf numFmtId="0" fontId="0" fillId="11826" borderId="0" xfId="0" applyFill="1"/>
    <xf numFmtId="0" fontId="0" fillId="11827" borderId="0" xfId="0" applyFill="1"/>
    <xf numFmtId="0" fontId="0" fillId="11828" borderId="0" xfId="0" applyFill="1"/>
    <xf numFmtId="0" fontId="0" fillId="11829" borderId="0" xfId="0" applyFill="1"/>
    <xf numFmtId="0" fontId="0" fillId="11830" borderId="0" xfId="0" applyFill="1"/>
    <xf numFmtId="0" fontId="0" fillId="11831" borderId="0" xfId="0" applyFill="1"/>
    <xf numFmtId="0" fontId="0" fillId="11832" borderId="0" xfId="0" applyFill="1"/>
    <xf numFmtId="0" fontId="0" fillId="11833" borderId="0" xfId="0" applyFill="1"/>
    <xf numFmtId="0" fontId="0" fillId="11834" borderId="0" xfId="0" applyFill="1"/>
    <xf numFmtId="0" fontId="0" fillId="11835" borderId="0" xfId="0" applyFill="1"/>
    <xf numFmtId="0" fontId="0" fillId="11836" borderId="0" xfId="0" applyFill="1"/>
    <xf numFmtId="0" fontId="0" fillId="11837" borderId="0" xfId="0" applyFill="1"/>
    <xf numFmtId="0" fontId="0" fillId="11838" borderId="0" xfId="0" applyFill="1"/>
    <xf numFmtId="0" fontId="0" fillId="11839" borderId="0" xfId="0" applyFill="1"/>
    <xf numFmtId="0" fontId="0" fillId="11840" borderId="0" xfId="0" applyFill="1"/>
    <xf numFmtId="0" fontId="0" fillId="11841" borderId="0" xfId="0" applyFill="1"/>
    <xf numFmtId="0" fontId="0" fillId="11842" borderId="0" xfId="0" applyFill="1"/>
    <xf numFmtId="0" fontId="0" fillId="11843" borderId="0" xfId="0" applyFill="1"/>
    <xf numFmtId="0" fontId="0" fillId="11844" borderId="0" xfId="0" applyFill="1"/>
    <xf numFmtId="0" fontId="0" fillId="11845" borderId="0" xfId="0" applyFill="1"/>
    <xf numFmtId="0" fontId="0" fillId="11846" borderId="0" xfId="0" applyFill="1"/>
    <xf numFmtId="0" fontId="0" fillId="11847" borderId="0" xfId="0" applyFill="1"/>
    <xf numFmtId="0" fontId="0" fillId="11848" borderId="0" xfId="0" applyFill="1"/>
    <xf numFmtId="0" fontId="0" fillId="11849" borderId="0" xfId="0" applyFill="1"/>
    <xf numFmtId="0" fontId="0" fillId="11850" borderId="0" xfId="0" applyFill="1"/>
    <xf numFmtId="0" fontId="0" fillId="11851" borderId="0" xfId="0" applyFill="1"/>
    <xf numFmtId="0" fontId="0" fillId="11852" borderId="0" xfId="0" applyFill="1"/>
    <xf numFmtId="0" fontId="0" fillId="11853" borderId="0" xfId="0" applyFill="1"/>
    <xf numFmtId="0" fontId="0" fillId="11854" borderId="0" xfId="0" applyFill="1"/>
    <xf numFmtId="0" fontId="0" fillId="11855" borderId="0" xfId="0" applyFill="1"/>
    <xf numFmtId="0" fontId="0" fillId="11856" borderId="0" xfId="0" applyFill="1"/>
    <xf numFmtId="0" fontId="0" fillId="11857" borderId="0" xfId="0" applyFill="1"/>
    <xf numFmtId="0" fontId="0" fillId="11858" borderId="0" xfId="0" applyFill="1"/>
    <xf numFmtId="0" fontId="0" fillId="11859" borderId="0" xfId="0" applyFill="1"/>
    <xf numFmtId="0" fontId="0" fillId="11860" borderId="0" xfId="0" applyFill="1"/>
    <xf numFmtId="0" fontId="0" fillId="11861" borderId="0" xfId="0" applyFill="1"/>
    <xf numFmtId="0" fontId="0" fillId="11862" borderId="0" xfId="0" applyFill="1"/>
    <xf numFmtId="0" fontId="0" fillId="11863" borderId="0" xfId="0" applyFill="1"/>
    <xf numFmtId="0" fontId="0" fillId="11864" borderId="0" xfId="0" applyFill="1"/>
    <xf numFmtId="0" fontId="0" fillId="11865" borderId="0" xfId="0" applyFill="1"/>
    <xf numFmtId="0" fontId="0" fillId="11866" borderId="0" xfId="0" applyFill="1"/>
    <xf numFmtId="0" fontId="0" fillId="11867" borderId="0" xfId="0" applyFill="1"/>
    <xf numFmtId="0" fontId="0" fillId="11868" borderId="0" xfId="0" applyFill="1"/>
    <xf numFmtId="0" fontId="0" fillId="11869" borderId="0" xfId="0" applyFill="1"/>
    <xf numFmtId="0" fontId="0" fillId="11870" borderId="0" xfId="0" applyFill="1"/>
    <xf numFmtId="0" fontId="0" fillId="11871" borderId="0" xfId="0" applyFill="1"/>
    <xf numFmtId="0" fontId="0" fillId="11872" borderId="0" xfId="0" applyFill="1"/>
    <xf numFmtId="0" fontId="0" fillId="11873" borderId="0" xfId="0" applyFill="1"/>
    <xf numFmtId="0" fontId="0" fillId="11874" borderId="0" xfId="0" applyFill="1"/>
    <xf numFmtId="0" fontId="0" fillId="11875" borderId="0" xfId="0" applyFill="1"/>
    <xf numFmtId="0" fontId="0" fillId="11876" borderId="0" xfId="0" applyFill="1"/>
    <xf numFmtId="0" fontId="0" fillId="11877" borderId="0" xfId="0" applyFill="1"/>
    <xf numFmtId="0" fontId="0" fillId="11878" borderId="0" xfId="0" applyFill="1"/>
    <xf numFmtId="0" fontId="0" fillId="11879" borderId="0" xfId="0" applyFill="1"/>
    <xf numFmtId="0" fontId="0" fillId="11880" borderId="0" xfId="0" applyFill="1"/>
    <xf numFmtId="0" fontId="0" fillId="11881" borderId="0" xfId="0" applyFill="1"/>
    <xf numFmtId="0" fontId="0" fillId="11882" borderId="0" xfId="0" applyFill="1"/>
    <xf numFmtId="0" fontId="0" fillId="11883" borderId="0" xfId="0" applyFill="1"/>
    <xf numFmtId="0" fontId="0" fillId="11884" borderId="0" xfId="0" applyFill="1"/>
    <xf numFmtId="0" fontId="0" fillId="11885" borderId="0" xfId="0" applyFill="1"/>
    <xf numFmtId="0" fontId="0" fillId="11886" borderId="0" xfId="0" applyFill="1"/>
    <xf numFmtId="0" fontId="0" fillId="11887" borderId="0" xfId="0" applyFill="1"/>
    <xf numFmtId="0" fontId="0" fillId="11888" borderId="0" xfId="0" applyFill="1"/>
    <xf numFmtId="0" fontId="0" fillId="11889" borderId="0" xfId="0" applyFill="1"/>
    <xf numFmtId="0" fontId="0" fillId="11890" borderId="0" xfId="0" applyFill="1"/>
    <xf numFmtId="0" fontId="0" fillId="11891" borderId="0" xfId="0" applyFill="1"/>
    <xf numFmtId="0" fontId="0" fillId="11892" borderId="0" xfId="0" applyFill="1"/>
    <xf numFmtId="0" fontId="0" fillId="11893" borderId="0" xfId="0" applyFill="1"/>
    <xf numFmtId="0" fontId="0" fillId="11894" borderId="0" xfId="0" applyFill="1"/>
    <xf numFmtId="0" fontId="0" fillId="11895" borderId="0" xfId="0" applyFill="1"/>
    <xf numFmtId="0" fontId="0" fillId="11896" borderId="0" xfId="0" applyFill="1"/>
    <xf numFmtId="0" fontId="0" fillId="11897" borderId="0" xfId="0" applyFill="1"/>
    <xf numFmtId="0" fontId="0" fillId="11898" borderId="0" xfId="0" applyFill="1"/>
    <xf numFmtId="0" fontId="0" fillId="11899" borderId="0" xfId="0" applyFill="1"/>
    <xf numFmtId="0" fontId="0" fillId="11900" borderId="0" xfId="0" applyFill="1"/>
    <xf numFmtId="0" fontId="0" fillId="11901" borderId="0" xfId="0" applyFill="1"/>
    <xf numFmtId="0" fontId="0" fillId="11902" borderId="0" xfId="0" applyFill="1"/>
    <xf numFmtId="0" fontId="0" fillId="11903" borderId="0" xfId="0" applyFill="1"/>
    <xf numFmtId="0" fontId="0" fillId="11904" borderId="0" xfId="0" applyFill="1"/>
    <xf numFmtId="0" fontId="0" fillId="11905" borderId="0" xfId="0" applyFill="1"/>
    <xf numFmtId="0" fontId="0" fillId="11906" borderId="0" xfId="0" applyFill="1"/>
    <xf numFmtId="0" fontId="0" fillId="11907" borderId="0" xfId="0" applyFill="1"/>
    <xf numFmtId="0" fontId="0" fillId="11908" borderId="0" xfId="0" applyFill="1"/>
    <xf numFmtId="0" fontId="0" fillId="11909" borderId="0" xfId="0" applyFill="1"/>
    <xf numFmtId="0" fontId="0" fillId="11910" borderId="0" xfId="0" applyFill="1"/>
    <xf numFmtId="0" fontId="0" fillId="11911" borderId="0" xfId="0" applyFill="1"/>
    <xf numFmtId="0" fontId="0" fillId="11912" borderId="0" xfId="0" applyFill="1"/>
    <xf numFmtId="0" fontId="0" fillId="11913" borderId="0" xfId="0" applyFill="1"/>
    <xf numFmtId="0" fontId="0" fillId="11914" borderId="0" xfId="0" applyFill="1"/>
    <xf numFmtId="0" fontId="0" fillId="11915" borderId="0" xfId="0" applyFill="1"/>
    <xf numFmtId="0" fontId="0" fillId="11916" borderId="0" xfId="0" applyFill="1"/>
    <xf numFmtId="0" fontId="0" fillId="11917" borderId="0" xfId="0" applyFill="1"/>
    <xf numFmtId="0" fontId="0" fillId="11918" borderId="0" xfId="0" applyFill="1"/>
    <xf numFmtId="0" fontId="0" fillId="11919" borderId="0" xfId="0" applyFill="1"/>
    <xf numFmtId="0" fontId="0" fillId="11920" borderId="0" xfId="0" applyFill="1"/>
    <xf numFmtId="0" fontId="0" fillId="11921" borderId="0" xfId="0" applyFill="1"/>
    <xf numFmtId="0" fontId="0" fillId="11922" borderId="0" xfId="0" applyFill="1"/>
    <xf numFmtId="0" fontId="0" fillId="11923" borderId="0" xfId="0" applyFill="1"/>
    <xf numFmtId="0" fontId="0" fillId="11924" borderId="0" xfId="0" applyFill="1"/>
    <xf numFmtId="0" fontId="0" fillId="11925" borderId="0" xfId="0" applyFill="1"/>
    <xf numFmtId="0" fontId="0" fillId="11926" borderId="0" xfId="0" applyFill="1"/>
    <xf numFmtId="0" fontId="0" fillId="11927" borderId="0" xfId="0" applyFill="1"/>
    <xf numFmtId="0" fontId="0" fillId="11928" borderId="0" xfId="0" applyFill="1"/>
    <xf numFmtId="0" fontId="0" fillId="11929" borderId="0" xfId="0" applyFill="1"/>
    <xf numFmtId="0" fontId="0" fillId="11930" borderId="0" xfId="0" applyFill="1"/>
    <xf numFmtId="0" fontId="0" fillId="11931" borderId="0" xfId="0" applyFill="1"/>
    <xf numFmtId="0" fontId="0" fillId="11932" borderId="0" xfId="0" applyFill="1"/>
    <xf numFmtId="0" fontId="0" fillId="11933" borderId="0" xfId="0" applyFill="1"/>
    <xf numFmtId="0" fontId="0" fillId="11934" borderId="0" xfId="0" applyFill="1"/>
    <xf numFmtId="0" fontId="0" fillId="11935" borderId="0" xfId="0" applyFill="1"/>
    <xf numFmtId="0" fontId="0" fillId="11936" borderId="0" xfId="0" applyFill="1"/>
    <xf numFmtId="0" fontId="0" fillId="11937" borderId="0" xfId="0" applyFill="1"/>
    <xf numFmtId="0" fontId="0" fillId="11938" borderId="0" xfId="0" applyFill="1"/>
    <xf numFmtId="0" fontId="0" fillId="11939" borderId="0" xfId="0" applyFill="1"/>
    <xf numFmtId="0" fontId="0" fillId="11940" borderId="0" xfId="0" applyFill="1"/>
    <xf numFmtId="0" fontId="0" fillId="11941" borderId="0" xfId="0" applyFill="1"/>
    <xf numFmtId="0" fontId="0" fillId="11942" borderId="0" xfId="0" applyFill="1"/>
    <xf numFmtId="0" fontId="0" fillId="11943" borderId="0" xfId="0" applyFill="1"/>
    <xf numFmtId="0" fontId="0" fillId="11944" borderId="0" xfId="0" applyFill="1"/>
    <xf numFmtId="0" fontId="0" fillId="11945" borderId="0" xfId="0" applyFill="1"/>
    <xf numFmtId="0" fontId="0" fillId="11946" borderId="0" xfId="0" applyFill="1"/>
    <xf numFmtId="0" fontId="0" fillId="11947" borderId="0" xfId="0" applyFill="1"/>
    <xf numFmtId="0" fontId="0" fillId="11948" borderId="0" xfId="0" applyFill="1"/>
    <xf numFmtId="0" fontId="0" fillId="11949" borderId="0" xfId="0" applyFill="1"/>
    <xf numFmtId="0" fontId="0" fillId="11950" borderId="0" xfId="0" applyFill="1"/>
    <xf numFmtId="0" fontId="0" fillId="11951" borderId="0" xfId="0" applyFill="1"/>
    <xf numFmtId="0" fontId="0" fillId="11952" borderId="0" xfId="0" applyFill="1"/>
    <xf numFmtId="0" fontId="0" fillId="11953" borderId="0" xfId="0" applyFill="1"/>
    <xf numFmtId="0" fontId="0" fillId="11954" borderId="0" xfId="0" applyFill="1"/>
    <xf numFmtId="0" fontId="0" fillId="11955" borderId="0" xfId="0" applyFill="1"/>
    <xf numFmtId="0" fontId="0" fillId="11956" borderId="0" xfId="0" applyFill="1"/>
    <xf numFmtId="0" fontId="0" fillId="11957" borderId="0" xfId="0" applyFill="1"/>
    <xf numFmtId="0" fontId="0" fillId="11958" borderId="0" xfId="0" applyFill="1"/>
    <xf numFmtId="0" fontId="0" fillId="11959" borderId="0" xfId="0" applyFill="1"/>
    <xf numFmtId="0" fontId="0" fillId="11960" borderId="0" xfId="0" applyFill="1"/>
    <xf numFmtId="0" fontId="0" fillId="11961" borderId="0" xfId="0" applyFill="1"/>
    <xf numFmtId="0" fontId="0" fillId="11962" borderId="0" xfId="0" applyFill="1"/>
    <xf numFmtId="0" fontId="0" fillId="11963" borderId="0" xfId="0" applyFill="1"/>
    <xf numFmtId="0" fontId="0" fillId="11964" borderId="0" xfId="0" applyFill="1"/>
    <xf numFmtId="0" fontId="0" fillId="11965" borderId="0" xfId="0" applyFill="1"/>
    <xf numFmtId="0" fontId="0" fillId="11966" borderId="0" xfId="0" applyFill="1"/>
    <xf numFmtId="0" fontId="0" fillId="11967" borderId="0" xfId="0" applyFill="1"/>
    <xf numFmtId="0" fontId="0" fillId="11968" borderId="0" xfId="0" applyFill="1"/>
    <xf numFmtId="0" fontId="0" fillId="11969" borderId="0" xfId="0" applyFill="1"/>
    <xf numFmtId="0" fontId="0" fillId="11970" borderId="0" xfId="0" applyFill="1"/>
    <xf numFmtId="0" fontId="0" fillId="11971" borderId="0" xfId="0" applyFill="1"/>
    <xf numFmtId="0" fontId="0" fillId="11972" borderId="0" xfId="0" applyFill="1"/>
    <xf numFmtId="0" fontId="0" fillId="11973" borderId="0" xfId="0" applyFill="1"/>
    <xf numFmtId="0" fontId="0" fillId="11974" borderId="0" xfId="0" applyFill="1"/>
    <xf numFmtId="0" fontId="0" fillId="11975" borderId="0" xfId="0" applyFill="1"/>
    <xf numFmtId="0" fontId="0" fillId="11976" borderId="0" xfId="0" applyFill="1"/>
    <xf numFmtId="0" fontId="0" fillId="11977" borderId="0" xfId="0" applyFill="1"/>
    <xf numFmtId="0" fontId="0" fillId="11978" borderId="0" xfId="0" applyFill="1"/>
    <xf numFmtId="0" fontId="0" fillId="11979" borderId="0" xfId="0" applyFill="1"/>
    <xf numFmtId="0" fontId="0" fillId="11980" borderId="0" xfId="0" applyFill="1"/>
    <xf numFmtId="0" fontId="0" fillId="11981" borderId="0" xfId="0" applyFill="1"/>
    <xf numFmtId="0" fontId="0" fillId="11982" borderId="0" xfId="0" applyFill="1"/>
    <xf numFmtId="0" fontId="0" fillId="11983" borderId="0" xfId="0" applyFill="1"/>
    <xf numFmtId="0" fontId="0" fillId="11984" borderId="0" xfId="0" applyFill="1"/>
    <xf numFmtId="0" fontId="0" fillId="11985" borderId="0" xfId="0" applyFill="1"/>
    <xf numFmtId="0" fontId="0" fillId="11986" borderId="0" xfId="0" applyFill="1"/>
    <xf numFmtId="0" fontId="0" fillId="11987" borderId="0" xfId="0" applyFill="1"/>
    <xf numFmtId="0" fontId="0" fillId="11988" borderId="0" xfId="0" applyFill="1"/>
    <xf numFmtId="0" fontId="0" fillId="11989" borderId="0" xfId="0" applyFill="1"/>
    <xf numFmtId="0" fontId="0" fillId="11990" borderId="0" xfId="0" applyFill="1"/>
    <xf numFmtId="0" fontId="0" fillId="11991" borderId="0" xfId="0" applyFill="1"/>
    <xf numFmtId="0" fontId="0" fillId="11992" borderId="0" xfId="0" applyFill="1"/>
    <xf numFmtId="0" fontId="0" fillId="11993" borderId="0" xfId="0" applyFill="1"/>
    <xf numFmtId="0" fontId="0" fillId="11994" borderId="0" xfId="0" applyFill="1"/>
    <xf numFmtId="0" fontId="0" fillId="11995" borderId="0" xfId="0" applyFill="1"/>
    <xf numFmtId="0" fontId="0" fillId="11996" borderId="0" xfId="0" applyFill="1"/>
    <xf numFmtId="0" fontId="0" fillId="11997" borderId="0" xfId="0" applyFill="1"/>
    <xf numFmtId="0" fontId="0" fillId="11998" borderId="0" xfId="0" applyFill="1"/>
    <xf numFmtId="0" fontId="0" fillId="11999" borderId="0" xfId="0" applyFill="1"/>
    <xf numFmtId="0" fontId="0" fillId="12000" borderId="0" xfId="0" applyFill="1"/>
    <xf numFmtId="0" fontId="0" fillId="12001" borderId="0" xfId="0" applyFill="1"/>
    <xf numFmtId="0" fontId="0" fillId="12002" borderId="0" xfId="0" applyFill="1"/>
    <xf numFmtId="0" fontId="0" fillId="12003" borderId="0" xfId="0" applyFill="1"/>
    <xf numFmtId="0" fontId="0" fillId="12004" borderId="0" xfId="0" applyFill="1"/>
    <xf numFmtId="0" fontId="0" fillId="12005" borderId="0" xfId="0" applyFill="1"/>
    <xf numFmtId="0" fontId="0" fillId="12006" borderId="0" xfId="0" applyFill="1"/>
    <xf numFmtId="0" fontId="0" fillId="12007" borderId="0" xfId="0" applyFill="1"/>
    <xf numFmtId="0" fontId="0" fillId="12008" borderId="0" xfId="0" applyFill="1"/>
    <xf numFmtId="0" fontId="0" fillId="12009" borderId="0" xfId="0" applyFill="1"/>
    <xf numFmtId="0" fontId="0" fillId="12010" borderId="0" xfId="0" applyFill="1"/>
    <xf numFmtId="0" fontId="0" fillId="12011" borderId="0" xfId="0" applyFill="1"/>
    <xf numFmtId="0" fontId="0" fillId="12012" borderId="0" xfId="0" applyFill="1"/>
    <xf numFmtId="0" fontId="0" fillId="12013" borderId="0" xfId="0" applyFill="1"/>
    <xf numFmtId="0" fontId="0" fillId="12014" borderId="0" xfId="0" applyFill="1"/>
    <xf numFmtId="0" fontId="0" fillId="12015" borderId="0" xfId="0" applyFill="1"/>
    <xf numFmtId="0" fontId="0" fillId="12016" borderId="0" xfId="0" applyFill="1"/>
    <xf numFmtId="0" fontId="0" fillId="12017" borderId="0" xfId="0" applyFill="1"/>
    <xf numFmtId="0" fontId="0" fillId="12018" borderId="0" xfId="0" applyFill="1"/>
    <xf numFmtId="0" fontId="0" fillId="12019" borderId="0" xfId="0" applyFill="1"/>
    <xf numFmtId="0" fontId="0" fillId="12020" borderId="0" xfId="0" applyFill="1"/>
    <xf numFmtId="0" fontId="0" fillId="12021" borderId="0" xfId="0" applyFill="1"/>
    <xf numFmtId="0" fontId="0" fillId="12022" borderId="0" xfId="0" applyFill="1"/>
    <xf numFmtId="0" fontId="0" fillId="12023" borderId="0" xfId="0" applyFill="1"/>
    <xf numFmtId="0" fontId="0" fillId="12024" borderId="0" xfId="0" applyFill="1"/>
    <xf numFmtId="0" fontId="0" fillId="12025" borderId="0" xfId="0" applyFill="1"/>
    <xf numFmtId="0" fontId="0" fillId="12026" borderId="0" xfId="0" applyFill="1"/>
    <xf numFmtId="0" fontId="0" fillId="12027" borderId="0" xfId="0" applyFill="1"/>
    <xf numFmtId="0" fontId="0" fillId="12028" borderId="0" xfId="0" applyFill="1"/>
    <xf numFmtId="0" fontId="0" fillId="12029" borderId="0" xfId="0" applyFill="1"/>
    <xf numFmtId="0" fontId="0" fillId="12030" borderId="0" xfId="0" applyFill="1"/>
    <xf numFmtId="0" fontId="0" fillId="12031" borderId="0" xfId="0" applyFill="1"/>
    <xf numFmtId="0" fontId="0" fillId="12032" borderId="0" xfId="0" applyFill="1"/>
    <xf numFmtId="0" fontId="0" fillId="12033" borderId="0" xfId="0" applyFill="1"/>
    <xf numFmtId="0" fontId="0" fillId="12034" borderId="0" xfId="0" applyFill="1"/>
    <xf numFmtId="0" fontId="0" fillId="12035" borderId="0" xfId="0" applyFill="1"/>
    <xf numFmtId="0" fontId="0" fillId="12036" borderId="0" xfId="0" applyFill="1"/>
    <xf numFmtId="0" fontId="0" fillId="12037" borderId="0" xfId="0" applyFill="1"/>
    <xf numFmtId="0" fontId="0" fillId="12038" borderId="0" xfId="0" applyFill="1"/>
    <xf numFmtId="0" fontId="0" fillId="12039" borderId="0" xfId="0" applyFill="1"/>
    <xf numFmtId="0" fontId="0" fillId="12040" borderId="0" xfId="0" applyFill="1"/>
    <xf numFmtId="0" fontId="0" fillId="12041" borderId="0" xfId="0" applyFill="1"/>
    <xf numFmtId="0" fontId="0" fillId="12042" borderId="0" xfId="0" applyFill="1"/>
    <xf numFmtId="0" fontId="0" fillId="12043" borderId="0" xfId="0" applyFill="1"/>
    <xf numFmtId="0" fontId="0" fillId="12044" borderId="0" xfId="0" applyFill="1"/>
    <xf numFmtId="0" fontId="0" fillId="12045" borderId="0" xfId="0" applyFill="1"/>
    <xf numFmtId="0" fontId="0" fillId="12046" borderId="0" xfId="0" applyFill="1"/>
    <xf numFmtId="0" fontId="0" fillId="12047" borderId="0" xfId="0" applyFill="1"/>
    <xf numFmtId="0" fontId="0" fillId="12048" borderId="0" xfId="0" applyFill="1"/>
    <xf numFmtId="0" fontId="0" fillId="12049" borderId="0" xfId="0" applyFill="1"/>
    <xf numFmtId="0" fontId="0" fillId="12050" borderId="0" xfId="0" applyFill="1"/>
    <xf numFmtId="0" fontId="0" fillId="12051" borderId="0" xfId="0" applyFill="1"/>
    <xf numFmtId="0" fontId="0" fillId="12052" borderId="0" xfId="0" applyFill="1"/>
    <xf numFmtId="0" fontId="0" fillId="12053" borderId="0" xfId="0" applyFill="1"/>
    <xf numFmtId="0" fontId="0" fillId="12054" borderId="0" xfId="0" applyFill="1"/>
    <xf numFmtId="0" fontId="0" fillId="12055" borderId="0" xfId="0" applyFill="1"/>
    <xf numFmtId="0" fontId="0" fillId="12056" borderId="0" xfId="0" applyFill="1"/>
    <xf numFmtId="0" fontId="0" fillId="12057" borderId="0" xfId="0" applyFill="1"/>
    <xf numFmtId="0" fontId="0" fillId="12058" borderId="0" xfId="0" applyFill="1"/>
    <xf numFmtId="0" fontId="0" fillId="12059" borderId="0" xfId="0" applyFill="1"/>
    <xf numFmtId="0" fontId="0" fillId="12060" borderId="0" xfId="0" applyFill="1"/>
    <xf numFmtId="0" fontId="0" fillId="12061" borderId="0" xfId="0" applyFill="1"/>
    <xf numFmtId="0" fontId="0" fillId="12062" borderId="0" xfId="0" applyFill="1"/>
    <xf numFmtId="0" fontId="0" fillId="12063" borderId="0" xfId="0" applyFill="1"/>
    <xf numFmtId="0" fontId="0" fillId="12064" borderId="0" xfId="0" applyFill="1"/>
    <xf numFmtId="0" fontId="0" fillId="12065" borderId="0" xfId="0" applyFill="1"/>
    <xf numFmtId="0" fontId="0" fillId="12066" borderId="0" xfId="0" applyFill="1"/>
    <xf numFmtId="0" fontId="0" fillId="12067" borderId="0" xfId="0" applyFill="1"/>
    <xf numFmtId="0" fontId="0" fillId="12068" borderId="0" xfId="0" applyFill="1"/>
    <xf numFmtId="0" fontId="0" fillId="12069" borderId="0" xfId="0" applyFill="1"/>
    <xf numFmtId="0" fontId="0" fillId="12070" borderId="0" xfId="0" applyFill="1"/>
    <xf numFmtId="0" fontId="0" fillId="12071" borderId="0" xfId="0" applyFill="1"/>
    <xf numFmtId="0" fontId="0" fillId="12072" borderId="0" xfId="0" applyFill="1"/>
    <xf numFmtId="0" fontId="0" fillId="12073" borderId="0" xfId="0" applyFill="1"/>
    <xf numFmtId="0" fontId="0" fillId="12074" borderId="0" xfId="0" applyFill="1"/>
    <xf numFmtId="0" fontId="0" fillId="12075" borderId="0" xfId="0" applyFill="1"/>
    <xf numFmtId="0" fontId="0" fillId="12076" borderId="0" xfId="0" applyFill="1"/>
    <xf numFmtId="0" fontId="0" fillId="12077" borderId="0" xfId="0" applyFill="1"/>
    <xf numFmtId="0" fontId="0" fillId="12078" borderId="0" xfId="0" applyFill="1"/>
    <xf numFmtId="0" fontId="0" fillId="12079" borderId="0" xfId="0" applyFill="1"/>
    <xf numFmtId="0" fontId="0" fillId="12080" borderId="0" xfId="0" applyFill="1"/>
    <xf numFmtId="0" fontId="0" fillId="12081" borderId="0" xfId="0" applyFill="1"/>
    <xf numFmtId="0" fontId="0" fillId="12082" borderId="0" xfId="0" applyFill="1"/>
    <xf numFmtId="0" fontId="0" fillId="12083" borderId="0" xfId="0" applyFill="1"/>
    <xf numFmtId="0" fontId="0" fillId="12084" borderId="0" xfId="0" applyFill="1"/>
    <xf numFmtId="0" fontId="0" fillId="12085" borderId="0" xfId="0" applyFill="1"/>
    <xf numFmtId="0" fontId="0" fillId="12086" borderId="0" xfId="0" applyFill="1"/>
    <xf numFmtId="0" fontId="0" fillId="12087" borderId="0" xfId="0" applyFill="1"/>
    <xf numFmtId="0" fontId="0" fillId="12088" borderId="0" xfId="0" applyFill="1"/>
    <xf numFmtId="0" fontId="0" fillId="12089" borderId="0" xfId="0" applyFill="1"/>
    <xf numFmtId="0" fontId="0" fillId="12090" borderId="0" xfId="0" applyFill="1"/>
    <xf numFmtId="0" fontId="0" fillId="12091" borderId="0" xfId="0" applyFill="1"/>
    <xf numFmtId="0" fontId="0" fillId="12092" borderId="0" xfId="0" applyFill="1"/>
    <xf numFmtId="0" fontId="0" fillId="12093" borderId="0" xfId="0" applyFill="1"/>
    <xf numFmtId="0" fontId="0" fillId="12094" borderId="0" xfId="0" applyFill="1"/>
    <xf numFmtId="0" fontId="0" fillId="12095" borderId="0" xfId="0" applyFill="1"/>
    <xf numFmtId="0" fontId="0" fillId="12096" borderId="0" xfId="0" applyFill="1"/>
    <xf numFmtId="0" fontId="0" fillId="12097" borderId="0" xfId="0" applyFill="1"/>
    <xf numFmtId="0" fontId="0" fillId="12098" borderId="0" xfId="0" applyFill="1"/>
    <xf numFmtId="0" fontId="0" fillId="12099" borderId="0" xfId="0" applyFill="1"/>
    <xf numFmtId="0" fontId="0" fillId="12100" borderId="0" xfId="0" applyFill="1"/>
    <xf numFmtId="0" fontId="0" fillId="12101" borderId="0" xfId="0" applyFill="1"/>
    <xf numFmtId="0" fontId="0" fillId="12102" borderId="0" xfId="0" applyFill="1"/>
    <xf numFmtId="0" fontId="0" fillId="12103" borderId="0" xfId="0" applyFill="1"/>
    <xf numFmtId="0" fontId="0" fillId="12104" borderId="0" xfId="0" applyFill="1"/>
    <xf numFmtId="0" fontId="0" fillId="12105" borderId="0" xfId="0" applyFill="1"/>
    <xf numFmtId="0" fontId="0" fillId="12106" borderId="0" xfId="0" applyFill="1"/>
    <xf numFmtId="0" fontId="0" fillId="12107" borderId="0" xfId="0" applyFill="1"/>
    <xf numFmtId="0" fontId="0" fillId="12108" borderId="0" xfId="0" applyFill="1"/>
    <xf numFmtId="0" fontId="0" fillId="12109" borderId="0" xfId="0" applyFill="1"/>
    <xf numFmtId="0" fontId="0" fillId="12110" borderId="0" xfId="0" applyFill="1"/>
    <xf numFmtId="0" fontId="0" fillId="12111" borderId="0" xfId="0" applyFill="1"/>
    <xf numFmtId="0" fontId="0" fillId="12112" borderId="0" xfId="0" applyFill="1"/>
    <xf numFmtId="0" fontId="0" fillId="12113" borderId="0" xfId="0" applyFill="1"/>
    <xf numFmtId="0" fontId="0" fillId="12114" borderId="0" xfId="0" applyFill="1"/>
    <xf numFmtId="0" fontId="0" fillId="12115" borderId="0" xfId="0" applyFill="1"/>
    <xf numFmtId="0" fontId="0" fillId="12116" borderId="0" xfId="0" applyFill="1"/>
    <xf numFmtId="0" fontId="0" fillId="12117" borderId="0" xfId="0" applyFill="1"/>
    <xf numFmtId="0" fontId="0" fillId="12118" borderId="0" xfId="0" applyFill="1"/>
    <xf numFmtId="0" fontId="0" fillId="12119" borderId="0" xfId="0" applyFill="1"/>
    <xf numFmtId="0" fontId="0" fillId="12120" borderId="0" xfId="0" applyFill="1"/>
    <xf numFmtId="0" fontId="0" fillId="12121" borderId="0" xfId="0" applyFill="1"/>
    <xf numFmtId="0" fontId="0" fillId="12122" borderId="0" xfId="0" applyFill="1"/>
    <xf numFmtId="0" fontId="0" fillId="12123" borderId="0" xfId="0" applyFill="1"/>
    <xf numFmtId="0" fontId="0" fillId="12124" borderId="0" xfId="0" applyFill="1"/>
    <xf numFmtId="0" fontId="0" fillId="12125" borderId="0" xfId="0" applyFill="1"/>
    <xf numFmtId="0" fontId="0" fillId="12126" borderId="0" xfId="0" applyFill="1"/>
    <xf numFmtId="0" fontId="0" fillId="12127" borderId="0" xfId="0" applyFill="1"/>
    <xf numFmtId="0" fontId="0" fillId="12128" borderId="0" xfId="0" applyFill="1"/>
    <xf numFmtId="0" fontId="0" fillId="12129" borderId="0" xfId="0" applyFill="1"/>
    <xf numFmtId="0" fontId="0" fillId="12130" borderId="0" xfId="0" applyFill="1"/>
    <xf numFmtId="0" fontId="0" fillId="12131" borderId="0" xfId="0" applyFill="1"/>
    <xf numFmtId="0" fontId="0" fillId="12132" borderId="0" xfId="0" applyFill="1"/>
    <xf numFmtId="0" fontId="0" fillId="12133" borderId="0" xfId="0" applyFill="1"/>
    <xf numFmtId="0" fontId="0" fillId="12134" borderId="0" xfId="0" applyFill="1"/>
    <xf numFmtId="0" fontId="0" fillId="12135" borderId="0" xfId="0" applyFill="1"/>
    <xf numFmtId="0" fontId="0" fillId="12136" borderId="0" xfId="0" applyFill="1"/>
    <xf numFmtId="0" fontId="0" fillId="12137" borderId="0" xfId="0" applyFill="1"/>
    <xf numFmtId="0" fontId="0" fillId="12138" borderId="0" xfId="0" applyFill="1"/>
    <xf numFmtId="0" fontId="0" fillId="12139" borderId="0" xfId="0" applyFill="1"/>
    <xf numFmtId="0" fontId="0" fillId="12140" borderId="0" xfId="0" applyFill="1"/>
    <xf numFmtId="0" fontId="0" fillId="12141" borderId="0" xfId="0" applyFill="1"/>
    <xf numFmtId="0" fontId="0" fillId="12142" borderId="0" xfId="0" applyFill="1"/>
    <xf numFmtId="0" fontId="0" fillId="12143" borderId="0" xfId="0" applyFill="1"/>
    <xf numFmtId="0" fontId="0" fillId="12144" borderId="0" xfId="0" applyFill="1"/>
    <xf numFmtId="0" fontId="0" fillId="12145" borderId="0" xfId="0" applyFill="1"/>
    <xf numFmtId="0" fontId="0" fillId="12146" borderId="0" xfId="0" applyFill="1"/>
    <xf numFmtId="0" fontId="0" fillId="12147" borderId="0" xfId="0" applyFill="1"/>
    <xf numFmtId="0" fontId="0" fillId="12148" borderId="0" xfId="0" applyFill="1"/>
    <xf numFmtId="0" fontId="0" fillId="12149" borderId="0" xfId="0" applyFill="1"/>
    <xf numFmtId="0" fontId="0" fillId="12150" borderId="0" xfId="0" applyFill="1"/>
    <xf numFmtId="0" fontId="0" fillId="12151" borderId="0" xfId="0" applyFill="1"/>
    <xf numFmtId="0" fontId="0" fillId="12152" borderId="0" xfId="0" applyFill="1"/>
    <xf numFmtId="0" fontId="0" fillId="12153" borderId="0" xfId="0" applyFill="1"/>
    <xf numFmtId="0" fontId="0" fillId="12154" borderId="0" xfId="0" applyFill="1"/>
    <xf numFmtId="0" fontId="0" fillId="12155" borderId="0" xfId="0" applyFill="1"/>
    <xf numFmtId="0" fontId="0" fillId="12156" borderId="0" xfId="0" applyFill="1"/>
    <xf numFmtId="0" fontId="0" fillId="12157" borderId="0" xfId="0" applyFill="1"/>
    <xf numFmtId="0" fontId="0" fillId="12158" borderId="0" xfId="0" applyFill="1"/>
    <xf numFmtId="0" fontId="0" fillId="12159" borderId="0" xfId="0" applyFill="1"/>
    <xf numFmtId="0" fontId="0" fillId="12160" borderId="0" xfId="0" applyFill="1"/>
    <xf numFmtId="0" fontId="0" fillId="12161" borderId="0" xfId="0" applyFill="1"/>
    <xf numFmtId="0" fontId="0" fillId="12162" borderId="0" xfId="0" applyFill="1"/>
    <xf numFmtId="0" fontId="0" fillId="12163" borderId="0" xfId="0" applyFill="1"/>
    <xf numFmtId="0" fontId="0" fillId="12164" borderId="0" xfId="0" applyFill="1"/>
    <xf numFmtId="0" fontId="0" fillId="12165" borderId="0" xfId="0" applyFill="1"/>
    <xf numFmtId="0" fontId="0" fillId="12166" borderId="0" xfId="0" applyFill="1"/>
    <xf numFmtId="0" fontId="0" fillId="12167" borderId="0" xfId="0" applyFill="1"/>
    <xf numFmtId="0" fontId="0" fillId="12168" borderId="0" xfId="0" applyFill="1"/>
    <xf numFmtId="0" fontId="0" fillId="12169" borderId="0" xfId="0" applyFill="1"/>
    <xf numFmtId="0" fontId="0" fillId="12170" borderId="0" xfId="0" applyFill="1"/>
    <xf numFmtId="0" fontId="0" fillId="12171" borderId="0" xfId="0" applyFill="1"/>
    <xf numFmtId="0" fontId="0" fillId="12172" borderId="0" xfId="0" applyFill="1"/>
    <xf numFmtId="0" fontId="0" fillId="12173" borderId="0" xfId="0" applyFill="1"/>
    <xf numFmtId="0" fontId="0" fillId="12174" borderId="0" xfId="0" applyFill="1"/>
    <xf numFmtId="0" fontId="0" fillId="12175" borderId="0" xfId="0" applyFill="1"/>
    <xf numFmtId="0" fontId="0" fillId="12176" borderId="0" xfId="0" applyFill="1"/>
    <xf numFmtId="0" fontId="0" fillId="12177" borderId="0" xfId="0" applyFill="1"/>
    <xf numFmtId="0" fontId="0" fillId="12178" borderId="0" xfId="0" applyFill="1"/>
    <xf numFmtId="0" fontId="0" fillId="12179" borderId="0" xfId="0" applyFill="1"/>
    <xf numFmtId="0" fontId="0" fillId="12180" borderId="0" xfId="0" applyFill="1"/>
    <xf numFmtId="0" fontId="0" fillId="12181" borderId="0" xfId="0" applyFill="1"/>
    <xf numFmtId="0" fontId="0" fillId="12182" borderId="0" xfId="0" applyFill="1"/>
    <xf numFmtId="0" fontId="0" fillId="12183" borderId="0" xfId="0" applyFill="1"/>
    <xf numFmtId="0" fontId="0" fillId="12184" borderId="0" xfId="0" applyFill="1"/>
    <xf numFmtId="0" fontId="0" fillId="12185" borderId="0" xfId="0" applyFill="1"/>
    <xf numFmtId="0" fontId="0" fillId="12186" borderId="0" xfId="0" applyFill="1"/>
    <xf numFmtId="0" fontId="0" fillId="12187" borderId="0" xfId="0" applyFill="1"/>
    <xf numFmtId="0" fontId="0" fillId="12188" borderId="0" xfId="0" applyFill="1"/>
    <xf numFmtId="0" fontId="0" fillId="12189" borderId="0" xfId="0" applyFill="1"/>
    <xf numFmtId="0" fontId="0" fillId="12190" borderId="0" xfId="0" applyFill="1"/>
    <xf numFmtId="0" fontId="0" fillId="12191" borderId="0" xfId="0" applyFill="1"/>
    <xf numFmtId="0" fontId="0" fillId="12192" borderId="0" xfId="0" applyFill="1"/>
    <xf numFmtId="0" fontId="0" fillId="12193" borderId="0" xfId="0" applyFill="1"/>
    <xf numFmtId="0" fontId="0" fillId="12194" borderId="0" xfId="0" applyFill="1"/>
    <xf numFmtId="0" fontId="0" fillId="12195" borderId="0" xfId="0" applyFill="1"/>
    <xf numFmtId="0" fontId="0" fillId="12196" borderId="0" xfId="0" applyFill="1"/>
    <xf numFmtId="0" fontId="0" fillId="12197" borderId="0" xfId="0" applyFill="1"/>
    <xf numFmtId="0" fontId="0" fillId="12198" borderId="0" xfId="0" applyFill="1"/>
    <xf numFmtId="0" fontId="0" fillId="12199" borderId="0" xfId="0" applyFill="1"/>
    <xf numFmtId="0" fontId="0" fillId="12200" borderId="0" xfId="0" applyFill="1"/>
    <xf numFmtId="0" fontId="0" fillId="12201" borderId="0" xfId="0" applyFill="1"/>
    <xf numFmtId="0" fontId="0" fillId="12202" borderId="0" xfId="0" applyFill="1"/>
    <xf numFmtId="0" fontId="0" fillId="12203" borderId="0" xfId="0" applyFill="1"/>
    <xf numFmtId="0" fontId="0" fillId="12204" borderId="0" xfId="0" applyFill="1"/>
    <xf numFmtId="0" fontId="0" fillId="12205" borderId="0" xfId="0" applyFill="1"/>
    <xf numFmtId="0" fontId="0" fillId="12206" borderId="0" xfId="0" applyFill="1"/>
    <xf numFmtId="0" fontId="0" fillId="12207" borderId="0" xfId="0" applyFill="1"/>
    <xf numFmtId="0" fontId="0" fillId="12208" borderId="0" xfId="0" applyFill="1"/>
    <xf numFmtId="0" fontId="0" fillId="12209" borderId="0" xfId="0" applyFill="1"/>
    <xf numFmtId="0" fontId="0" fillId="12210" borderId="0" xfId="0" applyFill="1"/>
    <xf numFmtId="0" fontId="0" fillId="12211" borderId="0" xfId="0" applyFill="1"/>
    <xf numFmtId="0" fontId="0" fillId="12212" borderId="0" xfId="0" applyFill="1"/>
    <xf numFmtId="0" fontId="0" fillId="12213" borderId="0" xfId="0" applyFill="1"/>
    <xf numFmtId="0" fontId="0" fillId="12214" borderId="0" xfId="0" applyFill="1"/>
    <xf numFmtId="0" fontId="0" fillId="12215" borderId="0" xfId="0" applyFill="1"/>
    <xf numFmtId="0" fontId="0" fillId="12216" borderId="0" xfId="0" applyFill="1"/>
    <xf numFmtId="0" fontId="0" fillId="12217" borderId="0" xfId="0" applyFill="1"/>
    <xf numFmtId="0" fontId="0" fillId="12218" borderId="0" xfId="0" applyFill="1"/>
    <xf numFmtId="0" fontId="0" fillId="12219" borderId="0" xfId="0" applyFill="1"/>
    <xf numFmtId="0" fontId="0" fillId="12220" borderId="0" xfId="0" applyFill="1"/>
    <xf numFmtId="0" fontId="0" fillId="12221" borderId="0" xfId="0" applyFill="1"/>
    <xf numFmtId="0" fontId="0" fillId="12222" borderId="0" xfId="0" applyFill="1"/>
    <xf numFmtId="0" fontId="0" fillId="12223" borderId="0" xfId="0" applyFill="1"/>
    <xf numFmtId="0" fontId="0" fillId="12224" borderId="0" xfId="0" applyFill="1"/>
    <xf numFmtId="0" fontId="0" fillId="12225" borderId="0" xfId="0" applyFill="1"/>
    <xf numFmtId="0" fontId="0" fillId="12226" borderId="0" xfId="0" applyFill="1"/>
    <xf numFmtId="0" fontId="0" fillId="12227" borderId="0" xfId="0" applyFill="1"/>
    <xf numFmtId="0" fontId="0" fillId="12228" borderId="0" xfId="0" applyFill="1"/>
    <xf numFmtId="0" fontId="0" fillId="12229" borderId="0" xfId="0" applyFill="1"/>
    <xf numFmtId="0" fontId="0" fillId="12230" borderId="0" xfId="0" applyFill="1"/>
    <xf numFmtId="0" fontId="0" fillId="12231" borderId="0" xfId="0" applyFill="1"/>
    <xf numFmtId="0" fontId="0" fillId="12232" borderId="0" xfId="0" applyFill="1"/>
    <xf numFmtId="0" fontId="0" fillId="12233" borderId="0" xfId="0" applyFill="1"/>
    <xf numFmtId="0" fontId="0" fillId="12234" borderId="0" xfId="0" applyFill="1"/>
    <xf numFmtId="0" fontId="0" fillId="12235" borderId="0" xfId="0" applyFill="1"/>
    <xf numFmtId="0" fontId="0" fillId="12236" borderId="0" xfId="0" applyFill="1"/>
    <xf numFmtId="0" fontId="0" fillId="12237" borderId="0" xfId="0" applyFill="1"/>
    <xf numFmtId="0" fontId="0" fillId="12238" borderId="0" xfId="0" applyFill="1"/>
    <xf numFmtId="0" fontId="0" fillId="12239" borderId="0" xfId="0" applyFill="1"/>
    <xf numFmtId="0" fontId="0" fillId="12240" borderId="0" xfId="0" applyFill="1"/>
    <xf numFmtId="0" fontId="0" fillId="12241" borderId="0" xfId="0" applyFill="1"/>
    <xf numFmtId="0" fontId="0" fillId="12242" borderId="0" xfId="0" applyFill="1"/>
    <xf numFmtId="0" fontId="0" fillId="12243" borderId="0" xfId="0" applyFill="1"/>
    <xf numFmtId="0" fontId="0" fillId="12244" borderId="0" xfId="0" applyFill="1"/>
    <xf numFmtId="0" fontId="0" fillId="12245" borderId="0" xfId="0" applyFill="1"/>
    <xf numFmtId="0" fontId="0" fillId="12246" borderId="0" xfId="0" applyFill="1"/>
    <xf numFmtId="0" fontId="0" fillId="12247" borderId="0" xfId="0" applyFill="1"/>
    <xf numFmtId="0" fontId="0" fillId="12248" borderId="0" xfId="0" applyFill="1"/>
    <xf numFmtId="0" fontId="0" fillId="12249" borderId="0" xfId="0" applyFill="1"/>
    <xf numFmtId="0" fontId="0" fillId="12250" borderId="0" xfId="0" applyFill="1"/>
    <xf numFmtId="0" fontId="0" fillId="12251" borderId="0" xfId="0" applyFill="1"/>
    <xf numFmtId="0" fontId="0" fillId="12252" borderId="0" xfId="0" applyFill="1"/>
    <xf numFmtId="0" fontId="0" fillId="12253" borderId="0" xfId="0" applyFill="1"/>
    <xf numFmtId="0" fontId="0" fillId="12254" borderId="0" xfId="0" applyFill="1"/>
    <xf numFmtId="0" fontId="0" fillId="12255" borderId="0" xfId="0" applyFill="1"/>
    <xf numFmtId="0" fontId="0" fillId="12256" borderId="0" xfId="0" applyFill="1"/>
    <xf numFmtId="0" fontId="0" fillId="12257" borderId="0" xfId="0" applyFill="1"/>
    <xf numFmtId="0" fontId="0" fillId="12258" borderId="0" xfId="0" applyFill="1"/>
    <xf numFmtId="0" fontId="0" fillId="12259" borderId="0" xfId="0" applyFill="1"/>
    <xf numFmtId="0" fontId="0" fillId="12260" borderId="0" xfId="0" applyFill="1"/>
    <xf numFmtId="0" fontId="0" fillId="12261" borderId="0" xfId="0" applyFill="1"/>
    <xf numFmtId="0" fontId="0" fillId="12262" borderId="0" xfId="0" applyFill="1"/>
    <xf numFmtId="0" fontId="0" fillId="12263" borderId="0" xfId="0" applyFill="1"/>
    <xf numFmtId="0" fontId="0" fillId="12264" borderId="0" xfId="0" applyFill="1"/>
    <xf numFmtId="0" fontId="0" fillId="12265" borderId="0" xfId="0" applyFill="1"/>
    <xf numFmtId="0" fontId="0" fillId="12266" borderId="0" xfId="0" applyFill="1"/>
    <xf numFmtId="0" fontId="0" fillId="12267" borderId="0" xfId="0" applyFill="1"/>
    <xf numFmtId="0" fontId="0" fillId="12268" borderId="0" xfId="0" applyFill="1"/>
    <xf numFmtId="0" fontId="0" fillId="12269" borderId="0" xfId="0" applyFill="1"/>
    <xf numFmtId="0" fontId="0" fillId="12270" borderId="0" xfId="0" applyFill="1"/>
    <xf numFmtId="0" fontId="0" fillId="12271" borderId="0" xfId="0" applyFill="1"/>
    <xf numFmtId="0" fontId="0" fillId="12272" borderId="0" xfId="0" applyFill="1"/>
    <xf numFmtId="0" fontId="0" fillId="12273" borderId="0" xfId="0" applyFill="1"/>
    <xf numFmtId="0" fontId="0" fillId="12274" borderId="0" xfId="0" applyFill="1"/>
    <xf numFmtId="0" fontId="0" fillId="12275" borderId="0" xfId="0" applyFill="1"/>
    <xf numFmtId="0" fontId="0" fillId="12276" borderId="0" xfId="0" applyFill="1"/>
    <xf numFmtId="0" fontId="0" fillId="12277" borderId="0" xfId="0" applyFill="1"/>
    <xf numFmtId="0" fontId="0" fillId="12278" borderId="0" xfId="0" applyFill="1"/>
    <xf numFmtId="0" fontId="0" fillId="12279" borderId="0" xfId="0" applyFill="1"/>
    <xf numFmtId="0" fontId="0" fillId="12280" borderId="0" xfId="0" applyFill="1"/>
    <xf numFmtId="0" fontId="0" fillId="12281" borderId="0" xfId="0" applyFill="1"/>
    <xf numFmtId="0" fontId="0" fillId="12282" borderId="0" xfId="0" applyFill="1"/>
    <xf numFmtId="0" fontId="0" fillId="12283" borderId="0" xfId="0" applyFill="1"/>
    <xf numFmtId="0" fontId="0" fillId="12284" borderId="0" xfId="0" applyFill="1"/>
    <xf numFmtId="0" fontId="0" fillId="12285" borderId="0" xfId="0" applyFill="1"/>
    <xf numFmtId="0" fontId="0" fillId="12286" borderId="0" xfId="0" applyFill="1"/>
    <xf numFmtId="0" fontId="0" fillId="12287" borderId="0" xfId="0" applyFill="1"/>
    <xf numFmtId="0" fontId="0" fillId="12288" borderId="0" xfId="0" applyFill="1"/>
    <xf numFmtId="0" fontId="0" fillId="12289" borderId="0" xfId="0" applyFill="1"/>
    <xf numFmtId="0" fontId="0" fillId="12290" borderId="0" xfId="0" applyFill="1"/>
    <xf numFmtId="0" fontId="0" fillId="12291" borderId="0" xfId="0" applyFill="1"/>
    <xf numFmtId="0" fontId="0" fillId="12292" borderId="0" xfId="0" applyFill="1"/>
    <xf numFmtId="0" fontId="0" fillId="12293" borderId="0" xfId="0" applyFill="1"/>
    <xf numFmtId="0" fontId="0" fillId="12294" borderId="0" xfId="0" applyFill="1"/>
    <xf numFmtId="0" fontId="0" fillId="12295" borderId="0" xfId="0" applyFill="1"/>
    <xf numFmtId="0" fontId="0" fillId="12296" borderId="0" xfId="0" applyFill="1"/>
    <xf numFmtId="0" fontId="0" fillId="12297" borderId="0" xfId="0" applyFill="1"/>
    <xf numFmtId="0" fontId="0" fillId="12298" borderId="0" xfId="0" applyFill="1"/>
    <xf numFmtId="0" fontId="0" fillId="12299" borderId="0" xfId="0" applyFill="1"/>
    <xf numFmtId="0" fontId="0" fillId="12300" borderId="0" xfId="0" applyFill="1"/>
    <xf numFmtId="0" fontId="0" fillId="12301" borderId="0" xfId="0" applyFill="1"/>
    <xf numFmtId="0" fontId="0" fillId="12302" borderId="0" xfId="0" applyFill="1"/>
    <xf numFmtId="0" fontId="0" fillId="12303" borderId="0" xfId="0" applyFill="1"/>
    <xf numFmtId="0" fontId="0" fillId="12304" borderId="0" xfId="0" applyFill="1"/>
    <xf numFmtId="0" fontId="0" fillId="12305" borderId="0" xfId="0" applyFill="1"/>
    <xf numFmtId="0" fontId="0" fillId="12306" borderId="0" xfId="0" applyFill="1"/>
    <xf numFmtId="0" fontId="0" fillId="12307" borderId="0" xfId="0" applyFill="1"/>
    <xf numFmtId="0" fontId="0" fillId="12308" borderId="0" xfId="0" applyFill="1"/>
    <xf numFmtId="0" fontId="0" fillId="12309" borderId="0" xfId="0" applyFill="1"/>
    <xf numFmtId="0" fontId="0" fillId="12310" borderId="0" xfId="0" applyFill="1"/>
    <xf numFmtId="0" fontId="0" fillId="12311" borderId="0" xfId="0" applyFill="1"/>
    <xf numFmtId="0" fontId="0" fillId="12312" borderId="0" xfId="0" applyFill="1"/>
    <xf numFmtId="0" fontId="0" fillId="12313" borderId="0" xfId="0" applyFill="1"/>
    <xf numFmtId="0" fontId="0" fillId="12314" borderId="0" xfId="0" applyFill="1"/>
    <xf numFmtId="0" fontId="0" fillId="12315" borderId="0" xfId="0" applyFill="1"/>
    <xf numFmtId="0" fontId="0" fillId="12316" borderId="0" xfId="0" applyFill="1"/>
    <xf numFmtId="0" fontId="0" fillId="12317" borderId="0" xfId="0" applyFill="1"/>
    <xf numFmtId="0" fontId="0" fillId="12318" borderId="0" xfId="0" applyFill="1"/>
    <xf numFmtId="0" fontId="0" fillId="12319" borderId="0" xfId="0" applyFill="1"/>
    <xf numFmtId="0" fontId="0" fillId="12320" borderId="0" xfId="0" applyFill="1"/>
    <xf numFmtId="0" fontId="0" fillId="12321" borderId="0" xfId="0" applyFill="1"/>
    <xf numFmtId="0" fontId="0" fillId="12322" borderId="0" xfId="0" applyFill="1"/>
    <xf numFmtId="0" fontId="0" fillId="12323" borderId="0" xfId="0" applyFill="1"/>
    <xf numFmtId="0" fontId="0" fillId="12324" borderId="0" xfId="0" applyFill="1"/>
    <xf numFmtId="0" fontId="0" fillId="12325" borderId="0" xfId="0" applyFill="1"/>
    <xf numFmtId="0" fontId="0" fillId="12326" borderId="0" xfId="0" applyFill="1"/>
    <xf numFmtId="0" fontId="0" fillId="12327" borderId="0" xfId="0" applyFill="1"/>
    <xf numFmtId="0" fontId="0" fillId="12328" borderId="0" xfId="0" applyFill="1"/>
    <xf numFmtId="0" fontId="0" fillId="12329" borderId="0" xfId="0" applyFill="1"/>
    <xf numFmtId="0" fontId="0" fillId="12330" borderId="0" xfId="0" applyFill="1"/>
    <xf numFmtId="0" fontId="0" fillId="12331" borderId="0" xfId="0" applyFill="1"/>
    <xf numFmtId="0" fontId="0" fillId="12332" borderId="0" xfId="0" applyFill="1"/>
    <xf numFmtId="0" fontId="0" fillId="12333" borderId="0" xfId="0" applyFill="1"/>
    <xf numFmtId="0" fontId="0" fillId="12334" borderId="0" xfId="0" applyFill="1"/>
    <xf numFmtId="0" fontId="0" fillId="12335" borderId="0" xfId="0" applyFill="1"/>
    <xf numFmtId="0" fontId="0" fillId="12336" borderId="0" xfId="0" applyFill="1"/>
    <xf numFmtId="0" fontId="0" fillId="12337" borderId="0" xfId="0" applyFill="1"/>
    <xf numFmtId="0" fontId="0" fillId="12338" borderId="0" xfId="0" applyFill="1"/>
    <xf numFmtId="0" fontId="0" fillId="12339" borderId="0" xfId="0" applyFill="1"/>
    <xf numFmtId="0" fontId="0" fillId="12340" borderId="0" xfId="0" applyFill="1"/>
    <xf numFmtId="0" fontId="0" fillId="12341" borderId="0" xfId="0" applyFill="1"/>
    <xf numFmtId="0" fontId="0" fillId="12342" borderId="0" xfId="0" applyFill="1"/>
    <xf numFmtId="0" fontId="0" fillId="12343" borderId="0" xfId="0" applyFill="1"/>
    <xf numFmtId="0" fontId="0" fillId="12344" borderId="0" xfId="0" applyFill="1"/>
    <xf numFmtId="0" fontId="0" fillId="12345" borderId="0" xfId="0" applyFill="1"/>
    <xf numFmtId="0" fontId="0" fillId="12346" borderId="0" xfId="0" applyFill="1"/>
    <xf numFmtId="0" fontId="0" fillId="12347" borderId="0" xfId="0" applyFill="1"/>
    <xf numFmtId="0" fontId="0" fillId="12348" borderId="0" xfId="0" applyFill="1"/>
    <xf numFmtId="0" fontId="0" fillId="12349" borderId="0" xfId="0" applyFill="1"/>
    <xf numFmtId="0" fontId="0" fillId="12350" borderId="0" xfId="0" applyFill="1"/>
    <xf numFmtId="0" fontId="0" fillId="12351" borderId="0" xfId="0" applyFill="1"/>
    <xf numFmtId="0" fontId="0" fillId="12352" borderId="0" xfId="0" applyFill="1"/>
    <xf numFmtId="0" fontId="0" fillId="12353" borderId="0" xfId="0" applyFill="1"/>
    <xf numFmtId="0" fontId="0" fillId="12354" borderId="0" xfId="0" applyFill="1"/>
    <xf numFmtId="0" fontId="0" fillId="12355" borderId="0" xfId="0" applyFill="1"/>
    <xf numFmtId="0" fontId="0" fillId="12356" borderId="0" xfId="0" applyFill="1"/>
    <xf numFmtId="0" fontId="0" fillId="12357" borderId="0" xfId="0" applyFill="1"/>
    <xf numFmtId="0" fontId="0" fillId="12358" borderId="0" xfId="0" applyFill="1"/>
    <xf numFmtId="0" fontId="0" fillId="12359" borderId="0" xfId="0" applyFill="1"/>
    <xf numFmtId="0" fontId="0" fillId="12360" borderId="0" xfId="0" applyFill="1"/>
    <xf numFmtId="0" fontId="0" fillId="12361" borderId="0" xfId="0" applyFill="1"/>
    <xf numFmtId="0" fontId="0" fillId="12362" borderId="0" xfId="0" applyFill="1"/>
    <xf numFmtId="0" fontId="0" fillId="12363" borderId="0" xfId="0" applyFill="1"/>
    <xf numFmtId="0" fontId="0" fillId="12364" borderId="0" xfId="0" applyFill="1"/>
    <xf numFmtId="0" fontId="0" fillId="12365" borderId="0" xfId="0" applyFill="1"/>
    <xf numFmtId="0" fontId="0" fillId="12366" borderId="0" xfId="0" applyFill="1"/>
    <xf numFmtId="0" fontId="0" fillId="12367" borderId="0" xfId="0" applyFill="1"/>
    <xf numFmtId="0" fontId="0" fillId="12368" borderId="0" xfId="0" applyFill="1"/>
    <xf numFmtId="0" fontId="0" fillId="12369" borderId="0" xfId="0" applyFill="1"/>
    <xf numFmtId="0" fontId="0" fillId="12370" borderId="0" xfId="0" applyFill="1"/>
    <xf numFmtId="0" fontId="0" fillId="12371" borderId="0" xfId="0" applyFill="1"/>
    <xf numFmtId="0" fontId="0" fillId="12372" borderId="0" xfId="0" applyFill="1"/>
    <xf numFmtId="0" fontId="0" fillId="12373" borderId="0" xfId="0" applyFill="1"/>
    <xf numFmtId="0" fontId="0" fillId="12374" borderId="0" xfId="0" applyFill="1"/>
    <xf numFmtId="0" fontId="0" fillId="12375" borderId="0" xfId="0" applyFill="1"/>
    <xf numFmtId="0" fontId="0" fillId="12376" borderId="0" xfId="0" applyFill="1"/>
    <xf numFmtId="0" fontId="0" fillId="12377" borderId="0" xfId="0" applyFill="1"/>
    <xf numFmtId="0" fontId="0" fillId="12378" borderId="0" xfId="0" applyFill="1"/>
    <xf numFmtId="0" fontId="0" fillId="12379" borderId="0" xfId="0" applyFill="1"/>
    <xf numFmtId="0" fontId="0" fillId="12380" borderId="0" xfId="0" applyFill="1"/>
    <xf numFmtId="0" fontId="0" fillId="12381" borderId="0" xfId="0" applyFill="1"/>
    <xf numFmtId="0" fontId="0" fillId="12382" borderId="0" xfId="0" applyFill="1"/>
    <xf numFmtId="0" fontId="0" fillId="12383" borderId="0" xfId="0" applyFill="1"/>
    <xf numFmtId="0" fontId="0" fillId="12384" borderId="0" xfId="0" applyFill="1"/>
    <xf numFmtId="0" fontId="0" fillId="12385" borderId="0" xfId="0" applyFill="1"/>
    <xf numFmtId="0" fontId="0" fillId="12386" borderId="0" xfId="0" applyFill="1"/>
    <xf numFmtId="0" fontId="0" fillId="12387" borderId="0" xfId="0" applyFill="1"/>
    <xf numFmtId="0" fontId="0" fillId="12388" borderId="0" xfId="0" applyFill="1"/>
    <xf numFmtId="0" fontId="0" fillId="12389" borderId="0" xfId="0" applyFill="1"/>
    <xf numFmtId="0" fontId="0" fillId="12390" borderId="0" xfId="0" applyFill="1"/>
    <xf numFmtId="0" fontId="0" fillId="12391" borderId="0" xfId="0" applyFill="1"/>
    <xf numFmtId="0" fontId="0" fillId="12392" borderId="0" xfId="0" applyFill="1"/>
    <xf numFmtId="0" fontId="0" fillId="12393" borderId="0" xfId="0" applyFill="1"/>
    <xf numFmtId="0" fontId="0" fillId="12394" borderId="0" xfId="0" applyFill="1"/>
    <xf numFmtId="0" fontId="0" fillId="12395" borderId="0" xfId="0" applyFill="1"/>
    <xf numFmtId="0" fontId="0" fillId="12396" borderId="0" xfId="0" applyFill="1"/>
    <xf numFmtId="0" fontId="0" fillId="12397" borderId="0" xfId="0" applyFill="1"/>
    <xf numFmtId="0" fontId="0" fillId="12398" borderId="0" xfId="0" applyFill="1"/>
    <xf numFmtId="0" fontId="0" fillId="12399" borderId="0" xfId="0" applyFill="1"/>
    <xf numFmtId="0" fontId="0" fillId="12400" borderId="0" xfId="0" applyFill="1"/>
    <xf numFmtId="0" fontId="0" fillId="12401" borderId="0" xfId="0" applyFill="1"/>
    <xf numFmtId="0" fontId="0" fillId="12402" borderId="0" xfId="0" applyFill="1"/>
    <xf numFmtId="0" fontId="0" fillId="12403" borderId="0" xfId="0" applyFill="1"/>
    <xf numFmtId="0" fontId="0" fillId="12404" borderId="0" xfId="0" applyFill="1"/>
    <xf numFmtId="0" fontId="0" fillId="12405" borderId="0" xfId="0" applyFill="1"/>
    <xf numFmtId="0" fontId="0" fillId="12406" borderId="0" xfId="0" applyFill="1"/>
    <xf numFmtId="0" fontId="0" fillId="12407" borderId="0" xfId="0" applyFill="1"/>
    <xf numFmtId="0" fontId="0" fillId="12408" borderId="0" xfId="0" applyFill="1"/>
    <xf numFmtId="0" fontId="0" fillId="12409" borderId="0" xfId="0" applyFill="1"/>
    <xf numFmtId="0" fontId="0" fillId="12410" borderId="0" xfId="0" applyFill="1"/>
    <xf numFmtId="0" fontId="0" fillId="12411" borderId="0" xfId="0" applyFill="1"/>
    <xf numFmtId="0" fontId="0" fillId="12412" borderId="0" xfId="0" applyFill="1"/>
    <xf numFmtId="0" fontId="0" fillId="12413" borderId="0" xfId="0" applyFill="1"/>
    <xf numFmtId="0" fontId="0" fillId="12414" borderId="0" xfId="0" applyFill="1"/>
    <xf numFmtId="0" fontId="0" fillId="12415" borderId="0" xfId="0" applyFill="1"/>
    <xf numFmtId="0" fontId="0" fillId="12416" borderId="0" xfId="0" applyFill="1"/>
    <xf numFmtId="0" fontId="0" fillId="12417" borderId="0" xfId="0" applyFill="1"/>
    <xf numFmtId="0" fontId="0" fillId="12418" borderId="0" xfId="0" applyFill="1"/>
    <xf numFmtId="0" fontId="0" fillId="12419" borderId="0" xfId="0" applyFill="1"/>
    <xf numFmtId="0" fontId="0" fillId="12420" borderId="0" xfId="0" applyFill="1"/>
    <xf numFmtId="0" fontId="0" fillId="12421" borderId="0" xfId="0" applyFill="1"/>
    <xf numFmtId="0" fontId="0" fillId="12422" borderId="0" xfId="0" applyFill="1"/>
    <xf numFmtId="0" fontId="0" fillId="12423" borderId="0" xfId="0" applyFill="1"/>
    <xf numFmtId="0" fontId="0" fillId="12424" borderId="0" xfId="0" applyFill="1"/>
    <xf numFmtId="0" fontId="0" fillId="12425" borderId="0" xfId="0" applyFill="1"/>
    <xf numFmtId="0" fontId="0" fillId="12426" borderId="0" xfId="0" applyFill="1"/>
    <xf numFmtId="0" fontId="0" fillId="12427" borderId="0" xfId="0" applyFill="1"/>
    <xf numFmtId="0" fontId="0" fillId="12428" borderId="0" xfId="0" applyFill="1"/>
    <xf numFmtId="0" fontId="0" fillId="12429" borderId="0" xfId="0" applyFill="1"/>
    <xf numFmtId="0" fontId="0" fillId="12430" borderId="0" xfId="0" applyFill="1"/>
    <xf numFmtId="0" fontId="0" fillId="12431" borderId="0" xfId="0" applyFill="1"/>
    <xf numFmtId="0" fontId="0" fillId="12432" borderId="0" xfId="0" applyFill="1"/>
    <xf numFmtId="0" fontId="0" fillId="12433" borderId="0" xfId="0" applyFill="1"/>
    <xf numFmtId="0" fontId="0" fillId="12434" borderId="0" xfId="0" applyFill="1"/>
    <xf numFmtId="0" fontId="0" fillId="12435" borderId="0" xfId="0" applyFill="1"/>
    <xf numFmtId="0" fontId="0" fillId="12436" borderId="0" xfId="0" applyFill="1"/>
    <xf numFmtId="0" fontId="0" fillId="12437" borderId="0" xfId="0" applyFill="1"/>
    <xf numFmtId="0" fontId="0" fillId="12438" borderId="0" xfId="0" applyFill="1"/>
    <xf numFmtId="0" fontId="0" fillId="12439" borderId="0" xfId="0" applyFill="1"/>
    <xf numFmtId="0" fontId="0" fillId="12440" borderId="0" xfId="0" applyFill="1"/>
    <xf numFmtId="0" fontId="0" fillId="12441" borderId="0" xfId="0" applyFill="1"/>
    <xf numFmtId="0" fontId="0" fillId="12442" borderId="0" xfId="0" applyFill="1"/>
    <xf numFmtId="0" fontId="0" fillId="12443" borderId="0" xfId="0" applyFill="1"/>
    <xf numFmtId="0" fontId="0" fillId="12444" borderId="0" xfId="0" applyFill="1"/>
    <xf numFmtId="0" fontId="0" fillId="12445" borderId="0" xfId="0" applyFill="1"/>
    <xf numFmtId="0" fontId="0" fillId="12446" borderId="0" xfId="0" applyFill="1"/>
    <xf numFmtId="0" fontId="0" fillId="12447" borderId="0" xfId="0" applyFill="1"/>
    <xf numFmtId="0" fontId="0" fillId="12448" borderId="0" xfId="0" applyFill="1"/>
    <xf numFmtId="0" fontId="0" fillId="12449" borderId="0" xfId="0" applyFill="1"/>
    <xf numFmtId="0" fontId="0" fillId="12450" borderId="0" xfId="0" applyFill="1"/>
    <xf numFmtId="0" fontId="0" fillId="12451" borderId="0" xfId="0" applyFill="1"/>
    <xf numFmtId="0" fontId="0" fillId="12452" borderId="0" xfId="0" applyFill="1"/>
    <xf numFmtId="0" fontId="0" fillId="12453" borderId="0" xfId="0" applyFill="1"/>
    <xf numFmtId="0" fontId="0" fillId="12454" borderId="0" xfId="0" applyFill="1"/>
    <xf numFmtId="0" fontId="0" fillId="12455" borderId="0" xfId="0" applyFill="1"/>
    <xf numFmtId="0" fontId="0" fillId="12456" borderId="0" xfId="0" applyFill="1"/>
    <xf numFmtId="0" fontId="0" fillId="12457" borderId="0" xfId="0" applyFill="1"/>
    <xf numFmtId="0" fontId="0" fillId="12458" borderId="0" xfId="0" applyFill="1"/>
    <xf numFmtId="0" fontId="0" fillId="12459" borderId="0" xfId="0" applyFill="1"/>
    <xf numFmtId="0" fontId="0" fillId="12460" borderId="0" xfId="0" applyFill="1"/>
    <xf numFmtId="0" fontId="0" fillId="12461" borderId="0" xfId="0" applyFill="1"/>
    <xf numFmtId="0" fontId="0" fillId="12462" borderId="0" xfId="0" applyFill="1"/>
    <xf numFmtId="0" fontId="0" fillId="12463" borderId="0" xfId="0" applyFill="1"/>
    <xf numFmtId="0" fontId="0" fillId="12464" borderId="0" xfId="0" applyFill="1"/>
    <xf numFmtId="0" fontId="0" fillId="12465" borderId="0" xfId="0" applyFill="1"/>
    <xf numFmtId="0" fontId="0" fillId="12466" borderId="0" xfId="0" applyFill="1"/>
    <xf numFmtId="0" fontId="0" fillId="12467" borderId="0" xfId="0" applyFill="1"/>
    <xf numFmtId="0" fontId="0" fillId="12468" borderId="0" xfId="0" applyFill="1"/>
    <xf numFmtId="0" fontId="0" fillId="12469" borderId="0" xfId="0" applyFill="1"/>
    <xf numFmtId="0" fontId="0" fillId="12470" borderId="0" xfId="0" applyFill="1"/>
    <xf numFmtId="0" fontId="0" fillId="12471" borderId="0" xfId="0" applyFill="1"/>
    <xf numFmtId="0" fontId="0" fillId="12472" borderId="0" xfId="0" applyFill="1"/>
    <xf numFmtId="0" fontId="0" fillId="12473" borderId="0" xfId="0" applyFill="1"/>
    <xf numFmtId="0" fontId="0" fillId="12474" borderId="0" xfId="0" applyFill="1"/>
    <xf numFmtId="0" fontId="0" fillId="12475" borderId="0" xfId="0" applyFill="1"/>
    <xf numFmtId="0" fontId="0" fillId="12476" borderId="0" xfId="0" applyFill="1"/>
    <xf numFmtId="0" fontId="0" fillId="12477" borderId="0" xfId="0" applyFill="1"/>
    <xf numFmtId="0" fontId="0" fillId="12478" borderId="0" xfId="0" applyFill="1"/>
    <xf numFmtId="0" fontId="0" fillId="12479" borderId="0" xfId="0" applyFill="1"/>
    <xf numFmtId="0" fontId="0" fillId="12480" borderId="0" xfId="0" applyFill="1"/>
    <xf numFmtId="0" fontId="0" fillId="12481" borderId="0" xfId="0" applyFill="1"/>
    <xf numFmtId="0" fontId="0" fillId="12482" borderId="0" xfId="0" applyFill="1"/>
    <xf numFmtId="0" fontId="0" fillId="12483" borderId="0" xfId="0" applyFill="1"/>
    <xf numFmtId="0" fontId="0" fillId="12484" borderId="0" xfId="0" applyFill="1"/>
    <xf numFmtId="0" fontId="0" fillId="12485" borderId="0" xfId="0" applyFill="1"/>
    <xf numFmtId="0" fontId="0" fillId="12486" borderId="0" xfId="0" applyFill="1"/>
    <xf numFmtId="0" fontId="0" fillId="12487" borderId="0" xfId="0" applyFill="1"/>
    <xf numFmtId="0" fontId="0" fillId="12488" borderId="0" xfId="0" applyFill="1"/>
    <xf numFmtId="0" fontId="0" fillId="12489" borderId="0" xfId="0" applyFill="1"/>
    <xf numFmtId="0" fontId="0" fillId="12490" borderId="0" xfId="0" applyFill="1"/>
    <xf numFmtId="0" fontId="0" fillId="12491" borderId="0" xfId="0" applyFill="1"/>
    <xf numFmtId="0" fontId="0" fillId="12492" borderId="0" xfId="0" applyFill="1"/>
    <xf numFmtId="0" fontId="0" fillId="12493" borderId="0" xfId="0" applyFill="1"/>
    <xf numFmtId="0" fontId="0" fillId="12494" borderId="0" xfId="0" applyFill="1"/>
    <xf numFmtId="0" fontId="0" fillId="12495" borderId="0" xfId="0" applyFill="1"/>
    <xf numFmtId="0" fontId="0" fillId="12496" borderId="0" xfId="0" applyFill="1"/>
    <xf numFmtId="0" fontId="0" fillId="12497" borderId="0" xfId="0" applyFill="1"/>
    <xf numFmtId="0" fontId="0" fillId="12498" borderId="0" xfId="0" applyFill="1"/>
    <xf numFmtId="0" fontId="0" fillId="12499" borderId="0" xfId="0" applyFill="1"/>
    <xf numFmtId="0" fontId="0" fillId="12500" borderId="0" xfId="0" applyFill="1"/>
    <xf numFmtId="0" fontId="0" fillId="12501" borderId="0" xfId="0" applyFill="1"/>
    <xf numFmtId="0" fontId="0" fillId="12502" borderId="0" xfId="0" applyFill="1"/>
    <xf numFmtId="0" fontId="0" fillId="12503" borderId="0" xfId="0" applyFill="1"/>
    <xf numFmtId="0" fontId="0" fillId="12504" borderId="0" xfId="0" applyFill="1"/>
    <xf numFmtId="0" fontId="0" fillId="12505" borderId="0" xfId="0" applyFill="1"/>
    <xf numFmtId="0" fontId="0" fillId="12506" borderId="0" xfId="0" applyFill="1"/>
    <xf numFmtId="0" fontId="0" fillId="12507" borderId="0" xfId="0" applyFill="1"/>
    <xf numFmtId="0" fontId="0" fillId="12508" borderId="0" xfId="0" applyFill="1"/>
    <xf numFmtId="0" fontId="0" fillId="12509" borderId="0" xfId="0" applyFill="1"/>
    <xf numFmtId="0" fontId="0" fillId="12510" borderId="0" xfId="0" applyFill="1"/>
    <xf numFmtId="0" fontId="0" fillId="12511" borderId="0" xfId="0" applyFill="1"/>
    <xf numFmtId="0" fontId="0" fillId="12512" borderId="0" xfId="0" applyFill="1"/>
    <xf numFmtId="0" fontId="0" fillId="12513" borderId="0" xfId="0" applyFill="1"/>
    <xf numFmtId="0" fontId="0" fillId="12514" borderId="0" xfId="0" applyFill="1"/>
    <xf numFmtId="0" fontId="0" fillId="12515" borderId="0" xfId="0" applyFill="1"/>
    <xf numFmtId="0" fontId="0" fillId="12516" borderId="0" xfId="0" applyFill="1"/>
    <xf numFmtId="0" fontId="0" fillId="12517" borderId="0" xfId="0" applyFill="1"/>
    <xf numFmtId="0" fontId="0" fillId="12518" borderId="0" xfId="0" applyFill="1"/>
    <xf numFmtId="0" fontId="0" fillId="12519" borderId="0" xfId="0" applyFill="1"/>
    <xf numFmtId="0" fontId="0" fillId="12520" borderId="0" xfId="0" applyFill="1"/>
    <xf numFmtId="0" fontId="0" fillId="12521" borderId="0" xfId="0" applyFill="1"/>
    <xf numFmtId="0" fontId="0" fillId="12522" borderId="0" xfId="0" applyFill="1"/>
    <xf numFmtId="0" fontId="0" fillId="12523" borderId="0" xfId="0" applyFill="1"/>
    <xf numFmtId="0" fontId="0" fillId="12524" borderId="0" xfId="0" applyFill="1"/>
    <xf numFmtId="0" fontId="0" fillId="12525" borderId="0" xfId="0" applyFill="1"/>
    <xf numFmtId="0" fontId="0" fillId="12526" borderId="0" xfId="0" applyFill="1"/>
    <xf numFmtId="0" fontId="0" fillId="12527" borderId="0" xfId="0" applyFill="1"/>
    <xf numFmtId="0" fontId="0" fillId="12528" borderId="0" xfId="0" applyFill="1"/>
    <xf numFmtId="0" fontId="0" fillId="12529" borderId="0" xfId="0" applyFill="1"/>
    <xf numFmtId="0" fontId="0" fillId="12530" borderId="0" xfId="0" applyFill="1"/>
    <xf numFmtId="0" fontId="0" fillId="12531" borderId="0" xfId="0" applyFill="1"/>
    <xf numFmtId="0" fontId="0" fillId="12532" borderId="0" xfId="0" applyFill="1"/>
    <xf numFmtId="0" fontId="0" fillId="12533" borderId="0" xfId="0" applyFill="1"/>
    <xf numFmtId="0" fontId="0" fillId="12534" borderId="0" xfId="0" applyFill="1"/>
    <xf numFmtId="0" fontId="0" fillId="12535" borderId="0" xfId="0" applyFill="1"/>
    <xf numFmtId="0" fontId="0" fillId="12536" borderId="0" xfId="0" applyFill="1"/>
    <xf numFmtId="0" fontId="0" fillId="12537" borderId="0" xfId="0" applyFill="1"/>
    <xf numFmtId="0" fontId="0" fillId="12538" borderId="0" xfId="0" applyFill="1"/>
    <xf numFmtId="0" fontId="0" fillId="12539" borderId="0" xfId="0" applyFill="1"/>
    <xf numFmtId="0" fontId="0" fillId="12540" borderId="0" xfId="0" applyFill="1"/>
    <xf numFmtId="0" fontId="0" fillId="12541" borderId="0" xfId="0" applyFill="1"/>
    <xf numFmtId="0" fontId="0" fillId="12542" borderId="0" xfId="0" applyFill="1"/>
    <xf numFmtId="0" fontId="0" fillId="12543" borderId="0" xfId="0" applyFill="1"/>
    <xf numFmtId="0" fontId="0" fillId="12544" borderId="0" xfId="0" applyFill="1"/>
    <xf numFmtId="0" fontId="0" fillId="12545" borderId="0" xfId="0" applyFill="1"/>
    <xf numFmtId="0" fontId="0" fillId="12546" borderId="0" xfId="0" applyFill="1"/>
    <xf numFmtId="0" fontId="0" fillId="12547" borderId="0" xfId="0" applyFill="1"/>
    <xf numFmtId="0" fontId="0" fillId="12548" borderId="0" xfId="0" applyFill="1"/>
    <xf numFmtId="0" fontId="0" fillId="12549" borderId="0" xfId="0" applyFill="1"/>
    <xf numFmtId="0" fontId="0" fillId="12550" borderId="0" xfId="0" applyFill="1"/>
    <xf numFmtId="0" fontId="0" fillId="12551" borderId="0" xfId="0" applyFill="1"/>
    <xf numFmtId="0" fontId="0" fillId="12552" borderId="0" xfId="0" applyFill="1"/>
    <xf numFmtId="0" fontId="0" fillId="12553" borderId="0" xfId="0" applyFill="1"/>
    <xf numFmtId="0" fontId="0" fillId="12554" borderId="0" xfId="0" applyFill="1"/>
    <xf numFmtId="0" fontId="0" fillId="12555" borderId="0" xfId="0" applyFill="1"/>
    <xf numFmtId="0" fontId="0" fillId="12556" borderId="0" xfId="0" applyFill="1"/>
    <xf numFmtId="0" fontId="0" fillId="12557" borderId="0" xfId="0" applyFill="1"/>
    <xf numFmtId="0" fontId="0" fillId="12558" borderId="0" xfId="0" applyFill="1"/>
    <xf numFmtId="0" fontId="0" fillId="12559" borderId="0" xfId="0" applyFill="1"/>
    <xf numFmtId="0" fontId="0" fillId="12560" borderId="0" xfId="0" applyFill="1"/>
    <xf numFmtId="0" fontId="0" fillId="12561" borderId="0" xfId="0" applyFill="1"/>
    <xf numFmtId="0" fontId="0" fillId="12562" borderId="0" xfId="0" applyFill="1"/>
    <xf numFmtId="0" fontId="0" fillId="12563" borderId="0" xfId="0" applyFill="1"/>
    <xf numFmtId="0" fontId="0" fillId="12564" borderId="0" xfId="0" applyFill="1"/>
    <xf numFmtId="0" fontId="0" fillId="12565" borderId="0" xfId="0" applyFill="1"/>
    <xf numFmtId="0" fontId="0" fillId="12566" borderId="0" xfId="0" applyFill="1"/>
    <xf numFmtId="0" fontId="0" fillId="12567" borderId="0" xfId="0" applyFill="1"/>
    <xf numFmtId="0" fontId="0" fillId="12568" borderId="0" xfId="0" applyFill="1"/>
    <xf numFmtId="0" fontId="0" fillId="12569" borderId="0" xfId="0" applyFill="1"/>
    <xf numFmtId="0" fontId="0" fillId="12570" borderId="0" xfId="0" applyFill="1"/>
    <xf numFmtId="0" fontId="0" fillId="12571" borderId="0" xfId="0" applyFill="1"/>
    <xf numFmtId="0" fontId="0" fillId="12572" borderId="0" xfId="0" applyFill="1"/>
    <xf numFmtId="0" fontId="0" fillId="12573" borderId="0" xfId="0" applyFill="1"/>
    <xf numFmtId="0" fontId="0" fillId="12574" borderId="0" xfId="0" applyFill="1"/>
    <xf numFmtId="0" fontId="0" fillId="12575" borderId="0" xfId="0" applyFill="1"/>
    <xf numFmtId="0" fontId="0" fillId="12576" borderId="0" xfId="0" applyFill="1"/>
    <xf numFmtId="0" fontId="0" fillId="12577" borderId="0" xfId="0" applyFill="1"/>
    <xf numFmtId="0" fontId="0" fillId="12578" borderId="0" xfId="0" applyFill="1"/>
    <xf numFmtId="0" fontId="0" fillId="12579" borderId="0" xfId="0" applyFill="1"/>
    <xf numFmtId="0" fontId="0" fillId="12580" borderId="0" xfId="0" applyFill="1"/>
    <xf numFmtId="0" fontId="0" fillId="12581" borderId="0" xfId="0" applyFill="1"/>
    <xf numFmtId="0" fontId="0" fillId="12582" borderId="0" xfId="0" applyFill="1"/>
    <xf numFmtId="0" fontId="0" fillId="12583" borderId="0" xfId="0" applyFill="1"/>
    <xf numFmtId="0" fontId="0" fillId="12584" borderId="0" xfId="0" applyFill="1"/>
    <xf numFmtId="0" fontId="0" fillId="12585" borderId="0" xfId="0" applyFill="1"/>
    <xf numFmtId="0" fontId="0" fillId="12586" borderId="0" xfId="0" applyFill="1"/>
    <xf numFmtId="0" fontId="0" fillId="12587" borderId="0" xfId="0" applyFill="1"/>
    <xf numFmtId="0" fontId="0" fillId="12588" borderId="0" xfId="0" applyFill="1"/>
    <xf numFmtId="0" fontId="0" fillId="12589" borderId="0" xfId="0" applyFill="1"/>
    <xf numFmtId="0" fontId="0" fillId="12590" borderId="0" xfId="0" applyFill="1"/>
    <xf numFmtId="0" fontId="0" fillId="12591" borderId="0" xfId="0" applyFill="1"/>
    <xf numFmtId="0" fontId="0" fillId="12592" borderId="0" xfId="0" applyFill="1"/>
    <xf numFmtId="0" fontId="0" fillId="12593" borderId="0" xfId="0" applyFill="1"/>
    <xf numFmtId="0" fontId="0" fillId="12594" borderId="0" xfId="0" applyFill="1"/>
    <xf numFmtId="0" fontId="0" fillId="12595" borderId="0" xfId="0" applyFill="1"/>
    <xf numFmtId="0" fontId="0" fillId="12596" borderId="0" xfId="0" applyFill="1"/>
    <xf numFmtId="0" fontId="0" fillId="12597" borderId="0" xfId="0" applyFill="1"/>
    <xf numFmtId="0" fontId="0" fillId="12598" borderId="0" xfId="0" applyFill="1"/>
    <xf numFmtId="0" fontId="0" fillId="12599" borderId="0" xfId="0" applyFill="1"/>
    <xf numFmtId="0" fontId="0" fillId="12600" borderId="0" xfId="0" applyFill="1"/>
    <xf numFmtId="0" fontId="0" fillId="12601" borderId="0" xfId="0" applyFill="1"/>
    <xf numFmtId="0" fontId="0" fillId="12602" borderId="0" xfId="0" applyFill="1"/>
    <xf numFmtId="0" fontId="0" fillId="12603" borderId="0" xfId="0" applyFill="1"/>
    <xf numFmtId="0" fontId="0" fillId="12604" borderId="0" xfId="0" applyFill="1"/>
    <xf numFmtId="0" fontId="0" fillId="12605" borderId="0" xfId="0" applyFill="1"/>
    <xf numFmtId="0" fontId="0" fillId="12606" borderId="0" xfId="0" applyFill="1"/>
    <xf numFmtId="0" fontId="0" fillId="12607" borderId="0" xfId="0" applyFill="1"/>
    <xf numFmtId="0" fontId="0" fillId="12608" borderId="0" xfId="0" applyFill="1"/>
    <xf numFmtId="0" fontId="0" fillId="12609" borderId="0" xfId="0" applyFill="1"/>
    <xf numFmtId="0" fontId="0" fillId="12610" borderId="0" xfId="0" applyFill="1"/>
    <xf numFmtId="0" fontId="0" fillId="12611" borderId="0" xfId="0" applyFill="1"/>
    <xf numFmtId="0" fontId="0" fillId="12612" borderId="0" xfId="0" applyFill="1"/>
    <xf numFmtId="0" fontId="0" fillId="12613" borderId="0" xfId="0" applyFill="1"/>
    <xf numFmtId="0" fontId="0" fillId="12614" borderId="0" xfId="0" applyFill="1"/>
    <xf numFmtId="0" fontId="0" fillId="12615" borderId="0" xfId="0" applyFill="1"/>
    <xf numFmtId="0" fontId="0" fillId="12616" borderId="0" xfId="0" applyFill="1"/>
    <xf numFmtId="0" fontId="0" fillId="12617" borderId="0" xfId="0" applyFill="1"/>
    <xf numFmtId="0" fontId="0" fillId="12618" borderId="0" xfId="0" applyFill="1"/>
    <xf numFmtId="0" fontId="0" fillId="12619" borderId="0" xfId="0" applyFill="1"/>
    <xf numFmtId="0" fontId="0" fillId="12620" borderId="0" xfId="0" applyFill="1"/>
    <xf numFmtId="0" fontId="0" fillId="12621" borderId="0" xfId="0" applyFill="1"/>
    <xf numFmtId="0" fontId="0" fillId="12622" borderId="0" xfId="0" applyFill="1"/>
    <xf numFmtId="0" fontId="0" fillId="12623" borderId="0" xfId="0" applyFill="1"/>
    <xf numFmtId="0" fontId="0" fillId="12624" borderId="0" xfId="0" applyFill="1"/>
    <xf numFmtId="0" fontId="0" fillId="12625" borderId="0" xfId="0" applyFill="1"/>
    <xf numFmtId="0" fontId="0" fillId="12626" borderId="0" xfId="0" applyFill="1"/>
    <xf numFmtId="0" fontId="0" fillId="12627" borderId="0" xfId="0" applyFill="1"/>
    <xf numFmtId="0" fontId="0" fillId="12628" borderId="0" xfId="0" applyFill="1"/>
    <xf numFmtId="0" fontId="0" fillId="12629" borderId="0" xfId="0" applyFill="1"/>
    <xf numFmtId="0" fontId="0" fillId="12630" borderId="0" xfId="0" applyFill="1"/>
    <xf numFmtId="0" fontId="0" fillId="12631" borderId="0" xfId="0" applyFill="1"/>
    <xf numFmtId="0" fontId="0" fillId="12632" borderId="0" xfId="0" applyFill="1"/>
    <xf numFmtId="0" fontId="0" fillId="12633" borderId="0" xfId="0" applyFill="1"/>
    <xf numFmtId="0" fontId="0" fillId="12634" borderId="0" xfId="0" applyFill="1"/>
    <xf numFmtId="0" fontId="0" fillId="12635" borderId="0" xfId="0" applyFill="1"/>
    <xf numFmtId="0" fontId="0" fillId="12636" borderId="0" xfId="0" applyFill="1"/>
    <xf numFmtId="0" fontId="0" fillId="12637" borderId="0" xfId="0" applyFill="1"/>
    <xf numFmtId="0" fontId="0" fillId="12638" borderId="0" xfId="0" applyFill="1"/>
    <xf numFmtId="0" fontId="0" fillId="12639" borderId="0" xfId="0" applyFill="1"/>
    <xf numFmtId="0" fontId="0" fillId="12640" borderId="0" xfId="0" applyFill="1"/>
    <xf numFmtId="0" fontId="0" fillId="12641" borderId="0" xfId="0" applyFill="1"/>
    <xf numFmtId="0" fontId="0" fillId="12642" borderId="0" xfId="0" applyFill="1"/>
    <xf numFmtId="0" fontId="0" fillId="12643" borderId="0" xfId="0" applyFill="1"/>
    <xf numFmtId="0" fontId="0" fillId="12644" borderId="0" xfId="0" applyFill="1"/>
    <xf numFmtId="0" fontId="0" fillId="12645" borderId="0" xfId="0" applyFill="1"/>
    <xf numFmtId="0" fontId="0" fillId="12646" borderId="0" xfId="0" applyFill="1"/>
    <xf numFmtId="0" fontId="0" fillId="12647" borderId="0" xfId="0" applyFill="1"/>
    <xf numFmtId="0" fontId="0" fillId="12648" borderId="0" xfId="0" applyFill="1"/>
    <xf numFmtId="0" fontId="0" fillId="12649" borderId="0" xfId="0" applyFill="1"/>
    <xf numFmtId="0" fontId="0" fillId="12650" borderId="0" xfId="0" applyFill="1"/>
    <xf numFmtId="0" fontId="0" fillId="12651" borderId="0" xfId="0" applyFill="1"/>
    <xf numFmtId="0" fontId="0" fillId="12652" borderId="0" xfId="0" applyFill="1"/>
    <xf numFmtId="0" fontId="0" fillId="12653" borderId="0" xfId="0" applyFill="1"/>
    <xf numFmtId="0" fontId="0" fillId="12654" borderId="0" xfId="0" applyFill="1"/>
    <xf numFmtId="0" fontId="0" fillId="12655" borderId="0" xfId="0" applyFill="1"/>
    <xf numFmtId="0" fontId="0" fillId="12656" borderId="0" xfId="0" applyFill="1"/>
    <xf numFmtId="0" fontId="0" fillId="12657" borderId="0" xfId="0" applyFill="1"/>
    <xf numFmtId="0" fontId="0" fillId="12658" borderId="0" xfId="0" applyFill="1"/>
    <xf numFmtId="0" fontId="0" fillId="12659" borderId="0" xfId="0" applyFill="1"/>
    <xf numFmtId="0" fontId="0" fillId="12660" borderId="0" xfId="0" applyFill="1"/>
    <xf numFmtId="0" fontId="0" fillId="12661" borderId="0" xfId="0" applyFill="1"/>
    <xf numFmtId="0" fontId="0" fillId="12662" borderId="0" xfId="0" applyFill="1"/>
    <xf numFmtId="0" fontId="0" fillId="12663" borderId="0" xfId="0" applyFill="1"/>
    <xf numFmtId="0" fontId="0" fillId="12664" borderId="0" xfId="0" applyFill="1"/>
    <xf numFmtId="0" fontId="0" fillId="12665" borderId="0" xfId="0" applyFill="1"/>
    <xf numFmtId="0" fontId="0" fillId="12666" borderId="0" xfId="0" applyFill="1"/>
    <xf numFmtId="0" fontId="0" fillId="12667" borderId="0" xfId="0" applyFill="1"/>
    <xf numFmtId="0" fontId="0" fillId="12668" borderId="0" xfId="0" applyFill="1"/>
    <xf numFmtId="0" fontId="0" fillId="12669" borderId="0" xfId="0" applyFill="1"/>
    <xf numFmtId="0" fontId="0" fillId="12670" borderId="0" xfId="0" applyFill="1"/>
    <xf numFmtId="0" fontId="0" fillId="12671" borderId="0" xfId="0" applyFill="1"/>
    <xf numFmtId="0" fontId="0" fillId="12672" borderId="0" xfId="0" applyFill="1"/>
    <xf numFmtId="0" fontId="0" fillId="12673" borderId="0" xfId="0" applyFill="1"/>
    <xf numFmtId="0" fontId="0" fillId="12674" borderId="0" xfId="0" applyFill="1"/>
    <xf numFmtId="0" fontId="0" fillId="12675" borderId="0" xfId="0" applyFill="1"/>
    <xf numFmtId="0" fontId="0" fillId="12676" borderId="0" xfId="0" applyFill="1"/>
    <xf numFmtId="0" fontId="0" fillId="12677" borderId="0" xfId="0" applyFill="1"/>
    <xf numFmtId="0" fontId="0" fillId="12678" borderId="0" xfId="0" applyFill="1"/>
    <xf numFmtId="0" fontId="0" fillId="12679" borderId="0" xfId="0" applyFill="1"/>
    <xf numFmtId="0" fontId="0" fillId="12680" borderId="0" xfId="0" applyFill="1"/>
    <xf numFmtId="0" fontId="0" fillId="12681" borderId="0" xfId="0" applyFill="1"/>
    <xf numFmtId="0" fontId="0" fillId="12682" borderId="0" xfId="0" applyFill="1"/>
    <xf numFmtId="0" fontId="0" fillId="12683" borderId="0" xfId="0" applyFill="1"/>
    <xf numFmtId="0" fontId="0" fillId="12684" borderId="0" xfId="0" applyFill="1"/>
    <xf numFmtId="0" fontId="0" fillId="12685" borderId="0" xfId="0" applyFill="1"/>
    <xf numFmtId="0" fontId="0" fillId="12686" borderId="0" xfId="0" applyFill="1"/>
    <xf numFmtId="0" fontId="0" fillId="12687" borderId="0" xfId="0" applyFill="1"/>
    <xf numFmtId="0" fontId="0" fillId="12688" borderId="0" xfId="0" applyFill="1"/>
    <xf numFmtId="0" fontId="0" fillId="12689" borderId="0" xfId="0" applyFill="1"/>
    <xf numFmtId="0" fontId="0" fillId="12690" borderId="0" xfId="0" applyFill="1"/>
    <xf numFmtId="0" fontId="0" fillId="12691" borderId="0" xfId="0" applyFill="1"/>
    <xf numFmtId="0" fontId="0" fillId="12692" borderId="0" xfId="0" applyFill="1"/>
    <xf numFmtId="0" fontId="0" fillId="12693" borderId="0" xfId="0" applyFill="1"/>
    <xf numFmtId="0" fontId="0" fillId="12694" borderId="0" xfId="0" applyFill="1"/>
    <xf numFmtId="0" fontId="0" fillId="12695" borderId="0" xfId="0" applyFill="1"/>
    <xf numFmtId="0" fontId="0" fillId="12696" borderId="0" xfId="0" applyFill="1"/>
    <xf numFmtId="0" fontId="0" fillId="12697" borderId="0" xfId="0" applyFill="1"/>
    <xf numFmtId="0" fontId="0" fillId="12698" borderId="0" xfId="0" applyFill="1"/>
    <xf numFmtId="0" fontId="0" fillId="12699" borderId="0" xfId="0" applyFill="1"/>
    <xf numFmtId="0" fontId="0" fillId="12700" borderId="0" xfId="0" applyFill="1"/>
    <xf numFmtId="0" fontId="0" fillId="12701" borderId="0" xfId="0" applyFill="1"/>
    <xf numFmtId="0" fontId="0" fillId="12702" borderId="0" xfId="0" applyFill="1"/>
    <xf numFmtId="0" fontId="0" fillId="12703" borderId="0" xfId="0" applyFill="1"/>
    <xf numFmtId="0" fontId="0" fillId="12704" borderId="0" xfId="0" applyFill="1"/>
    <xf numFmtId="0" fontId="0" fillId="12705" borderId="0" xfId="0" applyFill="1"/>
    <xf numFmtId="0" fontId="0" fillId="12706" borderId="0" xfId="0" applyFill="1"/>
    <xf numFmtId="0" fontId="0" fillId="12707" borderId="0" xfId="0" applyFill="1"/>
    <xf numFmtId="0" fontId="0" fillId="12708" borderId="0" xfId="0" applyFill="1"/>
    <xf numFmtId="0" fontId="0" fillId="12709" borderId="0" xfId="0" applyFill="1"/>
    <xf numFmtId="0" fontId="0" fillId="12710" borderId="0" xfId="0" applyFill="1"/>
    <xf numFmtId="0" fontId="0" fillId="12711" borderId="0" xfId="0" applyFill="1"/>
    <xf numFmtId="0" fontId="0" fillId="12712" borderId="0" xfId="0" applyFill="1"/>
    <xf numFmtId="0" fontId="0" fillId="12713" borderId="0" xfId="0" applyFill="1"/>
    <xf numFmtId="0" fontId="0" fillId="12714" borderId="0" xfId="0" applyFill="1"/>
    <xf numFmtId="0" fontId="0" fillId="12715" borderId="0" xfId="0" applyFill="1"/>
    <xf numFmtId="0" fontId="0" fillId="12716" borderId="0" xfId="0" applyFill="1"/>
    <xf numFmtId="0" fontId="0" fillId="12717" borderId="0" xfId="0" applyFill="1"/>
    <xf numFmtId="0" fontId="0" fillId="12718" borderId="0" xfId="0" applyFill="1"/>
    <xf numFmtId="0" fontId="0" fillId="12719" borderId="0" xfId="0" applyFill="1"/>
    <xf numFmtId="0" fontId="0" fillId="12720" borderId="0" xfId="0" applyFill="1"/>
    <xf numFmtId="0" fontId="0" fillId="12721" borderId="0" xfId="0" applyFill="1"/>
    <xf numFmtId="0" fontId="0" fillId="12722" borderId="0" xfId="0" applyFill="1"/>
    <xf numFmtId="0" fontId="0" fillId="12723" borderId="0" xfId="0" applyFill="1"/>
    <xf numFmtId="0" fontId="0" fillId="12724" borderId="0" xfId="0" applyFill="1"/>
    <xf numFmtId="0" fontId="0" fillId="12725" borderId="0" xfId="0" applyFill="1"/>
    <xf numFmtId="0" fontId="0" fillId="12726" borderId="0" xfId="0" applyFill="1"/>
    <xf numFmtId="0" fontId="0" fillId="12727" borderId="0" xfId="0" applyFill="1"/>
    <xf numFmtId="0" fontId="0" fillId="12728" borderId="0" xfId="0" applyFill="1"/>
    <xf numFmtId="0" fontId="0" fillId="12729" borderId="0" xfId="0" applyFill="1"/>
    <xf numFmtId="0" fontId="0" fillId="12730" borderId="0" xfId="0" applyFill="1"/>
    <xf numFmtId="0" fontId="0" fillId="12731" borderId="0" xfId="0" applyFill="1"/>
    <xf numFmtId="0" fontId="0" fillId="12732" borderId="0" xfId="0" applyFill="1"/>
    <xf numFmtId="0" fontId="0" fillId="12733" borderId="0" xfId="0" applyFill="1"/>
    <xf numFmtId="0" fontId="0" fillId="12734" borderId="0" xfId="0" applyFill="1"/>
    <xf numFmtId="0" fontId="0" fillId="12735" borderId="0" xfId="0" applyFill="1"/>
    <xf numFmtId="0" fontId="0" fillId="12736" borderId="0" xfId="0" applyFill="1"/>
    <xf numFmtId="0" fontId="0" fillId="12737" borderId="0" xfId="0" applyFill="1"/>
    <xf numFmtId="0" fontId="0" fillId="12738" borderId="0" xfId="0" applyFill="1"/>
    <xf numFmtId="0" fontId="0" fillId="12739" borderId="0" xfId="0" applyFill="1"/>
    <xf numFmtId="0" fontId="0" fillId="12740" borderId="0" xfId="0" applyFill="1"/>
    <xf numFmtId="0" fontId="0" fillId="12741" borderId="0" xfId="0" applyFill="1"/>
    <xf numFmtId="0" fontId="0" fillId="12742" borderId="0" xfId="0" applyFill="1"/>
    <xf numFmtId="0" fontId="0" fillId="12743" borderId="0" xfId="0" applyFill="1"/>
    <xf numFmtId="0" fontId="0" fillId="12744" borderId="0" xfId="0" applyFill="1"/>
    <xf numFmtId="0" fontId="0" fillId="12745" borderId="0" xfId="0" applyFill="1"/>
    <xf numFmtId="0" fontId="0" fillId="12746" borderId="0" xfId="0" applyFill="1"/>
    <xf numFmtId="0" fontId="0" fillId="12747" borderId="0" xfId="0" applyFill="1"/>
    <xf numFmtId="0" fontId="0" fillId="12748" borderId="0" xfId="0" applyFill="1"/>
    <xf numFmtId="0" fontId="0" fillId="12749" borderId="0" xfId="0" applyFill="1"/>
    <xf numFmtId="0" fontId="0" fillId="12750" borderId="0" xfId="0" applyFill="1"/>
    <xf numFmtId="0" fontId="0" fillId="12751" borderId="0" xfId="0" applyFill="1"/>
    <xf numFmtId="0" fontId="0" fillId="12752" borderId="0" xfId="0" applyFill="1"/>
    <xf numFmtId="0" fontId="0" fillId="12753" borderId="0" xfId="0" applyFill="1"/>
    <xf numFmtId="0" fontId="0" fillId="12754" borderId="0" xfId="0" applyFill="1"/>
    <xf numFmtId="0" fontId="0" fillId="12755" borderId="0" xfId="0" applyFill="1"/>
    <xf numFmtId="0" fontId="0" fillId="12756" borderId="0" xfId="0" applyFill="1"/>
    <xf numFmtId="0" fontId="0" fillId="12757" borderId="0" xfId="0" applyFill="1"/>
    <xf numFmtId="0" fontId="0" fillId="12758" borderId="0" xfId="0" applyFill="1"/>
    <xf numFmtId="0" fontId="0" fillId="12759" borderId="0" xfId="0" applyFill="1"/>
    <xf numFmtId="0" fontId="0" fillId="12760" borderId="0" xfId="0" applyFill="1"/>
    <xf numFmtId="0" fontId="0" fillId="12761" borderId="0" xfId="0" applyFill="1"/>
    <xf numFmtId="0" fontId="0" fillId="12762" borderId="0" xfId="0" applyFill="1"/>
    <xf numFmtId="0" fontId="0" fillId="12763" borderId="0" xfId="0" applyFill="1"/>
    <xf numFmtId="0" fontId="0" fillId="12764" borderId="0" xfId="0" applyFill="1"/>
    <xf numFmtId="0" fontId="0" fillId="12765" borderId="0" xfId="0" applyFill="1"/>
    <xf numFmtId="0" fontId="0" fillId="12766" borderId="0" xfId="0" applyFill="1"/>
    <xf numFmtId="0" fontId="0" fillId="12767" borderId="0" xfId="0" applyFill="1"/>
    <xf numFmtId="0" fontId="0" fillId="12768" borderId="0" xfId="0" applyFill="1"/>
    <xf numFmtId="0" fontId="0" fillId="12769" borderId="0" xfId="0" applyFill="1"/>
    <xf numFmtId="0" fontId="0" fillId="12770" borderId="0" xfId="0" applyFill="1"/>
    <xf numFmtId="0" fontId="0" fillId="12771" borderId="0" xfId="0" applyFill="1"/>
    <xf numFmtId="0" fontId="0" fillId="12772" borderId="0" xfId="0" applyFill="1"/>
    <xf numFmtId="0" fontId="0" fillId="12773" borderId="0" xfId="0" applyFill="1"/>
    <xf numFmtId="0" fontId="0" fillId="12774" borderId="0" xfId="0" applyFill="1"/>
    <xf numFmtId="0" fontId="0" fillId="12775" borderId="0" xfId="0" applyFill="1"/>
    <xf numFmtId="0" fontId="0" fillId="12776" borderId="0" xfId="0" applyFill="1"/>
    <xf numFmtId="0" fontId="0" fillId="12777" borderId="0" xfId="0" applyFill="1"/>
    <xf numFmtId="0" fontId="0" fillId="12778" borderId="0" xfId="0" applyFill="1"/>
    <xf numFmtId="0" fontId="0" fillId="12779" borderId="0" xfId="0" applyFill="1"/>
    <xf numFmtId="0" fontId="0" fillId="12780" borderId="0" xfId="0" applyFill="1"/>
    <xf numFmtId="0" fontId="0" fillId="12781" borderId="0" xfId="0" applyFill="1"/>
    <xf numFmtId="0" fontId="0" fillId="12782" borderId="0" xfId="0" applyFill="1"/>
    <xf numFmtId="0" fontId="0" fillId="12783" borderId="0" xfId="0" applyFill="1"/>
    <xf numFmtId="0" fontId="0" fillId="12784" borderId="0" xfId="0" applyFill="1"/>
    <xf numFmtId="0" fontId="0" fillId="12785" borderId="0" xfId="0" applyFill="1"/>
    <xf numFmtId="0" fontId="0" fillId="12786" borderId="0" xfId="0" applyFill="1"/>
    <xf numFmtId="0" fontId="0" fillId="12787" borderId="0" xfId="0" applyFill="1"/>
    <xf numFmtId="0" fontId="0" fillId="12788" borderId="0" xfId="0" applyFill="1"/>
    <xf numFmtId="0" fontId="0" fillId="12789" borderId="0" xfId="0" applyFill="1"/>
    <xf numFmtId="0" fontId="0" fillId="12790" borderId="0" xfId="0" applyFill="1"/>
    <xf numFmtId="0" fontId="0" fillId="12791" borderId="0" xfId="0" applyFill="1"/>
    <xf numFmtId="0" fontId="0" fillId="12792" borderId="0" xfId="0" applyFill="1"/>
    <xf numFmtId="0" fontId="0" fillId="12793" borderId="0" xfId="0" applyFill="1"/>
    <xf numFmtId="0" fontId="0" fillId="12794" borderId="0" xfId="0" applyFill="1"/>
    <xf numFmtId="0" fontId="0" fillId="12795" borderId="0" xfId="0" applyFill="1"/>
    <xf numFmtId="0" fontId="0" fillId="12796" borderId="0" xfId="0" applyFill="1"/>
    <xf numFmtId="0" fontId="0" fillId="12797" borderId="0" xfId="0" applyFill="1"/>
    <xf numFmtId="0" fontId="0" fillId="12798" borderId="0" xfId="0" applyFill="1"/>
    <xf numFmtId="0" fontId="0" fillId="12799" borderId="0" xfId="0" applyFill="1"/>
    <xf numFmtId="0" fontId="0" fillId="12800" borderId="0" xfId="0" applyFill="1"/>
    <xf numFmtId="0" fontId="0" fillId="12801" borderId="0" xfId="0" applyFill="1"/>
    <xf numFmtId="0" fontId="0" fillId="12802" borderId="0" xfId="0" applyFill="1"/>
    <xf numFmtId="0" fontId="0" fillId="12803" borderId="0" xfId="0" applyFill="1"/>
    <xf numFmtId="0" fontId="0" fillId="12804" borderId="0" xfId="0" applyFill="1"/>
    <xf numFmtId="0" fontId="0" fillId="12805" borderId="0" xfId="0" applyFill="1"/>
    <xf numFmtId="0" fontId="0" fillId="12806" borderId="0" xfId="0" applyFill="1"/>
    <xf numFmtId="0" fontId="0" fillId="12807" borderId="0" xfId="0" applyFill="1"/>
    <xf numFmtId="0" fontId="0" fillId="12808" borderId="0" xfId="0" applyFill="1"/>
    <xf numFmtId="0" fontId="0" fillId="12809" borderId="0" xfId="0" applyFill="1"/>
    <xf numFmtId="0" fontId="0" fillId="12810" borderId="0" xfId="0" applyFill="1"/>
    <xf numFmtId="0" fontId="0" fillId="12811" borderId="0" xfId="0" applyFill="1"/>
    <xf numFmtId="0" fontId="0" fillId="12812" borderId="0" xfId="0" applyFill="1"/>
    <xf numFmtId="0" fontId="0" fillId="12813" borderId="0" xfId="0" applyFill="1"/>
    <xf numFmtId="0" fontId="0" fillId="12814" borderId="0" xfId="0" applyFill="1"/>
    <xf numFmtId="0" fontId="0" fillId="12815" borderId="0" xfId="0" applyFill="1"/>
    <xf numFmtId="0" fontId="0" fillId="12816" borderId="0" xfId="0" applyFill="1"/>
    <xf numFmtId="0" fontId="0" fillId="12817" borderId="0" xfId="0" applyFill="1"/>
    <xf numFmtId="0" fontId="0" fillId="12818" borderId="0" xfId="0" applyFill="1"/>
    <xf numFmtId="0" fontId="0" fillId="12819" borderId="0" xfId="0" applyFill="1"/>
    <xf numFmtId="0" fontId="0" fillId="12820" borderId="0" xfId="0" applyFill="1"/>
    <xf numFmtId="0" fontId="0" fillId="12821" borderId="0" xfId="0" applyFill="1"/>
    <xf numFmtId="0" fontId="0" fillId="12822" borderId="0" xfId="0" applyFill="1"/>
    <xf numFmtId="0" fontId="0" fillId="12823" borderId="0" xfId="0" applyFill="1"/>
    <xf numFmtId="0" fontId="0" fillId="12824" borderId="0" xfId="0" applyFill="1"/>
    <xf numFmtId="0" fontId="0" fillId="12825" borderId="0" xfId="0" applyFill="1"/>
    <xf numFmtId="0" fontId="0" fillId="12826" borderId="0" xfId="0" applyFill="1"/>
    <xf numFmtId="0" fontId="0" fillId="12827" borderId="0" xfId="0" applyFill="1"/>
    <xf numFmtId="0" fontId="0" fillId="12828" borderId="0" xfId="0" applyFill="1"/>
    <xf numFmtId="0" fontId="0" fillId="12829" borderId="0" xfId="0" applyFill="1"/>
    <xf numFmtId="0" fontId="0" fillId="12830" borderId="0" xfId="0" applyFill="1"/>
    <xf numFmtId="0" fontId="0" fillId="12831" borderId="0" xfId="0" applyFill="1"/>
    <xf numFmtId="0" fontId="0" fillId="12832" borderId="0" xfId="0" applyFill="1"/>
    <xf numFmtId="0" fontId="0" fillId="12833" borderId="0" xfId="0" applyFill="1"/>
    <xf numFmtId="0" fontId="0" fillId="12834" borderId="0" xfId="0" applyFill="1"/>
    <xf numFmtId="0" fontId="0" fillId="12835" borderId="0" xfId="0" applyFill="1"/>
    <xf numFmtId="0" fontId="0" fillId="12836" borderId="0" xfId="0" applyFill="1"/>
    <xf numFmtId="0" fontId="0" fillId="12837" borderId="0" xfId="0" applyFill="1"/>
    <xf numFmtId="0" fontId="0" fillId="12838" borderId="0" xfId="0" applyFill="1"/>
    <xf numFmtId="0" fontId="0" fillId="12839" borderId="0" xfId="0" applyFill="1"/>
    <xf numFmtId="0" fontId="0" fillId="12840" borderId="0" xfId="0" applyFill="1"/>
    <xf numFmtId="0" fontId="0" fillId="12841" borderId="0" xfId="0" applyFill="1"/>
    <xf numFmtId="0" fontId="0" fillId="12842" borderId="0" xfId="0" applyFill="1"/>
    <xf numFmtId="0" fontId="0" fillId="12843" borderId="0" xfId="0" applyFill="1"/>
    <xf numFmtId="0" fontId="0" fillId="12844" borderId="0" xfId="0" applyFill="1"/>
    <xf numFmtId="0" fontId="0" fillId="12845" borderId="0" xfId="0" applyFill="1"/>
    <xf numFmtId="0" fontId="0" fillId="12846" borderId="0" xfId="0" applyFill="1"/>
    <xf numFmtId="0" fontId="0" fillId="12847" borderId="0" xfId="0" applyFill="1"/>
    <xf numFmtId="0" fontId="0" fillId="12848" borderId="0" xfId="0" applyFill="1"/>
    <xf numFmtId="0" fontId="0" fillId="12849" borderId="0" xfId="0" applyFill="1"/>
    <xf numFmtId="0" fontId="0" fillId="12850" borderId="0" xfId="0" applyFill="1"/>
    <xf numFmtId="0" fontId="0" fillId="12851" borderId="0" xfId="0" applyFill="1"/>
    <xf numFmtId="0" fontId="0" fillId="12852" borderId="0" xfId="0" applyFill="1"/>
    <xf numFmtId="0" fontId="0" fillId="12853" borderId="0" xfId="0" applyFill="1"/>
    <xf numFmtId="0" fontId="0" fillId="12854" borderId="0" xfId="0" applyFill="1"/>
    <xf numFmtId="0" fontId="0" fillId="12855" borderId="0" xfId="0" applyFill="1"/>
    <xf numFmtId="0" fontId="0" fillId="12856" borderId="0" xfId="0" applyFill="1"/>
    <xf numFmtId="0" fontId="0" fillId="12857" borderId="0" xfId="0" applyFill="1"/>
    <xf numFmtId="0" fontId="0" fillId="12858" borderId="0" xfId="0" applyFill="1"/>
    <xf numFmtId="0" fontId="0" fillId="12859" borderId="0" xfId="0" applyFill="1"/>
    <xf numFmtId="0" fontId="0" fillId="12860" borderId="0" xfId="0" applyFill="1"/>
    <xf numFmtId="0" fontId="0" fillId="12861" borderId="0" xfId="0" applyFill="1"/>
    <xf numFmtId="0" fontId="0" fillId="12862" borderId="0" xfId="0" applyFill="1"/>
    <xf numFmtId="0" fontId="0" fillId="12863" borderId="0" xfId="0" applyFill="1"/>
    <xf numFmtId="0" fontId="0" fillId="12864" borderId="0" xfId="0" applyFill="1"/>
    <xf numFmtId="0" fontId="0" fillId="12865" borderId="0" xfId="0" applyFill="1"/>
    <xf numFmtId="0" fontId="0" fillId="12866" borderId="0" xfId="0" applyFill="1"/>
    <xf numFmtId="0" fontId="0" fillId="12867" borderId="0" xfId="0" applyFill="1"/>
    <xf numFmtId="0" fontId="0" fillId="12868" borderId="0" xfId="0" applyFill="1"/>
    <xf numFmtId="0" fontId="0" fillId="12869" borderId="0" xfId="0" applyFill="1"/>
    <xf numFmtId="0" fontId="0" fillId="12870" borderId="0" xfId="0" applyFill="1"/>
    <xf numFmtId="0" fontId="0" fillId="12871" borderId="0" xfId="0" applyFill="1"/>
    <xf numFmtId="0" fontId="0" fillId="12872" borderId="0" xfId="0" applyFill="1"/>
    <xf numFmtId="0" fontId="0" fillId="12873" borderId="0" xfId="0" applyFill="1"/>
    <xf numFmtId="0" fontId="0" fillId="12874" borderId="0" xfId="0" applyFill="1"/>
    <xf numFmtId="0" fontId="0" fillId="12875" borderId="0" xfId="0" applyFill="1"/>
    <xf numFmtId="0" fontId="0" fillId="12876" borderId="0" xfId="0" applyFill="1"/>
    <xf numFmtId="0" fontId="0" fillId="12877" borderId="0" xfId="0" applyFill="1"/>
    <xf numFmtId="0" fontId="0" fillId="12878" borderId="0" xfId="0" applyFill="1"/>
    <xf numFmtId="0" fontId="0" fillId="12879" borderId="0" xfId="0" applyFill="1"/>
    <xf numFmtId="0" fontId="0" fillId="12880" borderId="0" xfId="0" applyFill="1"/>
    <xf numFmtId="0" fontId="0" fillId="12881" borderId="0" xfId="0" applyFill="1"/>
    <xf numFmtId="0" fontId="0" fillId="12882" borderId="0" xfId="0" applyFill="1"/>
    <xf numFmtId="0" fontId="0" fillId="12883" borderId="0" xfId="0" applyFill="1"/>
    <xf numFmtId="0" fontId="0" fillId="12884" borderId="0" xfId="0" applyFill="1"/>
    <xf numFmtId="0" fontId="0" fillId="12885" borderId="0" xfId="0" applyFill="1"/>
    <xf numFmtId="0" fontId="0" fillId="12886" borderId="0" xfId="0" applyFill="1"/>
    <xf numFmtId="0" fontId="0" fillId="12887" borderId="0" xfId="0" applyFill="1"/>
    <xf numFmtId="0" fontId="0" fillId="12888" borderId="0" xfId="0" applyFill="1"/>
    <xf numFmtId="0" fontId="0" fillId="12889" borderId="0" xfId="0" applyFill="1"/>
    <xf numFmtId="0" fontId="0" fillId="12890" borderId="0" xfId="0" applyFill="1"/>
    <xf numFmtId="0" fontId="0" fillId="12891" borderId="0" xfId="0" applyFill="1"/>
    <xf numFmtId="0" fontId="0" fillId="12892" borderId="0" xfId="0" applyFill="1"/>
    <xf numFmtId="0" fontId="0" fillId="12893" borderId="0" xfId="0" applyFill="1"/>
    <xf numFmtId="0" fontId="0" fillId="12894" borderId="0" xfId="0" applyFill="1"/>
    <xf numFmtId="0" fontId="0" fillId="12895" borderId="0" xfId="0" applyFill="1"/>
    <xf numFmtId="0" fontId="0" fillId="12896" borderId="0" xfId="0" applyFill="1"/>
    <xf numFmtId="0" fontId="0" fillId="12897" borderId="0" xfId="0" applyFill="1"/>
    <xf numFmtId="0" fontId="0" fillId="12898" borderId="0" xfId="0" applyFill="1"/>
    <xf numFmtId="0" fontId="0" fillId="12899" borderId="0" xfId="0" applyFill="1"/>
    <xf numFmtId="0" fontId="0" fillId="12900" borderId="0" xfId="0" applyFill="1"/>
    <xf numFmtId="0" fontId="0" fillId="12901" borderId="0" xfId="0" applyFill="1"/>
    <xf numFmtId="0" fontId="0" fillId="12902" borderId="0" xfId="0" applyFill="1"/>
    <xf numFmtId="0" fontId="0" fillId="12903" borderId="0" xfId="0" applyFill="1"/>
    <xf numFmtId="0" fontId="0" fillId="12904" borderId="0" xfId="0" applyFill="1"/>
    <xf numFmtId="0" fontId="0" fillId="12905" borderId="0" xfId="0" applyFill="1"/>
    <xf numFmtId="0" fontId="0" fillId="12906" borderId="0" xfId="0" applyFill="1"/>
    <xf numFmtId="0" fontId="0" fillId="12907" borderId="0" xfId="0" applyFill="1"/>
    <xf numFmtId="0" fontId="0" fillId="12908" borderId="0" xfId="0" applyFill="1"/>
    <xf numFmtId="0" fontId="0" fillId="12909" borderId="0" xfId="0" applyFill="1"/>
    <xf numFmtId="0" fontId="0" fillId="12910" borderId="0" xfId="0" applyFill="1"/>
    <xf numFmtId="0" fontId="0" fillId="12911" borderId="0" xfId="0" applyFill="1"/>
    <xf numFmtId="0" fontId="0" fillId="12912" borderId="0" xfId="0" applyFill="1"/>
    <xf numFmtId="0" fontId="0" fillId="12913" borderId="0" xfId="0" applyFill="1"/>
    <xf numFmtId="0" fontId="0" fillId="12914" borderId="0" xfId="0" applyFill="1"/>
    <xf numFmtId="0" fontId="0" fillId="12915" borderId="0" xfId="0" applyFill="1"/>
    <xf numFmtId="0" fontId="0" fillId="12916" borderId="0" xfId="0" applyFill="1"/>
    <xf numFmtId="0" fontId="0" fillId="12917" borderId="0" xfId="0" applyFill="1"/>
    <xf numFmtId="0" fontId="0" fillId="12918" borderId="0" xfId="0" applyFill="1"/>
    <xf numFmtId="0" fontId="0" fillId="12919" borderId="0" xfId="0" applyFill="1"/>
    <xf numFmtId="0" fontId="0" fillId="12920" borderId="0" xfId="0" applyFill="1"/>
    <xf numFmtId="0" fontId="0" fillId="12921" borderId="0" xfId="0" applyFill="1"/>
    <xf numFmtId="0" fontId="0" fillId="12922" borderId="0" xfId="0" applyFill="1"/>
    <xf numFmtId="0" fontId="0" fillId="12923" borderId="0" xfId="0" applyFill="1"/>
    <xf numFmtId="0" fontId="0" fillId="12924" borderId="0" xfId="0" applyFill="1"/>
    <xf numFmtId="0" fontId="0" fillId="12925" borderId="0" xfId="0" applyFill="1"/>
    <xf numFmtId="0" fontId="0" fillId="12926" borderId="0" xfId="0" applyFill="1"/>
    <xf numFmtId="0" fontId="0" fillId="12927" borderId="0" xfId="0" applyFill="1"/>
    <xf numFmtId="0" fontId="0" fillId="12928" borderId="0" xfId="0" applyFill="1"/>
    <xf numFmtId="0" fontId="0" fillId="12929" borderId="0" xfId="0" applyFill="1"/>
    <xf numFmtId="0" fontId="0" fillId="12930" borderId="0" xfId="0" applyFill="1"/>
    <xf numFmtId="0" fontId="0" fillId="12931" borderId="0" xfId="0" applyFill="1"/>
    <xf numFmtId="0" fontId="0" fillId="12932" borderId="0" xfId="0" applyFill="1"/>
    <xf numFmtId="0" fontId="0" fillId="12933" borderId="0" xfId="0" applyFill="1"/>
    <xf numFmtId="0" fontId="0" fillId="12934" borderId="0" xfId="0" applyFill="1"/>
    <xf numFmtId="0" fontId="0" fillId="12935" borderId="0" xfId="0" applyFill="1"/>
    <xf numFmtId="0" fontId="0" fillId="12936" borderId="0" xfId="0" applyFill="1"/>
    <xf numFmtId="0" fontId="0" fillId="12937" borderId="0" xfId="0" applyFill="1"/>
    <xf numFmtId="0" fontId="0" fillId="12938" borderId="0" xfId="0" applyFill="1"/>
    <xf numFmtId="0" fontId="0" fillId="12939" borderId="0" xfId="0" applyFill="1"/>
    <xf numFmtId="0" fontId="0" fillId="12940" borderId="0" xfId="0" applyFill="1"/>
    <xf numFmtId="0" fontId="0" fillId="12941" borderId="0" xfId="0" applyFill="1"/>
    <xf numFmtId="0" fontId="0" fillId="12942" borderId="0" xfId="0" applyFill="1"/>
    <xf numFmtId="0" fontId="0" fillId="12943" borderId="0" xfId="0" applyFill="1"/>
    <xf numFmtId="0" fontId="0" fillId="12944" borderId="0" xfId="0" applyFill="1"/>
    <xf numFmtId="0" fontId="0" fillId="12945" borderId="0" xfId="0" applyFill="1"/>
    <xf numFmtId="0" fontId="0" fillId="12946" borderId="0" xfId="0" applyFill="1"/>
    <xf numFmtId="0" fontId="0" fillId="12947" borderId="0" xfId="0" applyFill="1"/>
    <xf numFmtId="0" fontId="0" fillId="12948" borderId="0" xfId="0" applyFill="1"/>
    <xf numFmtId="0" fontId="0" fillId="12949" borderId="0" xfId="0" applyFill="1"/>
    <xf numFmtId="0" fontId="0" fillId="12950" borderId="0" xfId="0" applyFill="1"/>
    <xf numFmtId="0" fontId="0" fillId="12951" borderId="0" xfId="0" applyFill="1"/>
    <xf numFmtId="0" fontId="0" fillId="12952" borderId="0" xfId="0" applyFill="1"/>
    <xf numFmtId="0" fontId="0" fillId="12953" borderId="0" xfId="0" applyFill="1"/>
    <xf numFmtId="0" fontId="0" fillId="12954" borderId="0" xfId="0" applyFill="1"/>
    <xf numFmtId="0" fontId="0" fillId="12955" borderId="0" xfId="0" applyFill="1"/>
    <xf numFmtId="0" fontId="0" fillId="12956" borderId="0" xfId="0" applyFill="1"/>
    <xf numFmtId="0" fontId="0" fillId="12957" borderId="0" xfId="0" applyFill="1"/>
    <xf numFmtId="0" fontId="0" fillId="12958" borderId="0" xfId="0" applyFill="1"/>
    <xf numFmtId="0" fontId="0" fillId="12959" borderId="0" xfId="0" applyFill="1"/>
    <xf numFmtId="0" fontId="0" fillId="12960" borderId="0" xfId="0" applyFill="1"/>
    <xf numFmtId="0" fontId="0" fillId="12961" borderId="0" xfId="0" applyFill="1"/>
    <xf numFmtId="0" fontId="0" fillId="12962" borderId="0" xfId="0" applyFill="1"/>
    <xf numFmtId="0" fontId="0" fillId="12963" borderId="0" xfId="0" applyFill="1"/>
    <xf numFmtId="0" fontId="0" fillId="12964" borderId="0" xfId="0" applyFill="1"/>
    <xf numFmtId="0" fontId="0" fillId="12965" borderId="0" xfId="0" applyFill="1"/>
    <xf numFmtId="0" fontId="0" fillId="12966" borderId="0" xfId="0" applyFill="1"/>
    <xf numFmtId="0" fontId="0" fillId="12967" borderId="0" xfId="0" applyFill="1"/>
    <xf numFmtId="0" fontId="0" fillId="12968" borderId="0" xfId="0" applyFill="1"/>
    <xf numFmtId="0" fontId="0" fillId="12969" borderId="0" xfId="0" applyFill="1"/>
    <xf numFmtId="0" fontId="0" fillId="12970" borderId="0" xfId="0" applyFill="1"/>
    <xf numFmtId="0" fontId="0" fillId="12971" borderId="0" xfId="0" applyFill="1"/>
    <xf numFmtId="0" fontId="0" fillId="12972" borderId="0" xfId="0" applyFill="1"/>
    <xf numFmtId="0" fontId="0" fillId="12973" borderId="0" xfId="0" applyFill="1"/>
    <xf numFmtId="0" fontId="0" fillId="12974" borderId="0" xfId="0" applyFill="1"/>
    <xf numFmtId="0" fontId="0" fillId="12975" borderId="0" xfId="0" applyFill="1"/>
    <xf numFmtId="0" fontId="0" fillId="12976" borderId="0" xfId="0" applyFill="1"/>
    <xf numFmtId="0" fontId="0" fillId="12977" borderId="0" xfId="0" applyFill="1"/>
    <xf numFmtId="0" fontId="0" fillId="12978" borderId="0" xfId="0" applyFill="1"/>
    <xf numFmtId="0" fontId="0" fillId="12979" borderId="0" xfId="0" applyFill="1"/>
    <xf numFmtId="0" fontId="0" fillId="12980" borderId="0" xfId="0" applyFill="1"/>
    <xf numFmtId="0" fontId="0" fillId="12981" borderId="0" xfId="0" applyFill="1"/>
    <xf numFmtId="0" fontId="0" fillId="12982" borderId="0" xfId="0" applyFill="1"/>
    <xf numFmtId="0" fontId="0" fillId="12983" borderId="0" xfId="0" applyFill="1"/>
    <xf numFmtId="0" fontId="0" fillId="12984" borderId="0" xfId="0" applyFill="1"/>
    <xf numFmtId="0" fontId="0" fillId="12985" borderId="0" xfId="0" applyFill="1"/>
    <xf numFmtId="0" fontId="0" fillId="12986" borderId="0" xfId="0" applyFill="1"/>
    <xf numFmtId="0" fontId="0" fillId="12987" borderId="0" xfId="0" applyFill="1"/>
    <xf numFmtId="0" fontId="0" fillId="12988" borderId="0" xfId="0" applyFill="1"/>
    <xf numFmtId="0" fontId="0" fillId="12989" borderId="0" xfId="0" applyFill="1"/>
    <xf numFmtId="0" fontId="0" fillId="12990" borderId="0" xfId="0" applyFill="1"/>
    <xf numFmtId="0" fontId="0" fillId="12991" borderId="0" xfId="0" applyFill="1"/>
    <xf numFmtId="0" fontId="0" fillId="12992" borderId="0" xfId="0" applyFill="1"/>
    <xf numFmtId="0" fontId="0" fillId="12993" borderId="0" xfId="0" applyFill="1"/>
    <xf numFmtId="0" fontId="0" fillId="12994" borderId="0" xfId="0" applyFill="1"/>
    <xf numFmtId="0" fontId="0" fillId="12995" borderId="0" xfId="0" applyFill="1"/>
    <xf numFmtId="0" fontId="0" fillId="12996" borderId="0" xfId="0" applyFill="1"/>
    <xf numFmtId="0" fontId="0" fillId="12997" borderId="0" xfId="0" applyFill="1"/>
    <xf numFmtId="0" fontId="0" fillId="12998" borderId="0" xfId="0" applyFill="1"/>
    <xf numFmtId="0" fontId="0" fillId="12999" borderId="0" xfId="0" applyFill="1"/>
    <xf numFmtId="0" fontId="0" fillId="13000" borderId="0" xfId="0" applyFill="1"/>
    <xf numFmtId="0" fontId="0" fillId="13001" borderId="0" xfId="0" applyFill="1"/>
    <xf numFmtId="0" fontId="0" fillId="13002" borderId="0" xfId="0" applyFill="1"/>
    <xf numFmtId="0" fontId="0" fillId="13003" borderId="0" xfId="0" applyFill="1"/>
    <xf numFmtId="0" fontId="0" fillId="13004" borderId="0" xfId="0" applyFill="1"/>
    <xf numFmtId="0" fontId="0" fillId="13005" borderId="0" xfId="0" applyFill="1"/>
    <xf numFmtId="0" fontId="0" fillId="13006" borderId="0" xfId="0" applyFill="1"/>
    <xf numFmtId="0" fontId="0" fillId="13007" borderId="0" xfId="0" applyFill="1"/>
    <xf numFmtId="0" fontId="0" fillId="13008" borderId="0" xfId="0" applyFill="1"/>
    <xf numFmtId="0" fontId="0" fillId="13009" borderId="0" xfId="0" applyFill="1"/>
    <xf numFmtId="0" fontId="0" fillId="13010" borderId="0" xfId="0" applyFill="1"/>
    <xf numFmtId="0" fontId="0" fillId="13011" borderId="0" xfId="0" applyFill="1"/>
    <xf numFmtId="0" fontId="0" fillId="13012" borderId="0" xfId="0" applyFill="1"/>
    <xf numFmtId="0" fontId="0" fillId="13013" borderId="0" xfId="0" applyFill="1"/>
    <xf numFmtId="0" fontId="0" fillId="13014" borderId="0" xfId="0" applyFill="1"/>
    <xf numFmtId="0" fontId="0" fillId="13015" borderId="0" xfId="0" applyFill="1"/>
    <xf numFmtId="0" fontId="0" fillId="13016" borderId="0" xfId="0" applyFill="1"/>
    <xf numFmtId="0" fontId="0" fillId="13017" borderId="0" xfId="0" applyFill="1"/>
    <xf numFmtId="0" fontId="0" fillId="13018" borderId="0" xfId="0" applyFill="1"/>
    <xf numFmtId="0" fontId="0" fillId="13019" borderId="0" xfId="0" applyFill="1"/>
    <xf numFmtId="0" fontId="0" fillId="13020" borderId="0" xfId="0" applyFill="1"/>
    <xf numFmtId="0" fontId="0" fillId="13021" borderId="0" xfId="0" applyFill="1"/>
    <xf numFmtId="0" fontId="0" fillId="13022" borderId="0" xfId="0" applyFill="1"/>
    <xf numFmtId="0" fontId="0" fillId="13023" borderId="0" xfId="0" applyFill="1"/>
    <xf numFmtId="0" fontId="0" fillId="13024" borderId="0" xfId="0" applyFill="1"/>
    <xf numFmtId="0" fontId="0" fillId="13025" borderId="0" xfId="0" applyFill="1"/>
    <xf numFmtId="0" fontId="0" fillId="13026" borderId="0" xfId="0" applyFill="1"/>
    <xf numFmtId="0" fontId="0" fillId="13027" borderId="0" xfId="0" applyFill="1"/>
    <xf numFmtId="0" fontId="0" fillId="13028" borderId="0" xfId="0" applyFill="1"/>
    <xf numFmtId="0" fontId="0" fillId="13029" borderId="0" xfId="0" applyFill="1"/>
    <xf numFmtId="0" fontId="0" fillId="13030" borderId="0" xfId="0" applyFill="1"/>
    <xf numFmtId="0" fontId="0" fillId="13031" borderId="0" xfId="0" applyFill="1"/>
    <xf numFmtId="0" fontId="0" fillId="13032" borderId="0" xfId="0" applyFill="1"/>
    <xf numFmtId="0" fontId="0" fillId="13033" borderId="0" xfId="0" applyFill="1"/>
    <xf numFmtId="0" fontId="0" fillId="13034" borderId="0" xfId="0" applyFill="1"/>
    <xf numFmtId="0" fontId="0" fillId="13035" borderId="0" xfId="0" applyFill="1"/>
    <xf numFmtId="0" fontId="0" fillId="13036" borderId="0" xfId="0" applyFill="1"/>
    <xf numFmtId="0" fontId="0" fillId="13037" borderId="0" xfId="0" applyFill="1"/>
    <xf numFmtId="0" fontId="0" fillId="13038" borderId="0" xfId="0" applyFill="1"/>
    <xf numFmtId="0" fontId="0" fillId="13039" borderId="0" xfId="0" applyFill="1"/>
    <xf numFmtId="0" fontId="0" fillId="13040" borderId="0" xfId="0" applyFill="1"/>
    <xf numFmtId="0" fontId="0" fillId="13041" borderId="0" xfId="0" applyFill="1"/>
    <xf numFmtId="0" fontId="0" fillId="13042" borderId="0" xfId="0" applyFill="1"/>
    <xf numFmtId="0" fontId="0" fillId="13043" borderId="0" xfId="0" applyFill="1"/>
    <xf numFmtId="0" fontId="0" fillId="13044" borderId="0" xfId="0" applyFill="1"/>
    <xf numFmtId="0" fontId="0" fillId="13045" borderId="0" xfId="0" applyFill="1"/>
    <xf numFmtId="0" fontId="0" fillId="13046" borderId="0" xfId="0" applyFill="1"/>
    <xf numFmtId="0" fontId="0" fillId="13047" borderId="0" xfId="0" applyFill="1"/>
    <xf numFmtId="0" fontId="0" fillId="13048" borderId="0" xfId="0" applyFill="1"/>
    <xf numFmtId="0" fontId="0" fillId="13049" borderId="0" xfId="0" applyFill="1"/>
    <xf numFmtId="0" fontId="0" fillId="13050" borderId="0" xfId="0" applyFill="1"/>
    <xf numFmtId="0" fontId="0" fillId="13051" borderId="0" xfId="0" applyFill="1"/>
    <xf numFmtId="0" fontId="0" fillId="13052" borderId="0" xfId="0" applyFill="1"/>
    <xf numFmtId="0" fontId="0" fillId="13053" borderId="0" xfId="0" applyFill="1"/>
    <xf numFmtId="0" fontId="0" fillId="13054" borderId="0" xfId="0" applyFill="1"/>
    <xf numFmtId="0" fontId="0" fillId="13055" borderId="0" xfId="0" applyFill="1"/>
    <xf numFmtId="0" fontId="0" fillId="13056" borderId="0" xfId="0" applyFill="1"/>
    <xf numFmtId="0" fontId="0" fillId="13057" borderId="0" xfId="0" applyFill="1"/>
    <xf numFmtId="0" fontId="0" fillId="13058" borderId="0" xfId="0" applyFill="1"/>
    <xf numFmtId="0" fontId="0" fillId="13059" borderId="0" xfId="0" applyFill="1"/>
    <xf numFmtId="0" fontId="0" fillId="13060" borderId="0" xfId="0" applyFill="1"/>
    <xf numFmtId="0" fontId="0" fillId="13061" borderId="0" xfId="0" applyFill="1"/>
    <xf numFmtId="0" fontId="0" fillId="13062" borderId="0" xfId="0" applyFill="1"/>
    <xf numFmtId="0" fontId="0" fillId="13063" borderId="0" xfId="0" applyFill="1"/>
    <xf numFmtId="0" fontId="0" fillId="13064" borderId="0" xfId="0" applyFill="1"/>
    <xf numFmtId="0" fontId="0" fillId="13065" borderId="0" xfId="0" applyFill="1"/>
    <xf numFmtId="0" fontId="0" fillId="13066" borderId="0" xfId="0" applyFill="1"/>
    <xf numFmtId="0" fontId="0" fillId="13067" borderId="0" xfId="0" applyFill="1"/>
    <xf numFmtId="0" fontId="0" fillId="13068" borderId="0" xfId="0" applyFill="1"/>
    <xf numFmtId="0" fontId="0" fillId="13069" borderId="0" xfId="0" applyFill="1"/>
    <xf numFmtId="0" fontId="0" fillId="13070" borderId="0" xfId="0" applyFill="1"/>
    <xf numFmtId="0" fontId="0" fillId="13071" borderId="0" xfId="0" applyFill="1"/>
    <xf numFmtId="0" fontId="0" fillId="13072" borderId="0" xfId="0" applyFill="1"/>
    <xf numFmtId="0" fontId="0" fillId="13073" borderId="0" xfId="0" applyFill="1"/>
    <xf numFmtId="0" fontId="0" fillId="13074" borderId="0" xfId="0" applyFill="1"/>
    <xf numFmtId="0" fontId="0" fillId="13075" borderId="0" xfId="0" applyFill="1"/>
    <xf numFmtId="0" fontId="0" fillId="13076" borderId="0" xfId="0" applyFill="1"/>
    <xf numFmtId="0" fontId="0" fillId="13077" borderId="0" xfId="0" applyFill="1"/>
    <xf numFmtId="0" fontId="0" fillId="13078" borderId="0" xfId="0" applyFill="1"/>
    <xf numFmtId="0" fontId="0" fillId="13079" borderId="0" xfId="0" applyFill="1"/>
    <xf numFmtId="0" fontId="0" fillId="13080" borderId="0" xfId="0" applyFill="1"/>
    <xf numFmtId="0" fontId="0" fillId="13081" borderId="0" xfId="0" applyFill="1"/>
    <xf numFmtId="0" fontId="0" fillId="13082" borderId="0" xfId="0" applyFill="1"/>
    <xf numFmtId="0" fontId="0" fillId="13083" borderId="0" xfId="0" applyFill="1"/>
    <xf numFmtId="0" fontId="0" fillId="13084" borderId="0" xfId="0" applyFill="1"/>
    <xf numFmtId="0" fontId="0" fillId="13085" borderId="0" xfId="0" applyFill="1"/>
    <xf numFmtId="0" fontId="0" fillId="13086" borderId="0" xfId="0" applyFill="1"/>
    <xf numFmtId="0" fontId="0" fillId="13087" borderId="0" xfId="0" applyFill="1"/>
    <xf numFmtId="0" fontId="0" fillId="13088" borderId="0" xfId="0" applyFill="1"/>
    <xf numFmtId="0" fontId="0" fillId="13089" borderId="0" xfId="0" applyFill="1"/>
    <xf numFmtId="0" fontId="0" fillId="13090" borderId="0" xfId="0" applyFill="1"/>
    <xf numFmtId="0" fontId="0" fillId="13091" borderId="0" xfId="0" applyFill="1"/>
    <xf numFmtId="0" fontId="0" fillId="13092" borderId="0" xfId="0" applyFill="1"/>
    <xf numFmtId="0" fontId="0" fillId="13093" borderId="0" xfId="0" applyFill="1"/>
    <xf numFmtId="0" fontId="0" fillId="13094" borderId="0" xfId="0" applyFill="1"/>
    <xf numFmtId="0" fontId="0" fillId="13095" borderId="0" xfId="0" applyFill="1"/>
    <xf numFmtId="0" fontId="0" fillId="13096" borderId="0" xfId="0" applyFill="1"/>
    <xf numFmtId="0" fontId="0" fillId="13097" borderId="0" xfId="0" applyFill="1"/>
    <xf numFmtId="0" fontId="0" fillId="13098" borderId="0" xfId="0" applyFill="1"/>
    <xf numFmtId="0" fontId="0" fillId="13099" borderId="0" xfId="0" applyFill="1"/>
    <xf numFmtId="0" fontId="0" fillId="13100" borderId="0" xfId="0" applyFill="1"/>
    <xf numFmtId="0" fontId="0" fillId="13101" borderId="0" xfId="0" applyFill="1"/>
    <xf numFmtId="0" fontId="0" fillId="13102" borderId="0" xfId="0" applyFill="1"/>
    <xf numFmtId="0" fontId="0" fillId="13103" borderId="0" xfId="0" applyFill="1"/>
    <xf numFmtId="0" fontId="0" fillId="13104" borderId="0" xfId="0" applyFill="1"/>
    <xf numFmtId="0" fontId="0" fillId="13105" borderId="0" xfId="0" applyFill="1"/>
    <xf numFmtId="0" fontId="0" fillId="13106" borderId="0" xfId="0" applyFill="1"/>
    <xf numFmtId="0" fontId="0" fillId="13107" borderId="0" xfId="0" applyFill="1"/>
    <xf numFmtId="0" fontId="0" fillId="13108" borderId="0" xfId="0" applyFill="1"/>
    <xf numFmtId="0" fontId="0" fillId="13109" borderId="0" xfId="0" applyFill="1"/>
    <xf numFmtId="0" fontId="0" fillId="13110" borderId="0" xfId="0" applyFill="1"/>
    <xf numFmtId="0" fontId="0" fillId="13111" borderId="0" xfId="0" applyFill="1"/>
    <xf numFmtId="0" fontId="0" fillId="13112" borderId="0" xfId="0" applyFill="1"/>
    <xf numFmtId="0" fontId="0" fillId="13113" borderId="0" xfId="0" applyFill="1"/>
    <xf numFmtId="0" fontId="0" fillId="13114" borderId="0" xfId="0" applyFill="1"/>
    <xf numFmtId="0" fontId="0" fillId="13115" borderId="0" xfId="0" applyFill="1"/>
    <xf numFmtId="0" fontId="0" fillId="13116" borderId="0" xfId="0" applyFill="1"/>
    <xf numFmtId="0" fontId="0" fillId="13117" borderId="0" xfId="0" applyFill="1"/>
    <xf numFmtId="0" fontId="0" fillId="13118" borderId="0" xfId="0" applyFill="1"/>
    <xf numFmtId="0" fontId="0" fillId="13119" borderId="0" xfId="0" applyFill="1"/>
    <xf numFmtId="0" fontId="0" fillId="13120" borderId="0" xfId="0" applyFill="1"/>
    <xf numFmtId="0" fontId="0" fillId="13121" borderId="0" xfId="0" applyFill="1"/>
    <xf numFmtId="0" fontId="0" fillId="13122" borderId="0" xfId="0" applyFill="1"/>
    <xf numFmtId="0" fontId="0" fillId="13123" borderId="0" xfId="0" applyFill="1"/>
    <xf numFmtId="0" fontId="0" fillId="13124" borderId="0" xfId="0" applyFill="1"/>
    <xf numFmtId="0" fontId="0" fillId="13125" borderId="0" xfId="0" applyFill="1"/>
    <xf numFmtId="0" fontId="0" fillId="13126" borderId="0" xfId="0" applyFill="1"/>
    <xf numFmtId="0" fontId="0" fillId="13127" borderId="0" xfId="0" applyFill="1"/>
    <xf numFmtId="0" fontId="0" fillId="13128" borderId="0" xfId="0" applyFill="1"/>
    <xf numFmtId="0" fontId="0" fillId="13129" borderId="0" xfId="0" applyFill="1"/>
    <xf numFmtId="0" fontId="0" fillId="13130" borderId="0" xfId="0" applyFill="1"/>
    <xf numFmtId="0" fontId="0" fillId="13131" borderId="0" xfId="0" applyFill="1"/>
    <xf numFmtId="0" fontId="0" fillId="13132" borderId="0" xfId="0" applyFill="1"/>
    <xf numFmtId="0" fontId="0" fillId="13133" borderId="0" xfId="0" applyFill="1"/>
    <xf numFmtId="0" fontId="0" fillId="13134" borderId="0" xfId="0" applyFill="1"/>
    <xf numFmtId="0" fontId="0" fillId="13135" borderId="0" xfId="0" applyFill="1"/>
    <xf numFmtId="0" fontId="0" fillId="13136" borderId="0" xfId="0" applyFill="1"/>
    <xf numFmtId="0" fontId="0" fillId="13137" borderId="0" xfId="0" applyFill="1"/>
    <xf numFmtId="0" fontId="0" fillId="13138" borderId="0" xfId="0" applyFill="1"/>
    <xf numFmtId="0" fontId="0" fillId="13139" borderId="0" xfId="0" applyFill="1"/>
    <xf numFmtId="0" fontId="0" fillId="13140" borderId="0" xfId="0" applyFill="1"/>
    <xf numFmtId="0" fontId="0" fillId="13141" borderId="0" xfId="0" applyFill="1"/>
    <xf numFmtId="0" fontId="0" fillId="13142" borderId="0" xfId="0" applyFill="1"/>
    <xf numFmtId="0" fontId="0" fillId="13143" borderId="0" xfId="0" applyFill="1"/>
    <xf numFmtId="0" fontId="0" fillId="13144" borderId="0" xfId="0" applyFill="1"/>
    <xf numFmtId="0" fontId="0" fillId="13145" borderId="0" xfId="0" applyFill="1"/>
    <xf numFmtId="0" fontId="0" fillId="13146" borderId="0" xfId="0" applyFill="1"/>
    <xf numFmtId="0" fontId="0" fillId="13147" borderId="0" xfId="0" applyFill="1"/>
    <xf numFmtId="0" fontId="0" fillId="13148" borderId="0" xfId="0" applyFill="1"/>
    <xf numFmtId="0" fontId="0" fillId="13149" borderId="0" xfId="0" applyFill="1"/>
    <xf numFmtId="0" fontId="0" fillId="13150" borderId="0" xfId="0" applyFill="1"/>
    <xf numFmtId="0" fontId="0" fillId="13151" borderId="0" xfId="0" applyFill="1"/>
    <xf numFmtId="0" fontId="0" fillId="13152" borderId="0" xfId="0" applyFill="1"/>
    <xf numFmtId="0" fontId="0" fillId="13153" borderId="0" xfId="0" applyFill="1"/>
    <xf numFmtId="0" fontId="0" fillId="13154" borderId="0" xfId="0" applyFill="1"/>
    <xf numFmtId="0" fontId="0" fillId="13155" borderId="0" xfId="0" applyFill="1"/>
    <xf numFmtId="0" fontId="0" fillId="13156" borderId="0" xfId="0" applyFill="1"/>
    <xf numFmtId="0" fontId="0" fillId="13157" borderId="0" xfId="0" applyFill="1"/>
    <xf numFmtId="0" fontId="0" fillId="13158" borderId="0" xfId="0" applyFill="1"/>
    <xf numFmtId="0" fontId="0" fillId="13159" borderId="0" xfId="0" applyFill="1"/>
    <xf numFmtId="0" fontId="0" fillId="13160" borderId="0" xfId="0" applyFill="1"/>
    <xf numFmtId="0" fontId="0" fillId="13161" borderId="0" xfId="0" applyFill="1"/>
    <xf numFmtId="0" fontId="0" fillId="13162" borderId="0" xfId="0" applyFill="1"/>
    <xf numFmtId="0" fontId="0" fillId="13163" borderId="0" xfId="0" applyFill="1"/>
    <xf numFmtId="0" fontId="0" fillId="13164" borderId="0" xfId="0" applyFill="1"/>
    <xf numFmtId="0" fontId="0" fillId="13165" borderId="0" xfId="0" applyFill="1"/>
    <xf numFmtId="0" fontId="0" fillId="13166" borderId="0" xfId="0" applyFill="1"/>
    <xf numFmtId="0" fontId="0" fillId="13167" borderId="0" xfId="0" applyFill="1"/>
    <xf numFmtId="0" fontId="0" fillId="13168" borderId="0" xfId="0" applyFill="1"/>
    <xf numFmtId="0" fontId="0" fillId="13169" borderId="0" xfId="0" applyFill="1"/>
    <xf numFmtId="0" fontId="0" fillId="13170" borderId="0" xfId="0" applyFill="1"/>
    <xf numFmtId="0" fontId="0" fillId="13171" borderId="0" xfId="0" applyFill="1"/>
    <xf numFmtId="0" fontId="0" fillId="13172" borderId="0" xfId="0" applyFill="1"/>
    <xf numFmtId="0" fontId="0" fillId="13173" borderId="0" xfId="0" applyFill="1"/>
    <xf numFmtId="0" fontId="0" fillId="13174" borderId="0" xfId="0" applyFill="1"/>
    <xf numFmtId="0" fontId="0" fillId="13175" borderId="0" xfId="0" applyFill="1"/>
    <xf numFmtId="0" fontId="0" fillId="13176" borderId="0" xfId="0" applyFill="1"/>
    <xf numFmtId="0" fontId="0" fillId="13177" borderId="0" xfId="0" applyFill="1"/>
    <xf numFmtId="0" fontId="0" fillId="13178" borderId="0" xfId="0" applyFill="1"/>
    <xf numFmtId="0" fontId="0" fillId="13179" borderId="0" xfId="0" applyFill="1"/>
    <xf numFmtId="0" fontId="0" fillId="13180" borderId="0" xfId="0" applyFill="1"/>
    <xf numFmtId="0" fontId="0" fillId="13181" borderId="0" xfId="0" applyFill="1"/>
    <xf numFmtId="0" fontId="0" fillId="13182" borderId="0" xfId="0" applyFill="1"/>
    <xf numFmtId="0" fontId="0" fillId="13183" borderId="0" xfId="0" applyFill="1"/>
    <xf numFmtId="0" fontId="0" fillId="13184" borderId="0" xfId="0" applyFill="1"/>
    <xf numFmtId="0" fontId="0" fillId="13185" borderId="0" xfId="0" applyFill="1"/>
    <xf numFmtId="0" fontId="0" fillId="13186" borderId="0" xfId="0" applyFill="1"/>
    <xf numFmtId="0" fontId="0" fillId="13187" borderId="0" xfId="0" applyFill="1"/>
    <xf numFmtId="0" fontId="0" fillId="13188" borderId="0" xfId="0" applyFill="1"/>
    <xf numFmtId="0" fontId="0" fillId="13189" borderId="0" xfId="0" applyFill="1"/>
    <xf numFmtId="0" fontId="0" fillId="13190" borderId="0" xfId="0" applyFill="1"/>
    <xf numFmtId="0" fontId="0" fillId="13191" borderId="0" xfId="0" applyFill="1"/>
    <xf numFmtId="0" fontId="0" fillId="13192" borderId="0" xfId="0" applyFill="1"/>
    <xf numFmtId="0" fontId="0" fillId="13193" borderId="0" xfId="0" applyFill="1"/>
    <xf numFmtId="0" fontId="0" fillId="13194" borderId="0" xfId="0" applyFill="1"/>
    <xf numFmtId="0" fontId="0" fillId="13195" borderId="0" xfId="0" applyFill="1"/>
    <xf numFmtId="0" fontId="0" fillId="13196" borderId="0" xfId="0" applyFill="1"/>
    <xf numFmtId="0" fontId="0" fillId="13197" borderId="0" xfId="0" applyFill="1"/>
    <xf numFmtId="0" fontId="0" fillId="13198" borderId="0" xfId="0" applyFill="1"/>
    <xf numFmtId="0" fontId="0" fillId="13199" borderId="0" xfId="0" applyFill="1"/>
    <xf numFmtId="0" fontId="0" fillId="13200" borderId="0" xfId="0" applyFill="1"/>
    <xf numFmtId="0" fontId="0" fillId="13201" borderId="0" xfId="0" applyFill="1"/>
    <xf numFmtId="0" fontId="0" fillId="13202" borderId="0" xfId="0" applyFill="1"/>
    <xf numFmtId="0" fontId="0" fillId="13203" borderId="0" xfId="0" applyFill="1"/>
    <xf numFmtId="0" fontId="0" fillId="13204" borderId="0" xfId="0" applyFill="1"/>
    <xf numFmtId="0" fontId="0" fillId="13205" borderId="0" xfId="0" applyFill="1"/>
    <xf numFmtId="0" fontId="0" fillId="13206" borderId="0" xfId="0" applyFill="1"/>
    <xf numFmtId="0" fontId="0" fillId="13207" borderId="0" xfId="0" applyFill="1"/>
    <xf numFmtId="0" fontId="0" fillId="13208" borderId="0" xfId="0" applyFill="1"/>
    <xf numFmtId="0" fontId="0" fillId="13209" borderId="0" xfId="0" applyFill="1"/>
    <xf numFmtId="0" fontId="0" fillId="13210" borderId="0" xfId="0" applyFill="1"/>
    <xf numFmtId="0" fontId="0" fillId="13211" borderId="0" xfId="0" applyFill="1"/>
    <xf numFmtId="0" fontId="0" fillId="13212" borderId="0" xfId="0" applyFill="1"/>
    <xf numFmtId="0" fontId="0" fillId="13213" borderId="0" xfId="0" applyFill="1"/>
    <xf numFmtId="0" fontId="0" fillId="13214" borderId="0" xfId="0" applyFill="1"/>
    <xf numFmtId="0" fontId="0" fillId="13215" borderId="0" xfId="0" applyFill="1"/>
    <xf numFmtId="0" fontId="0" fillId="13216" borderId="0" xfId="0" applyFill="1"/>
    <xf numFmtId="0" fontId="0" fillId="13217" borderId="0" xfId="0" applyFill="1"/>
    <xf numFmtId="0" fontId="0" fillId="13218" borderId="0" xfId="0" applyFill="1"/>
    <xf numFmtId="0" fontId="0" fillId="13219" borderId="0" xfId="0" applyFill="1"/>
    <xf numFmtId="0" fontId="0" fillId="13220" borderId="0" xfId="0" applyFill="1"/>
    <xf numFmtId="0" fontId="0" fillId="13221" borderId="0" xfId="0" applyFill="1"/>
    <xf numFmtId="0" fontId="0" fillId="13222" borderId="0" xfId="0" applyFill="1"/>
    <xf numFmtId="0" fontId="0" fillId="13223" borderId="0" xfId="0" applyFill="1"/>
    <xf numFmtId="0" fontId="0" fillId="13224" borderId="0" xfId="0" applyFill="1"/>
    <xf numFmtId="0" fontId="0" fillId="13225" borderId="0" xfId="0" applyFill="1"/>
    <xf numFmtId="0" fontId="0" fillId="13226" borderId="0" xfId="0" applyFill="1"/>
    <xf numFmtId="0" fontId="0" fillId="13227" borderId="0" xfId="0" applyFill="1"/>
    <xf numFmtId="0" fontId="0" fillId="13228" borderId="0" xfId="0" applyFill="1"/>
    <xf numFmtId="0" fontId="0" fillId="13229" borderId="0" xfId="0" applyFill="1"/>
    <xf numFmtId="0" fontId="0" fillId="13230" borderId="0" xfId="0" applyFill="1"/>
    <xf numFmtId="0" fontId="0" fillId="13231" borderId="0" xfId="0" applyFill="1"/>
    <xf numFmtId="0" fontId="0" fillId="13232" borderId="0" xfId="0" applyFill="1"/>
    <xf numFmtId="0" fontId="0" fillId="13233" borderId="0" xfId="0" applyFill="1"/>
    <xf numFmtId="0" fontId="0" fillId="13234" borderId="0" xfId="0" applyFill="1"/>
    <xf numFmtId="0" fontId="0" fillId="13235" borderId="0" xfId="0" applyFill="1"/>
    <xf numFmtId="0" fontId="0" fillId="13236" borderId="0" xfId="0" applyFill="1"/>
    <xf numFmtId="0" fontId="0" fillId="13237" borderId="0" xfId="0" applyFill="1"/>
    <xf numFmtId="0" fontId="0" fillId="13238" borderId="0" xfId="0" applyFill="1"/>
    <xf numFmtId="0" fontId="0" fillId="13239" borderId="0" xfId="0" applyFill="1"/>
    <xf numFmtId="0" fontId="0" fillId="13240" borderId="0" xfId="0" applyFill="1"/>
    <xf numFmtId="0" fontId="0" fillId="13241" borderId="0" xfId="0" applyFill="1"/>
    <xf numFmtId="0" fontId="0" fillId="13242" borderId="0" xfId="0" applyFill="1"/>
    <xf numFmtId="0" fontId="0" fillId="13243" borderId="0" xfId="0" applyFill="1"/>
    <xf numFmtId="0" fontId="0" fillId="13244" borderId="0" xfId="0" applyFill="1"/>
    <xf numFmtId="0" fontId="0" fillId="13245" borderId="0" xfId="0" applyFill="1"/>
    <xf numFmtId="0" fontId="0" fillId="13246" borderId="0" xfId="0" applyFill="1"/>
    <xf numFmtId="0" fontId="0" fillId="13247" borderId="0" xfId="0" applyFill="1"/>
    <xf numFmtId="0" fontId="0" fillId="13248" borderId="0" xfId="0" applyFill="1"/>
    <xf numFmtId="0" fontId="0" fillId="13249" borderId="0" xfId="0" applyFill="1"/>
    <xf numFmtId="0" fontId="0" fillId="13250" borderId="0" xfId="0" applyFill="1"/>
    <xf numFmtId="0" fontId="0" fillId="13251" borderId="0" xfId="0" applyFill="1"/>
    <xf numFmtId="0" fontId="0" fillId="13252" borderId="0" xfId="0" applyFill="1"/>
    <xf numFmtId="0" fontId="0" fillId="13253" borderId="0" xfId="0" applyFill="1"/>
    <xf numFmtId="0" fontId="0" fillId="13254" borderId="0" xfId="0" applyFill="1"/>
    <xf numFmtId="0" fontId="0" fillId="13255" borderId="0" xfId="0" applyFill="1"/>
    <xf numFmtId="0" fontId="0" fillId="13256" borderId="0" xfId="0" applyFill="1"/>
    <xf numFmtId="0" fontId="0" fillId="13257" borderId="0" xfId="0" applyFill="1"/>
    <xf numFmtId="0" fontId="0" fillId="13258" borderId="0" xfId="0" applyFill="1"/>
    <xf numFmtId="0" fontId="0" fillId="13259" borderId="0" xfId="0" applyFill="1"/>
    <xf numFmtId="0" fontId="0" fillId="13260" borderId="0" xfId="0" applyFill="1"/>
    <xf numFmtId="0" fontId="0" fillId="13261" borderId="0" xfId="0" applyFill="1"/>
    <xf numFmtId="0" fontId="0" fillId="13262" borderId="0" xfId="0" applyFill="1"/>
    <xf numFmtId="0" fontId="0" fillId="13263" borderId="0" xfId="0" applyFill="1"/>
    <xf numFmtId="0" fontId="0" fillId="13264" borderId="0" xfId="0" applyFill="1"/>
    <xf numFmtId="0" fontId="0" fillId="13265" borderId="0" xfId="0" applyFill="1"/>
    <xf numFmtId="0" fontId="0" fillId="13266" borderId="0" xfId="0" applyFill="1"/>
    <xf numFmtId="0" fontId="0" fillId="13267" borderId="0" xfId="0" applyFill="1"/>
    <xf numFmtId="0" fontId="0" fillId="13268" borderId="0" xfId="0" applyFill="1"/>
    <xf numFmtId="0" fontId="0" fillId="13269" borderId="0" xfId="0" applyFill="1"/>
    <xf numFmtId="0" fontId="0" fillId="13270" borderId="0" xfId="0" applyFill="1"/>
    <xf numFmtId="0" fontId="0" fillId="13271" borderId="0" xfId="0" applyFill="1"/>
    <xf numFmtId="0" fontId="0" fillId="13272" borderId="0" xfId="0" applyFill="1"/>
    <xf numFmtId="0" fontId="0" fillId="13273" borderId="0" xfId="0" applyFill="1"/>
    <xf numFmtId="0" fontId="0" fillId="13274" borderId="0" xfId="0" applyFill="1"/>
    <xf numFmtId="0" fontId="0" fillId="13275" borderId="0" xfId="0" applyFill="1"/>
    <xf numFmtId="0" fontId="0" fillId="13276" borderId="0" xfId="0" applyFill="1"/>
    <xf numFmtId="0" fontId="0" fillId="13277" borderId="0" xfId="0" applyFill="1"/>
    <xf numFmtId="0" fontId="0" fillId="13278" borderId="0" xfId="0" applyFill="1"/>
    <xf numFmtId="0" fontId="0" fillId="13279" borderId="0" xfId="0" applyFill="1"/>
    <xf numFmtId="0" fontId="0" fillId="13280" borderId="0" xfId="0" applyFill="1"/>
    <xf numFmtId="0" fontId="0" fillId="13281" borderId="0" xfId="0" applyFill="1"/>
    <xf numFmtId="0" fontId="0" fillId="13282" borderId="0" xfId="0" applyFill="1"/>
    <xf numFmtId="0" fontId="0" fillId="13283" borderId="0" xfId="0" applyFill="1"/>
    <xf numFmtId="0" fontId="0" fillId="13284" borderId="0" xfId="0" applyFill="1"/>
    <xf numFmtId="0" fontId="0" fillId="13285" borderId="0" xfId="0" applyFill="1"/>
    <xf numFmtId="0" fontId="0" fillId="13286" borderId="0" xfId="0" applyFill="1"/>
    <xf numFmtId="0" fontId="0" fillId="13287" borderId="0" xfId="0" applyFill="1"/>
    <xf numFmtId="0" fontId="0" fillId="13288" borderId="0" xfId="0" applyFill="1"/>
    <xf numFmtId="0" fontId="0" fillId="13289" borderId="0" xfId="0" applyFill="1"/>
    <xf numFmtId="0" fontId="0" fillId="13290" borderId="0" xfId="0" applyFill="1"/>
    <xf numFmtId="0" fontId="0" fillId="13291" borderId="0" xfId="0" applyFill="1"/>
    <xf numFmtId="0" fontId="0" fillId="13292" borderId="0" xfId="0" applyFill="1"/>
    <xf numFmtId="0" fontId="0" fillId="13293" borderId="0" xfId="0" applyFill="1"/>
    <xf numFmtId="0" fontId="0" fillId="13294" borderId="0" xfId="0" applyFill="1"/>
    <xf numFmtId="0" fontId="0" fillId="13295" borderId="0" xfId="0" applyFill="1"/>
    <xf numFmtId="0" fontId="0" fillId="13296" borderId="0" xfId="0" applyFill="1"/>
    <xf numFmtId="0" fontId="0" fillId="13297" borderId="0" xfId="0" applyFill="1"/>
    <xf numFmtId="0" fontId="0" fillId="13298" borderId="0" xfId="0" applyFill="1"/>
    <xf numFmtId="0" fontId="0" fillId="13299" borderId="0" xfId="0" applyFill="1"/>
    <xf numFmtId="0" fontId="0" fillId="13300" borderId="0" xfId="0" applyFill="1"/>
    <xf numFmtId="0" fontId="0" fillId="13301" borderId="0" xfId="0" applyFill="1"/>
    <xf numFmtId="0" fontId="0" fillId="13302" borderId="0" xfId="0" applyFill="1"/>
    <xf numFmtId="0" fontId="0" fillId="13303" borderId="0" xfId="0" applyFill="1"/>
    <xf numFmtId="0" fontId="0" fillId="13304" borderId="0" xfId="0" applyFill="1"/>
    <xf numFmtId="0" fontId="0" fillId="13305" borderId="0" xfId="0" applyFill="1"/>
    <xf numFmtId="0" fontId="0" fillId="13306" borderId="0" xfId="0" applyFill="1"/>
    <xf numFmtId="0" fontId="0" fillId="13307" borderId="0" xfId="0" applyFill="1"/>
    <xf numFmtId="0" fontId="0" fillId="13308" borderId="0" xfId="0" applyFill="1"/>
    <xf numFmtId="0" fontId="0" fillId="13309" borderId="0" xfId="0" applyFill="1"/>
    <xf numFmtId="0" fontId="0" fillId="13310" borderId="0" xfId="0" applyFill="1"/>
    <xf numFmtId="0" fontId="0" fillId="13311" borderId="0" xfId="0" applyFill="1"/>
    <xf numFmtId="0" fontId="0" fillId="13312" borderId="0" xfId="0" applyFill="1"/>
    <xf numFmtId="0" fontId="0" fillId="13313" borderId="0" xfId="0" applyFill="1"/>
    <xf numFmtId="0" fontId="0" fillId="13314" borderId="0" xfId="0" applyFill="1"/>
    <xf numFmtId="0" fontId="0" fillId="13315" borderId="0" xfId="0" applyFill="1"/>
    <xf numFmtId="0" fontId="0" fillId="13316" borderId="0" xfId="0" applyFill="1"/>
    <xf numFmtId="0" fontId="0" fillId="13317" borderId="0" xfId="0" applyFill="1"/>
    <xf numFmtId="0" fontId="0" fillId="13318" borderId="0" xfId="0" applyFill="1"/>
    <xf numFmtId="0" fontId="0" fillId="13319" borderId="0" xfId="0" applyFill="1"/>
    <xf numFmtId="0" fontId="0" fillId="13320" borderId="0" xfId="0" applyFill="1"/>
    <xf numFmtId="0" fontId="0" fillId="13321" borderId="0" xfId="0" applyFill="1"/>
    <xf numFmtId="0" fontId="0" fillId="13322" borderId="0" xfId="0" applyFill="1"/>
    <xf numFmtId="0" fontId="0" fillId="13323" borderId="0" xfId="0" applyFill="1"/>
    <xf numFmtId="0" fontId="0" fillId="13324" borderId="0" xfId="0" applyFill="1"/>
    <xf numFmtId="0" fontId="0" fillId="13325" borderId="0" xfId="0" applyFill="1"/>
    <xf numFmtId="0" fontId="0" fillId="13326" borderId="0" xfId="0" applyFill="1"/>
    <xf numFmtId="0" fontId="0" fillId="13327" borderId="0" xfId="0" applyFill="1"/>
    <xf numFmtId="0" fontId="0" fillId="13328" borderId="0" xfId="0" applyFill="1"/>
    <xf numFmtId="0" fontId="0" fillId="13329" borderId="0" xfId="0" applyFill="1"/>
    <xf numFmtId="0" fontId="0" fillId="13330" borderId="0" xfId="0" applyFill="1"/>
    <xf numFmtId="0" fontId="0" fillId="13331" borderId="0" xfId="0" applyFill="1"/>
    <xf numFmtId="0" fontId="0" fillId="13332" borderId="0" xfId="0" applyFill="1"/>
    <xf numFmtId="0" fontId="0" fillId="13333" borderId="0" xfId="0" applyFill="1"/>
    <xf numFmtId="0" fontId="0" fillId="13334" borderId="0" xfId="0" applyFill="1"/>
    <xf numFmtId="0" fontId="0" fillId="13335" borderId="0" xfId="0" applyFill="1"/>
    <xf numFmtId="0" fontId="0" fillId="13336" borderId="0" xfId="0" applyFill="1"/>
    <xf numFmtId="0" fontId="0" fillId="13337" borderId="0" xfId="0" applyFill="1"/>
    <xf numFmtId="0" fontId="0" fillId="13338" borderId="0" xfId="0" applyFill="1"/>
    <xf numFmtId="0" fontId="0" fillId="13339" borderId="0" xfId="0" applyFill="1"/>
    <xf numFmtId="0" fontId="0" fillId="13340" borderId="0" xfId="0" applyFill="1"/>
    <xf numFmtId="0" fontId="0" fillId="13341" borderId="0" xfId="0" applyFill="1"/>
    <xf numFmtId="0" fontId="0" fillId="13342" borderId="0" xfId="0" applyFill="1"/>
    <xf numFmtId="0" fontId="0" fillId="13343" borderId="0" xfId="0" applyFill="1"/>
    <xf numFmtId="0" fontId="0" fillId="13344" borderId="0" xfId="0" applyFill="1"/>
    <xf numFmtId="0" fontId="0" fillId="13345" borderId="0" xfId="0" applyFill="1"/>
    <xf numFmtId="0" fontId="0" fillId="13346" borderId="0" xfId="0" applyFill="1"/>
    <xf numFmtId="0" fontId="0" fillId="13347" borderId="0" xfId="0" applyFill="1"/>
    <xf numFmtId="0" fontId="0" fillId="13348" borderId="0" xfId="0" applyFill="1"/>
    <xf numFmtId="0" fontId="0" fillId="13349" borderId="0" xfId="0" applyFill="1"/>
    <xf numFmtId="0" fontId="0" fillId="13350" borderId="0" xfId="0" applyFill="1"/>
    <xf numFmtId="0" fontId="0" fillId="13351" borderId="0" xfId="0" applyFill="1"/>
    <xf numFmtId="0" fontId="0" fillId="13352" borderId="0" xfId="0" applyFill="1"/>
    <xf numFmtId="0" fontId="0" fillId="13353" borderId="0" xfId="0" applyFill="1"/>
    <xf numFmtId="0" fontId="0" fillId="13354" borderId="0" xfId="0" applyFill="1"/>
    <xf numFmtId="0" fontId="0" fillId="13355" borderId="0" xfId="0" applyFill="1"/>
    <xf numFmtId="0" fontId="0" fillId="13356" borderId="0" xfId="0" applyFill="1"/>
    <xf numFmtId="0" fontId="0" fillId="13357" borderId="0" xfId="0" applyFill="1"/>
    <xf numFmtId="0" fontId="0" fillId="13358" borderId="0" xfId="0" applyFill="1"/>
    <xf numFmtId="0" fontId="0" fillId="13359" borderId="0" xfId="0" applyFill="1"/>
    <xf numFmtId="0" fontId="0" fillId="13360" borderId="0" xfId="0" applyFill="1"/>
    <xf numFmtId="0" fontId="0" fillId="13361" borderId="0" xfId="0" applyFill="1"/>
    <xf numFmtId="0" fontId="0" fillId="13362" borderId="0" xfId="0" applyFill="1"/>
    <xf numFmtId="0" fontId="0" fillId="13363" borderId="0" xfId="0" applyFill="1"/>
    <xf numFmtId="0" fontId="0" fillId="13364" borderId="0" xfId="0" applyFill="1"/>
    <xf numFmtId="0" fontId="0" fillId="13365" borderId="0" xfId="0" applyFill="1"/>
    <xf numFmtId="0" fontId="0" fillId="13366" borderId="0" xfId="0" applyFill="1"/>
    <xf numFmtId="0" fontId="0" fillId="13367" borderId="0" xfId="0" applyFill="1"/>
    <xf numFmtId="0" fontId="0" fillId="13368" borderId="0" xfId="0" applyFill="1"/>
    <xf numFmtId="0" fontId="0" fillId="13369" borderId="0" xfId="0" applyFill="1"/>
    <xf numFmtId="0" fontId="0" fillId="13370" borderId="0" xfId="0" applyFill="1"/>
    <xf numFmtId="0" fontId="0" fillId="13371" borderId="0" xfId="0" applyFill="1"/>
    <xf numFmtId="0" fontId="0" fillId="13372" borderId="0" xfId="0" applyFill="1"/>
    <xf numFmtId="0" fontId="0" fillId="13373" borderId="0" xfId="0" applyFill="1"/>
    <xf numFmtId="0" fontId="0" fillId="13374" borderId="0" xfId="0" applyFill="1"/>
    <xf numFmtId="0" fontId="0" fillId="13375" borderId="0" xfId="0" applyFill="1"/>
    <xf numFmtId="0" fontId="0" fillId="13376" borderId="0" xfId="0" applyFill="1"/>
    <xf numFmtId="0" fontId="0" fillId="13377" borderId="0" xfId="0" applyFill="1"/>
    <xf numFmtId="0" fontId="0" fillId="13378" borderId="0" xfId="0" applyFill="1"/>
    <xf numFmtId="0" fontId="0" fillId="13379" borderId="0" xfId="0" applyFill="1"/>
    <xf numFmtId="0" fontId="0" fillId="13380" borderId="0" xfId="0" applyFill="1"/>
    <xf numFmtId="0" fontId="0" fillId="13381" borderId="0" xfId="0" applyFill="1"/>
    <xf numFmtId="0" fontId="0" fillId="13382" borderId="0" xfId="0" applyFill="1"/>
    <xf numFmtId="0" fontId="0" fillId="13383" borderId="0" xfId="0" applyFill="1"/>
    <xf numFmtId="0" fontId="0" fillId="13384" borderId="0" xfId="0" applyFill="1"/>
    <xf numFmtId="0" fontId="0" fillId="13385" borderId="0" xfId="0" applyFill="1"/>
    <xf numFmtId="0" fontId="0" fillId="13386" borderId="0" xfId="0" applyFill="1"/>
    <xf numFmtId="0" fontId="0" fillId="13387" borderId="0" xfId="0" applyFill="1"/>
    <xf numFmtId="0" fontId="0" fillId="13388" borderId="0" xfId="0" applyFill="1"/>
    <xf numFmtId="0" fontId="0" fillId="13389" borderId="0" xfId="0" applyFill="1"/>
    <xf numFmtId="0" fontId="0" fillId="13390" borderId="0" xfId="0" applyFill="1"/>
    <xf numFmtId="0" fontId="0" fillId="13391" borderId="0" xfId="0" applyFill="1"/>
    <xf numFmtId="0" fontId="0" fillId="13392" borderId="0" xfId="0" applyFill="1"/>
    <xf numFmtId="0" fontId="0" fillId="13393" borderId="0" xfId="0" applyFill="1"/>
    <xf numFmtId="0" fontId="0" fillId="13394" borderId="0" xfId="0" applyFill="1"/>
    <xf numFmtId="0" fontId="0" fillId="13395" borderId="0" xfId="0" applyFill="1"/>
    <xf numFmtId="0" fontId="0" fillId="13396" borderId="0" xfId="0" applyFill="1"/>
    <xf numFmtId="0" fontId="0" fillId="13397" borderId="0" xfId="0" applyFill="1"/>
    <xf numFmtId="0" fontId="0" fillId="13398" borderId="0" xfId="0" applyFill="1"/>
    <xf numFmtId="0" fontId="0" fillId="13399" borderId="0" xfId="0" applyFill="1"/>
    <xf numFmtId="0" fontId="0" fillId="13400" borderId="0" xfId="0" applyFill="1"/>
    <xf numFmtId="0" fontId="0" fillId="13401" borderId="0" xfId="0" applyFill="1"/>
    <xf numFmtId="0" fontId="0" fillId="13402" borderId="0" xfId="0" applyFill="1"/>
    <xf numFmtId="0" fontId="0" fillId="13403" borderId="0" xfId="0" applyFill="1"/>
    <xf numFmtId="0" fontId="0" fillId="13404" borderId="0" xfId="0" applyFill="1"/>
    <xf numFmtId="0" fontId="0" fillId="13405" borderId="0" xfId="0" applyFill="1"/>
    <xf numFmtId="0" fontId="0" fillId="13406" borderId="0" xfId="0" applyFill="1"/>
    <xf numFmtId="0" fontId="0" fillId="13407" borderId="0" xfId="0" applyFill="1"/>
    <xf numFmtId="0" fontId="0" fillId="13408" borderId="0" xfId="0" applyFill="1"/>
    <xf numFmtId="0" fontId="0" fillId="13409" borderId="0" xfId="0" applyFill="1"/>
    <xf numFmtId="0" fontId="0" fillId="13410" borderId="0" xfId="0" applyFill="1"/>
    <xf numFmtId="0" fontId="0" fillId="13411" borderId="0" xfId="0" applyFill="1"/>
    <xf numFmtId="0" fontId="0" fillId="13412" borderId="0" xfId="0" applyFill="1"/>
    <xf numFmtId="0" fontId="0" fillId="13413" borderId="0" xfId="0" applyFill="1"/>
    <xf numFmtId="0" fontId="0" fillId="13414" borderId="0" xfId="0" applyFill="1"/>
    <xf numFmtId="0" fontId="0" fillId="13415" borderId="0" xfId="0" applyFill="1"/>
    <xf numFmtId="0" fontId="0" fillId="13416" borderId="0" xfId="0" applyFill="1"/>
    <xf numFmtId="0" fontId="0" fillId="13417" borderId="0" xfId="0" applyFill="1"/>
    <xf numFmtId="0" fontId="0" fillId="13418" borderId="0" xfId="0" applyFill="1"/>
    <xf numFmtId="0" fontId="0" fillId="13419" borderId="0" xfId="0" applyFill="1"/>
    <xf numFmtId="0" fontId="0" fillId="13420" borderId="0" xfId="0" applyFill="1"/>
    <xf numFmtId="0" fontId="0" fillId="13421" borderId="0" xfId="0" applyFill="1"/>
    <xf numFmtId="0" fontId="0" fillId="13422" borderId="0" xfId="0" applyFill="1"/>
    <xf numFmtId="0" fontId="0" fillId="13423" borderId="0" xfId="0" applyFill="1"/>
    <xf numFmtId="0" fontId="0" fillId="13424" borderId="0" xfId="0" applyFill="1"/>
    <xf numFmtId="0" fontId="0" fillId="13425" borderId="0" xfId="0" applyFill="1"/>
    <xf numFmtId="0" fontId="0" fillId="13426" borderId="0" xfId="0" applyFill="1"/>
    <xf numFmtId="0" fontId="0" fillId="13427" borderId="0" xfId="0" applyFill="1"/>
    <xf numFmtId="0" fontId="0" fillId="13428" borderId="0" xfId="0" applyFill="1"/>
    <xf numFmtId="0" fontId="0" fillId="13429" borderId="0" xfId="0" applyFill="1"/>
    <xf numFmtId="0" fontId="0" fillId="13430" borderId="0" xfId="0" applyFill="1"/>
    <xf numFmtId="0" fontId="0" fillId="13431" borderId="0" xfId="0" applyFill="1"/>
    <xf numFmtId="0" fontId="0" fillId="13432" borderId="0" xfId="0" applyFill="1"/>
    <xf numFmtId="0" fontId="0" fillId="13433" borderId="0" xfId="0" applyFill="1"/>
    <xf numFmtId="0" fontId="0" fillId="13434" borderId="0" xfId="0" applyFill="1"/>
    <xf numFmtId="0" fontId="0" fillId="13435" borderId="0" xfId="0" applyFill="1"/>
    <xf numFmtId="0" fontId="0" fillId="13436" borderId="0" xfId="0" applyFill="1"/>
    <xf numFmtId="0" fontId="0" fillId="13437" borderId="0" xfId="0" applyFill="1"/>
    <xf numFmtId="0" fontId="0" fillId="13438" borderId="0" xfId="0" applyFill="1"/>
    <xf numFmtId="0" fontId="0" fillId="13439" borderId="0" xfId="0" applyFill="1"/>
    <xf numFmtId="0" fontId="0" fillId="13440" borderId="0" xfId="0" applyFill="1"/>
    <xf numFmtId="0" fontId="0" fillId="13441" borderId="0" xfId="0" applyFill="1"/>
    <xf numFmtId="0" fontId="0" fillId="13442" borderId="0" xfId="0" applyFill="1"/>
    <xf numFmtId="0" fontId="0" fillId="13443" borderId="0" xfId="0" applyFill="1"/>
    <xf numFmtId="0" fontId="0" fillId="13444" borderId="0" xfId="0" applyFill="1"/>
    <xf numFmtId="0" fontId="0" fillId="13445" borderId="0" xfId="0" applyFill="1"/>
    <xf numFmtId="0" fontId="0" fillId="13446" borderId="0" xfId="0" applyFill="1"/>
    <xf numFmtId="0" fontId="0" fillId="13447" borderId="0" xfId="0" applyFill="1"/>
    <xf numFmtId="0" fontId="0" fillId="13448" borderId="0" xfId="0" applyFill="1"/>
    <xf numFmtId="0" fontId="0" fillId="13449" borderId="0" xfId="0" applyFill="1"/>
    <xf numFmtId="0" fontId="0" fillId="13450" borderId="0" xfId="0" applyFill="1"/>
    <xf numFmtId="0" fontId="0" fillId="13451" borderId="0" xfId="0" applyFill="1"/>
    <xf numFmtId="0" fontId="0" fillId="13452" borderId="0" xfId="0" applyFill="1"/>
    <xf numFmtId="0" fontId="0" fillId="13453" borderId="0" xfId="0" applyFill="1"/>
    <xf numFmtId="0" fontId="0" fillId="13454" borderId="0" xfId="0" applyFill="1"/>
    <xf numFmtId="0" fontId="0" fillId="13455" borderId="0" xfId="0" applyFill="1"/>
    <xf numFmtId="0" fontId="0" fillId="13456" borderId="0" xfId="0" applyFill="1"/>
    <xf numFmtId="0" fontId="0" fillId="13457" borderId="0" xfId="0" applyFill="1"/>
    <xf numFmtId="0" fontId="0" fillId="13458" borderId="0" xfId="0" applyFill="1"/>
    <xf numFmtId="0" fontId="0" fillId="13459" borderId="0" xfId="0" applyFill="1"/>
    <xf numFmtId="0" fontId="0" fillId="13460" borderId="0" xfId="0" applyFill="1"/>
    <xf numFmtId="0" fontId="0" fillId="13461" borderId="0" xfId="0" applyFill="1"/>
    <xf numFmtId="0" fontId="0" fillId="13462" borderId="0" xfId="0" applyFill="1"/>
    <xf numFmtId="0" fontId="0" fillId="13463" borderId="0" xfId="0" applyFill="1"/>
    <xf numFmtId="0" fontId="0" fillId="13464" borderId="0" xfId="0" applyFill="1"/>
    <xf numFmtId="0" fontId="0" fillId="13465" borderId="0" xfId="0" applyFill="1"/>
    <xf numFmtId="0" fontId="0" fillId="13466" borderId="0" xfId="0" applyFill="1"/>
    <xf numFmtId="0" fontId="0" fillId="13467" borderId="0" xfId="0" applyFill="1"/>
    <xf numFmtId="0" fontId="0" fillId="13468" borderId="0" xfId="0" applyFill="1"/>
    <xf numFmtId="0" fontId="0" fillId="13469" borderId="0" xfId="0" applyFill="1"/>
    <xf numFmtId="0" fontId="0" fillId="13470" borderId="0" xfId="0" applyFill="1"/>
    <xf numFmtId="0" fontId="0" fillId="13471" borderId="0" xfId="0" applyFill="1"/>
    <xf numFmtId="0" fontId="0" fillId="13472" borderId="0" xfId="0" applyFill="1"/>
    <xf numFmtId="0" fontId="0" fillId="13473" borderId="0" xfId="0" applyFill="1"/>
    <xf numFmtId="0" fontId="0" fillId="13474" borderId="0" xfId="0" applyFill="1"/>
    <xf numFmtId="0" fontId="0" fillId="13475" borderId="0" xfId="0" applyFill="1"/>
    <xf numFmtId="0" fontId="0" fillId="13476" borderId="0" xfId="0" applyFill="1"/>
    <xf numFmtId="0" fontId="0" fillId="13477" borderId="0" xfId="0" applyFill="1"/>
    <xf numFmtId="0" fontId="0" fillId="13478" borderId="0" xfId="0" applyFill="1"/>
    <xf numFmtId="0" fontId="0" fillId="13479" borderId="0" xfId="0" applyFill="1"/>
    <xf numFmtId="0" fontId="0" fillId="13480" borderId="0" xfId="0" applyFill="1"/>
    <xf numFmtId="0" fontId="0" fillId="13481" borderId="0" xfId="0" applyFill="1"/>
    <xf numFmtId="0" fontId="0" fillId="13482" borderId="0" xfId="0" applyFill="1"/>
    <xf numFmtId="0" fontId="0" fillId="13483" borderId="0" xfId="0" applyFill="1"/>
    <xf numFmtId="0" fontId="0" fillId="13484" borderId="0" xfId="0" applyFill="1"/>
    <xf numFmtId="0" fontId="0" fillId="13485" borderId="0" xfId="0" applyFill="1"/>
    <xf numFmtId="0" fontId="0" fillId="13486" borderId="0" xfId="0" applyFill="1"/>
    <xf numFmtId="0" fontId="0" fillId="13487" borderId="0" xfId="0" applyFill="1"/>
    <xf numFmtId="0" fontId="0" fillId="13488" borderId="0" xfId="0" applyFill="1"/>
    <xf numFmtId="0" fontId="0" fillId="13489" borderId="0" xfId="0" applyFill="1"/>
    <xf numFmtId="0" fontId="0" fillId="13490" borderId="0" xfId="0" applyFill="1"/>
    <xf numFmtId="0" fontId="0" fillId="13491" borderId="0" xfId="0" applyFill="1"/>
    <xf numFmtId="0" fontId="0" fillId="13492" borderId="0" xfId="0" applyFill="1"/>
    <xf numFmtId="0" fontId="0" fillId="13493" borderId="0" xfId="0" applyFill="1"/>
    <xf numFmtId="0" fontId="0" fillId="13494" borderId="0" xfId="0" applyFill="1"/>
    <xf numFmtId="0" fontId="0" fillId="13495" borderId="0" xfId="0" applyFill="1"/>
    <xf numFmtId="0" fontId="0" fillId="13496" borderId="0" xfId="0" applyFill="1"/>
    <xf numFmtId="0" fontId="0" fillId="13497" borderId="0" xfId="0" applyFill="1"/>
    <xf numFmtId="0" fontId="0" fillId="13498" borderId="0" xfId="0" applyFill="1"/>
    <xf numFmtId="0" fontId="0" fillId="13499" borderId="0" xfId="0" applyFill="1"/>
    <xf numFmtId="0" fontId="0" fillId="13500" borderId="0" xfId="0" applyFill="1"/>
    <xf numFmtId="0" fontId="0" fillId="13501" borderId="0" xfId="0" applyFill="1"/>
    <xf numFmtId="0" fontId="0" fillId="13502" borderId="0" xfId="0" applyFill="1"/>
    <xf numFmtId="0" fontId="0" fillId="13503" borderId="0" xfId="0" applyFill="1"/>
    <xf numFmtId="0" fontId="0" fillId="13504" borderId="0" xfId="0" applyFill="1"/>
    <xf numFmtId="0" fontId="0" fillId="13505" borderId="0" xfId="0" applyFill="1"/>
    <xf numFmtId="0" fontId="0" fillId="13506" borderId="0" xfId="0" applyFill="1"/>
    <xf numFmtId="0" fontId="0" fillId="13507" borderId="0" xfId="0" applyFill="1"/>
    <xf numFmtId="0" fontId="0" fillId="13508" borderId="0" xfId="0" applyFill="1"/>
    <xf numFmtId="0" fontId="0" fillId="13509" borderId="0" xfId="0" applyFill="1"/>
    <xf numFmtId="0" fontId="0" fillId="13510" borderId="0" xfId="0" applyFill="1"/>
    <xf numFmtId="0" fontId="0" fillId="13511" borderId="0" xfId="0" applyFill="1"/>
    <xf numFmtId="0" fontId="0" fillId="13512" borderId="0" xfId="0" applyFill="1"/>
    <xf numFmtId="0" fontId="0" fillId="13513" borderId="0" xfId="0" applyFill="1"/>
    <xf numFmtId="0" fontId="0" fillId="13514" borderId="0" xfId="0" applyFill="1"/>
    <xf numFmtId="0" fontId="0" fillId="13515" borderId="0" xfId="0" applyFill="1"/>
    <xf numFmtId="0" fontId="0" fillId="13516" borderId="0" xfId="0" applyFill="1"/>
    <xf numFmtId="0" fontId="0" fillId="13517" borderId="0" xfId="0" applyFill="1"/>
    <xf numFmtId="0" fontId="0" fillId="13518" borderId="0" xfId="0" applyFill="1"/>
    <xf numFmtId="0" fontId="0" fillId="13519" borderId="0" xfId="0" applyFill="1"/>
    <xf numFmtId="0" fontId="0" fillId="13520" borderId="0" xfId="0" applyFill="1"/>
    <xf numFmtId="0" fontId="0" fillId="13521" borderId="0" xfId="0" applyFill="1"/>
    <xf numFmtId="0" fontId="0" fillId="13522" borderId="0" xfId="0" applyFill="1"/>
    <xf numFmtId="0" fontId="0" fillId="13523" borderId="0" xfId="0" applyFill="1"/>
    <xf numFmtId="0" fontId="0" fillId="13524" borderId="0" xfId="0" applyFill="1"/>
    <xf numFmtId="0" fontId="0" fillId="13525" borderId="0" xfId="0" applyFill="1"/>
    <xf numFmtId="0" fontId="0" fillId="13526" borderId="0" xfId="0" applyFill="1"/>
    <xf numFmtId="0" fontId="0" fillId="13527" borderId="0" xfId="0" applyFill="1"/>
    <xf numFmtId="0" fontId="0" fillId="13528" borderId="0" xfId="0" applyFill="1"/>
    <xf numFmtId="0" fontId="0" fillId="13529" borderId="0" xfId="0" applyFill="1"/>
    <xf numFmtId="0" fontId="0" fillId="13530" borderId="0" xfId="0" applyFill="1"/>
    <xf numFmtId="0" fontId="0" fillId="13531" borderId="0" xfId="0" applyFill="1"/>
    <xf numFmtId="0" fontId="0" fillId="13532" borderId="0" xfId="0" applyFill="1"/>
    <xf numFmtId="0" fontId="0" fillId="13533" borderId="0" xfId="0" applyFill="1"/>
    <xf numFmtId="0" fontId="0" fillId="13534" borderId="0" xfId="0" applyFill="1"/>
    <xf numFmtId="0" fontId="0" fillId="13535" borderId="0" xfId="0" applyFill="1"/>
    <xf numFmtId="0" fontId="0" fillId="13536" borderId="0" xfId="0" applyFill="1"/>
    <xf numFmtId="0" fontId="0" fillId="13537" borderId="0" xfId="0" applyFill="1"/>
    <xf numFmtId="0" fontId="0" fillId="13538" borderId="0" xfId="0" applyFill="1"/>
    <xf numFmtId="0" fontId="0" fillId="13539" borderId="0" xfId="0" applyFill="1"/>
    <xf numFmtId="0" fontId="0" fillId="13540" borderId="0" xfId="0" applyFill="1"/>
    <xf numFmtId="0" fontId="0" fillId="13541" borderId="0" xfId="0" applyFill="1"/>
    <xf numFmtId="0" fontId="0" fillId="13542" borderId="0" xfId="0" applyFill="1"/>
    <xf numFmtId="0" fontId="0" fillId="13543" borderId="0" xfId="0" applyFill="1"/>
    <xf numFmtId="0" fontId="0" fillId="13544" borderId="0" xfId="0" applyFill="1"/>
    <xf numFmtId="0" fontId="0" fillId="13545" borderId="0" xfId="0" applyFill="1"/>
    <xf numFmtId="0" fontId="0" fillId="13546" borderId="0" xfId="0" applyFill="1"/>
    <xf numFmtId="0" fontId="0" fillId="13547" borderId="0" xfId="0" applyFill="1"/>
    <xf numFmtId="0" fontId="0" fillId="13548" borderId="0" xfId="0" applyFill="1"/>
    <xf numFmtId="0" fontId="0" fillId="13549" borderId="0" xfId="0" applyFill="1"/>
    <xf numFmtId="0" fontId="0" fillId="13550" borderId="0" xfId="0" applyFill="1"/>
    <xf numFmtId="0" fontId="0" fillId="13551" borderId="0" xfId="0" applyFill="1"/>
    <xf numFmtId="0" fontId="0" fillId="13552" borderId="0" xfId="0" applyFill="1"/>
    <xf numFmtId="0" fontId="0" fillId="13553" borderId="0" xfId="0" applyFill="1"/>
    <xf numFmtId="0" fontId="0" fillId="13554" borderId="0" xfId="0" applyFill="1"/>
    <xf numFmtId="0" fontId="0" fillId="13555" borderId="0" xfId="0" applyFill="1"/>
    <xf numFmtId="0" fontId="0" fillId="13556" borderId="0" xfId="0" applyFill="1"/>
    <xf numFmtId="0" fontId="0" fillId="13557" borderId="0" xfId="0" applyFill="1"/>
    <xf numFmtId="0" fontId="0" fillId="13558" borderId="0" xfId="0" applyFill="1"/>
    <xf numFmtId="0" fontId="0" fillId="13559" borderId="0" xfId="0" applyFill="1"/>
    <xf numFmtId="0" fontId="0" fillId="13560" borderId="0" xfId="0" applyFill="1"/>
    <xf numFmtId="0" fontId="0" fillId="13561" borderId="0" xfId="0" applyFill="1"/>
    <xf numFmtId="0" fontId="0" fillId="13562" borderId="0" xfId="0" applyFill="1"/>
    <xf numFmtId="0" fontId="0" fillId="13563" borderId="0" xfId="0" applyFill="1"/>
    <xf numFmtId="0" fontId="0" fillId="13564" borderId="0" xfId="0" applyFill="1"/>
    <xf numFmtId="0" fontId="0" fillId="13565" borderId="0" xfId="0" applyFill="1"/>
    <xf numFmtId="0" fontId="0" fillId="13566" borderId="0" xfId="0" applyFill="1"/>
    <xf numFmtId="0" fontId="0" fillId="13567" borderId="0" xfId="0" applyFill="1"/>
    <xf numFmtId="0" fontId="0" fillId="13568" borderId="0" xfId="0" applyFill="1"/>
    <xf numFmtId="0" fontId="0" fillId="13569" borderId="0" xfId="0" applyFill="1"/>
    <xf numFmtId="0" fontId="0" fillId="13570" borderId="0" xfId="0" applyFill="1"/>
    <xf numFmtId="0" fontId="0" fillId="13571" borderId="0" xfId="0" applyFill="1"/>
    <xf numFmtId="0" fontId="0" fillId="13572" borderId="0" xfId="0" applyFill="1"/>
    <xf numFmtId="0" fontId="0" fillId="13573" borderId="0" xfId="0" applyFill="1"/>
    <xf numFmtId="0" fontId="0" fillId="13574" borderId="0" xfId="0" applyFill="1"/>
    <xf numFmtId="0" fontId="0" fillId="13575" borderId="0" xfId="0" applyFill="1"/>
    <xf numFmtId="0" fontId="0" fillId="13576" borderId="0" xfId="0" applyFill="1"/>
    <xf numFmtId="0" fontId="0" fillId="13577" borderId="0" xfId="0" applyFill="1"/>
    <xf numFmtId="0" fontId="0" fillId="13578" borderId="0" xfId="0" applyFill="1"/>
    <xf numFmtId="0" fontId="0" fillId="13579" borderId="0" xfId="0" applyFill="1"/>
    <xf numFmtId="0" fontId="0" fillId="13580" borderId="0" xfId="0" applyFill="1"/>
    <xf numFmtId="0" fontId="0" fillId="13581" borderId="0" xfId="0" applyFill="1"/>
    <xf numFmtId="0" fontId="0" fillId="13582" borderId="0" xfId="0" applyFill="1"/>
    <xf numFmtId="0" fontId="0" fillId="13583" borderId="0" xfId="0" applyFill="1"/>
    <xf numFmtId="0" fontId="0" fillId="13584" borderId="0" xfId="0" applyFill="1"/>
    <xf numFmtId="0" fontId="0" fillId="13585" borderId="0" xfId="0" applyFill="1"/>
    <xf numFmtId="0" fontId="0" fillId="13586" borderId="0" xfId="0" applyFill="1"/>
    <xf numFmtId="0" fontId="0" fillId="13587" borderId="0" xfId="0" applyFill="1"/>
    <xf numFmtId="0" fontId="0" fillId="13588" borderId="0" xfId="0" applyFill="1"/>
    <xf numFmtId="0" fontId="0" fillId="13589" borderId="0" xfId="0" applyFill="1"/>
    <xf numFmtId="0" fontId="0" fillId="13590" borderId="0" xfId="0" applyFill="1"/>
    <xf numFmtId="0" fontId="0" fillId="13591" borderId="0" xfId="0" applyFill="1"/>
    <xf numFmtId="0" fontId="0" fillId="13592" borderId="0" xfId="0" applyFill="1"/>
    <xf numFmtId="0" fontId="0" fillId="13593" borderId="0" xfId="0" applyFill="1"/>
    <xf numFmtId="0" fontId="0" fillId="13594" borderId="0" xfId="0" applyFill="1"/>
    <xf numFmtId="0" fontId="0" fillId="13595" borderId="0" xfId="0" applyFill="1"/>
    <xf numFmtId="0" fontId="0" fillId="13596" borderId="0" xfId="0" applyFill="1"/>
    <xf numFmtId="0" fontId="0" fillId="13597" borderId="0" xfId="0" applyFill="1"/>
    <xf numFmtId="0" fontId="0" fillId="13598" borderId="0" xfId="0" applyFill="1"/>
    <xf numFmtId="0" fontId="0" fillId="13599" borderId="0" xfId="0" applyFill="1"/>
    <xf numFmtId="0" fontId="0" fillId="13600" borderId="0" xfId="0" applyFill="1"/>
    <xf numFmtId="0" fontId="0" fillId="13601" borderId="0" xfId="0" applyFill="1"/>
    <xf numFmtId="0" fontId="0" fillId="13602" borderId="0" xfId="0" applyFill="1"/>
    <xf numFmtId="0" fontId="0" fillId="13603" borderId="0" xfId="0" applyFill="1"/>
    <xf numFmtId="0" fontId="0" fillId="13604" borderId="0" xfId="0" applyFill="1"/>
    <xf numFmtId="0" fontId="0" fillId="13605" borderId="0" xfId="0" applyFill="1"/>
    <xf numFmtId="0" fontId="0" fillId="13606" borderId="0" xfId="0" applyFill="1"/>
    <xf numFmtId="0" fontId="0" fillId="13607" borderId="0" xfId="0" applyFill="1"/>
    <xf numFmtId="0" fontId="0" fillId="13608" borderId="0" xfId="0" applyFill="1"/>
    <xf numFmtId="0" fontId="0" fillId="13609" borderId="0" xfId="0" applyFill="1"/>
    <xf numFmtId="0" fontId="0" fillId="13610" borderId="0" xfId="0" applyFill="1"/>
    <xf numFmtId="0" fontId="0" fillId="13611" borderId="0" xfId="0" applyFill="1"/>
    <xf numFmtId="0" fontId="0" fillId="13612" borderId="0" xfId="0" applyFill="1"/>
    <xf numFmtId="0" fontId="0" fillId="13613" borderId="0" xfId="0" applyFill="1"/>
    <xf numFmtId="0" fontId="0" fillId="13614" borderId="0" xfId="0" applyFill="1"/>
    <xf numFmtId="0" fontId="0" fillId="13615" borderId="0" xfId="0" applyFill="1"/>
    <xf numFmtId="0" fontId="0" fillId="13616" borderId="0" xfId="0" applyFill="1"/>
    <xf numFmtId="0" fontId="0" fillId="13617" borderId="0" xfId="0" applyFill="1"/>
    <xf numFmtId="0" fontId="0" fillId="13618" borderId="0" xfId="0" applyFill="1"/>
    <xf numFmtId="0" fontId="0" fillId="13619" borderId="0" xfId="0" applyFill="1"/>
    <xf numFmtId="0" fontId="0" fillId="13620" borderId="0" xfId="0" applyFill="1"/>
    <xf numFmtId="0" fontId="0" fillId="13621" borderId="0" xfId="0" applyFill="1"/>
    <xf numFmtId="0" fontId="0" fillId="13622" borderId="0" xfId="0" applyFill="1"/>
    <xf numFmtId="0" fontId="0" fillId="13623" borderId="0" xfId="0" applyFill="1"/>
    <xf numFmtId="0" fontId="0" fillId="13624" borderId="0" xfId="0" applyFill="1"/>
    <xf numFmtId="0" fontId="0" fillId="13625" borderId="0" xfId="0" applyFill="1"/>
    <xf numFmtId="0" fontId="0" fillId="13626" borderId="0" xfId="0" applyFill="1"/>
    <xf numFmtId="0" fontId="0" fillId="13627" borderId="0" xfId="0" applyFill="1"/>
    <xf numFmtId="0" fontId="0" fillId="13628" borderId="0" xfId="0" applyFill="1"/>
    <xf numFmtId="0" fontId="0" fillId="13629" borderId="0" xfId="0" applyFill="1"/>
    <xf numFmtId="0" fontId="0" fillId="13630" borderId="0" xfId="0" applyFill="1"/>
    <xf numFmtId="0" fontId="0" fillId="13631" borderId="0" xfId="0" applyFill="1"/>
    <xf numFmtId="0" fontId="0" fillId="13632" borderId="0" xfId="0" applyFill="1"/>
    <xf numFmtId="0" fontId="0" fillId="13633" borderId="0" xfId="0" applyFill="1"/>
    <xf numFmtId="0" fontId="0" fillId="13634" borderId="0" xfId="0" applyFill="1"/>
    <xf numFmtId="0" fontId="0" fillId="13635" borderId="0" xfId="0" applyFill="1"/>
    <xf numFmtId="0" fontId="0" fillId="13636" borderId="0" xfId="0" applyFill="1"/>
    <xf numFmtId="0" fontId="0" fillId="13637" borderId="0" xfId="0" applyFill="1"/>
    <xf numFmtId="0" fontId="0" fillId="13638" borderId="0" xfId="0" applyFill="1"/>
    <xf numFmtId="0" fontId="0" fillId="13639" borderId="0" xfId="0" applyFill="1"/>
    <xf numFmtId="0" fontId="0" fillId="13640" borderId="0" xfId="0" applyFill="1"/>
    <xf numFmtId="0" fontId="0" fillId="13641" borderId="0" xfId="0" applyFill="1"/>
    <xf numFmtId="0" fontId="0" fillId="13642" borderId="0" xfId="0" applyFill="1"/>
    <xf numFmtId="0" fontId="0" fillId="13643" borderId="0" xfId="0" applyFill="1"/>
    <xf numFmtId="0" fontId="0" fillId="13644" borderId="0" xfId="0" applyFill="1"/>
    <xf numFmtId="0" fontId="0" fillId="13645" borderId="0" xfId="0" applyFill="1"/>
    <xf numFmtId="0" fontId="0" fillId="13646" borderId="0" xfId="0" applyFill="1"/>
    <xf numFmtId="0" fontId="0" fillId="13647" borderId="0" xfId="0" applyFill="1"/>
    <xf numFmtId="0" fontId="0" fillId="13648" borderId="0" xfId="0" applyFill="1"/>
    <xf numFmtId="0" fontId="0" fillId="13649" borderId="0" xfId="0" applyFill="1"/>
    <xf numFmtId="0" fontId="0" fillId="13650" borderId="0" xfId="0" applyFill="1"/>
    <xf numFmtId="0" fontId="0" fillId="13651" borderId="0" xfId="0" applyFill="1"/>
    <xf numFmtId="0" fontId="0" fillId="13652" borderId="0" xfId="0" applyFill="1"/>
    <xf numFmtId="0" fontId="0" fillId="13653" borderId="0" xfId="0" applyFill="1"/>
    <xf numFmtId="0" fontId="0" fillId="13654" borderId="0" xfId="0" applyFill="1"/>
    <xf numFmtId="0" fontId="0" fillId="13655" borderId="0" xfId="0" applyFill="1"/>
    <xf numFmtId="0" fontId="0" fillId="13656" borderId="0" xfId="0" applyFill="1"/>
    <xf numFmtId="0" fontId="0" fillId="13657" borderId="0" xfId="0" applyFill="1"/>
    <xf numFmtId="0" fontId="0" fillId="13658" borderId="0" xfId="0" applyFill="1"/>
    <xf numFmtId="0" fontId="0" fillId="13659" borderId="0" xfId="0" applyFill="1"/>
    <xf numFmtId="0" fontId="0" fillId="13660" borderId="0" xfId="0" applyFill="1"/>
    <xf numFmtId="0" fontId="0" fillId="13661" borderId="0" xfId="0" applyFill="1"/>
    <xf numFmtId="0" fontId="0" fillId="13662" borderId="0" xfId="0" applyFill="1"/>
    <xf numFmtId="0" fontId="0" fillId="13663" borderId="0" xfId="0" applyFill="1"/>
    <xf numFmtId="0" fontId="0" fillId="13664" borderId="0" xfId="0" applyFill="1"/>
    <xf numFmtId="0" fontId="0" fillId="13665" borderId="0" xfId="0" applyFill="1"/>
    <xf numFmtId="0" fontId="0" fillId="13666" borderId="0" xfId="0" applyFill="1"/>
    <xf numFmtId="0" fontId="0" fillId="13667" borderId="0" xfId="0" applyFill="1"/>
    <xf numFmtId="0" fontId="0" fillId="13668" borderId="0" xfId="0" applyFill="1"/>
    <xf numFmtId="0" fontId="0" fillId="13669" borderId="0" xfId="0" applyFill="1"/>
    <xf numFmtId="0" fontId="0" fillId="13670" borderId="0" xfId="0" applyFill="1"/>
    <xf numFmtId="0" fontId="0" fillId="13671" borderId="0" xfId="0" applyFill="1"/>
    <xf numFmtId="0" fontId="0" fillId="13672" borderId="0" xfId="0" applyFill="1"/>
    <xf numFmtId="0" fontId="0" fillId="13673" borderId="0" xfId="0" applyFill="1"/>
    <xf numFmtId="0" fontId="0" fillId="13674" borderId="0" xfId="0" applyFill="1"/>
    <xf numFmtId="0" fontId="0" fillId="13675" borderId="0" xfId="0" applyFill="1"/>
    <xf numFmtId="0" fontId="0" fillId="13676" borderId="0" xfId="0" applyFill="1"/>
    <xf numFmtId="0" fontId="0" fillId="13677" borderId="0" xfId="0" applyFill="1"/>
    <xf numFmtId="0" fontId="0" fillId="13678" borderId="0" xfId="0" applyFill="1"/>
    <xf numFmtId="0" fontId="0" fillId="13679" borderId="0" xfId="0" applyFill="1"/>
    <xf numFmtId="0" fontId="0" fillId="13680" borderId="0" xfId="0" applyFill="1"/>
    <xf numFmtId="0" fontId="0" fillId="13681" borderId="0" xfId="0" applyFill="1"/>
    <xf numFmtId="0" fontId="0" fillId="13682" borderId="0" xfId="0" applyFill="1"/>
    <xf numFmtId="0" fontId="0" fillId="13683" borderId="0" xfId="0" applyFill="1"/>
    <xf numFmtId="0" fontId="0" fillId="13684" borderId="0" xfId="0" applyFill="1"/>
    <xf numFmtId="0" fontId="0" fillId="13685" borderId="0" xfId="0" applyFill="1"/>
    <xf numFmtId="0" fontId="0" fillId="13686" borderId="0" xfId="0" applyFill="1"/>
    <xf numFmtId="0" fontId="0" fillId="13687" borderId="0" xfId="0" applyFill="1"/>
    <xf numFmtId="0" fontId="0" fillId="13688" borderId="0" xfId="0" applyFill="1"/>
    <xf numFmtId="0" fontId="0" fillId="13689" borderId="0" xfId="0" applyFill="1"/>
    <xf numFmtId="0" fontId="0" fillId="13690" borderId="0" xfId="0" applyFill="1"/>
    <xf numFmtId="0" fontId="0" fillId="13691" borderId="0" xfId="0" applyFill="1"/>
    <xf numFmtId="0" fontId="0" fillId="13692" borderId="0" xfId="0" applyFill="1"/>
    <xf numFmtId="0" fontId="0" fillId="13693" borderId="0" xfId="0" applyFill="1"/>
    <xf numFmtId="0" fontId="0" fillId="13694" borderId="0" xfId="0" applyFill="1"/>
    <xf numFmtId="0" fontId="0" fillId="13695" borderId="0" xfId="0" applyFill="1"/>
    <xf numFmtId="0" fontId="0" fillId="13696" borderId="0" xfId="0" applyFill="1"/>
    <xf numFmtId="0" fontId="0" fillId="13697" borderId="0" xfId="0" applyFill="1"/>
    <xf numFmtId="0" fontId="0" fillId="13698" borderId="0" xfId="0" applyFill="1"/>
    <xf numFmtId="0" fontId="0" fillId="13699" borderId="0" xfId="0" applyFill="1"/>
    <xf numFmtId="0" fontId="0" fillId="13700" borderId="0" xfId="0" applyFill="1"/>
    <xf numFmtId="0" fontId="0" fillId="13701" borderId="0" xfId="0" applyFill="1"/>
    <xf numFmtId="0" fontId="0" fillId="13702" borderId="0" xfId="0" applyFill="1"/>
    <xf numFmtId="0" fontId="0" fillId="13703" borderId="0" xfId="0" applyFill="1"/>
    <xf numFmtId="0" fontId="0" fillId="13704" borderId="0" xfId="0" applyFill="1"/>
    <xf numFmtId="0" fontId="0" fillId="13705" borderId="0" xfId="0" applyFill="1"/>
    <xf numFmtId="0" fontId="0" fillId="13706" borderId="0" xfId="0" applyFill="1"/>
    <xf numFmtId="0" fontId="0" fillId="13707" borderId="0" xfId="0" applyFill="1"/>
    <xf numFmtId="0" fontId="0" fillId="13708" borderId="0" xfId="0" applyFill="1"/>
    <xf numFmtId="0" fontId="0" fillId="13709" borderId="0" xfId="0" applyFill="1"/>
    <xf numFmtId="0" fontId="0" fillId="13710" borderId="0" xfId="0" applyFill="1"/>
    <xf numFmtId="0" fontId="0" fillId="13711" borderId="0" xfId="0" applyFill="1"/>
    <xf numFmtId="0" fontId="0" fillId="13712" borderId="0" xfId="0" applyFill="1"/>
    <xf numFmtId="0" fontId="0" fillId="13713" borderId="0" xfId="0" applyFill="1"/>
    <xf numFmtId="0" fontId="0" fillId="13714" borderId="0" xfId="0" applyFill="1"/>
    <xf numFmtId="0" fontId="0" fillId="13715" borderId="0" xfId="0" applyFill="1"/>
    <xf numFmtId="0" fontId="0" fillId="13716" borderId="0" xfId="0" applyFill="1"/>
    <xf numFmtId="0" fontId="0" fillId="13717" borderId="0" xfId="0" applyFill="1"/>
    <xf numFmtId="0" fontId="0" fillId="13718" borderId="0" xfId="0" applyFill="1"/>
    <xf numFmtId="0" fontId="0" fillId="13719" borderId="0" xfId="0" applyFill="1"/>
    <xf numFmtId="0" fontId="0" fillId="13720" borderId="0" xfId="0" applyFill="1"/>
    <xf numFmtId="0" fontId="0" fillId="13721" borderId="0" xfId="0" applyFill="1"/>
    <xf numFmtId="0" fontId="0" fillId="13722" borderId="0" xfId="0" applyFill="1"/>
    <xf numFmtId="0" fontId="0" fillId="13723" borderId="0" xfId="0" applyFill="1"/>
    <xf numFmtId="0" fontId="0" fillId="13724" borderId="0" xfId="0" applyFill="1"/>
    <xf numFmtId="0" fontId="0" fillId="13725" borderId="0" xfId="0" applyFill="1"/>
    <xf numFmtId="0" fontId="0" fillId="13726" borderId="0" xfId="0" applyFill="1"/>
    <xf numFmtId="0" fontId="0" fillId="13727" borderId="0" xfId="0" applyFill="1"/>
    <xf numFmtId="0" fontId="0" fillId="13728" borderId="0" xfId="0" applyFill="1"/>
    <xf numFmtId="0" fontId="0" fillId="13729" borderId="0" xfId="0" applyFill="1"/>
    <xf numFmtId="0" fontId="0" fillId="13730" borderId="0" xfId="0" applyFill="1"/>
    <xf numFmtId="0" fontId="0" fillId="13731" borderId="0" xfId="0" applyFill="1"/>
    <xf numFmtId="0" fontId="0" fillId="13732" borderId="0" xfId="0" applyFill="1"/>
    <xf numFmtId="0" fontId="0" fillId="13733" borderId="0" xfId="0" applyFill="1"/>
    <xf numFmtId="0" fontId="0" fillId="13734" borderId="0" xfId="0" applyFill="1"/>
    <xf numFmtId="0" fontId="0" fillId="13735" borderId="0" xfId="0" applyFill="1"/>
    <xf numFmtId="0" fontId="0" fillId="13736" borderId="0" xfId="0" applyFill="1"/>
    <xf numFmtId="0" fontId="0" fillId="13737" borderId="0" xfId="0" applyFill="1"/>
    <xf numFmtId="0" fontId="0" fillId="13738" borderId="0" xfId="0" applyFill="1"/>
    <xf numFmtId="0" fontId="0" fillId="13739" borderId="0" xfId="0" applyFill="1"/>
    <xf numFmtId="0" fontId="0" fillId="13740" borderId="0" xfId="0" applyFill="1"/>
    <xf numFmtId="0" fontId="0" fillId="13741" borderId="0" xfId="0" applyFill="1"/>
    <xf numFmtId="0" fontId="0" fillId="13742" borderId="0" xfId="0" applyFill="1"/>
    <xf numFmtId="0" fontId="0" fillId="13743" borderId="0" xfId="0" applyFill="1"/>
    <xf numFmtId="0" fontId="0" fillId="13744" borderId="0" xfId="0" applyFill="1"/>
    <xf numFmtId="0" fontId="0" fillId="13745" borderId="0" xfId="0" applyFill="1"/>
    <xf numFmtId="0" fontId="0" fillId="13746" borderId="0" xfId="0" applyFill="1"/>
    <xf numFmtId="0" fontId="0" fillId="13747" borderId="0" xfId="0" applyFill="1"/>
    <xf numFmtId="0" fontId="0" fillId="13748" borderId="0" xfId="0" applyFill="1"/>
    <xf numFmtId="0" fontId="0" fillId="13749" borderId="0" xfId="0" applyFill="1"/>
    <xf numFmtId="0" fontId="0" fillId="13750" borderId="0" xfId="0" applyFill="1"/>
    <xf numFmtId="0" fontId="0" fillId="13751" borderId="0" xfId="0" applyFill="1"/>
    <xf numFmtId="0" fontId="0" fillId="13752" borderId="0" xfId="0" applyFill="1"/>
    <xf numFmtId="0" fontId="0" fillId="13753" borderId="0" xfId="0" applyFill="1"/>
    <xf numFmtId="0" fontId="0" fillId="13754" borderId="0" xfId="0" applyFill="1"/>
    <xf numFmtId="0" fontId="0" fillId="13755" borderId="0" xfId="0" applyFill="1"/>
    <xf numFmtId="0" fontId="0" fillId="13756" borderId="0" xfId="0" applyFill="1"/>
    <xf numFmtId="0" fontId="0" fillId="13757" borderId="0" xfId="0" applyFill="1"/>
    <xf numFmtId="0" fontId="0" fillId="13758" borderId="0" xfId="0" applyFill="1"/>
    <xf numFmtId="0" fontId="0" fillId="13759" borderId="0" xfId="0" applyFill="1"/>
    <xf numFmtId="0" fontId="0" fillId="13760" borderId="0" xfId="0" applyFill="1"/>
    <xf numFmtId="0" fontId="0" fillId="13761" borderId="0" xfId="0" applyFill="1"/>
    <xf numFmtId="0" fontId="0" fillId="13762" borderId="0" xfId="0" applyFill="1"/>
    <xf numFmtId="0" fontId="0" fillId="13763" borderId="0" xfId="0" applyFill="1"/>
    <xf numFmtId="0" fontId="0" fillId="13764" borderId="0" xfId="0" applyFill="1"/>
    <xf numFmtId="0" fontId="0" fillId="13765" borderId="0" xfId="0" applyFill="1"/>
    <xf numFmtId="0" fontId="0" fillId="13766" borderId="0" xfId="0" applyFill="1"/>
    <xf numFmtId="0" fontId="0" fillId="13767" borderId="0" xfId="0" applyFill="1"/>
    <xf numFmtId="0" fontId="0" fillId="13768" borderId="0" xfId="0" applyFill="1"/>
    <xf numFmtId="0" fontId="0" fillId="13769" borderId="0" xfId="0" applyFill="1"/>
    <xf numFmtId="0" fontId="0" fillId="13770" borderId="0" xfId="0" applyFill="1"/>
    <xf numFmtId="0" fontId="0" fillId="13771" borderId="0" xfId="0" applyFill="1"/>
    <xf numFmtId="0" fontId="0" fillId="13772" borderId="0" xfId="0" applyFill="1"/>
    <xf numFmtId="0" fontId="0" fillId="13773" borderId="0" xfId="0" applyFill="1"/>
    <xf numFmtId="0" fontId="0" fillId="13774" borderId="0" xfId="0" applyFill="1"/>
    <xf numFmtId="0" fontId="0" fillId="13775" borderId="0" xfId="0" applyFill="1"/>
    <xf numFmtId="0" fontId="0" fillId="13776" borderId="0" xfId="0" applyFill="1"/>
    <xf numFmtId="0" fontId="0" fillId="13777" borderId="0" xfId="0" applyFill="1"/>
    <xf numFmtId="0" fontId="0" fillId="13778" borderId="0" xfId="0" applyFill="1"/>
    <xf numFmtId="0" fontId="0" fillId="13779" borderId="0" xfId="0" applyFill="1"/>
    <xf numFmtId="0" fontId="0" fillId="13780" borderId="0" xfId="0" applyFill="1"/>
    <xf numFmtId="0" fontId="0" fillId="13781" borderId="0" xfId="0" applyFill="1"/>
    <xf numFmtId="0" fontId="0" fillId="13782" borderId="0" xfId="0" applyFill="1"/>
    <xf numFmtId="0" fontId="0" fillId="13783" borderId="0" xfId="0" applyFill="1"/>
    <xf numFmtId="0" fontId="0" fillId="13784" borderId="0" xfId="0" applyFill="1"/>
    <xf numFmtId="0" fontId="0" fillId="13785" borderId="0" xfId="0" applyFill="1"/>
    <xf numFmtId="0" fontId="0" fillId="13786" borderId="0" xfId="0" applyFill="1"/>
    <xf numFmtId="0" fontId="0" fillId="13787" borderId="0" xfId="0" applyFill="1"/>
    <xf numFmtId="0" fontId="0" fillId="13788" borderId="0" xfId="0" applyFill="1"/>
    <xf numFmtId="0" fontId="0" fillId="13789" borderId="0" xfId="0" applyFill="1"/>
    <xf numFmtId="0" fontId="0" fillId="13790" borderId="0" xfId="0" applyFill="1"/>
    <xf numFmtId="0" fontId="0" fillId="13791" borderId="0" xfId="0" applyFill="1"/>
    <xf numFmtId="0" fontId="0" fillId="13792" borderId="0" xfId="0" applyFill="1"/>
    <xf numFmtId="0" fontId="0" fillId="13793" borderId="0" xfId="0" applyFill="1"/>
    <xf numFmtId="0" fontId="0" fillId="13794" borderId="0" xfId="0" applyFill="1"/>
    <xf numFmtId="0" fontId="0" fillId="13795" borderId="0" xfId="0" applyFill="1"/>
    <xf numFmtId="0" fontId="0" fillId="13796" borderId="0" xfId="0" applyFill="1"/>
    <xf numFmtId="0" fontId="0" fillId="13797" borderId="0" xfId="0" applyFill="1"/>
    <xf numFmtId="0" fontId="0" fillId="13798" borderId="0" xfId="0" applyFill="1"/>
    <xf numFmtId="0" fontId="0" fillId="13799" borderId="0" xfId="0" applyFill="1"/>
    <xf numFmtId="0" fontId="0" fillId="13800" borderId="0" xfId="0" applyFill="1"/>
    <xf numFmtId="0" fontId="0" fillId="13801" borderId="0" xfId="0" applyFill="1"/>
    <xf numFmtId="0" fontId="0" fillId="13802" borderId="0" xfId="0" applyFill="1"/>
    <xf numFmtId="0" fontId="0" fillId="13803" borderId="0" xfId="0" applyFill="1"/>
    <xf numFmtId="0" fontId="0" fillId="13804" borderId="0" xfId="0" applyFill="1"/>
    <xf numFmtId="0" fontId="0" fillId="13805" borderId="0" xfId="0" applyFill="1"/>
    <xf numFmtId="0" fontId="0" fillId="13806" borderId="0" xfId="0" applyFill="1"/>
    <xf numFmtId="0" fontId="0" fillId="13807" borderId="0" xfId="0" applyFill="1"/>
    <xf numFmtId="0" fontId="0" fillId="13808" borderId="0" xfId="0" applyFill="1"/>
    <xf numFmtId="0" fontId="0" fillId="13809" borderId="0" xfId="0" applyFill="1"/>
    <xf numFmtId="0" fontId="0" fillId="13810" borderId="0" xfId="0" applyFill="1"/>
    <xf numFmtId="0" fontId="0" fillId="13811" borderId="0" xfId="0" applyFill="1"/>
    <xf numFmtId="0" fontId="0" fillId="13812" borderId="0" xfId="0" applyFill="1"/>
    <xf numFmtId="0" fontId="0" fillId="13813" borderId="0" xfId="0" applyFill="1"/>
    <xf numFmtId="0" fontId="0" fillId="13814" borderId="0" xfId="0" applyFill="1"/>
    <xf numFmtId="0" fontId="0" fillId="13815" borderId="0" xfId="0" applyFill="1"/>
    <xf numFmtId="0" fontId="0" fillId="13816" borderId="0" xfId="0" applyFill="1"/>
    <xf numFmtId="0" fontId="0" fillId="13817" borderId="0" xfId="0" applyFill="1"/>
    <xf numFmtId="0" fontId="0" fillId="13818" borderId="0" xfId="0" applyFill="1"/>
    <xf numFmtId="0" fontId="0" fillId="13819" borderId="0" xfId="0" applyFill="1"/>
    <xf numFmtId="0" fontId="0" fillId="13820" borderId="0" xfId="0" applyFill="1"/>
    <xf numFmtId="0" fontId="0" fillId="13821" borderId="0" xfId="0" applyFill="1"/>
    <xf numFmtId="0" fontId="0" fillId="13822" borderId="0" xfId="0" applyFill="1"/>
    <xf numFmtId="0" fontId="0" fillId="13823" borderId="0" xfId="0" applyFill="1"/>
    <xf numFmtId="0" fontId="0" fillId="13824" borderId="0" xfId="0" applyFill="1"/>
    <xf numFmtId="0" fontId="0" fillId="13825" borderId="0" xfId="0" applyFill="1"/>
    <xf numFmtId="0" fontId="0" fillId="13826" borderId="0" xfId="0" applyFill="1"/>
    <xf numFmtId="0" fontId="0" fillId="13827" borderId="0" xfId="0" applyFill="1"/>
    <xf numFmtId="0" fontId="0" fillId="13828" borderId="0" xfId="0" applyFill="1"/>
    <xf numFmtId="0" fontId="0" fillId="13829" borderId="0" xfId="0" applyFill="1"/>
    <xf numFmtId="0" fontId="0" fillId="13830" borderId="0" xfId="0" applyFill="1"/>
    <xf numFmtId="0" fontId="0" fillId="13831" borderId="0" xfId="0" applyFill="1"/>
    <xf numFmtId="0" fontId="0" fillId="13832" borderId="0" xfId="0" applyFill="1"/>
    <xf numFmtId="0" fontId="0" fillId="13833" borderId="0" xfId="0" applyFill="1"/>
    <xf numFmtId="0" fontId="0" fillId="13834" borderId="0" xfId="0" applyFill="1"/>
    <xf numFmtId="0" fontId="0" fillId="13835" borderId="0" xfId="0" applyFill="1"/>
    <xf numFmtId="0" fontId="0" fillId="13836" borderId="0" xfId="0" applyFill="1"/>
    <xf numFmtId="0" fontId="0" fillId="13837" borderId="0" xfId="0" applyFill="1"/>
    <xf numFmtId="0" fontId="0" fillId="13838" borderId="0" xfId="0" applyFill="1"/>
    <xf numFmtId="0" fontId="0" fillId="13839" borderId="0" xfId="0" applyFill="1"/>
    <xf numFmtId="0" fontId="0" fillId="13840" borderId="0" xfId="0" applyFill="1"/>
    <xf numFmtId="0" fontId="0" fillId="13841" borderId="0" xfId="0" applyFill="1"/>
    <xf numFmtId="0" fontId="0" fillId="13842" borderId="0" xfId="0" applyFill="1"/>
    <xf numFmtId="0" fontId="0" fillId="13843" borderId="0" xfId="0" applyFill="1"/>
    <xf numFmtId="0" fontId="0" fillId="13844" borderId="0" xfId="0" applyFill="1"/>
    <xf numFmtId="0" fontId="0" fillId="13845" borderId="0" xfId="0" applyFill="1"/>
    <xf numFmtId="0" fontId="0" fillId="13846" borderId="0" xfId="0" applyFill="1"/>
    <xf numFmtId="0" fontId="0" fillId="13847" borderId="0" xfId="0" applyFill="1"/>
    <xf numFmtId="0" fontId="0" fillId="13848" borderId="0" xfId="0" applyFill="1"/>
    <xf numFmtId="0" fontId="0" fillId="13849" borderId="0" xfId="0" applyFill="1"/>
    <xf numFmtId="0" fontId="0" fillId="13850" borderId="0" xfId="0" applyFill="1"/>
    <xf numFmtId="0" fontId="0" fillId="13851" borderId="0" xfId="0" applyFill="1"/>
    <xf numFmtId="0" fontId="0" fillId="13852" borderId="0" xfId="0" applyFill="1"/>
    <xf numFmtId="0" fontId="0" fillId="13853" borderId="0" xfId="0" applyFill="1"/>
    <xf numFmtId="0" fontId="0" fillId="13854" borderId="0" xfId="0" applyFill="1"/>
    <xf numFmtId="0" fontId="0" fillId="13855" borderId="0" xfId="0" applyFill="1"/>
    <xf numFmtId="0" fontId="0" fillId="13856" borderId="0" xfId="0" applyFill="1"/>
    <xf numFmtId="0" fontId="0" fillId="13857" borderId="0" xfId="0" applyFill="1"/>
    <xf numFmtId="0" fontId="0" fillId="13858" borderId="0" xfId="0" applyFill="1"/>
    <xf numFmtId="0" fontId="0" fillId="13859" borderId="0" xfId="0" applyFill="1"/>
    <xf numFmtId="0" fontId="0" fillId="13860" borderId="0" xfId="0" applyFill="1"/>
    <xf numFmtId="0" fontId="0" fillId="13861" borderId="0" xfId="0" applyFill="1"/>
    <xf numFmtId="0" fontId="0" fillId="13862" borderId="0" xfId="0" applyFill="1"/>
    <xf numFmtId="0" fontId="0" fillId="13863" borderId="0" xfId="0" applyFill="1"/>
    <xf numFmtId="0" fontId="0" fillId="13864" borderId="0" xfId="0" applyFill="1"/>
    <xf numFmtId="0" fontId="0" fillId="13865" borderId="0" xfId="0" applyFill="1"/>
    <xf numFmtId="0" fontId="0" fillId="13866" borderId="0" xfId="0" applyFill="1"/>
    <xf numFmtId="0" fontId="0" fillId="13867" borderId="0" xfId="0" applyFill="1"/>
    <xf numFmtId="0" fontId="0" fillId="13868" borderId="0" xfId="0" applyFill="1"/>
    <xf numFmtId="0" fontId="0" fillId="13869" borderId="0" xfId="0" applyFill="1"/>
    <xf numFmtId="0" fontId="0" fillId="13870" borderId="0" xfId="0" applyFill="1"/>
    <xf numFmtId="0" fontId="0" fillId="13871" borderId="0" xfId="0" applyFill="1"/>
    <xf numFmtId="0" fontId="0" fillId="13872" borderId="0" xfId="0" applyFill="1"/>
    <xf numFmtId="0" fontId="0" fillId="13873" borderId="0" xfId="0" applyFill="1"/>
    <xf numFmtId="0" fontId="0" fillId="13874" borderId="0" xfId="0" applyFill="1"/>
    <xf numFmtId="0" fontId="0" fillId="13875" borderId="0" xfId="0" applyFill="1"/>
    <xf numFmtId="0" fontId="0" fillId="13876" borderId="0" xfId="0" applyFill="1"/>
    <xf numFmtId="0" fontId="0" fillId="13877" borderId="0" xfId="0" applyFill="1"/>
    <xf numFmtId="0" fontId="0" fillId="13878" borderId="0" xfId="0" applyFill="1"/>
    <xf numFmtId="0" fontId="0" fillId="13879" borderId="0" xfId="0" applyFill="1"/>
    <xf numFmtId="0" fontId="0" fillId="13880" borderId="0" xfId="0" applyFill="1"/>
    <xf numFmtId="0" fontId="0" fillId="13881" borderId="0" xfId="0" applyFill="1"/>
    <xf numFmtId="0" fontId="0" fillId="13882" borderId="0" xfId="0" applyFill="1"/>
    <xf numFmtId="0" fontId="0" fillId="13883" borderId="0" xfId="0" applyFill="1"/>
    <xf numFmtId="0" fontId="0" fillId="13884" borderId="0" xfId="0" applyFill="1"/>
    <xf numFmtId="0" fontId="0" fillId="13885" borderId="0" xfId="0" applyFill="1"/>
    <xf numFmtId="0" fontId="0" fillId="13886" borderId="0" xfId="0" applyFill="1"/>
    <xf numFmtId="0" fontId="0" fillId="13887" borderId="0" xfId="0" applyFill="1"/>
    <xf numFmtId="0" fontId="0" fillId="13888" borderId="0" xfId="0" applyFill="1"/>
    <xf numFmtId="0" fontId="0" fillId="13889" borderId="0" xfId="0" applyFill="1"/>
    <xf numFmtId="0" fontId="0" fillId="13890" borderId="0" xfId="0" applyFill="1"/>
    <xf numFmtId="0" fontId="0" fillId="13891" borderId="0" xfId="0" applyFill="1"/>
    <xf numFmtId="0" fontId="0" fillId="13892" borderId="0" xfId="0" applyFill="1"/>
    <xf numFmtId="0" fontId="0" fillId="13893" borderId="0" xfId="0" applyFill="1"/>
    <xf numFmtId="0" fontId="0" fillId="13894" borderId="0" xfId="0" applyFill="1"/>
    <xf numFmtId="0" fontId="0" fillId="13895" borderId="0" xfId="0" applyFill="1"/>
    <xf numFmtId="0" fontId="0" fillId="13896" borderId="0" xfId="0" applyFill="1"/>
    <xf numFmtId="0" fontId="0" fillId="13897" borderId="0" xfId="0" applyFill="1"/>
    <xf numFmtId="0" fontId="0" fillId="13898" borderId="0" xfId="0" applyFill="1"/>
    <xf numFmtId="0" fontId="0" fillId="13899" borderId="0" xfId="0" applyFill="1"/>
    <xf numFmtId="0" fontId="0" fillId="13900" borderId="0" xfId="0" applyFill="1"/>
    <xf numFmtId="0" fontId="0" fillId="13901" borderId="0" xfId="0" applyFill="1"/>
    <xf numFmtId="0" fontId="0" fillId="13902" borderId="0" xfId="0" applyFill="1"/>
    <xf numFmtId="0" fontId="0" fillId="13903" borderId="0" xfId="0" applyFill="1"/>
    <xf numFmtId="0" fontId="0" fillId="13904" borderId="0" xfId="0" applyFill="1"/>
    <xf numFmtId="0" fontId="0" fillId="13905" borderId="0" xfId="0" applyFill="1"/>
    <xf numFmtId="0" fontId="0" fillId="13906" borderId="0" xfId="0" applyFill="1"/>
    <xf numFmtId="0" fontId="0" fillId="13907" borderId="0" xfId="0" applyFill="1"/>
    <xf numFmtId="0" fontId="0" fillId="13908" borderId="0" xfId="0" applyFill="1"/>
    <xf numFmtId="0" fontId="0" fillId="13909" borderId="0" xfId="0" applyFill="1"/>
    <xf numFmtId="0" fontId="0" fillId="13910" borderId="0" xfId="0" applyFill="1"/>
    <xf numFmtId="0" fontId="0" fillId="13911" borderId="0" xfId="0" applyFill="1"/>
    <xf numFmtId="0" fontId="0" fillId="13912" borderId="0" xfId="0" applyFill="1"/>
    <xf numFmtId="0" fontId="0" fillId="13913" borderId="0" xfId="0" applyFill="1"/>
    <xf numFmtId="0" fontId="0" fillId="13914" borderId="0" xfId="0" applyFill="1"/>
    <xf numFmtId="0" fontId="0" fillId="13915" borderId="0" xfId="0" applyFill="1"/>
    <xf numFmtId="0" fontId="0" fillId="13916" borderId="0" xfId="0" applyFill="1"/>
    <xf numFmtId="0" fontId="0" fillId="13917" borderId="0" xfId="0" applyFill="1"/>
    <xf numFmtId="0" fontId="0" fillId="13918" borderId="0" xfId="0" applyFill="1"/>
    <xf numFmtId="0" fontId="0" fillId="13919" borderId="0" xfId="0" applyFill="1"/>
    <xf numFmtId="0" fontId="0" fillId="13920" borderId="0" xfId="0" applyFill="1"/>
    <xf numFmtId="0" fontId="0" fillId="13921" borderId="0" xfId="0" applyFill="1"/>
    <xf numFmtId="0" fontId="0" fillId="13922" borderId="0" xfId="0" applyFill="1"/>
    <xf numFmtId="0" fontId="0" fillId="13923" borderId="0" xfId="0" applyFill="1"/>
    <xf numFmtId="0" fontId="0" fillId="13924" borderId="0" xfId="0" applyFill="1"/>
    <xf numFmtId="0" fontId="0" fillId="13925" borderId="0" xfId="0" applyFill="1"/>
    <xf numFmtId="0" fontId="0" fillId="13926" borderId="0" xfId="0" applyFill="1"/>
    <xf numFmtId="0" fontId="0" fillId="13927" borderId="0" xfId="0" applyFill="1"/>
    <xf numFmtId="0" fontId="0" fillId="13928" borderId="0" xfId="0" applyFill="1"/>
    <xf numFmtId="0" fontId="0" fillId="13929" borderId="0" xfId="0" applyFill="1"/>
    <xf numFmtId="0" fontId="0" fillId="13930" borderId="0" xfId="0" applyFill="1"/>
    <xf numFmtId="0" fontId="0" fillId="13931" borderId="0" xfId="0" applyFill="1"/>
    <xf numFmtId="0" fontId="0" fillId="13932" borderId="0" xfId="0" applyFill="1"/>
    <xf numFmtId="0" fontId="0" fillId="13933" borderId="0" xfId="0" applyFill="1"/>
    <xf numFmtId="0" fontId="0" fillId="13934" borderId="0" xfId="0" applyFill="1"/>
    <xf numFmtId="0" fontId="0" fillId="13935" borderId="0" xfId="0" applyFill="1"/>
    <xf numFmtId="0" fontId="0" fillId="13936" borderId="0" xfId="0" applyFill="1"/>
    <xf numFmtId="0" fontId="0" fillId="13937" borderId="0" xfId="0" applyFill="1"/>
    <xf numFmtId="0" fontId="0" fillId="13938" borderId="0" xfId="0" applyFill="1"/>
    <xf numFmtId="0" fontId="0" fillId="13939" borderId="0" xfId="0" applyFill="1"/>
    <xf numFmtId="0" fontId="0" fillId="13940" borderId="0" xfId="0" applyFill="1"/>
    <xf numFmtId="0" fontId="0" fillId="13941" borderId="0" xfId="0" applyFill="1"/>
    <xf numFmtId="0" fontId="0" fillId="13942" borderId="0" xfId="0" applyFill="1"/>
    <xf numFmtId="0" fontId="0" fillId="13943" borderId="0" xfId="0" applyFill="1"/>
    <xf numFmtId="0" fontId="0" fillId="13944" borderId="0" xfId="0" applyFill="1"/>
    <xf numFmtId="0" fontId="0" fillId="13945" borderId="0" xfId="0" applyFill="1"/>
    <xf numFmtId="0" fontId="0" fillId="13946" borderId="0" xfId="0" applyFill="1"/>
    <xf numFmtId="0" fontId="0" fillId="13947" borderId="0" xfId="0" applyFill="1"/>
    <xf numFmtId="0" fontId="0" fillId="13948" borderId="0" xfId="0" applyFill="1"/>
    <xf numFmtId="0" fontId="0" fillId="13949" borderId="0" xfId="0" applyFill="1"/>
    <xf numFmtId="0" fontId="0" fillId="13950" borderId="0" xfId="0" applyFill="1"/>
    <xf numFmtId="0" fontId="0" fillId="13951" borderId="0" xfId="0" applyFill="1"/>
    <xf numFmtId="0" fontId="0" fillId="13952" borderId="0" xfId="0" applyFill="1"/>
    <xf numFmtId="0" fontId="0" fillId="13953" borderId="0" xfId="0" applyFill="1"/>
    <xf numFmtId="0" fontId="0" fillId="13954" borderId="0" xfId="0" applyFill="1"/>
    <xf numFmtId="0" fontId="0" fillId="13955" borderId="0" xfId="0" applyFill="1"/>
    <xf numFmtId="0" fontId="0" fillId="13956" borderId="0" xfId="0" applyFill="1"/>
    <xf numFmtId="0" fontId="0" fillId="13957" borderId="0" xfId="0" applyFill="1"/>
    <xf numFmtId="0" fontId="0" fillId="13958" borderId="0" xfId="0" applyFill="1"/>
    <xf numFmtId="0" fontId="0" fillId="13959" borderId="0" xfId="0" applyFill="1"/>
    <xf numFmtId="0" fontId="0" fillId="13960" borderId="0" xfId="0" applyFill="1"/>
    <xf numFmtId="0" fontId="0" fillId="13961" borderId="0" xfId="0" applyFill="1"/>
    <xf numFmtId="0" fontId="0" fillId="13962" borderId="0" xfId="0" applyFill="1"/>
    <xf numFmtId="0" fontId="0" fillId="13963" borderId="0" xfId="0" applyFill="1"/>
    <xf numFmtId="0" fontId="0" fillId="13964" borderId="0" xfId="0" applyFill="1"/>
    <xf numFmtId="0" fontId="0" fillId="13965" borderId="0" xfId="0" applyFill="1"/>
    <xf numFmtId="0" fontId="0" fillId="13966" borderId="0" xfId="0" applyFill="1"/>
    <xf numFmtId="0" fontId="0" fillId="13967" borderId="0" xfId="0" applyFill="1"/>
    <xf numFmtId="0" fontId="0" fillId="13968" borderId="0" xfId="0" applyFill="1"/>
    <xf numFmtId="0" fontId="0" fillId="13969" borderId="0" xfId="0" applyFill="1"/>
    <xf numFmtId="0" fontId="0" fillId="13970" borderId="0" xfId="0" applyFill="1"/>
    <xf numFmtId="0" fontId="0" fillId="13971" borderId="0" xfId="0" applyFill="1"/>
    <xf numFmtId="0" fontId="0" fillId="13972" borderId="0" xfId="0" applyFill="1"/>
    <xf numFmtId="0" fontId="0" fillId="13973" borderId="0" xfId="0" applyFill="1"/>
    <xf numFmtId="0" fontId="0" fillId="13974" borderId="0" xfId="0" applyFill="1"/>
    <xf numFmtId="0" fontId="0" fillId="13975" borderId="0" xfId="0" applyFill="1"/>
    <xf numFmtId="0" fontId="0" fillId="13976" borderId="0" xfId="0" applyFill="1"/>
    <xf numFmtId="0" fontId="0" fillId="13977" borderId="0" xfId="0" applyFill="1"/>
    <xf numFmtId="0" fontId="0" fillId="13978" borderId="0" xfId="0" applyFill="1"/>
    <xf numFmtId="0" fontId="0" fillId="13979" borderId="0" xfId="0" applyFill="1"/>
    <xf numFmtId="0" fontId="0" fillId="13980" borderId="0" xfId="0" applyFill="1"/>
    <xf numFmtId="0" fontId="0" fillId="13981" borderId="0" xfId="0" applyFill="1"/>
    <xf numFmtId="0" fontId="0" fillId="13982" borderId="0" xfId="0" applyFill="1"/>
    <xf numFmtId="0" fontId="0" fillId="13983" borderId="0" xfId="0" applyFill="1"/>
    <xf numFmtId="0" fontId="0" fillId="13984" borderId="0" xfId="0" applyFill="1"/>
    <xf numFmtId="0" fontId="0" fillId="13985" borderId="0" xfId="0" applyFill="1"/>
    <xf numFmtId="0" fontId="0" fillId="13986" borderId="0" xfId="0" applyFill="1"/>
    <xf numFmtId="0" fontId="0" fillId="13987" borderId="0" xfId="0" applyFill="1"/>
    <xf numFmtId="0" fontId="0" fillId="13988" borderId="0" xfId="0" applyFill="1"/>
    <xf numFmtId="0" fontId="0" fillId="13989" borderId="0" xfId="0" applyFill="1"/>
    <xf numFmtId="0" fontId="0" fillId="13990" borderId="0" xfId="0" applyFill="1"/>
    <xf numFmtId="0" fontId="0" fillId="13991" borderId="0" xfId="0" applyFill="1"/>
    <xf numFmtId="0" fontId="0" fillId="13992" borderId="0" xfId="0" applyFill="1"/>
    <xf numFmtId="0" fontId="0" fillId="13993" borderId="0" xfId="0" applyFill="1"/>
    <xf numFmtId="0" fontId="0" fillId="13994" borderId="0" xfId="0" applyFill="1"/>
    <xf numFmtId="0" fontId="0" fillId="13995" borderId="0" xfId="0" applyFill="1"/>
    <xf numFmtId="0" fontId="0" fillId="13996" borderId="0" xfId="0" applyFill="1"/>
    <xf numFmtId="0" fontId="0" fillId="13997" borderId="0" xfId="0" applyFill="1"/>
    <xf numFmtId="0" fontId="0" fillId="13998" borderId="0" xfId="0" applyFill="1"/>
    <xf numFmtId="0" fontId="0" fillId="13999" borderId="0" xfId="0" applyFill="1"/>
    <xf numFmtId="0" fontId="0" fillId="14000" borderId="0" xfId="0" applyFill="1"/>
    <xf numFmtId="0" fontId="0" fillId="14001" borderId="0" xfId="0" applyFill="1"/>
    <xf numFmtId="0" fontId="0" fillId="14002" borderId="0" xfId="0" applyFill="1"/>
    <xf numFmtId="0" fontId="0" fillId="14003" borderId="0" xfId="0" applyFill="1"/>
    <xf numFmtId="0" fontId="0" fillId="14004" borderId="0" xfId="0" applyFill="1"/>
    <xf numFmtId="0" fontId="0" fillId="14005" borderId="0" xfId="0" applyFill="1"/>
    <xf numFmtId="0" fontId="0" fillId="14006" borderId="0" xfId="0" applyFill="1"/>
    <xf numFmtId="0" fontId="0" fillId="14007" borderId="0" xfId="0" applyFill="1"/>
    <xf numFmtId="0" fontId="0" fillId="14008" borderId="0" xfId="0" applyFill="1"/>
    <xf numFmtId="0" fontId="0" fillId="14009" borderId="0" xfId="0" applyFill="1"/>
    <xf numFmtId="0" fontId="0" fillId="14010" borderId="0" xfId="0" applyFill="1"/>
    <xf numFmtId="0" fontId="0" fillId="14011" borderId="0" xfId="0" applyFill="1"/>
    <xf numFmtId="0" fontId="0" fillId="14012" borderId="0" xfId="0" applyFill="1"/>
    <xf numFmtId="0" fontId="0" fillId="14013" borderId="0" xfId="0" applyFill="1"/>
    <xf numFmtId="0" fontId="0" fillId="14014" borderId="0" xfId="0" applyFill="1"/>
    <xf numFmtId="0" fontId="0" fillId="14015" borderId="0" xfId="0" applyFill="1"/>
    <xf numFmtId="0" fontId="0" fillId="14016" borderId="0" xfId="0" applyFill="1"/>
    <xf numFmtId="0" fontId="0" fillId="14017" borderId="0" xfId="0" applyFill="1"/>
    <xf numFmtId="0" fontId="0" fillId="14018" borderId="0" xfId="0" applyFill="1"/>
    <xf numFmtId="0" fontId="0" fillId="14019" borderId="0" xfId="0" applyFill="1"/>
    <xf numFmtId="0" fontId="0" fillId="14020" borderId="0" xfId="0" applyFill="1"/>
    <xf numFmtId="0" fontId="0" fillId="14021" borderId="0" xfId="0" applyFill="1"/>
    <xf numFmtId="0" fontId="0" fillId="14022" borderId="0" xfId="0" applyFill="1"/>
    <xf numFmtId="0" fontId="0" fillId="14023" borderId="0" xfId="0" applyFill="1"/>
    <xf numFmtId="0" fontId="0" fillId="14024" borderId="0" xfId="0" applyFill="1"/>
    <xf numFmtId="0" fontId="0" fillId="14025" borderId="0" xfId="0" applyFill="1"/>
    <xf numFmtId="0" fontId="0" fillId="14026" borderId="0" xfId="0" applyFill="1"/>
    <xf numFmtId="0" fontId="0" fillId="14027" borderId="0" xfId="0" applyFill="1"/>
    <xf numFmtId="0" fontId="0" fillId="14028" borderId="0" xfId="0" applyFill="1"/>
    <xf numFmtId="0" fontId="0" fillId="14029" borderId="0" xfId="0" applyFill="1"/>
    <xf numFmtId="0" fontId="0" fillId="14030" borderId="0" xfId="0" applyFill="1"/>
    <xf numFmtId="0" fontId="0" fillId="14031" borderId="0" xfId="0" applyFill="1"/>
    <xf numFmtId="0" fontId="0" fillId="14032" borderId="0" xfId="0" applyFill="1"/>
    <xf numFmtId="0" fontId="0" fillId="14033" borderId="0" xfId="0" applyFill="1"/>
    <xf numFmtId="0" fontId="0" fillId="14034" borderId="0" xfId="0" applyFill="1"/>
    <xf numFmtId="0" fontId="0" fillId="14035" borderId="0" xfId="0" applyFill="1"/>
    <xf numFmtId="0" fontId="0" fillId="14036" borderId="0" xfId="0" applyFill="1"/>
    <xf numFmtId="0" fontId="0" fillId="14037" borderId="0" xfId="0" applyFill="1"/>
    <xf numFmtId="0" fontId="0" fillId="14038" borderId="0" xfId="0" applyFill="1"/>
    <xf numFmtId="0" fontId="0" fillId="14039" borderId="0" xfId="0" applyFill="1"/>
    <xf numFmtId="0" fontId="0" fillId="14040" borderId="0" xfId="0" applyFill="1"/>
    <xf numFmtId="0" fontId="0" fillId="14041" borderId="0" xfId="0" applyFill="1"/>
    <xf numFmtId="0" fontId="0" fillId="14042" borderId="0" xfId="0" applyFill="1"/>
    <xf numFmtId="0" fontId="0" fillId="14043" borderId="0" xfId="0" applyFill="1"/>
    <xf numFmtId="0" fontId="0" fillId="14044" borderId="0" xfId="0" applyFill="1"/>
    <xf numFmtId="0" fontId="0" fillId="14045" borderId="0" xfId="0" applyFill="1"/>
    <xf numFmtId="0" fontId="0" fillId="14046" borderId="0" xfId="0" applyFill="1"/>
    <xf numFmtId="0" fontId="0" fillId="14047" borderId="0" xfId="0" applyFill="1"/>
    <xf numFmtId="0" fontId="0" fillId="14048" borderId="0" xfId="0" applyFill="1"/>
    <xf numFmtId="0" fontId="0" fillId="14049" borderId="0" xfId="0" applyFill="1"/>
    <xf numFmtId="0" fontId="0" fillId="14050" borderId="0" xfId="0" applyFill="1"/>
    <xf numFmtId="0" fontId="0" fillId="14051" borderId="0" xfId="0" applyFill="1"/>
    <xf numFmtId="0" fontId="0" fillId="14052" borderId="0" xfId="0" applyFill="1"/>
    <xf numFmtId="0" fontId="0" fillId="14053" borderId="0" xfId="0" applyFill="1"/>
    <xf numFmtId="0" fontId="0" fillId="14054" borderId="0" xfId="0" applyFill="1"/>
    <xf numFmtId="0" fontId="0" fillId="14055" borderId="0" xfId="0" applyFill="1"/>
    <xf numFmtId="0" fontId="0" fillId="14056" borderId="0" xfId="0" applyFill="1"/>
    <xf numFmtId="0" fontId="0" fillId="14057" borderId="0" xfId="0" applyFill="1"/>
    <xf numFmtId="0" fontId="0" fillId="14058" borderId="0" xfId="0" applyFill="1"/>
    <xf numFmtId="0" fontId="0" fillId="14059" borderId="0" xfId="0" applyFill="1"/>
    <xf numFmtId="0" fontId="0" fillId="14060" borderId="0" xfId="0" applyFill="1"/>
    <xf numFmtId="0" fontId="0" fillId="14061" borderId="0" xfId="0" applyFill="1"/>
    <xf numFmtId="0" fontId="0" fillId="14062" borderId="0" xfId="0" applyFill="1"/>
    <xf numFmtId="0" fontId="0" fillId="14063" borderId="0" xfId="0" applyFill="1"/>
    <xf numFmtId="0" fontId="0" fillId="14064" borderId="0" xfId="0" applyFill="1"/>
    <xf numFmtId="0" fontId="0" fillId="14065" borderId="0" xfId="0" applyFill="1"/>
    <xf numFmtId="0" fontId="0" fillId="14066" borderId="0" xfId="0" applyFill="1"/>
    <xf numFmtId="0" fontId="0" fillId="14067" borderId="0" xfId="0" applyFill="1"/>
    <xf numFmtId="0" fontId="0" fillId="14068" borderId="0" xfId="0" applyFill="1"/>
    <xf numFmtId="0" fontId="0" fillId="14069" borderId="0" xfId="0" applyFill="1"/>
    <xf numFmtId="0" fontId="0" fillId="14070" borderId="0" xfId="0" applyFill="1"/>
    <xf numFmtId="0" fontId="0" fillId="14071" borderId="0" xfId="0" applyFill="1"/>
    <xf numFmtId="0" fontId="0" fillId="14072" borderId="0" xfId="0" applyFill="1"/>
    <xf numFmtId="0" fontId="0" fillId="14073" borderId="0" xfId="0" applyFill="1"/>
    <xf numFmtId="0" fontId="0" fillId="14074" borderId="0" xfId="0" applyFill="1"/>
    <xf numFmtId="0" fontId="0" fillId="14075" borderId="0" xfId="0" applyFill="1"/>
    <xf numFmtId="0" fontId="0" fillId="14076" borderId="0" xfId="0" applyFill="1"/>
    <xf numFmtId="0" fontId="0" fillId="14077" borderId="0" xfId="0" applyFill="1"/>
    <xf numFmtId="0" fontId="0" fillId="14078" borderId="0" xfId="0" applyFill="1"/>
    <xf numFmtId="0" fontId="0" fillId="14079" borderId="0" xfId="0" applyFill="1"/>
    <xf numFmtId="0" fontId="0" fillId="14080" borderId="0" xfId="0" applyFill="1"/>
    <xf numFmtId="0" fontId="0" fillId="14081" borderId="0" xfId="0" applyFill="1"/>
    <xf numFmtId="0" fontId="0" fillId="14082" borderId="0" xfId="0" applyFill="1"/>
    <xf numFmtId="0" fontId="0" fillId="14083" borderId="0" xfId="0" applyFill="1"/>
    <xf numFmtId="0" fontId="0" fillId="14084" borderId="0" xfId="0" applyFill="1"/>
    <xf numFmtId="0" fontId="0" fillId="14085" borderId="0" xfId="0" applyFill="1"/>
    <xf numFmtId="0" fontId="0" fillId="14086" borderId="0" xfId="0" applyFill="1"/>
    <xf numFmtId="0" fontId="0" fillId="14087" borderId="0" xfId="0" applyFill="1"/>
    <xf numFmtId="0" fontId="0" fillId="14088" borderId="0" xfId="0" applyFill="1"/>
    <xf numFmtId="0" fontId="0" fillId="14089" borderId="0" xfId="0" applyFill="1"/>
    <xf numFmtId="0" fontId="0" fillId="14090" borderId="0" xfId="0" applyFill="1"/>
    <xf numFmtId="0" fontId="0" fillId="14091" borderId="0" xfId="0" applyFill="1"/>
    <xf numFmtId="0" fontId="0" fillId="14092" borderId="0" xfId="0" applyFill="1"/>
    <xf numFmtId="0" fontId="0" fillId="14093" borderId="0" xfId="0" applyFill="1"/>
    <xf numFmtId="0" fontId="0" fillId="14094" borderId="0" xfId="0" applyFill="1"/>
    <xf numFmtId="0" fontId="0" fillId="14095" borderId="0" xfId="0" applyFill="1"/>
    <xf numFmtId="0" fontId="0" fillId="14096" borderId="0" xfId="0" applyFill="1"/>
    <xf numFmtId="0" fontId="0" fillId="14097" borderId="0" xfId="0" applyFill="1"/>
    <xf numFmtId="0" fontId="0" fillId="14098" borderId="0" xfId="0" applyFill="1"/>
    <xf numFmtId="0" fontId="0" fillId="14099" borderId="0" xfId="0" applyFill="1"/>
    <xf numFmtId="0" fontId="0" fillId="14100" borderId="0" xfId="0" applyFill="1"/>
    <xf numFmtId="0" fontId="0" fillId="14101" borderId="0" xfId="0" applyFill="1"/>
    <xf numFmtId="0" fontId="0" fillId="14102" borderId="0" xfId="0" applyFill="1"/>
    <xf numFmtId="0" fontId="0" fillId="14103" borderId="0" xfId="0" applyFill="1"/>
    <xf numFmtId="0" fontId="0" fillId="14104" borderId="0" xfId="0" applyFill="1"/>
    <xf numFmtId="0" fontId="0" fillId="14105" borderId="0" xfId="0" applyFill="1"/>
    <xf numFmtId="0" fontId="0" fillId="14106" borderId="0" xfId="0" applyFill="1"/>
    <xf numFmtId="0" fontId="0" fillId="14107" borderId="0" xfId="0" applyFill="1"/>
    <xf numFmtId="0" fontId="0" fillId="14108" borderId="0" xfId="0" applyFill="1"/>
    <xf numFmtId="0" fontId="0" fillId="14109" borderId="0" xfId="0" applyFill="1"/>
    <xf numFmtId="0" fontId="0" fillId="14110" borderId="0" xfId="0" applyFill="1"/>
    <xf numFmtId="0" fontId="0" fillId="14111" borderId="0" xfId="0" applyFill="1"/>
    <xf numFmtId="0" fontId="0" fillId="14112" borderId="0" xfId="0" applyFill="1"/>
    <xf numFmtId="0" fontId="0" fillId="14113" borderId="0" xfId="0" applyFill="1"/>
    <xf numFmtId="0" fontId="0" fillId="14114" borderId="0" xfId="0" applyFill="1"/>
    <xf numFmtId="0" fontId="0" fillId="14115" borderId="0" xfId="0" applyFill="1"/>
    <xf numFmtId="0" fontId="0" fillId="14116" borderId="0" xfId="0" applyFill="1"/>
    <xf numFmtId="0" fontId="0" fillId="14117" borderId="0" xfId="0" applyFill="1"/>
    <xf numFmtId="0" fontId="0" fillId="14118" borderId="0" xfId="0" applyFill="1"/>
    <xf numFmtId="0" fontId="0" fillId="14119" borderId="0" xfId="0" applyFill="1"/>
    <xf numFmtId="0" fontId="0" fillId="14120" borderId="0" xfId="0" applyFill="1"/>
    <xf numFmtId="0" fontId="0" fillId="14121" borderId="0" xfId="0" applyFill="1"/>
    <xf numFmtId="0" fontId="0" fillId="14122" borderId="0" xfId="0" applyFill="1"/>
    <xf numFmtId="0" fontId="0" fillId="14123" borderId="0" xfId="0" applyFill="1"/>
    <xf numFmtId="0" fontId="0" fillId="14124" borderId="0" xfId="0" applyFill="1"/>
    <xf numFmtId="0" fontId="0" fillId="14125" borderId="0" xfId="0" applyFill="1"/>
    <xf numFmtId="0" fontId="0" fillId="14126" borderId="0" xfId="0" applyFill="1"/>
    <xf numFmtId="0" fontId="0" fillId="14127" borderId="0" xfId="0" applyFill="1"/>
    <xf numFmtId="0" fontId="0" fillId="14128" borderId="0" xfId="0" applyFill="1"/>
    <xf numFmtId="0" fontId="0" fillId="14129" borderId="0" xfId="0" applyFill="1"/>
    <xf numFmtId="0" fontId="0" fillId="14130" borderId="0" xfId="0" applyFill="1"/>
    <xf numFmtId="0" fontId="0" fillId="14131" borderId="0" xfId="0" applyFill="1"/>
    <xf numFmtId="0" fontId="0" fillId="14132" borderId="0" xfId="0" applyFill="1"/>
    <xf numFmtId="0" fontId="0" fillId="14133" borderId="0" xfId="0" applyFill="1"/>
    <xf numFmtId="0" fontId="0" fillId="14134" borderId="0" xfId="0" applyFill="1"/>
    <xf numFmtId="0" fontId="0" fillId="14135" borderId="0" xfId="0" applyFill="1"/>
    <xf numFmtId="0" fontId="0" fillId="14136" borderId="0" xfId="0" applyFill="1"/>
    <xf numFmtId="0" fontId="0" fillId="14137" borderId="0" xfId="0" applyFill="1"/>
    <xf numFmtId="0" fontId="0" fillId="14138" borderId="0" xfId="0" applyFill="1"/>
    <xf numFmtId="0" fontId="0" fillId="14139" borderId="0" xfId="0" applyFill="1"/>
    <xf numFmtId="0" fontId="0" fillId="14140" borderId="0" xfId="0" applyFill="1"/>
    <xf numFmtId="0" fontId="0" fillId="14141" borderId="0" xfId="0" applyFill="1"/>
    <xf numFmtId="0" fontId="0" fillId="14142" borderId="0" xfId="0" applyFill="1"/>
    <xf numFmtId="0" fontId="0" fillId="14143" borderId="0" xfId="0" applyFill="1"/>
    <xf numFmtId="0" fontId="0" fillId="14144" borderId="0" xfId="0" applyFill="1"/>
    <xf numFmtId="0" fontId="0" fillId="14145" borderId="0" xfId="0" applyFill="1"/>
    <xf numFmtId="0" fontId="0" fillId="14146" borderId="0" xfId="0" applyFill="1"/>
    <xf numFmtId="0" fontId="0" fillId="14147" borderId="0" xfId="0" applyFill="1"/>
    <xf numFmtId="0" fontId="0" fillId="14148" borderId="0" xfId="0" applyFill="1"/>
    <xf numFmtId="0" fontId="0" fillId="14149" borderId="0" xfId="0" applyFill="1"/>
    <xf numFmtId="0" fontId="0" fillId="14150" borderId="0" xfId="0" applyFill="1"/>
    <xf numFmtId="0" fontId="0" fillId="14151" borderId="0" xfId="0" applyFill="1"/>
    <xf numFmtId="0" fontId="0" fillId="14152" borderId="0" xfId="0" applyFill="1"/>
    <xf numFmtId="0" fontId="0" fillId="14153" borderId="0" xfId="0" applyFill="1"/>
    <xf numFmtId="0" fontId="0" fillId="14154" borderId="0" xfId="0" applyFill="1"/>
    <xf numFmtId="0" fontId="0" fillId="14155" borderId="0" xfId="0" applyFill="1"/>
    <xf numFmtId="0" fontId="0" fillId="14156" borderId="0" xfId="0" applyFill="1"/>
    <xf numFmtId="0" fontId="0" fillId="14157" borderId="0" xfId="0" applyFill="1"/>
    <xf numFmtId="0" fontId="0" fillId="14158" borderId="0" xfId="0" applyFill="1"/>
    <xf numFmtId="0" fontId="0" fillId="14159" borderId="0" xfId="0" applyFill="1"/>
    <xf numFmtId="0" fontId="0" fillId="14160" borderId="0" xfId="0" applyFill="1"/>
    <xf numFmtId="0" fontId="0" fillId="14161" borderId="0" xfId="0" applyFill="1"/>
    <xf numFmtId="0" fontId="0" fillId="14162" borderId="0" xfId="0" applyFill="1"/>
    <xf numFmtId="0" fontId="0" fillId="14163" borderId="0" xfId="0" applyFill="1"/>
    <xf numFmtId="0" fontId="0" fillId="14164" borderId="0" xfId="0" applyFill="1"/>
    <xf numFmtId="0" fontId="0" fillId="14165" borderId="0" xfId="0" applyFill="1"/>
    <xf numFmtId="0" fontId="0" fillId="14166" borderId="0" xfId="0" applyFill="1"/>
    <xf numFmtId="0" fontId="0" fillId="14167" borderId="0" xfId="0" applyFill="1"/>
    <xf numFmtId="0" fontId="0" fillId="14168" borderId="0" xfId="0" applyFill="1"/>
    <xf numFmtId="0" fontId="0" fillId="14169" borderId="0" xfId="0" applyFill="1"/>
    <xf numFmtId="0" fontId="0" fillId="14170" borderId="0" xfId="0" applyFill="1"/>
    <xf numFmtId="0" fontId="0" fillId="14171" borderId="0" xfId="0" applyFill="1"/>
    <xf numFmtId="0" fontId="0" fillId="14172" borderId="0" xfId="0" applyFill="1"/>
    <xf numFmtId="0" fontId="0" fillId="14173" borderId="0" xfId="0" applyFill="1"/>
    <xf numFmtId="0" fontId="0" fillId="14174" borderId="0" xfId="0" applyFill="1"/>
    <xf numFmtId="0" fontId="0" fillId="14175" borderId="0" xfId="0" applyFill="1"/>
    <xf numFmtId="0" fontId="0" fillId="14176" borderId="0" xfId="0" applyFill="1"/>
    <xf numFmtId="0" fontId="0" fillId="14177" borderId="0" xfId="0" applyFill="1"/>
    <xf numFmtId="0" fontId="0" fillId="14178" borderId="0" xfId="0" applyFill="1"/>
    <xf numFmtId="0" fontId="0" fillId="14179" borderId="0" xfId="0" applyFill="1"/>
    <xf numFmtId="0" fontId="0" fillId="14180" borderId="0" xfId="0" applyFill="1"/>
    <xf numFmtId="0" fontId="0" fillId="14181" borderId="0" xfId="0" applyFill="1"/>
    <xf numFmtId="0" fontId="0" fillId="14182" borderId="0" xfId="0" applyFill="1"/>
    <xf numFmtId="0" fontId="0" fillId="14183" borderId="0" xfId="0" applyFill="1"/>
    <xf numFmtId="0" fontId="0" fillId="14184" borderId="0" xfId="0" applyFill="1"/>
    <xf numFmtId="0" fontId="0" fillId="14185" borderId="0" xfId="0" applyFill="1"/>
    <xf numFmtId="0" fontId="0" fillId="14186" borderId="0" xfId="0" applyFill="1"/>
    <xf numFmtId="0" fontId="0" fillId="14187" borderId="0" xfId="0" applyFill="1"/>
    <xf numFmtId="0" fontId="0" fillId="14188" borderId="0" xfId="0" applyFill="1"/>
    <xf numFmtId="0" fontId="0" fillId="14189" borderId="0" xfId="0" applyFill="1"/>
    <xf numFmtId="0" fontId="0" fillId="14190" borderId="0" xfId="0" applyFill="1"/>
    <xf numFmtId="0" fontId="0" fillId="14191" borderId="0" xfId="0" applyFill="1"/>
    <xf numFmtId="0" fontId="0" fillId="14192" borderId="0" xfId="0" applyFill="1"/>
    <xf numFmtId="0" fontId="0" fillId="14193" borderId="0" xfId="0" applyFill="1"/>
    <xf numFmtId="0" fontId="0" fillId="14194" borderId="0" xfId="0" applyFill="1"/>
    <xf numFmtId="0" fontId="0" fillId="14195" borderId="0" xfId="0" applyFill="1"/>
    <xf numFmtId="0" fontId="0" fillId="14196" borderId="0" xfId="0" applyFill="1"/>
    <xf numFmtId="0" fontId="0" fillId="14197" borderId="0" xfId="0" applyFill="1"/>
    <xf numFmtId="0" fontId="0" fillId="14198" borderId="0" xfId="0" applyFill="1"/>
    <xf numFmtId="0" fontId="0" fillId="14199" borderId="0" xfId="0" applyFill="1"/>
    <xf numFmtId="0" fontId="0" fillId="14200" borderId="0" xfId="0" applyFill="1"/>
    <xf numFmtId="0" fontId="0" fillId="14201" borderId="0" xfId="0" applyFill="1"/>
    <xf numFmtId="0" fontId="0" fillId="14202" borderId="0" xfId="0" applyFill="1"/>
    <xf numFmtId="0" fontId="0" fillId="14203" borderId="0" xfId="0" applyFill="1"/>
    <xf numFmtId="0" fontId="0" fillId="14204" borderId="0" xfId="0" applyFill="1"/>
    <xf numFmtId="0" fontId="0" fillId="14205" borderId="0" xfId="0" applyFill="1"/>
    <xf numFmtId="0" fontId="0" fillId="14206" borderId="0" xfId="0" applyFill="1"/>
    <xf numFmtId="0" fontId="0" fillId="14207" borderId="0" xfId="0" applyFill="1"/>
    <xf numFmtId="0" fontId="0" fillId="14208" borderId="0" xfId="0" applyFill="1"/>
    <xf numFmtId="0" fontId="0" fillId="14209" borderId="0" xfId="0" applyFill="1"/>
    <xf numFmtId="0" fontId="0" fillId="14210" borderId="0" xfId="0" applyFill="1"/>
    <xf numFmtId="0" fontId="0" fillId="14211" borderId="0" xfId="0" applyFill="1"/>
    <xf numFmtId="0" fontId="0" fillId="14212" borderId="0" xfId="0" applyFill="1"/>
    <xf numFmtId="0" fontId="0" fillId="14213" borderId="0" xfId="0" applyFill="1"/>
    <xf numFmtId="0" fontId="0" fillId="14214" borderId="0" xfId="0" applyFill="1"/>
    <xf numFmtId="0" fontId="0" fillId="14215" borderId="0" xfId="0" applyFill="1"/>
    <xf numFmtId="0" fontId="0" fillId="14216" borderId="0" xfId="0" applyFill="1"/>
    <xf numFmtId="0" fontId="0" fillId="14217" borderId="0" xfId="0" applyFill="1"/>
    <xf numFmtId="0" fontId="0" fillId="14218" borderId="0" xfId="0" applyFill="1"/>
    <xf numFmtId="0" fontId="0" fillId="14219" borderId="0" xfId="0" applyFill="1"/>
    <xf numFmtId="0" fontId="0" fillId="14220" borderId="0" xfId="0" applyFill="1"/>
    <xf numFmtId="0" fontId="0" fillId="14221" borderId="0" xfId="0" applyFill="1"/>
    <xf numFmtId="0" fontId="0" fillId="14222" borderId="0" xfId="0" applyFill="1"/>
    <xf numFmtId="0" fontId="0" fillId="14223" borderId="0" xfId="0" applyFill="1"/>
    <xf numFmtId="0" fontId="0" fillId="14224" borderId="0" xfId="0" applyFill="1"/>
    <xf numFmtId="0" fontId="0" fillId="14225" borderId="0" xfId="0" applyFill="1"/>
    <xf numFmtId="0" fontId="0" fillId="14226" borderId="0" xfId="0" applyFill="1"/>
    <xf numFmtId="0" fontId="0" fillId="14227" borderId="0" xfId="0" applyFill="1"/>
    <xf numFmtId="0" fontId="0" fillId="14228" borderId="0" xfId="0" applyFill="1"/>
    <xf numFmtId="0" fontId="0" fillId="14229" borderId="0" xfId="0" applyFill="1"/>
    <xf numFmtId="0" fontId="0" fillId="14230" borderId="0" xfId="0" applyFill="1"/>
    <xf numFmtId="0" fontId="0" fillId="14231" borderId="0" xfId="0" applyFill="1"/>
    <xf numFmtId="0" fontId="0" fillId="14232" borderId="0" xfId="0" applyFill="1"/>
    <xf numFmtId="0" fontId="0" fillId="14233" borderId="0" xfId="0" applyFill="1"/>
    <xf numFmtId="0" fontId="0" fillId="14234" borderId="0" xfId="0" applyFill="1"/>
    <xf numFmtId="0" fontId="0" fillId="14235" borderId="0" xfId="0" applyFill="1"/>
    <xf numFmtId="0" fontId="0" fillId="14236" borderId="0" xfId="0" applyFill="1"/>
    <xf numFmtId="0" fontId="0" fillId="14237" borderId="0" xfId="0" applyFill="1"/>
    <xf numFmtId="0" fontId="0" fillId="14238" borderId="0" xfId="0" applyFill="1"/>
    <xf numFmtId="0" fontId="0" fillId="14239" borderId="0" xfId="0" applyFill="1"/>
    <xf numFmtId="0" fontId="0" fillId="14240" borderId="0" xfId="0" applyFill="1"/>
    <xf numFmtId="0" fontId="0" fillId="14241" borderId="0" xfId="0" applyFill="1"/>
    <xf numFmtId="0" fontId="0" fillId="14242" borderId="0" xfId="0" applyFill="1"/>
    <xf numFmtId="0" fontId="0" fillId="14243" borderId="0" xfId="0" applyFill="1"/>
    <xf numFmtId="0" fontId="0" fillId="14244" borderId="0" xfId="0" applyFill="1"/>
    <xf numFmtId="0" fontId="0" fillId="14245" borderId="0" xfId="0" applyFill="1"/>
    <xf numFmtId="0" fontId="0" fillId="14246" borderId="0" xfId="0" applyFill="1"/>
    <xf numFmtId="0" fontId="0" fillId="14247" borderId="0" xfId="0" applyFill="1"/>
    <xf numFmtId="0" fontId="0" fillId="14248" borderId="0" xfId="0" applyFill="1"/>
    <xf numFmtId="0" fontId="0" fillId="14249" borderId="0" xfId="0" applyFill="1"/>
    <xf numFmtId="0" fontId="0" fillId="14250" borderId="0" xfId="0" applyFill="1"/>
    <xf numFmtId="0" fontId="0" fillId="14251" borderId="0" xfId="0" applyFill="1"/>
    <xf numFmtId="0" fontId="0" fillId="14252" borderId="0" xfId="0" applyFill="1"/>
    <xf numFmtId="0" fontId="0" fillId="14253" borderId="0" xfId="0" applyFill="1"/>
    <xf numFmtId="0" fontId="0" fillId="14254" borderId="0" xfId="0" applyFill="1"/>
    <xf numFmtId="0" fontId="0" fillId="14255" borderId="0" xfId="0" applyFill="1"/>
    <xf numFmtId="0" fontId="0" fillId="14256" borderId="0" xfId="0" applyFill="1"/>
    <xf numFmtId="0" fontId="0" fillId="14257" borderId="0" xfId="0" applyFill="1"/>
    <xf numFmtId="0" fontId="0" fillId="14258" borderId="0" xfId="0" applyFill="1"/>
    <xf numFmtId="0" fontId="0" fillId="14259" borderId="0" xfId="0" applyFill="1"/>
    <xf numFmtId="0" fontId="0" fillId="14260" borderId="0" xfId="0" applyFill="1"/>
    <xf numFmtId="0" fontId="0" fillId="14261" borderId="0" xfId="0" applyFill="1"/>
    <xf numFmtId="0" fontId="0" fillId="14262" borderId="0" xfId="0" applyFill="1"/>
    <xf numFmtId="0" fontId="0" fillId="14263" borderId="0" xfId="0" applyFill="1"/>
    <xf numFmtId="0" fontId="0" fillId="14264" borderId="0" xfId="0" applyFill="1"/>
    <xf numFmtId="0" fontId="0" fillId="14265" borderId="0" xfId="0" applyFill="1"/>
    <xf numFmtId="0" fontId="0" fillId="14266" borderId="0" xfId="0" applyFill="1"/>
    <xf numFmtId="0" fontId="0" fillId="14267" borderId="0" xfId="0" applyFill="1"/>
    <xf numFmtId="0" fontId="0" fillId="14268" borderId="0" xfId="0" applyFill="1"/>
    <xf numFmtId="0" fontId="0" fillId="14269" borderId="0" xfId="0" applyFill="1"/>
    <xf numFmtId="0" fontId="0" fillId="14270" borderId="0" xfId="0" applyFill="1"/>
    <xf numFmtId="0" fontId="0" fillId="14271" borderId="0" xfId="0" applyFill="1"/>
    <xf numFmtId="0" fontId="0" fillId="14272" borderId="0" xfId="0" applyFill="1"/>
    <xf numFmtId="0" fontId="0" fillId="14273" borderId="0" xfId="0" applyFill="1"/>
    <xf numFmtId="0" fontId="0" fillId="14274" borderId="0" xfId="0" applyFill="1"/>
    <xf numFmtId="0" fontId="0" fillId="14275" borderId="0" xfId="0" applyFill="1"/>
    <xf numFmtId="0" fontId="0" fillId="14276" borderId="0" xfId="0" applyFill="1"/>
    <xf numFmtId="0" fontId="0" fillId="14277" borderId="0" xfId="0" applyFill="1"/>
    <xf numFmtId="0" fontId="0" fillId="14278" borderId="0" xfId="0" applyFill="1"/>
    <xf numFmtId="0" fontId="0" fillId="14279" borderId="0" xfId="0" applyFill="1"/>
    <xf numFmtId="0" fontId="0" fillId="14280" borderId="0" xfId="0" applyFill="1"/>
    <xf numFmtId="0" fontId="0" fillId="14281" borderId="0" xfId="0" applyFill="1"/>
    <xf numFmtId="0" fontId="0" fillId="14282" borderId="0" xfId="0" applyFill="1"/>
    <xf numFmtId="0" fontId="0" fillId="14283" borderId="0" xfId="0" applyFill="1"/>
    <xf numFmtId="0" fontId="0" fillId="14284" borderId="0" xfId="0" applyFill="1"/>
    <xf numFmtId="0" fontId="0" fillId="14285" borderId="0" xfId="0" applyFill="1"/>
    <xf numFmtId="0" fontId="0" fillId="14286" borderId="0" xfId="0" applyFill="1"/>
    <xf numFmtId="0" fontId="0" fillId="14287" borderId="0" xfId="0" applyFill="1"/>
    <xf numFmtId="0" fontId="0" fillId="14288" borderId="0" xfId="0" applyFill="1"/>
    <xf numFmtId="0" fontId="0" fillId="14289" borderId="0" xfId="0" applyFill="1"/>
    <xf numFmtId="0" fontId="0" fillId="14290" borderId="0" xfId="0" applyFill="1"/>
    <xf numFmtId="0" fontId="0" fillId="14291" borderId="0" xfId="0" applyFill="1"/>
    <xf numFmtId="0" fontId="0" fillId="14292" borderId="0" xfId="0" applyFill="1"/>
    <xf numFmtId="0" fontId="0" fillId="14293" borderId="0" xfId="0" applyFill="1"/>
    <xf numFmtId="0" fontId="0" fillId="14294" borderId="0" xfId="0" applyFill="1"/>
    <xf numFmtId="0" fontId="0" fillId="14295" borderId="0" xfId="0" applyFill="1"/>
    <xf numFmtId="0" fontId="0" fillId="14296" borderId="0" xfId="0" applyFill="1"/>
    <xf numFmtId="0" fontId="0" fillId="14297" borderId="0" xfId="0" applyFill="1"/>
    <xf numFmtId="0" fontId="0" fillId="14298" borderId="0" xfId="0" applyFill="1"/>
    <xf numFmtId="0" fontId="0" fillId="14299" borderId="0" xfId="0" applyFill="1"/>
    <xf numFmtId="0" fontId="0" fillId="14300" borderId="0" xfId="0" applyFill="1"/>
    <xf numFmtId="0" fontId="0" fillId="14301" borderId="0" xfId="0" applyFill="1"/>
    <xf numFmtId="0" fontId="0" fillId="14302" borderId="0" xfId="0" applyFill="1"/>
    <xf numFmtId="0" fontId="0" fillId="14303" borderId="0" xfId="0" applyFill="1"/>
    <xf numFmtId="0" fontId="0" fillId="14304" borderId="0" xfId="0" applyFill="1"/>
    <xf numFmtId="0" fontId="0" fillId="14305" borderId="0" xfId="0" applyFill="1"/>
    <xf numFmtId="0" fontId="0" fillId="14306" borderId="0" xfId="0" applyFill="1"/>
    <xf numFmtId="0" fontId="0" fillId="14307" borderId="0" xfId="0" applyFill="1"/>
    <xf numFmtId="0" fontId="0" fillId="14308" borderId="0" xfId="0" applyFill="1"/>
    <xf numFmtId="0" fontId="0" fillId="14309" borderId="0" xfId="0" applyFill="1"/>
    <xf numFmtId="0" fontId="0" fillId="14310" borderId="0" xfId="0" applyFill="1"/>
    <xf numFmtId="0" fontId="0" fillId="14311" borderId="0" xfId="0" applyFill="1"/>
    <xf numFmtId="0" fontId="0" fillId="14312" borderId="0" xfId="0" applyFill="1"/>
    <xf numFmtId="0" fontId="0" fillId="14313" borderId="0" xfId="0" applyFill="1"/>
    <xf numFmtId="0" fontId="0" fillId="14314" borderId="0" xfId="0" applyFill="1"/>
    <xf numFmtId="0" fontId="0" fillId="14315" borderId="0" xfId="0" applyFill="1"/>
    <xf numFmtId="0" fontId="0" fillId="14316" borderId="0" xfId="0" applyFill="1"/>
    <xf numFmtId="0" fontId="0" fillId="14317" borderId="0" xfId="0" applyFill="1"/>
    <xf numFmtId="0" fontId="0" fillId="14318" borderId="0" xfId="0" applyFill="1"/>
    <xf numFmtId="0" fontId="0" fillId="14319" borderId="0" xfId="0" applyFill="1"/>
    <xf numFmtId="0" fontId="0" fillId="14320" borderId="0" xfId="0" applyFill="1"/>
    <xf numFmtId="0" fontId="0" fillId="14321" borderId="0" xfId="0" applyFill="1"/>
    <xf numFmtId="0" fontId="0" fillId="14322" borderId="0" xfId="0" applyFill="1"/>
    <xf numFmtId="0" fontId="0" fillId="14323" borderId="0" xfId="0" applyFill="1"/>
    <xf numFmtId="0" fontId="0" fillId="14324" borderId="0" xfId="0" applyFill="1"/>
    <xf numFmtId="0" fontId="0" fillId="14325" borderId="0" xfId="0" applyFill="1"/>
    <xf numFmtId="0" fontId="0" fillId="14326" borderId="0" xfId="0" applyFill="1"/>
    <xf numFmtId="0" fontId="0" fillId="14327" borderId="0" xfId="0" applyFill="1"/>
    <xf numFmtId="0" fontId="0" fillId="14328" borderId="0" xfId="0" applyFill="1"/>
    <xf numFmtId="0" fontId="0" fillId="14329" borderId="0" xfId="0" applyFill="1"/>
    <xf numFmtId="0" fontId="0" fillId="14330" borderId="0" xfId="0" applyFill="1"/>
    <xf numFmtId="0" fontId="0" fillId="14331" borderId="0" xfId="0" applyFill="1"/>
    <xf numFmtId="0" fontId="0" fillId="14332" borderId="0" xfId="0" applyFill="1"/>
    <xf numFmtId="0" fontId="0" fillId="14333" borderId="0" xfId="0" applyFill="1"/>
    <xf numFmtId="0" fontId="0" fillId="14334" borderId="0" xfId="0" applyFill="1"/>
    <xf numFmtId="0" fontId="0" fillId="14335" borderId="0" xfId="0" applyFill="1"/>
    <xf numFmtId="0" fontId="0" fillId="14336" borderId="0" xfId="0" applyFill="1"/>
    <xf numFmtId="0" fontId="0" fillId="14337" borderId="0" xfId="0" applyFill="1"/>
    <xf numFmtId="0" fontId="0" fillId="14338" borderId="0" xfId="0" applyFill="1"/>
    <xf numFmtId="0" fontId="0" fillId="14339" borderId="0" xfId="0" applyFill="1"/>
    <xf numFmtId="0" fontId="0" fillId="14340" borderId="0" xfId="0" applyFill="1"/>
    <xf numFmtId="0" fontId="0" fillId="14341" borderId="0" xfId="0" applyFill="1"/>
    <xf numFmtId="0" fontId="0" fillId="14342" borderId="0" xfId="0" applyFill="1"/>
    <xf numFmtId="0" fontId="0" fillId="14343" borderId="0" xfId="0" applyFill="1"/>
    <xf numFmtId="0" fontId="0" fillId="14344" borderId="0" xfId="0" applyFill="1"/>
    <xf numFmtId="0" fontId="0" fillId="14345" borderId="0" xfId="0" applyFill="1"/>
    <xf numFmtId="0" fontId="0" fillId="14346" borderId="0" xfId="0" applyFill="1"/>
    <xf numFmtId="0" fontId="0" fillId="14347" borderId="0" xfId="0" applyFill="1"/>
    <xf numFmtId="0" fontId="0" fillId="14348" borderId="0" xfId="0" applyFill="1"/>
    <xf numFmtId="0" fontId="0" fillId="14349" borderId="0" xfId="0" applyFill="1"/>
    <xf numFmtId="0" fontId="0" fillId="14350" borderId="0" xfId="0" applyFill="1"/>
    <xf numFmtId="0" fontId="0" fillId="14351" borderId="0" xfId="0" applyFill="1"/>
    <xf numFmtId="0" fontId="0" fillId="14352" borderId="0" xfId="0" applyFill="1"/>
    <xf numFmtId="0" fontId="0" fillId="14353" borderId="0" xfId="0" applyFill="1"/>
    <xf numFmtId="0" fontId="0" fillId="14354" borderId="0" xfId="0" applyFill="1"/>
    <xf numFmtId="0" fontId="0" fillId="14355" borderId="0" xfId="0" applyFill="1"/>
    <xf numFmtId="0" fontId="0" fillId="14356" borderId="0" xfId="0" applyFill="1"/>
    <xf numFmtId="0" fontId="0" fillId="14357" borderId="0" xfId="0" applyFill="1"/>
    <xf numFmtId="0" fontId="0" fillId="14358" borderId="0" xfId="0" applyFill="1"/>
    <xf numFmtId="0" fontId="0" fillId="14359" borderId="0" xfId="0" applyFill="1"/>
    <xf numFmtId="0" fontId="0" fillId="14360" borderId="0" xfId="0" applyFill="1"/>
    <xf numFmtId="0" fontId="0" fillId="14361" borderId="0" xfId="0" applyFill="1"/>
    <xf numFmtId="0" fontId="0" fillId="14362" borderId="0" xfId="0" applyFill="1"/>
    <xf numFmtId="0" fontId="0" fillId="14363" borderId="0" xfId="0" applyFill="1"/>
    <xf numFmtId="0" fontId="0" fillId="14364" borderId="0" xfId="0" applyFill="1"/>
    <xf numFmtId="0" fontId="0" fillId="14365" borderId="0" xfId="0" applyFill="1"/>
    <xf numFmtId="0" fontId="0" fillId="14366" borderId="0" xfId="0" applyFill="1"/>
    <xf numFmtId="0" fontId="0" fillId="14367" borderId="0" xfId="0" applyFill="1"/>
    <xf numFmtId="0" fontId="0" fillId="14368" borderId="0" xfId="0" applyFill="1"/>
    <xf numFmtId="0" fontId="0" fillId="14369" borderId="0" xfId="0" applyFill="1"/>
    <xf numFmtId="0" fontId="0" fillId="14370" borderId="0" xfId="0" applyFill="1"/>
    <xf numFmtId="0" fontId="0" fillId="14371" borderId="0" xfId="0" applyFill="1"/>
    <xf numFmtId="0" fontId="0" fillId="14372" borderId="0" xfId="0" applyFill="1"/>
    <xf numFmtId="0" fontId="0" fillId="14373" borderId="0" xfId="0" applyFill="1"/>
    <xf numFmtId="0" fontId="0" fillId="14374" borderId="0" xfId="0" applyFill="1"/>
    <xf numFmtId="0" fontId="0" fillId="14375" borderId="0" xfId="0" applyFill="1"/>
    <xf numFmtId="0" fontId="0" fillId="14376" borderId="0" xfId="0" applyFill="1"/>
    <xf numFmtId="0" fontId="0" fillId="14377" borderId="0" xfId="0" applyFill="1"/>
    <xf numFmtId="0" fontId="0" fillId="14378" borderId="0" xfId="0" applyFill="1"/>
    <xf numFmtId="0" fontId="0" fillId="14379" borderId="0" xfId="0" applyFill="1"/>
    <xf numFmtId="0" fontId="0" fillId="14380" borderId="0" xfId="0" applyFill="1"/>
    <xf numFmtId="0" fontId="0" fillId="14381" borderId="0" xfId="0" applyFill="1"/>
    <xf numFmtId="0" fontId="0" fillId="14382" borderId="0" xfId="0" applyFill="1"/>
    <xf numFmtId="0" fontId="0" fillId="14383" borderId="0" xfId="0" applyFill="1"/>
    <xf numFmtId="0" fontId="0" fillId="14384" borderId="0" xfId="0" applyFill="1"/>
    <xf numFmtId="0" fontId="0" fillId="14385" borderId="0" xfId="0" applyFill="1"/>
    <xf numFmtId="0" fontId="0" fillId="14386" borderId="0" xfId="0" applyFill="1"/>
    <xf numFmtId="0" fontId="0" fillId="14387" borderId="0" xfId="0" applyFill="1"/>
    <xf numFmtId="0" fontId="0" fillId="14388" borderId="0" xfId="0" applyFill="1"/>
    <xf numFmtId="0" fontId="0" fillId="14389" borderId="0" xfId="0" applyFill="1"/>
    <xf numFmtId="0" fontId="0" fillId="14390" borderId="0" xfId="0" applyFill="1"/>
    <xf numFmtId="0" fontId="0" fillId="14391" borderId="0" xfId="0" applyFill="1"/>
    <xf numFmtId="0" fontId="0" fillId="14392" borderId="0" xfId="0" applyFill="1"/>
    <xf numFmtId="0" fontId="0" fillId="14393" borderId="0" xfId="0" applyFill="1"/>
    <xf numFmtId="0" fontId="0" fillId="14394" borderId="0" xfId="0" applyFill="1"/>
    <xf numFmtId="0" fontId="0" fillId="14395" borderId="0" xfId="0" applyFill="1"/>
    <xf numFmtId="0" fontId="0" fillId="14396" borderId="0" xfId="0" applyFill="1"/>
    <xf numFmtId="0" fontId="0" fillId="14397" borderId="0" xfId="0" applyFill="1"/>
    <xf numFmtId="0" fontId="0" fillId="14398" borderId="0" xfId="0" applyFill="1"/>
    <xf numFmtId="0" fontId="0" fillId="14399" borderId="0" xfId="0" applyFill="1"/>
    <xf numFmtId="0" fontId="0" fillId="14400" borderId="0" xfId="0" applyFill="1"/>
    <xf numFmtId="0" fontId="0" fillId="14401" borderId="0" xfId="0" applyFill="1"/>
    <xf numFmtId="0" fontId="0" fillId="14402" borderId="0" xfId="0" applyFill="1"/>
    <xf numFmtId="0" fontId="0" fillId="14403" borderId="0" xfId="0" applyFill="1"/>
    <xf numFmtId="0" fontId="0" fillId="14404" borderId="0" xfId="0" applyFill="1"/>
    <xf numFmtId="0" fontId="0" fillId="14405" borderId="0" xfId="0" applyFill="1"/>
    <xf numFmtId="0" fontId="0" fillId="14406" borderId="0" xfId="0" applyFill="1"/>
    <xf numFmtId="0" fontId="0" fillId="14407" borderId="0" xfId="0" applyFill="1"/>
    <xf numFmtId="0" fontId="0" fillId="14408" borderId="0" xfId="0" applyFill="1"/>
    <xf numFmtId="0" fontId="0" fillId="14409" borderId="0" xfId="0" applyFill="1"/>
    <xf numFmtId="0" fontId="0" fillId="14410" borderId="0" xfId="0" applyFill="1"/>
    <xf numFmtId="0" fontId="0" fillId="14411" borderId="0" xfId="0" applyFill="1"/>
    <xf numFmtId="0" fontId="0" fillId="14412" borderId="0" xfId="0" applyFill="1"/>
    <xf numFmtId="0" fontId="0" fillId="14413" borderId="0" xfId="0" applyFill="1"/>
    <xf numFmtId="0" fontId="0" fillId="14414" borderId="0" xfId="0" applyFill="1"/>
    <xf numFmtId="0" fontId="0" fillId="14415" borderId="0" xfId="0" applyFill="1"/>
    <xf numFmtId="0" fontId="0" fillId="14416" borderId="0" xfId="0" applyFill="1"/>
    <xf numFmtId="0" fontId="0" fillId="14417" borderId="0" xfId="0" applyFill="1"/>
    <xf numFmtId="0" fontId="0" fillId="14418" borderId="0" xfId="0" applyFill="1"/>
    <xf numFmtId="0" fontId="0" fillId="14419" borderId="0" xfId="0" applyFill="1"/>
    <xf numFmtId="0" fontId="0" fillId="14420" borderId="0" xfId="0" applyFill="1"/>
    <xf numFmtId="0" fontId="0" fillId="14421" borderId="0" xfId="0" applyFill="1"/>
    <xf numFmtId="0" fontId="0" fillId="14422" borderId="0" xfId="0" applyFill="1"/>
    <xf numFmtId="0" fontId="0" fillId="14423" borderId="0" xfId="0" applyFill="1"/>
    <xf numFmtId="0" fontId="0" fillId="14424" borderId="0" xfId="0" applyFill="1"/>
    <xf numFmtId="0" fontId="0" fillId="14425" borderId="0" xfId="0" applyFill="1"/>
    <xf numFmtId="0" fontId="0" fillId="14426" borderId="0" xfId="0" applyFill="1"/>
    <xf numFmtId="0" fontId="0" fillId="14427" borderId="0" xfId="0" applyFill="1"/>
    <xf numFmtId="0" fontId="0" fillId="14428" borderId="0" xfId="0" applyFill="1"/>
    <xf numFmtId="0" fontId="0" fillId="14429" borderId="0" xfId="0" applyFill="1"/>
    <xf numFmtId="0" fontId="0" fillId="14430" borderId="0" xfId="0" applyFill="1"/>
    <xf numFmtId="0" fontId="0" fillId="14431" borderId="0" xfId="0" applyFill="1"/>
    <xf numFmtId="0" fontId="0" fillId="14432" borderId="0" xfId="0" applyFill="1"/>
    <xf numFmtId="0" fontId="0" fillId="14433" borderId="0" xfId="0" applyFill="1"/>
    <xf numFmtId="0" fontId="0" fillId="14434" borderId="0" xfId="0" applyFill="1"/>
    <xf numFmtId="0" fontId="0" fillId="14435" borderId="0" xfId="0" applyFill="1"/>
    <xf numFmtId="0" fontId="0" fillId="14436" borderId="0" xfId="0" applyFill="1"/>
    <xf numFmtId="0" fontId="0" fillId="14437" borderId="0" xfId="0" applyFill="1"/>
    <xf numFmtId="0" fontId="0" fillId="14438" borderId="0" xfId="0" applyFill="1"/>
    <xf numFmtId="0" fontId="0" fillId="14439" borderId="0" xfId="0" applyFill="1"/>
    <xf numFmtId="0" fontId="0" fillId="14440" borderId="0" xfId="0" applyFill="1"/>
    <xf numFmtId="0" fontId="0" fillId="14441" borderId="0" xfId="0" applyFill="1"/>
    <xf numFmtId="0" fontId="0" fillId="14442" borderId="0" xfId="0" applyFill="1"/>
    <xf numFmtId="0" fontId="0" fillId="14443" borderId="0" xfId="0" applyFill="1"/>
    <xf numFmtId="0" fontId="0" fillId="14444" borderId="0" xfId="0" applyFill="1"/>
    <xf numFmtId="0" fontId="0" fillId="14445" borderId="0" xfId="0" applyFill="1"/>
    <xf numFmtId="0" fontId="0" fillId="14446" borderId="0" xfId="0" applyFill="1"/>
    <xf numFmtId="0" fontId="0" fillId="14447" borderId="0" xfId="0" applyFill="1"/>
    <xf numFmtId="0" fontId="0" fillId="14448" borderId="0" xfId="0" applyFill="1"/>
    <xf numFmtId="0" fontId="0" fillId="14449" borderId="0" xfId="0" applyFill="1"/>
    <xf numFmtId="0" fontId="0" fillId="14450" borderId="0" xfId="0" applyFill="1"/>
    <xf numFmtId="0" fontId="0" fillId="14451" borderId="0" xfId="0" applyFill="1"/>
    <xf numFmtId="0" fontId="0" fillId="14452" borderId="0" xfId="0" applyFill="1"/>
    <xf numFmtId="0" fontId="0" fillId="14453" borderId="0" xfId="0" applyFill="1"/>
    <xf numFmtId="0" fontId="0" fillId="14454" borderId="0" xfId="0" applyFill="1"/>
    <xf numFmtId="0" fontId="0" fillId="14455" borderId="0" xfId="0" applyFill="1"/>
    <xf numFmtId="0" fontId="0" fillId="14456" borderId="0" xfId="0" applyFill="1"/>
    <xf numFmtId="0" fontId="0" fillId="14457" borderId="0" xfId="0" applyFill="1"/>
    <xf numFmtId="0" fontId="0" fillId="14458" borderId="0" xfId="0" applyFill="1"/>
    <xf numFmtId="0" fontId="0" fillId="14459" borderId="0" xfId="0" applyFill="1"/>
    <xf numFmtId="0" fontId="0" fillId="14460" borderId="0" xfId="0" applyFill="1"/>
    <xf numFmtId="0" fontId="0" fillId="14461" borderId="0" xfId="0" applyFill="1"/>
    <xf numFmtId="0" fontId="0" fillId="14462" borderId="0" xfId="0" applyFill="1"/>
    <xf numFmtId="0" fontId="0" fillId="14463" borderId="0" xfId="0" applyFill="1"/>
    <xf numFmtId="0" fontId="0" fillId="14464" borderId="0" xfId="0" applyFill="1"/>
    <xf numFmtId="0" fontId="0" fillId="14465" borderId="0" xfId="0" applyFill="1"/>
    <xf numFmtId="0" fontId="0" fillId="14466" borderId="0" xfId="0" applyFill="1"/>
    <xf numFmtId="0" fontId="0" fillId="14467" borderId="0" xfId="0" applyFill="1"/>
    <xf numFmtId="0" fontId="0" fillId="14468" borderId="0" xfId="0" applyFill="1"/>
    <xf numFmtId="0" fontId="0" fillId="14469" borderId="0" xfId="0" applyFill="1"/>
    <xf numFmtId="0" fontId="0" fillId="14470" borderId="0" xfId="0" applyFill="1"/>
    <xf numFmtId="0" fontId="0" fillId="14471" borderId="0" xfId="0" applyFill="1"/>
    <xf numFmtId="0" fontId="0" fillId="14472" borderId="0" xfId="0" applyFill="1"/>
    <xf numFmtId="0" fontId="0" fillId="14473" borderId="0" xfId="0" applyFill="1"/>
    <xf numFmtId="0" fontId="0" fillId="14474" borderId="0" xfId="0" applyFill="1"/>
    <xf numFmtId="0" fontId="0" fillId="14475" borderId="0" xfId="0" applyFill="1"/>
    <xf numFmtId="0" fontId="0" fillId="14476" borderId="0" xfId="0" applyFill="1"/>
    <xf numFmtId="0" fontId="0" fillId="14477" borderId="0" xfId="0" applyFill="1"/>
    <xf numFmtId="0" fontId="0" fillId="14478" borderId="0" xfId="0" applyFill="1"/>
    <xf numFmtId="0" fontId="0" fillId="14479" borderId="0" xfId="0" applyFill="1"/>
    <xf numFmtId="0" fontId="0" fillId="14480" borderId="0" xfId="0" applyFill="1"/>
    <xf numFmtId="0" fontId="0" fillId="14481" borderId="0" xfId="0" applyFill="1"/>
    <xf numFmtId="0" fontId="0" fillId="14482" borderId="0" xfId="0" applyFill="1"/>
    <xf numFmtId="0" fontId="0" fillId="14483" borderId="0" xfId="0" applyFill="1"/>
    <xf numFmtId="0" fontId="0" fillId="14484" borderId="0" xfId="0" applyFill="1"/>
    <xf numFmtId="0" fontId="0" fillId="14485" borderId="0" xfId="0" applyFill="1"/>
    <xf numFmtId="0" fontId="0" fillId="14486" borderId="0" xfId="0" applyFill="1"/>
    <xf numFmtId="0" fontId="0" fillId="14487" borderId="0" xfId="0" applyFill="1"/>
    <xf numFmtId="0" fontId="0" fillId="14488" borderId="0" xfId="0" applyFill="1"/>
    <xf numFmtId="0" fontId="0" fillId="14489" borderId="0" xfId="0" applyFill="1"/>
    <xf numFmtId="0" fontId="0" fillId="14490" borderId="0" xfId="0" applyFill="1"/>
    <xf numFmtId="0" fontId="0" fillId="14491" borderId="0" xfId="0" applyFill="1"/>
    <xf numFmtId="0" fontId="0" fillId="14492" borderId="0" xfId="0" applyFill="1"/>
    <xf numFmtId="0" fontId="0" fillId="14493" borderId="0" xfId="0" applyFill="1"/>
    <xf numFmtId="0" fontId="0" fillId="14494" borderId="0" xfId="0" applyFill="1"/>
    <xf numFmtId="0" fontId="0" fillId="14495" borderId="0" xfId="0" applyFill="1"/>
    <xf numFmtId="0" fontId="0" fillId="14496" borderId="0" xfId="0" applyFill="1"/>
    <xf numFmtId="0" fontId="0" fillId="14497" borderId="0" xfId="0" applyFill="1"/>
    <xf numFmtId="0" fontId="0" fillId="14498" borderId="0" xfId="0" applyFill="1"/>
    <xf numFmtId="0" fontId="0" fillId="14499" borderId="0" xfId="0" applyFill="1"/>
    <xf numFmtId="0" fontId="0" fillId="14500" borderId="0" xfId="0" applyFill="1"/>
    <xf numFmtId="0" fontId="0" fillId="14501" borderId="0" xfId="0" applyFill="1"/>
    <xf numFmtId="0" fontId="0" fillId="14502" borderId="0" xfId="0" applyFill="1"/>
    <xf numFmtId="0" fontId="0" fillId="14503" borderId="0" xfId="0" applyFill="1"/>
    <xf numFmtId="0" fontId="0" fillId="14504" borderId="0" xfId="0" applyFill="1"/>
    <xf numFmtId="0" fontId="0" fillId="14505" borderId="0" xfId="0" applyFill="1"/>
    <xf numFmtId="0" fontId="0" fillId="14506" borderId="0" xfId="0" applyFill="1"/>
    <xf numFmtId="0" fontId="0" fillId="14507" borderId="0" xfId="0" applyFill="1"/>
    <xf numFmtId="0" fontId="0" fillId="14508" borderId="0" xfId="0" applyFill="1"/>
    <xf numFmtId="0" fontId="0" fillId="14509" borderId="0" xfId="0" applyFill="1"/>
    <xf numFmtId="0" fontId="0" fillId="14510" borderId="0" xfId="0" applyFill="1"/>
    <xf numFmtId="0" fontId="0" fillId="14511" borderId="0" xfId="0" applyFill="1"/>
    <xf numFmtId="0" fontId="0" fillId="14512" borderId="0" xfId="0" applyFill="1"/>
    <xf numFmtId="0" fontId="0" fillId="14513" borderId="0" xfId="0" applyFill="1"/>
    <xf numFmtId="0" fontId="0" fillId="14514" borderId="0" xfId="0" applyFill="1"/>
    <xf numFmtId="0" fontId="0" fillId="14515" borderId="0" xfId="0" applyFill="1"/>
    <xf numFmtId="0" fontId="0" fillId="14516" borderId="0" xfId="0" applyFill="1"/>
    <xf numFmtId="0" fontId="0" fillId="14517" borderId="0" xfId="0" applyFill="1"/>
    <xf numFmtId="0" fontId="0" fillId="14518" borderId="0" xfId="0" applyFill="1"/>
    <xf numFmtId="0" fontId="0" fillId="14519" borderId="0" xfId="0" applyFill="1"/>
    <xf numFmtId="0" fontId="0" fillId="14520" borderId="0" xfId="0" applyFill="1"/>
    <xf numFmtId="0" fontId="0" fillId="14521" borderId="0" xfId="0" applyFill="1"/>
    <xf numFmtId="0" fontId="0" fillId="14522" borderId="0" xfId="0" applyFill="1"/>
    <xf numFmtId="0" fontId="0" fillId="14523" borderId="0" xfId="0" applyFill="1"/>
    <xf numFmtId="0" fontId="0" fillId="14524" borderId="0" xfId="0" applyFill="1"/>
    <xf numFmtId="0" fontId="0" fillId="14525" borderId="0" xfId="0" applyFill="1"/>
    <xf numFmtId="0" fontId="0" fillId="14526" borderId="0" xfId="0" applyFill="1"/>
    <xf numFmtId="0" fontId="0" fillId="14527" borderId="0" xfId="0" applyFill="1"/>
    <xf numFmtId="0" fontId="0" fillId="14528" borderId="0" xfId="0" applyFill="1"/>
    <xf numFmtId="0" fontId="0" fillId="14529" borderId="0" xfId="0" applyFill="1"/>
    <xf numFmtId="0" fontId="0" fillId="14530" borderId="0" xfId="0" applyFill="1"/>
    <xf numFmtId="0" fontId="0" fillId="14531" borderId="0" xfId="0" applyFill="1"/>
    <xf numFmtId="0" fontId="0" fillId="14532" borderId="0" xfId="0" applyFill="1"/>
    <xf numFmtId="0" fontId="0" fillId="14533" borderId="0" xfId="0" applyFill="1"/>
    <xf numFmtId="0" fontId="0" fillId="14534" borderId="0" xfId="0" applyFill="1"/>
    <xf numFmtId="0" fontId="0" fillId="14535" borderId="0" xfId="0" applyFill="1"/>
    <xf numFmtId="0" fontId="0" fillId="14536" borderId="0" xfId="0" applyFill="1"/>
    <xf numFmtId="0" fontId="0" fillId="14537" borderId="0" xfId="0" applyFill="1"/>
    <xf numFmtId="0" fontId="0" fillId="14538" borderId="0" xfId="0" applyFill="1"/>
    <xf numFmtId="0" fontId="0" fillId="14539" borderId="0" xfId="0" applyFill="1"/>
    <xf numFmtId="0" fontId="0" fillId="14540" borderId="0" xfId="0" applyFill="1"/>
    <xf numFmtId="0" fontId="0" fillId="14541" borderId="0" xfId="0" applyFill="1"/>
    <xf numFmtId="0" fontId="0" fillId="14542" borderId="0" xfId="0" applyFill="1"/>
    <xf numFmtId="0" fontId="0" fillId="14543" borderId="0" xfId="0" applyFill="1"/>
    <xf numFmtId="0" fontId="0" fillId="14544" borderId="0" xfId="0" applyFill="1"/>
    <xf numFmtId="0" fontId="0" fillId="14545" borderId="0" xfId="0" applyFill="1"/>
    <xf numFmtId="0" fontId="0" fillId="14546" borderId="0" xfId="0" applyFill="1"/>
    <xf numFmtId="0" fontId="0" fillId="14547" borderId="0" xfId="0" applyFill="1"/>
    <xf numFmtId="0" fontId="0" fillId="14548" borderId="0" xfId="0" applyFill="1"/>
    <xf numFmtId="0" fontId="0" fillId="14549" borderId="0" xfId="0" applyFill="1"/>
    <xf numFmtId="0" fontId="0" fillId="14550" borderId="0" xfId="0" applyFill="1"/>
    <xf numFmtId="0" fontId="0" fillId="14551" borderId="0" xfId="0" applyFill="1"/>
    <xf numFmtId="0" fontId="0" fillId="14552" borderId="0" xfId="0" applyFill="1"/>
    <xf numFmtId="0" fontId="0" fillId="14553" borderId="0" xfId="0" applyFill="1"/>
    <xf numFmtId="0" fontId="0" fillId="14554" borderId="0" xfId="0" applyFill="1"/>
    <xf numFmtId="0" fontId="0" fillId="14555" borderId="0" xfId="0" applyFill="1"/>
    <xf numFmtId="0" fontId="0" fillId="14556" borderId="0" xfId="0" applyFill="1"/>
    <xf numFmtId="0" fontId="0" fillId="14557" borderId="0" xfId="0" applyFill="1"/>
    <xf numFmtId="0" fontId="0" fillId="14558" borderId="0" xfId="0" applyFill="1"/>
    <xf numFmtId="0" fontId="0" fillId="14559" borderId="0" xfId="0" applyFill="1"/>
    <xf numFmtId="0" fontId="0" fillId="14560" borderId="0" xfId="0" applyFill="1"/>
    <xf numFmtId="0" fontId="0" fillId="14561" borderId="0" xfId="0" applyFill="1"/>
    <xf numFmtId="0" fontId="0" fillId="14562" borderId="0" xfId="0" applyFill="1"/>
    <xf numFmtId="0" fontId="0" fillId="14563" borderId="0" xfId="0" applyFill="1"/>
    <xf numFmtId="0" fontId="0" fillId="14564" borderId="0" xfId="0" applyFill="1"/>
    <xf numFmtId="0" fontId="0" fillId="14565" borderId="0" xfId="0" applyFill="1"/>
    <xf numFmtId="0" fontId="0" fillId="14566" borderId="0" xfId="0" applyFill="1"/>
    <xf numFmtId="0" fontId="0" fillId="14567" borderId="0" xfId="0" applyFill="1"/>
    <xf numFmtId="0" fontId="0" fillId="14568" borderId="0" xfId="0" applyFill="1"/>
    <xf numFmtId="0" fontId="0" fillId="14569" borderId="0" xfId="0" applyFill="1"/>
    <xf numFmtId="0" fontId="0" fillId="14570" borderId="0" xfId="0" applyFill="1"/>
    <xf numFmtId="0" fontId="0" fillId="14571" borderId="0" xfId="0" applyFill="1"/>
    <xf numFmtId="0" fontId="0" fillId="14572" borderId="0" xfId="0" applyFill="1"/>
    <xf numFmtId="0" fontId="0" fillId="14573" borderId="0" xfId="0" applyFill="1"/>
    <xf numFmtId="0" fontId="0" fillId="14574" borderId="0" xfId="0" applyFill="1"/>
    <xf numFmtId="0" fontId="0" fillId="14575" borderId="0" xfId="0" applyFill="1"/>
    <xf numFmtId="0" fontId="0" fillId="14576" borderId="0" xfId="0" applyFill="1"/>
    <xf numFmtId="0" fontId="0" fillId="14577" borderId="0" xfId="0" applyFill="1"/>
    <xf numFmtId="0" fontId="0" fillId="14578" borderId="0" xfId="0" applyFill="1"/>
    <xf numFmtId="0" fontId="0" fillId="14579" borderId="0" xfId="0" applyFill="1"/>
    <xf numFmtId="0" fontId="0" fillId="14580" borderId="0" xfId="0" applyFill="1"/>
    <xf numFmtId="0" fontId="0" fillId="14581" borderId="0" xfId="0" applyFill="1"/>
    <xf numFmtId="0" fontId="0" fillId="14582" borderId="0" xfId="0" applyFill="1"/>
    <xf numFmtId="0" fontId="0" fillId="14583" borderId="0" xfId="0" applyFill="1"/>
    <xf numFmtId="0" fontId="0" fillId="14584" borderId="0" xfId="0" applyFill="1"/>
    <xf numFmtId="0" fontId="0" fillId="14585" borderId="0" xfId="0" applyFill="1"/>
    <xf numFmtId="0" fontId="0" fillId="14586" borderId="0" xfId="0" applyFill="1"/>
    <xf numFmtId="0" fontId="0" fillId="14587" borderId="0" xfId="0" applyFill="1"/>
    <xf numFmtId="0" fontId="0" fillId="14588" borderId="0" xfId="0" applyFill="1"/>
    <xf numFmtId="0" fontId="0" fillId="14589" borderId="0" xfId="0" applyFill="1"/>
    <xf numFmtId="0" fontId="0" fillId="14590" borderId="0" xfId="0" applyFill="1"/>
    <xf numFmtId="0" fontId="0" fillId="14591" borderId="0" xfId="0" applyFill="1"/>
    <xf numFmtId="0" fontId="0" fillId="14592" borderId="0" xfId="0" applyFill="1"/>
    <xf numFmtId="0" fontId="0" fillId="14593" borderId="0" xfId="0" applyFill="1"/>
    <xf numFmtId="0" fontId="0" fillId="14594" borderId="0" xfId="0" applyFill="1"/>
    <xf numFmtId="0" fontId="0" fillId="14595" borderId="0" xfId="0" applyFill="1"/>
    <xf numFmtId="0" fontId="0" fillId="14596" borderId="0" xfId="0" applyFill="1"/>
    <xf numFmtId="0" fontId="0" fillId="14597" borderId="0" xfId="0" applyFill="1"/>
    <xf numFmtId="0" fontId="0" fillId="14598" borderId="0" xfId="0" applyFill="1"/>
    <xf numFmtId="0" fontId="0" fillId="14599" borderId="0" xfId="0" applyFill="1"/>
    <xf numFmtId="0" fontId="0" fillId="14600" borderId="0" xfId="0" applyFill="1"/>
    <xf numFmtId="0" fontId="0" fillId="14601" borderId="0" xfId="0" applyFill="1"/>
    <xf numFmtId="0" fontId="0" fillId="14602" borderId="0" xfId="0" applyFill="1"/>
    <xf numFmtId="0" fontId="0" fillId="14603" borderId="0" xfId="0" applyFill="1"/>
    <xf numFmtId="0" fontId="0" fillId="14604" borderId="0" xfId="0" applyFill="1"/>
    <xf numFmtId="0" fontId="0" fillId="14605" borderId="0" xfId="0" applyFill="1"/>
    <xf numFmtId="0" fontId="0" fillId="14606" borderId="0" xfId="0" applyFill="1"/>
    <xf numFmtId="0" fontId="0" fillId="14607" borderId="0" xfId="0" applyFill="1"/>
    <xf numFmtId="0" fontId="0" fillId="14608" borderId="0" xfId="0" applyFill="1"/>
    <xf numFmtId="0" fontId="0" fillId="14609" borderId="0" xfId="0" applyFill="1"/>
    <xf numFmtId="0" fontId="0" fillId="14610" borderId="0" xfId="0" applyFill="1"/>
    <xf numFmtId="0" fontId="0" fillId="14611" borderId="0" xfId="0" applyFill="1"/>
    <xf numFmtId="0" fontId="0" fillId="14612" borderId="0" xfId="0" applyFill="1"/>
    <xf numFmtId="0" fontId="0" fillId="14613" borderId="0" xfId="0" applyFill="1"/>
    <xf numFmtId="0" fontId="0" fillId="14614" borderId="0" xfId="0" applyFill="1"/>
    <xf numFmtId="0" fontId="0" fillId="14615" borderId="0" xfId="0" applyFill="1"/>
    <xf numFmtId="0" fontId="0" fillId="14616" borderId="0" xfId="0" applyFill="1"/>
    <xf numFmtId="0" fontId="0" fillId="14617" borderId="0" xfId="0" applyFill="1"/>
    <xf numFmtId="0" fontId="0" fillId="14618" borderId="0" xfId="0" applyFill="1"/>
    <xf numFmtId="0" fontId="0" fillId="14619" borderId="0" xfId="0" applyFill="1"/>
    <xf numFmtId="0" fontId="0" fillId="14620" borderId="0" xfId="0" applyFill="1"/>
    <xf numFmtId="0" fontId="0" fillId="14621" borderId="0" xfId="0" applyFill="1"/>
    <xf numFmtId="0" fontId="0" fillId="14622" borderId="0" xfId="0" applyFill="1"/>
    <xf numFmtId="0" fontId="0" fillId="14623" borderId="0" xfId="0" applyFill="1"/>
    <xf numFmtId="0" fontId="0" fillId="14624" borderId="0" xfId="0" applyFill="1"/>
    <xf numFmtId="0" fontId="0" fillId="14625" borderId="0" xfId="0" applyFill="1"/>
    <xf numFmtId="0" fontId="0" fillId="14626" borderId="0" xfId="0" applyFill="1"/>
    <xf numFmtId="0" fontId="0" fillId="14627" borderId="0" xfId="0" applyFill="1"/>
    <xf numFmtId="0" fontId="0" fillId="14628" borderId="0" xfId="0" applyFill="1"/>
    <xf numFmtId="0" fontId="0" fillId="14629" borderId="0" xfId="0" applyFill="1"/>
    <xf numFmtId="0" fontId="0" fillId="14630" borderId="0" xfId="0" applyFill="1"/>
    <xf numFmtId="0" fontId="0" fillId="14631" borderId="0" xfId="0" applyFill="1"/>
    <xf numFmtId="0" fontId="0" fillId="14632" borderId="0" xfId="0" applyFill="1"/>
    <xf numFmtId="0" fontId="0" fillId="14633" borderId="0" xfId="0" applyFill="1"/>
    <xf numFmtId="0" fontId="0" fillId="14634" borderId="0" xfId="0" applyFill="1"/>
    <xf numFmtId="0" fontId="0" fillId="14635" borderId="0" xfId="0" applyFill="1"/>
    <xf numFmtId="0" fontId="0" fillId="14636" borderId="0" xfId="0" applyFill="1"/>
    <xf numFmtId="0" fontId="0" fillId="14637" borderId="0" xfId="0" applyFill="1"/>
    <xf numFmtId="0" fontId="0" fillId="14638" borderId="0" xfId="0" applyFill="1"/>
    <xf numFmtId="0" fontId="0" fillId="14639" borderId="0" xfId="0" applyFill="1"/>
    <xf numFmtId="0" fontId="0" fillId="14640" borderId="0" xfId="0" applyFill="1"/>
    <xf numFmtId="0" fontId="0" fillId="14641" borderId="0" xfId="0" applyFill="1"/>
    <xf numFmtId="0" fontId="0" fillId="14642" borderId="0" xfId="0" applyFill="1"/>
    <xf numFmtId="0" fontId="0" fillId="14643" borderId="0" xfId="0" applyFill="1"/>
    <xf numFmtId="0" fontId="0" fillId="14644" borderId="0" xfId="0" applyFill="1"/>
    <xf numFmtId="0" fontId="0" fillId="14645" borderId="0" xfId="0" applyFill="1"/>
    <xf numFmtId="0" fontId="0" fillId="14646" borderId="0" xfId="0" applyFill="1"/>
    <xf numFmtId="0" fontId="0" fillId="14647" borderId="0" xfId="0" applyFill="1"/>
    <xf numFmtId="0" fontId="0" fillId="14648" borderId="0" xfId="0" applyFill="1"/>
    <xf numFmtId="0" fontId="0" fillId="14649" borderId="0" xfId="0" applyFill="1"/>
    <xf numFmtId="0" fontId="0" fillId="14650" borderId="0" xfId="0" applyFill="1"/>
    <xf numFmtId="0" fontId="0" fillId="14651" borderId="0" xfId="0" applyFill="1"/>
    <xf numFmtId="0" fontId="0" fillId="14652" borderId="0" xfId="0" applyFill="1"/>
    <xf numFmtId="0" fontId="0" fillId="14653" borderId="0" xfId="0" applyFill="1"/>
    <xf numFmtId="0" fontId="0" fillId="14654" borderId="0" xfId="0" applyFill="1"/>
    <xf numFmtId="0" fontId="0" fillId="14655" borderId="0" xfId="0" applyFill="1"/>
    <xf numFmtId="0" fontId="0" fillId="14656" borderId="0" xfId="0" applyFill="1"/>
    <xf numFmtId="0" fontId="0" fillId="14657" borderId="0" xfId="0" applyFill="1"/>
    <xf numFmtId="0" fontId="0" fillId="14658" borderId="0" xfId="0" applyFill="1"/>
    <xf numFmtId="0" fontId="0" fillId="14659" borderId="0" xfId="0" applyFill="1"/>
    <xf numFmtId="0" fontId="0" fillId="14660" borderId="0" xfId="0" applyFill="1"/>
    <xf numFmtId="0" fontId="0" fillId="14661" borderId="0" xfId="0" applyFill="1"/>
    <xf numFmtId="0" fontId="0" fillId="14662" borderId="0" xfId="0" applyFill="1"/>
    <xf numFmtId="0" fontId="0" fillId="14663" borderId="0" xfId="0" applyFill="1"/>
    <xf numFmtId="0" fontId="0" fillId="14664" borderId="0" xfId="0" applyFill="1"/>
    <xf numFmtId="0" fontId="0" fillId="14665" borderId="0" xfId="0" applyFill="1"/>
    <xf numFmtId="0" fontId="0" fillId="14666" borderId="0" xfId="0" applyFill="1"/>
    <xf numFmtId="0" fontId="0" fillId="14667" borderId="0" xfId="0" applyFill="1"/>
    <xf numFmtId="0" fontId="0" fillId="14668" borderId="0" xfId="0" applyFill="1"/>
    <xf numFmtId="0" fontId="0" fillId="14669" borderId="0" xfId="0" applyFill="1"/>
    <xf numFmtId="0" fontId="0" fillId="14670" borderId="0" xfId="0" applyFill="1"/>
    <xf numFmtId="0" fontId="0" fillId="14671" borderId="0" xfId="0" applyFill="1"/>
    <xf numFmtId="0" fontId="0" fillId="14672" borderId="0" xfId="0" applyFill="1"/>
    <xf numFmtId="0" fontId="0" fillId="14673" borderId="0" xfId="0" applyFill="1"/>
    <xf numFmtId="0" fontId="0" fillId="14674" borderId="0" xfId="0" applyFill="1"/>
    <xf numFmtId="0" fontId="0" fillId="14675" borderId="0" xfId="0" applyFill="1"/>
    <xf numFmtId="0" fontId="0" fillId="14676" borderId="0" xfId="0" applyFill="1"/>
    <xf numFmtId="0" fontId="0" fillId="14677" borderId="0" xfId="0" applyFill="1"/>
    <xf numFmtId="0" fontId="0" fillId="14678" borderId="0" xfId="0" applyFill="1"/>
    <xf numFmtId="0" fontId="0" fillId="14679" borderId="0" xfId="0" applyFill="1"/>
    <xf numFmtId="0" fontId="0" fillId="14680" borderId="0" xfId="0" applyFill="1"/>
    <xf numFmtId="0" fontId="0" fillId="14681" borderId="0" xfId="0" applyFill="1"/>
    <xf numFmtId="0" fontId="0" fillId="14682" borderId="0" xfId="0" applyFill="1"/>
    <xf numFmtId="0" fontId="0" fillId="14683" borderId="0" xfId="0" applyFill="1"/>
    <xf numFmtId="0" fontId="0" fillId="14684" borderId="0" xfId="0" applyFill="1"/>
    <xf numFmtId="0" fontId="0" fillId="14685" borderId="0" xfId="0" applyFill="1"/>
    <xf numFmtId="0" fontId="0" fillId="14686" borderId="0" xfId="0" applyFill="1"/>
    <xf numFmtId="0" fontId="0" fillId="14687" borderId="0" xfId="0" applyFill="1"/>
    <xf numFmtId="0" fontId="0" fillId="14688" borderId="0" xfId="0" applyFill="1"/>
    <xf numFmtId="0" fontId="0" fillId="14689" borderId="0" xfId="0" applyFill="1"/>
    <xf numFmtId="0" fontId="0" fillId="14690" borderId="0" xfId="0" applyFill="1"/>
    <xf numFmtId="0" fontId="0" fillId="14691" borderId="0" xfId="0" applyFill="1"/>
    <xf numFmtId="0" fontId="0" fillId="14692" borderId="0" xfId="0" applyFill="1"/>
    <xf numFmtId="0" fontId="0" fillId="14693" borderId="0" xfId="0" applyFill="1"/>
    <xf numFmtId="0" fontId="0" fillId="14694" borderId="0" xfId="0" applyFill="1"/>
    <xf numFmtId="0" fontId="0" fillId="14695" borderId="0" xfId="0" applyFill="1"/>
    <xf numFmtId="0" fontId="0" fillId="14696" borderId="0" xfId="0" applyFill="1"/>
    <xf numFmtId="0" fontId="0" fillId="14697" borderId="0" xfId="0" applyFill="1"/>
    <xf numFmtId="0" fontId="0" fillId="14698" borderId="0" xfId="0" applyFill="1"/>
    <xf numFmtId="0" fontId="0" fillId="14699" borderId="0" xfId="0" applyFill="1"/>
    <xf numFmtId="0" fontId="0" fillId="14700" borderId="0" xfId="0" applyFill="1"/>
    <xf numFmtId="0" fontId="0" fillId="14701" borderId="0" xfId="0" applyFill="1"/>
    <xf numFmtId="0" fontId="0" fillId="14702" borderId="0" xfId="0" applyFill="1"/>
    <xf numFmtId="0" fontId="0" fillId="14703" borderId="0" xfId="0" applyFill="1"/>
    <xf numFmtId="0" fontId="0" fillId="14704" borderId="0" xfId="0" applyFill="1"/>
    <xf numFmtId="0" fontId="0" fillId="14705" borderId="0" xfId="0" applyFill="1"/>
    <xf numFmtId="0" fontId="0" fillId="14706" borderId="0" xfId="0" applyFill="1"/>
    <xf numFmtId="0" fontId="0" fillId="14707" borderId="0" xfId="0" applyFill="1"/>
    <xf numFmtId="0" fontId="0" fillId="14708" borderId="0" xfId="0" applyFill="1"/>
    <xf numFmtId="0" fontId="0" fillId="14709" borderId="0" xfId="0" applyFill="1"/>
    <xf numFmtId="0" fontId="0" fillId="14710" borderId="0" xfId="0" applyFill="1"/>
    <xf numFmtId="0" fontId="0" fillId="14711" borderId="0" xfId="0" applyFill="1"/>
    <xf numFmtId="0" fontId="0" fillId="14712" borderId="0" xfId="0" applyFill="1"/>
    <xf numFmtId="0" fontId="0" fillId="14713" borderId="0" xfId="0" applyFill="1"/>
    <xf numFmtId="0" fontId="0" fillId="14714" borderId="0" xfId="0" applyFill="1"/>
    <xf numFmtId="0" fontId="0" fillId="14715" borderId="0" xfId="0" applyFill="1"/>
    <xf numFmtId="0" fontId="0" fillId="14716" borderId="0" xfId="0" applyFill="1"/>
    <xf numFmtId="0" fontId="0" fillId="14717" borderId="0" xfId="0" applyFill="1"/>
    <xf numFmtId="0" fontId="0" fillId="14718" borderId="0" xfId="0" applyFill="1"/>
    <xf numFmtId="0" fontId="0" fillId="14719" borderId="0" xfId="0" applyFill="1"/>
    <xf numFmtId="0" fontId="0" fillId="14720" borderId="0" xfId="0" applyFill="1"/>
    <xf numFmtId="0" fontId="0" fillId="14721" borderId="0" xfId="0" applyFill="1"/>
    <xf numFmtId="0" fontId="0" fillId="14722" borderId="0" xfId="0" applyFill="1"/>
    <xf numFmtId="0" fontId="0" fillId="14723" borderId="0" xfId="0" applyFill="1"/>
    <xf numFmtId="0" fontId="0" fillId="14724" borderId="0" xfId="0" applyFill="1"/>
    <xf numFmtId="0" fontId="0" fillId="14725" borderId="0" xfId="0" applyFill="1"/>
    <xf numFmtId="0" fontId="0" fillId="14726" borderId="0" xfId="0" applyFill="1"/>
    <xf numFmtId="0" fontId="0" fillId="14727" borderId="0" xfId="0" applyFill="1"/>
    <xf numFmtId="0" fontId="0" fillId="14728" borderId="0" xfId="0" applyFill="1"/>
    <xf numFmtId="0" fontId="0" fillId="14729" borderId="0" xfId="0" applyFill="1"/>
    <xf numFmtId="0" fontId="0" fillId="14730" borderId="0" xfId="0" applyFill="1"/>
    <xf numFmtId="0" fontId="0" fillId="14731" borderId="0" xfId="0" applyFill="1"/>
    <xf numFmtId="0" fontId="0" fillId="14732" borderId="0" xfId="0" applyFill="1"/>
    <xf numFmtId="0" fontId="0" fillId="14733" borderId="0" xfId="0" applyFill="1"/>
    <xf numFmtId="0" fontId="0" fillId="14734" borderId="0" xfId="0" applyFill="1"/>
    <xf numFmtId="0" fontId="0" fillId="14735" borderId="0" xfId="0" applyFill="1"/>
    <xf numFmtId="0" fontId="0" fillId="14736" borderId="0" xfId="0" applyFill="1"/>
    <xf numFmtId="0" fontId="0" fillId="14737" borderId="0" xfId="0" applyFill="1"/>
    <xf numFmtId="0" fontId="0" fillId="14738" borderId="0" xfId="0" applyFill="1"/>
    <xf numFmtId="0" fontId="0" fillId="14739" borderId="0" xfId="0" applyFill="1"/>
    <xf numFmtId="0" fontId="0" fillId="14740" borderId="0" xfId="0" applyFill="1"/>
    <xf numFmtId="0" fontId="0" fillId="14741" borderId="0" xfId="0" applyFill="1"/>
    <xf numFmtId="0" fontId="0" fillId="14742" borderId="0" xfId="0" applyFill="1"/>
    <xf numFmtId="0" fontId="0" fillId="14743" borderId="0" xfId="0" applyFill="1"/>
    <xf numFmtId="0" fontId="0" fillId="14744" borderId="0" xfId="0" applyFill="1"/>
    <xf numFmtId="0" fontId="0" fillId="14745" borderId="0" xfId="0" applyFill="1"/>
    <xf numFmtId="0" fontId="0" fillId="14746" borderId="0" xfId="0" applyFill="1"/>
    <xf numFmtId="0" fontId="0" fillId="14747" borderId="0" xfId="0" applyFill="1"/>
    <xf numFmtId="0" fontId="0" fillId="14748" borderId="0" xfId="0" applyFill="1"/>
    <xf numFmtId="0" fontId="0" fillId="14749" borderId="0" xfId="0" applyFill="1"/>
    <xf numFmtId="0" fontId="0" fillId="14750" borderId="0" xfId="0" applyFill="1"/>
    <xf numFmtId="0" fontId="0" fillId="14751" borderId="0" xfId="0" applyFill="1"/>
    <xf numFmtId="0" fontId="0" fillId="14752" borderId="0" xfId="0" applyFill="1"/>
    <xf numFmtId="0" fontId="0" fillId="14753" borderId="0" xfId="0" applyFill="1"/>
    <xf numFmtId="0" fontId="0" fillId="14754" borderId="0" xfId="0" applyFill="1"/>
    <xf numFmtId="0" fontId="0" fillId="14755" borderId="0" xfId="0" applyFill="1"/>
    <xf numFmtId="0" fontId="0" fillId="14756" borderId="0" xfId="0" applyFill="1"/>
    <xf numFmtId="0" fontId="0" fillId="14757" borderId="0" xfId="0" applyFill="1"/>
    <xf numFmtId="0" fontId="0" fillId="14758" borderId="0" xfId="0" applyFill="1"/>
    <xf numFmtId="0" fontId="0" fillId="14759" borderId="0" xfId="0" applyFill="1"/>
    <xf numFmtId="0" fontId="0" fillId="14760" borderId="0" xfId="0" applyFill="1"/>
    <xf numFmtId="0" fontId="0" fillId="14761" borderId="0" xfId="0" applyFill="1"/>
    <xf numFmtId="0" fontId="0" fillId="14762" borderId="0" xfId="0" applyFill="1"/>
    <xf numFmtId="0" fontId="0" fillId="14763" borderId="0" xfId="0" applyFill="1"/>
    <xf numFmtId="0" fontId="0" fillId="14764" borderId="0" xfId="0" applyFill="1"/>
    <xf numFmtId="0" fontId="0" fillId="14765" borderId="0" xfId="0" applyFill="1"/>
    <xf numFmtId="0" fontId="0" fillId="14766" borderId="0" xfId="0" applyFill="1"/>
    <xf numFmtId="0" fontId="0" fillId="14767" borderId="0" xfId="0" applyFill="1"/>
    <xf numFmtId="0" fontId="0" fillId="14768" borderId="0" xfId="0" applyFill="1"/>
    <xf numFmtId="0" fontId="0" fillId="14769" borderId="0" xfId="0" applyFill="1"/>
    <xf numFmtId="0" fontId="0" fillId="14770" borderId="0" xfId="0" applyFill="1"/>
    <xf numFmtId="0" fontId="0" fillId="14771" borderId="0" xfId="0" applyFill="1"/>
    <xf numFmtId="0" fontId="0" fillId="14772" borderId="0" xfId="0" applyFill="1"/>
    <xf numFmtId="0" fontId="0" fillId="14773" borderId="0" xfId="0" applyFill="1"/>
    <xf numFmtId="0" fontId="0" fillId="14774" borderId="0" xfId="0" applyFill="1"/>
    <xf numFmtId="0" fontId="0" fillId="14775" borderId="0" xfId="0" applyFill="1"/>
    <xf numFmtId="0" fontId="0" fillId="14776" borderId="0" xfId="0" applyFill="1"/>
    <xf numFmtId="0" fontId="0" fillId="14777" borderId="0" xfId="0" applyFill="1"/>
    <xf numFmtId="0" fontId="0" fillId="14778" borderId="0" xfId="0" applyFill="1"/>
    <xf numFmtId="0" fontId="0" fillId="14779" borderId="0" xfId="0" applyFill="1"/>
    <xf numFmtId="0" fontId="0" fillId="14780" borderId="0" xfId="0" applyFill="1"/>
    <xf numFmtId="0" fontId="0" fillId="14781" borderId="0" xfId="0" applyFill="1"/>
    <xf numFmtId="0" fontId="0" fillId="14782" borderId="0" xfId="0" applyFill="1"/>
    <xf numFmtId="0" fontId="0" fillId="14783" borderId="0" xfId="0" applyFill="1"/>
    <xf numFmtId="0" fontId="0" fillId="14784" borderId="0" xfId="0" applyFill="1"/>
    <xf numFmtId="0" fontId="0" fillId="14785" borderId="0" xfId="0" applyFill="1"/>
    <xf numFmtId="0" fontId="0" fillId="14786" borderId="0" xfId="0" applyFill="1"/>
    <xf numFmtId="0" fontId="0" fillId="14787" borderId="0" xfId="0" applyFill="1"/>
    <xf numFmtId="0" fontId="0" fillId="14788" borderId="0" xfId="0" applyFill="1"/>
    <xf numFmtId="0" fontId="0" fillId="14789" borderId="0" xfId="0" applyFill="1"/>
    <xf numFmtId="0" fontId="0" fillId="14790" borderId="0" xfId="0" applyFill="1"/>
    <xf numFmtId="0" fontId="0" fillId="14791" borderId="0" xfId="0" applyFill="1"/>
    <xf numFmtId="0" fontId="0" fillId="14792" borderId="0" xfId="0" applyFill="1"/>
    <xf numFmtId="0" fontId="0" fillId="14793" borderId="0" xfId="0" applyFill="1"/>
    <xf numFmtId="0" fontId="0" fillId="14794" borderId="0" xfId="0" applyFill="1"/>
    <xf numFmtId="0" fontId="0" fillId="14795" borderId="0" xfId="0" applyFill="1"/>
    <xf numFmtId="0" fontId="0" fillId="14796" borderId="0" xfId="0" applyFill="1"/>
    <xf numFmtId="0" fontId="0" fillId="14797" borderId="0" xfId="0" applyFill="1"/>
    <xf numFmtId="0" fontId="0" fillId="14798" borderId="0" xfId="0" applyFill="1"/>
    <xf numFmtId="0" fontId="0" fillId="14799" borderId="0" xfId="0" applyFill="1"/>
    <xf numFmtId="0" fontId="0" fillId="14800" borderId="0" xfId="0" applyFill="1"/>
    <xf numFmtId="0" fontId="0" fillId="14801" borderId="0" xfId="0" applyFill="1"/>
    <xf numFmtId="0" fontId="0" fillId="14802" borderId="0" xfId="0" applyFill="1"/>
    <xf numFmtId="0" fontId="0" fillId="14803" borderId="0" xfId="0" applyFill="1"/>
    <xf numFmtId="0" fontId="0" fillId="14804" borderId="0" xfId="0" applyFill="1"/>
    <xf numFmtId="0" fontId="0" fillId="14805" borderId="0" xfId="0" applyFill="1"/>
    <xf numFmtId="0" fontId="0" fillId="14806" borderId="0" xfId="0" applyFill="1"/>
    <xf numFmtId="0" fontId="0" fillId="14807" borderId="0" xfId="0" applyFill="1"/>
    <xf numFmtId="0" fontId="0" fillId="14808" borderId="0" xfId="0" applyFill="1"/>
    <xf numFmtId="0" fontId="0" fillId="14809" borderId="0" xfId="0" applyFill="1"/>
    <xf numFmtId="0" fontId="0" fillId="14810" borderId="0" xfId="0" applyFill="1"/>
    <xf numFmtId="0" fontId="0" fillId="14811" borderId="0" xfId="0" applyFill="1"/>
    <xf numFmtId="0" fontId="0" fillId="14812" borderId="0" xfId="0" applyFill="1"/>
    <xf numFmtId="0" fontId="0" fillId="14813" borderId="0" xfId="0" applyFill="1"/>
    <xf numFmtId="0" fontId="0" fillId="14814" borderId="0" xfId="0" applyFill="1"/>
    <xf numFmtId="0" fontId="0" fillId="14815" borderId="0" xfId="0" applyFill="1"/>
    <xf numFmtId="0" fontId="0" fillId="14816" borderId="0" xfId="0" applyFill="1"/>
    <xf numFmtId="0" fontId="0" fillId="14817" borderId="0" xfId="0" applyFill="1"/>
    <xf numFmtId="0" fontId="0" fillId="14818" borderId="0" xfId="0" applyFill="1"/>
    <xf numFmtId="0" fontId="0" fillId="14819" borderId="0" xfId="0" applyFill="1"/>
    <xf numFmtId="0" fontId="0" fillId="14820" borderId="0" xfId="0" applyFill="1"/>
    <xf numFmtId="0" fontId="0" fillId="14821" borderId="0" xfId="0" applyFill="1"/>
    <xf numFmtId="0" fontId="0" fillId="14822" borderId="0" xfId="0" applyFill="1"/>
    <xf numFmtId="0" fontId="0" fillId="14823" borderId="0" xfId="0" applyFill="1"/>
    <xf numFmtId="0" fontId="0" fillId="14824" borderId="0" xfId="0" applyFill="1"/>
    <xf numFmtId="0" fontId="0" fillId="14825" borderId="0" xfId="0" applyFill="1"/>
    <xf numFmtId="0" fontId="0" fillId="14826" borderId="0" xfId="0" applyFill="1"/>
    <xf numFmtId="0" fontId="0" fillId="14827" borderId="0" xfId="0" applyFill="1"/>
    <xf numFmtId="0" fontId="0" fillId="14828" borderId="0" xfId="0" applyFill="1"/>
    <xf numFmtId="0" fontId="0" fillId="14829" borderId="0" xfId="0" applyFill="1"/>
    <xf numFmtId="0" fontId="0" fillId="14830" borderId="0" xfId="0" applyFill="1"/>
    <xf numFmtId="0" fontId="0" fillId="14831" borderId="0" xfId="0" applyFill="1"/>
    <xf numFmtId="0" fontId="0" fillId="14832" borderId="0" xfId="0" applyFill="1"/>
    <xf numFmtId="0" fontId="0" fillId="14833" borderId="0" xfId="0" applyFill="1"/>
    <xf numFmtId="0" fontId="0" fillId="14834" borderId="0" xfId="0" applyFill="1"/>
    <xf numFmtId="0" fontId="0" fillId="14835" borderId="0" xfId="0" applyFill="1"/>
    <xf numFmtId="0" fontId="0" fillId="14836" borderId="0" xfId="0" applyFill="1"/>
    <xf numFmtId="0" fontId="0" fillId="14837" borderId="0" xfId="0" applyFill="1"/>
    <xf numFmtId="0" fontId="0" fillId="14838" borderId="0" xfId="0" applyFill="1"/>
    <xf numFmtId="0" fontId="0" fillId="14839" borderId="0" xfId="0" applyFill="1"/>
    <xf numFmtId="0" fontId="0" fillId="14840" borderId="0" xfId="0" applyFill="1"/>
    <xf numFmtId="0" fontId="0" fillId="14841" borderId="0" xfId="0" applyFill="1"/>
    <xf numFmtId="0" fontId="0" fillId="14842" borderId="0" xfId="0" applyFill="1"/>
    <xf numFmtId="0" fontId="0" fillId="14843" borderId="0" xfId="0" applyFill="1"/>
    <xf numFmtId="0" fontId="0" fillId="14844" borderId="0" xfId="0" applyFill="1"/>
    <xf numFmtId="0" fontId="0" fillId="14845" borderId="0" xfId="0" applyFill="1"/>
    <xf numFmtId="0" fontId="0" fillId="14846" borderId="0" xfId="0" applyFill="1"/>
    <xf numFmtId="0" fontId="0" fillId="14847" borderId="0" xfId="0" applyFill="1"/>
    <xf numFmtId="0" fontId="0" fillId="14848" borderId="0" xfId="0" applyFill="1"/>
    <xf numFmtId="0" fontId="0" fillId="14849" borderId="0" xfId="0" applyFill="1"/>
    <xf numFmtId="0" fontId="0" fillId="14850" borderId="0" xfId="0" applyFill="1"/>
    <xf numFmtId="0" fontId="0" fillId="14851" borderId="0" xfId="0" applyFill="1"/>
    <xf numFmtId="0" fontId="0" fillId="14852" borderId="0" xfId="0" applyFill="1"/>
    <xf numFmtId="0" fontId="0" fillId="14853" borderId="0" xfId="0" applyFill="1"/>
    <xf numFmtId="0" fontId="0" fillId="14854" borderId="0" xfId="0" applyFill="1"/>
    <xf numFmtId="0" fontId="0" fillId="14855" borderId="0" xfId="0" applyFill="1"/>
    <xf numFmtId="0" fontId="0" fillId="14856" borderId="0" xfId="0" applyFill="1"/>
    <xf numFmtId="0" fontId="0" fillId="14857" borderId="0" xfId="0" applyFill="1"/>
    <xf numFmtId="0" fontId="0" fillId="14858" borderId="0" xfId="0" applyFill="1"/>
    <xf numFmtId="0" fontId="0" fillId="14859" borderId="0" xfId="0" applyFill="1"/>
    <xf numFmtId="0" fontId="0" fillId="14860" borderId="0" xfId="0" applyFill="1"/>
    <xf numFmtId="0" fontId="0" fillId="14861" borderId="0" xfId="0" applyFill="1"/>
    <xf numFmtId="0" fontId="0" fillId="14862" borderId="0" xfId="0" applyFill="1"/>
    <xf numFmtId="0" fontId="0" fillId="14863" borderId="0" xfId="0" applyFill="1"/>
    <xf numFmtId="0" fontId="0" fillId="14864" borderId="0" xfId="0" applyFill="1"/>
    <xf numFmtId="0" fontId="0" fillId="14865" borderId="0" xfId="0" applyFill="1"/>
    <xf numFmtId="0" fontId="0" fillId="14866" borderId="0" xfId="0" applyFill="1"/>
    <xf numFmtId="0" fontId="0" fillId="14867" borderId="0" xfId="0" applyFill="1"/>
    <xf numFmtId="0" fontId="0" fillId="14868" borderId="0" xfId="0" applyFill="1"/>
    <xf numFmtId="0" fontId="0" fillId="14869" borderId="0" xfId="0" applyFill="1"/>
    <xf numFmtId="0" fontId="0" fillId="14870" borderId="0" xfId="0" applyFill="1"/>
    <xf numFmtId="0" fontId="0" fillId="14871" borderId="0" xfId="0" applyFill="1"/>
    <xf numFmtId="0" fontId="0" fillId="14872" borderId="0" xfId="0" applyFill="1"/>
    <xf numFmtId="0" fontId="0" fillId="14873" borderId="0" xfId="0" applyFill="1"/>
    <xf numFmtId="0" fontId="0" fillId="14874" borderId="0" xfId="0" applyFill="1"/>
    <xf numFmtId="0" fontId="0" fillId="14875" borderId="0" xfId="0" applyFill="1"/>
    <xf numFmtId="0" fontId="0" fillId="14876" borderId="0" xfId="0" applyFill="1"/>
    <xf numFmtId="0" fontId="0" fillId="14877" borderId="0" xfId="0" applyFill="1"/>
    <xf numFmtId="0" fontId="0" fillId="14878" borderId="0" xfId="0" applyFill="1"/>
    <xf numFmtId="0" fontId="0" fillId="14879" borderId="0" xfId="0" applyFill="1"/>
    <xf numFmtId="0" fontId="0" fillId="14880" borderId="0" xfId="0" applyFill="1"/>
    <xf numFmtId="0" fontId="0" fillId="14881" borderId="0" xfId="0" applyFill="1"/>
    <xf numFmtId="0" fontId="0" fillId="14882" borderId="0" xfId="0" applyFill="1"/>
    <xf numFmtId="0" fontId="0" fillId="14883" borderId="0" xfId="0" applyFill="1"/>
    <xf numFmtId="0" fontId="0" fillId="14884" borderId="0" xfId="0" applyFill="1"/>
    <xf numFmtId="0" fontId="0" fillId="14885" borderId="0" xfId="0" applyFill="1"/>
    <xf numFmtId="0" fontId="0" fillId="14886" borderId="0" xfId="0" applyFill="1"/>
    <xf numFmtId="0" fontId="0" fillId="14887" borderId="0" xfId="0" applyFill="1"/>
    <xf numFmtId="0" fontId="0" fillId="14888" borderId="0" xfId="0" applyFill="1"/>
    <xf numFmtId="0" fontId="0" fillId="14889" borderId="0" xfId="0" applyFill="1"/>
    <xf numFmtId="0" fontId="0" fillId="14890" borderId="0" xfId="0" applyFill="1"/>
    <xf numFmtId="0" fontId="0" fillId="14891" borderId="0" xfId="0" applyFill="1"/>
    <xf numFmtId="0" fontId="0" fillId="14892" borderId="0" xfId="0" applyFill="1"/>
    <xf numFmtId="0" fontId="0" fillId="14893" borderId="0" xfId="0" applyFill="1"/>
    <xf numFmtId="0" fontId="0" fillId="14894" borderId="0" xfId="0" applyFill="1"/>
    <xf numFmtId="0" fontId="0" fillId="14895" borderId="0" xfId="0" applyFill="1"/>
    <xf numFmtId="0" fontId="0" fillId="14896" borderId="0" xfId="0" applyFill="1"/>
    <xf numFmtId="0" fontId="0" fillId="14897" borderId="0" xfId="0" applyFill="1"/>
    <xf numFmtId="0" fontId="0" fillId="14898" borderId="0" xfId="0" applyFill="1"/>
    <xf numFmtId="0" fontId="0" fillId="14899" borderId="0" xfId="0" applyFill="1"/>
    <xf numFmtId="0" fontId="0" fillId="14900" borderId="0" xfId="0" applyFill="1"/>
    <xf numFmtId="0" fontId="0" fillId="14901" borderId="0" xfId="0" applyFill="1"/>
    <xf numFmtId="0" fontId="0" fillId="14902" borderId="0" xfId="0" applyFill="1"/>
    <xf numFmtId="0" fontId="0" fillId="14903" borderId="0" xfId="0" applyFill="1"/>
    <xf numFmtId="0" fontId="0" fillId="14904" borderId="0" xfId="0" applyFill="1"/>
    <xf numFmtId="0" fontId="0" fillId="14905" borderId="0" xfId="0" applyFill="1"/>
    <xf numFmtId="0" fontId="0" fillId="14906" borderId="0" xfId="0" applyFill="1"/>
    <xf numFmtId="0" fontId="0" fillId="14907" borderId="0" xfId="0" applyFill="1"/>
    <xf numFmtId="0" fontId="0" fillId="14908" borderId="0" xfId="0" applyFill="1"/>
    <xf numFmtId="0" fontId="0" fillId="14909" borderId="0" xfId="0" applyFill="1"/>
    <xf numFmtId="0" fontId="0" fillId="14910" borderId="0" xfId="0" applyFill="1"/>
    <xf numFmtId="0" fontId="0" fillId="14911" borderId="0" xfId="0" applyFill="1"/>
    <xf numFmtId="0" fontId="0" fillId="14912" borderId="0" xfId="0" applyFill="1"/>
    <xf numFmtId="0" fontId="0" fillId="14913" borderId="0" xfId="0" applyFill="1"/>
    <xf numFmtId="0" fontId="0" fillId="14914" borderId="0" xfId="0" applyFill="1"/>
    <xf numFmtId="0" fontId="0" fillId="14915" borderId="0" xfId="0" applyFill="1"/>
    <xf numFmtId="0" fontId="0" fillId="14916" borderId="0" xfId="0" applyFill="1"/>
    <xf numFmtId="0" fontId="0" fillId="14917" borderId="0" xfId="0" applyFill="1"/>
    <xf numFmtId="0" fontId="0" fillId="14918" borderId="0" xfId="0" applyFill="1"/>
    <xf numFmtId="0" fontId="0" fillId="14919" borderId="0" xfId="0" applyFill="1"/>
    <xf numFmtId="0" fontId="0" fillId="14920" borderId="0" xfId="0" applyFill="1"/>
    <xf numFmtId="0" fontId="0" fillId="14921" borderId="0" xfId="0" applyFill="1"/>
    <xf numFmtId="0" fontId="0" fillId="14922" borderId="0" xfId="0" applyFill="1"/>
    <xf numFmtId="0" fontId="0" fillId="14923" borderId="0" xfId="0" applyFill="1"/>
    <xf numFmtId="0" fontId="0" fillId="14924" borderId="0" xfId="0" applyFill="1"/>
    <xf numFmtId="0" fontId="0" fillId="14925" borderId="0" xfId="0" applyFill="1"/>
    <xf numFmtId="0" fontId="0" fillId="14926" borderId="0" xfId="0" applyFill="1"/>
    <xf numFmtId="0" fontId="0" fillId="14927" borderId="0" xfId="0" applyFill="1"/>
    <xf numFmtId="0" fontId="0" fillId="14928" borderId="0" xfId="0" applyFill="1"/>
    <xf numFmtId="0" fontId="0" fillId="14929" borderId="0" xfId="0" applyFill="1"/>
    <xf numFmtId="0" fontId="0" fillId="14930" borderId="0" xfId="0" applyFill="1"/>
    <xf numFmtId="0" fontId="0" fillId="14931" borderId="0" xfId="0" applyFill="1"/>
    <xf numFmtId="0" fontId="0" fillId="14932" borderId="0" xfId="0" applyFill="1"/>
    <xf numFmtId="0" fontId="0" fillId="14933" borderId="0" xfId="0" applyFill="1"/>
    <xf numFmtId="0" fontId="0" fillId="14934" borderId="0" xfId="0" applyFill="1"/>
    <xf numFmtId="0" fontId="0" fillId="14935" borderId="0" xfId="0" applyFill="1"/>
    <xf numFmtId="0" fontId="0" fillId="14936" borderId="0" xfId="0" applyFill="1"/>
    <xf numFmtId="0" fontId="0" fillId="14937" borderId="0" xfId="0" applyFill="1"/>
    <xf numFmtId="0" fontId="0" fillId="14938" borderId="0" xfId="0" applyFill="1"/>
    <xf numFmtId="0" fontId="0" fillId="14939" borderId="0" xfId="0" applyFill="1"/>
    <xf numFmtId="0" fontId="0" fillId="14940" borderId="0" xfId="0" applyFill="1"/>
    <xf numFmtId="0" fontId="0" fillId="14941" borderId="0" xfId="0" applyFill="1"/>
    <xf numFmtId="0" fontId="0" fillId="14942" borderId="0" xfId="0" applyFill="1"/>
    <xf numFmtId="0" fontId="0" fillId="14943" borderId="0" xfId="0" applyFill="1"/>
    <xf numFmtId="0" fontId="0" fillId="14944" borderId="0" xfId="0" applyFill="1"/>
    <xf numFmtId="0" fontId="0" fillId="14945" borderId="0" xfId="0" applyFill="1"/>
    <xf numFmtId="0" fontId="0" fillId="14946" borderId="0" xfId="0" applyFill="1"/>
    <xf numFmtId="0" fontId="0" fillId="14947" borderId="0" xfId="0" applyFill="1"/>
    <xf numFmtId="0" fontId="0" fillId="14948" borderId="0" xfId="0" applyFill="1"/>
    <xf numFmtId="0" fontId="0" fillId="14949" borderId="0" xfId="0" applyFill="1"/>
    <xf numFmtId="0" fontId="0" fillId="14950" borderId="0" xfId="0" applyFill="1"/>
    <xf numFmtId="0" fontId="0" fillId="14951" borderId="0" xfId="0" applyFill="1"/>
    <xf numFmtId="0" fontId="0" fillId="14952" borderId="0" xfId="0" applyFill="1"/>
    <xf numFmtId="0" fontId="0" fillId="14953" borderId="0" xfId="0" applyFill="1"/>
    <xf numFmtId="0" fontId="0" fillId="14954" borderId="0" xfId="0" applyFill="1"/>
    <xf numFmtId="0" fontId="0" fillId="14955" borderId="0" xfId="0" applyFill="1"/>
    <xf numFmtId="0" fontId="0" fillId="14956" borderId="0" xfId="0" applyFill="1"/>
    <xf numFmtId="0" fontId="0" fillId="14957" borderId="0" xfId="0" applyFill="1"/>
    <xf numFmtId="0" fontId="0" fillId="14958" borderId="0" xfId="0" applyFill="1"/>
    <xf numFmtId="0" fontId="0" fillId="14959" borderId="0" xfId="0" applyFill="1"/>
    <xf numFmtId="0" fontId="0" fillId="14960" borderId="0" xfId="0" applyFill="1"/>
    <xf numFmtId="0" fontId="0" fillId="14961" borderId="0" xfId="0" applyFill="1"/>
    <xf numFmtId="0" fontId="0" fillId="14962" borderId="0" xfId="0" applyFill="1"/>
    <xf numFmtId="0" fontId="0" fillId="14963" borderId="0" xfId="0" applyFill="1"/>
    <xf numFmtId="0" fontId="0" fillId="14964" borderId="0" xfId="0" applyFill="1"/>
    <xf numFmtId="0" fontId="0" fillId="14965" borderId="0" xfId="0" applyFill="1"/>
    <xf numFmtId="0" fontId="0" fillId="14966" borderId="0" xfId="0" applyFill="1"/>
    <xf numFmtId="0" fontId="0" fillId="14967" borderId="0" xfId="0" applyFill="1"/>
    <xf numFmtId="0" fontId="0" fillId="14968" borderId="0" xfId="0" applyFill="1"/>
    <xf numFmtId="0" fontId="0" fillId="14969" borderId="0" xfId="0" applyFill="1"/>
    <xf numFmtId="0" fontId="0" fillId="14970" borderId="0" xfId="0" applyFill="1"/>
    <xf numFmtId="0" fontId="0" fillId="14971" borderId="0" xfId="0" applyFill="1"/>
    <xf numFmtId="0" fontId="0" fillId="14972" borderId="0" xfId="0" applyFill="1"/>
    <xf numFmtId="0" fontId="0" fillId="14973" borderId="0" xfId="0" applyFill="1"/>
    <xf numFmtId="0" fontId="0" fillId="14974" borderId="0" xfId="0" applyFill="1"/>
    <xf numFmtId="0" fontId="0" fillId="14975" borderId="0" xfId="0" applyFill="1"/>
    <xf numFmtId="0" fontId="0" fillId="14976" borderId="0" xfId="0" applyFill="1"/>
    <xf numFmtId="0" fontId="0" fillId="14977" borderId="0" xfId="0" applyFill="1"/>
    <xf numFmtId="0" fontId="0" fillId="14978" borderId="0" xfId="0" applyFill="1"/>
    <xf numFmtId="0" fontId="0" fillId="14979" borderId="0" xfId="0" applyFill="1"/>
    <xf numFmtId="0" fontId="0" fillId="14980" borderId="0" xfId="0" applyFill="1"/>
    <xf numFmtId="0" fontId="0" fillId="14981" borderId="0" xfId="0" applyFill="1"/>
    <xf numFmtId="0" fontId="0" fillId="14982" borderId="0" xfId="0" applyFill="1"/>
    <xf numFmtId="0" fontId="0" fillId="14983" borderId="0" xfId="0" applyFill="1"/>
    <xf numFmtId="0" fontId="0" fillId="14984" borderId="0" xfId="0" applyFill="1"/>
    <xf numFmtId="0" fontId="0" fillId="14985" borderId="0" xfId="0" applyFill="1"/>
    <xf numFmtId="0" fontId="0" fillId="14986" borderId="0" xfId="0" applyFill="1"/>
    <xf numFmtId="0" fontId="0" fillId="14987" borderId="0" xfId="0" applyFill="1"/>
    <xf numFmtId="0" fontId="0" fillId="14988" borderId="0" xfId="0" applyFill="1"/>
    <xf numFmtId="0" fontId="0" fillId="14989" borderId="0" xfId="0" applyFill="1"/>
    <xf numFmtId="0" fontId="0" fillId="14990" borderId="0" xfId="0" applyFill="1"/>
    <xf numFmtId="0" fontId="0" fillId="14991" borderId="0" xfId="0" applyFill="1"/>
    <xf numFmtId="0" fontId="0" fillId="14992" borderId="0" xfId="0" applyFill="1"/>
    <xf numFmtId="0" fontId="0" fillId="14993" borderId="0" xfId="0" applyFill="1"/>
    <xf numFmtId="0" fontId="0" fillId="14994" borderId="0" xfId="0" applyFill="1"/>
    <xf numFmtId="0" fontId="0" fillId="14995" borderId="0" xfId="0" applyFill="1"/>
    <xf numFmtId="0" fontId="0" fillId="14996" borderId="0" xfId="0" applyFill="1"/>
    <xf numFmtId="0" fontId="0" fillId="14997" borderId="0" xfId="0" applyFill="1"/>
    <xf numFmtId="0" fontId="0" fillId="14998" borderId="0" xfId="0" applyFill="1"/>
    <xf numFmtId="0" fontId="0" fillId="14999" borderId="0" xfId="0" applyFill="1"/>
    <xf numFmtId="0" fontId="0" fillId="15000" borderId="0" xfId="0" applyFill="1"/>
    <xf numFmtId="0" fontId="0" fillId="15001" borderId="0" xfId="0" applyFill="1"/>
    <xf numFmtId="0" fontId="0" fillId="15002" borderId="0" xfId="0" applyFill="1"/>
    <xf numFmtId="0" fontId="0" fillId="15003" borderId="0" xfId="0" applyFill="1"/>
    <xf numFmtId="0" fontId="0" fillId="15004" borderId="0" xfId="0" applyFill="1"/>
    <xf numFmtId="0" fontId="0" fillId="15005" borderId="0" xfId="0" applyFill="1"/>
    <xf numFmtId="0" fontId="0" fillId="15006" borderId="0" xfId="0" applyFill="1"/>
    <xf numFmtId="0" fontId="0" fillId="15007" borderId="0" xfId="0" applyFill="1"/>
    <xf numFmtId="0" fontId="0" fillId="15008" borderId="0" xfId="0" applyFill="1"/>
    <xf numFmtId="0" fontId="0" fillId="15009" borderId="0" xfId="0" applyFill="1"/>
    <xf numFmtId="0" fontId="0" fillId="15010" borderId="0" xfId="0" applyFill="1"/>
    <xf numFmtId="0" fontId="0" fillId="15011" borderId="0" xfId="0" applyFill="1"/>
    <xf numFmtId="0" fontId="0" fillId="15012" borderId="0" xfId="0" applyFill="1"/>
    <xf numFmtId="0" fontId="0" fillId="15013" borderId="0" xfId="0" applyFill="1"/>
    <xf numFmtId="0" fontId="0" fillId="15014" borderId="0" xfId="0" applyFill="1"/>
    <xf numFmtId="0" fontId="0" fillId="15015" borderId="0" xfId="0" applyFill="1"/>
    <xf numFmtId="0" fontId="0" fillId="15016" borderId="0" xfId="0" applyFill="1"/>
    <xf numFmtId="0" fontId="0" fillId="15017" borderId="0" xfId="0" applyFill="1"/>
    <xf numFmtId="0" fontId="0" fillId="15018" borderId="0" xfId="0" applyFill="1"/>
    <xf numFmtId="0" fontId="0" fillId="15019" borderId="0" xfId="0" applyFill="1"/>
    <xf numFmtId="0" fontId="0" fillId="15020" borderId="0" xfId="0" applyFill="1"/>
    <xf numFmtId="0" fontId="0" fillId="15021" borderId="0" xfId="0" applyFill="1"/>
    <xf numFmtId="0" fontId="0" fillId="15022" borderId="0" xfId="0" applyFill="1"/>
    <xf numFmtId="0" fontId="0" fillId="15023" borderId="0" xfId="0" applyFill="1"/>
    <xf numFmtId="0" fontId="0" fillId="15024" borderId="0" xfId="0" applyFill="1"/>
    <xf numFmtId="0" fontId="0" fillId="15025" borderId="0" xfId="0" applyFill="1"/>
    <xf numFmtId="0" fontId="0" fillId="15026" borderId="0" xfId="0" applyFill="1"/>
    <xf numFmtId="0" fontId="0" fillId="15027" borderId="0" xfId="0" applyFill="1"/>
    <xf numFmtId="0" fontId="0" fillId="15028" borderId="0" xfId="0" applyFill="1"/>
    <xf numFmtId="0" fontId="0" fillId="15029" borderId="0" xfId="0" applyFill="1"/>
    <xf numFmtId="0" fontId="0" fillId="15030" borderId="0" xfId="0" applyFill="1"/>
    <xf numFmtId="0" fontId="0" fillId="15031" borderId="0" xfId="0" applyFill="1"/>
    <xf numFmtId="0" fontId="0" fillId="15032" borderId="0" xfId="0" applyFill="1"/>
    <xf numFmtId="0" fontId="0" fillId="15033" borderId="0" xfId="0" applyFill="1"/>
    <xf numFmtId="0" fontId="0" fillId="15034" borderId="0" xfId="0" applyFill="1"/>
    <xf numFmtId="0" fontId="0" fillId="15035" borderId="0" xfId="0" applyFill="1"/>
    <xf numFmtId="0" fontId="0" fillId="15036" borderId="0" xfId="0" applyFill="1"/>
    <xf numFmtId="0" fontId="0" fillId="15037" borderId="0" xfId="0" applyFill="1"/>
    <xf numFmtId="0" fontId="0" fillId="15038" borderId="0" xfId="0" applyFill="1"/>
    <xf numFmtId="0" fontId="0" fillId="15039" borderId="0" xfId="0" applyFill="1"/>
    <xf numFmtId="0" fontId="0" fillId="15040" borderId="0" xfId="0" applyFill="1"/>
    <xf numFmtId="0" fontId="0" fillId="15041" borderId="0" xfId="0" applyFill="1"/>
    <xf numFmtId="0" fontId="0" fillId="15042" borderId="0" xfId="0" applyFill="1"/>
    <xf numFmtId="0" fontId="0" fillId="15043" borderId="0" xfId="0" applyFill="1"/>
    <xf numFmtId="0" fontId="0" fillId="15044" borderId="0" xfId="0" applyFill="1"/>
    <xf numFmtId="0" fontId="0" fillId="15045" borderId="0" xfId="0" applyFill="1"/>
    <xf numFmtId="0" fontId="0" fillId="15046" borderId="0" xfId="0" applyFill="1"/>
    <xf numFmtId="0" fontId="0" fillId="15047" borderId="0" xfId="0" applyFill="1"/>
    <xf numFmtId="0" fontId="0" fillId="15048" borderId="0" xfId="0" applyFill="1"/>
    <xf numFmtId="0" fontId="0" fillId="15049" borderId="0" xfId="0" applyFill="1"/>
    <xf numFmtId="0" fontId="0" fillId="15050" borderId="0" xfId="0" applyFill="1"/>
    <xf numFmtId="0" fontId="0" fillId="15051" borderId="0" xfId="0" applyFill="1"/>
    <xf numFmtId="0" fontId="0" fillId="15052" borderId="0" xfId="0" applyFill="1"/>
    <xf numFmtId="0" fontId="0" fillId="15053" borderId="0" xfId="0" applyFill="1"/>
    <xf numFmtId="0" fontId="0" fillId="15054" borderId="0" xfId="0" applyFill="1"/>
    <xf numFmtId="0" fontId="0" fillId="15055" borderId="0" xfId="0" applyFill="1"/>
    <xf numFmtId="0" fontId="0" fillId="15056" borderId="0" xfId="0" applyFill="1"/>
    <xf numFmtId="0" fontId="0" fillId="15057" borderId="0" xfId="0" applyFill="1"/>
    <xf numFmtId="0" fontId="0" fillId="15058" borderId="0" xfId="0" applyFill="1"/>
    <xf numFmtId="0" fontId="0" fillId="15059" borderId="0" xfId="0" applyFill="1"/>
    <xf numFmtId="0" fontId="0" fillId="15060" borderId="0" xfId="0" applyFill="1"/>
    <xf numFmtId="0" fontId="0" fillId="15061" borderId="0" xfId="0" applyFill="1"/>
    <xf numFmtId="0" fontId="0" fillId="15062" borderId="0" xfId="0" applyFill="1"/>
    <xf numFmtId="0" fontId="0" fillId="15063" borderId="0" xfId="0" applyFill="1"/>
    <xf numFmtId="0" fontId="0" fillId="15064" borderId="0" xfId="0" applyFill="1"/>
    <xf numFmtId="0" fontId="0" fillId="15065" borderId="0" xfId="0" applyFill="1"/>
    <xf numFmtId="0" fontId="0" fillId="15066" borderId="0" xfId="0" applyFill="1"/>
    <xf numFmtId="0" fontId="0" fillId="15067" borderId="0" xfId="0" applyFill="1"/>
    <xf numFmtId="0" fontId="0" fillId="15068" borderId="0" xfId="0" applyFill="1"/>
    <xf numFmtId="0" fontId="0" fillId="15069" borderId="0" xfId="0" applyFill="1"/>
    <xf numFmtId="0" fontId="0" fillId="15070" borderId="0" xfId="0" applyFill="1"/>
    <xf numFmtId="0" fontId="0" fillId="15071" borderId="0" xfId="0" applyFill="1"/>
    <xf numFmtId="0" fontId="0" fillId="15072" borderId="0" xfId="0" applyFill="1"/>
    <xf numFmtId="0" fontId="0" fillId="15073" borderId="0" xfId="0" applyFill="1"/>
    <xf numFmtId="0" fontId="0" fillId="15074" borderId="0" xfId="0" applyFill="1"/>
    <xf numFmtId="0" fontId="0" fillId="15075" borderId="0" xfId="0" applyFill="1"/>
    <xf numFmtId="0" fontId="0" fillId="15076" borderId="0" xfId="0" applyFill="1"/>
    <xf numFmtId="0" fontId="0" fillId="15077" borderId="0" xfId="0" applyFill="1"/>
    <xf numFmtId="0" fontId="0" fillId="15078" borderId="0" xfId="0" applyFill="1"/>
    <xf numFmtId="0" fontId="0" fillId="15079" borderId="0" xfId="0" applyFill="1"/>
    <xf numFmtId="0" fontId="0" fillId="15080" borderId="0" xfId="0" applyFill="1"/>
    <xf numFmtId="0" fontId="0" fillId="15081" borderId="0" xfId="0" applyFill="1"/>
    <xf numFmtId="0" fontId="0" fillId="15082" borderId="0" xfId="0" applyFill="1"/>
    <xf numFmtId="0" fontId="0" fillId="15083" borderId="0" xfId="0" applyFill="1"/>
    <xf numFmtId="0" fontId="0" fillId="15084" borderId="0" xfId="0" applyFill="1"/>
    <xf numFmtId="0" fontId="0" fillId="15085" borderId="0" xfId="0" applyFill="1"/>
    <xf numFmtId="0" fontId="0" fillId="15086" borderId="0" xfId="0" applyFill="1"/>
    <xf numFmtId="0" fontId="0" fillId="15087" borderId="0" xfId="0" applyFill="1"/>
    <xf numFmtId="0" fontId="0" fillId="15088" borderId="0" xfId="0" applyFill="1"/>
    <xf numFmtId="0" fontId="0" fillId="15089" borderId="0" xfId="0" applyFill="1"/>
    <xf numFmtId="0" fontId="0" fillId="15090" borderId="0" xfId="0" applyFill="1"/>
    <xf numFmtId="0" fontId="0" fillId="15091" borderId="0" xfId="0" applyFill="1"/>
    <xf numFmtId="0" fontId="0" fillId="15092" borderId="0" xfId="0" applyFill="1"/>
    <xf numFmtId="0" fontId="0" fillId="15093" borderId="0" xfId="0" applyFill="1"/>
    <xf numFmtId="0" fontId="0" fillId="15094" borderId="0" xfId="0" applyFill="1"/>
    <xf numFmtId="0" fontId="0" fillId="15095" borderId="0" xfId="0" applyFill="1"/>
    <xf numFmtId="0" fontId="0" fillId="15096" borderId="0" xfId="0" applyFill="1"/>
    <xf numFmtId="0" fontId="0" fillId="15097" borderId="0" xfId="0" applyFill="1"/>
    <xf numFmtId="0" fontId="0" fillId="15098" borderId="0" xfId="0" applyFill="1"/>
    <xf numFmtId="0" fontId="0" fillId="15099" borderId="0" xfId="0" applyFill="1"/>
    <xf numFmtId="0" fontId="0" fillId="15100" borderId="0" xfId="0" applyFill="1"/>
    <xf numFmtId="0" fontId="0" fillId="15101" borderId="0" xfId="0" applyFill="1"/>
    <xf numFmtId="0" fontId="0" fillId="15102" borderId="0" xfId="0" applyFill="1"/>
    <xf numFmtId="0" fontId="0" fillId="15103" borderId="0" xfId="0" applyFill="1"/>
    <xf numFmtId="0" fontId="0" fillId="15104" borderId="0" xfId="0" applyFill="1"/>
    <xf numFmtId="0" fontId="0" fillId="15105" borderId="0" xfId="0" applyFill="1"/>
    <xf numFmtId="0" fontId="0" fillId="15106" borderId="0" xfId="0" applyFill="1"/>
    <xf numFmtId="0" fontId="0" fillId="15107" borderId="0" xfId="0" applyFill="1"/>
    <xf numFmtId="0" fontId="0" fillId="15108" borderId="0" xfId="0" applyFill="1"/>
    <xf numFmtId="0" fontId="0" fillId="15109" borderId="0" xfId="0" applyFill="1"/>
    <xf numFmtId="0" fontId="0" fillId="15110" borderId="0" xfId="0" applyFill="1"/>
    <xf numFmtId="0" fontId="0" fillId="15111" borderId="0" xfId="0" applyFill="1"/>
    <xf numFmtId="0" fontId="0" fillId="15112" borderId="0" xfId="0" applyFill="1"/>
    <xf numFmtId="0" fontId="0" fillId="15113" borderId="0" xfId="0" applyFill="1"/>
    <xf numFmtId="0" fontId="0" fillId="15114" borderId="0" xfId="0" applyFill="1"/>
    <xf numFmtId="0" fontId="0" fillId="15115" borderId="0" xfId="0" applyFill="1"/>
    <xf numFmtId="0" fontId="0" fillId="15116" borderId="0" xfId="0" applyFill="1"/>
    <xf numFmtId="0" fontId="0" fillId="15117" borderId="0" xfId="0" applyFill="1"/>
    <xf numFmtId="0" fontId="0" fillId="15118" borderId="0" xfId="0" applyFill="1"/>
    <xf numFmtId="0" fontId="0" fillId="15119" borderId="0" xfId="0" applyFill="1"/>
    <xf numFmtId="0" fontId="0" fillId="15120" borderId="0" xfId="0" applyFill="1"/>
    <xf numFmtId="0" fontId="0" fillId="15121" borderId="0" xfId="0" applyFill="1"/>
    <xf numFmtId="0" fontId="0" fillId="15122" borderId="0" xfId="0" applyFill="1"/>
    <xf numFmtId="0" fontId="0" fillId="15123" borderId="0" xfId="0" applyFill="1"/>
    <xf numFmtId="0" fontId="0" fillId="15124" borderId="0" xfId="0" applyFill="1"/>
    <xf numFmtId="0" fontId="0" fillId="15125" borderId="0" xfId="0" applyFill="1"/>
    <xf numFmtId="0" fontId="0" fillId="15126" borderId="0" xfId="0" applyFill="1"/>
    <xf numFmtId="0" fontId="0" fillId="15127" borderId="0" xfId="0" applyFill="1"/>
    <xf numFmtId="0" fontId="0" fillId="15128" borderId="0" xfId="0" applyFill="1"/>
    <xf numFmtId="0" fontId="0" fillId="15129" borderId="0" xfId="0" applyFill="1"/>
    <xf numFmtId="0" fontId="0" fillId="15130" borderId="0" xfId="0" applyFill="1"/>
    <xf numFmtId="0" fontId="0" fillId="15131" borderId="0" xfId="0" applyFill="1"/>
    <xf numFmtId="0" fontId="0" fillId="15132" borderId="0" xfId="0" applyFill="1"/>
    <xf numFmtId="0" fontId="0" fillId="15133" borderId="0" xfId="0" applyFill="1"/>
    <xf numFmtId="0" fontId="0" fillId="15134" borderId="0" xfId="0" applyFill="1"/>
    <xf numFmtId="0" fontId="0" fillId="15135" borderId="0" xfId="0" applyFill="1"/>
    <xf numFmtId="0" fontId="0" fillId="15136" borderId="0" xfId="0" applyFill="1"/>
    <xf numFmtId="0" fontId="0" fillId="15137" borderId="0" xfId="0" applyFill="1"/>
    <xf numFmtId="0" fontId="0" fillId="15138" borderId="0" xfId="0" applyFill="1"/>
    <xf numFmtId="0" fontId="0" fillId="15139" borderId="0" xfId="0" applyFill="1"/>
    <xf numFmtId="0" fontId="0" fillId="15140" borderId="0" xfId="0" applyFill="1"/>
    <xf numFmtId="0" fontId="0" fillId="15141" borderId="0" xfId="0" applyFill="1"/>
    <xf numFmtId="0" fontId="0" fillId="15142" borderId="0" xfId="0" applyFill="1"/>
    <xf numFmtId="0" fontId="0" fillId="15143" borderId="0" xfId="0" applyFill="1"/>
    <xf numFmtId="0" fontId="0" fillId="15144" borderId="0" xfId="0" applyFill="1"/>
    <xf numFmtId="0" fontId="0" fillId="15145" borderId="0" xfId="0" applyFill="1"/>
    <xf numFmtId="0" fontId="0" fillId="15146" borderId="0" xfId="0" applyFill="1"/>
    <xf numFmtId="0" fontId="0" fillId="15147" borderId="0" xfId="0" applyFill="1"/>
    <xf numFmtId="0" fontId="0" fillId="15148" borderId="0" xfId="0" applyFill="1"/>
    <xf numFmtId="0" fontId="0" fillId="15149" borderId="0" xfId="0" applyFill="1"/>
    <xf numFmtId="0" fontId="0" fillId="15150" borderId="0" xfId="0" applyFill="1"/>
    <xf numFmtId="0" fontId="0" fillId="15151" borderId="0" xfId="0" applyFill="1"/>
    <xf numFmtId="0" fontId="0" fillId="15152" borderId="0" xfId="0" applyFill="1"/>
    <xf numFmtId="0" fontId="0" fillId="15153" borderId="0" xfId="0" applyFill="1"/>
    <xf numFmtId="0" fontId="0" fillId="15154" borderId="0" xfId="0" applyFill="1"/>
    <xf numFmtId="0" fontId="0" fillId="15155" borderId="0" xfId="0" applyFill="1"/>
    <xf numFmtId="0" fontId="0" fillId="15156" borderId="0" xfId="0" applyFill="1"/>
    <xf numFmtId="0" fontId="0" fillId="15157" borderId="0" xfId="0" applyFill="1"/>
    <xf numFmtId="0" fontId="0" fillId="15158" borderId="0" xfId="0" applyFill="1"/>
    <xf numFmtId="0" fontId="0" fillId="15159" borderId="0" xfId="0" applyFill="1"/>
    <xf numFmtId="0" fontId="0" fillId="15160" borderId="0" xfId="0" applyFill="1"/>
    <xf numFmtId="0" fontId="0" fillId="15161" borderId="0" xfId="0" applyFill="1"/>
    <xf numFmtId="0" fontId="0" fillId="15162" borderId="0" xfId="0" applyFill="1"/>
    <xf numFmtId="0" fontId="0" fillId="15163" borderId="0" xfId="0" applyFill="1"/>
    <xf numFmtId="0" fontId="0" fillId="15164" borderId="0" xfId="0" applyFill="1"/>
    <xf numFmtId="0" fontId="0" fillId="15165" borderId="0" xfId="0" applyFill="1"/>
    <xf numFmtId="0" fontId="0" fillId="15166" borderId="0" xfId="0" applyFill="1"/>
    <xf numFmtId="0" fontId="0" fillId="15167" borderId="0" xfId="0" applyFill="1"/>
    <xf numFmtId="0" fontId="0" fillId="15168" borderId="0" xfId="0" applyFill="1"/>
    <xf numFmtId="0" fontId="0" fillId="15169" borderId="0" xfId="0" applyFill="1"/>
    <xf numFmtId="0" fontId="0" fillId="15170" borderId="0" xfId="0" applyFill="1"/>
    <xf numFmtId="0" fontId="0" fillId="15171" borderId="0" xfId="0" applyFill="1"/>
    <xf numFmtId="0" fontId="0" fillId="15172" borderId="0" xfId="0" applyFill="1"/>
    <xf numFmtId="0" fontId="0" fillId="15173" borderId="0" xfId="0" applyFill="1"/>
    <xf numFmtId="0" fontId="0" fillId="15174" borderId="0" xfId="0" applyFill="1"/>
    <xf numFmtId="0" fontId="0" fillId="15175" borderId="0" xfId="0" applyFill="1"/>
    <xf numFmtId="0" fontId="0" fillId="15176" borderId="0" xfId="0" applyFill="1"/>
    <xf numFmtId="0" fontId="0" fillId="15177" borderId="0" xfId="0" applyFill="1"/>
    <xf numFmtId="0" fontId="0" fillId="15178" borderId="0" xfId="0" applyFill="1"/>
    <xf numFmtId="0" fontId="0" fillId="15179" borderId="0" xfId="0" applyFill="1"/>
    <xf numFmtId="0" fontId="0" fillId="15180" borderId="0" xfId="0" applyFill="1"/>
    <xf numFmtId="0" fontId="0" fillId="15181" borderId="0" xfId="0" applyFill="1"/>
    <xf numFmtId="0" fontId="0" fillId="15182" borderId="0" xfId="0" applyFill="1"/>
    <xf numFmtId="0" fontId="0" fillId="15183" borderId="0" xfId="0" applyFill="1"/>
    <xf numFmtId="0" fontId="0" fillId="15184" borderId="0" xfId="0" applyFill="1"/>
    <xf numFmtId="0" fontId="0" fillId="15185" borderId="0" xfId="0" applyFill="1"/>
    <xf numFmtId="0" fontId="0" fillId="15186" borderId="0" xfId="0" applyFill="1"/>
    <xf numFmtId="0" fontId="0" fillId="15187" borderId="0" xfId="0" applyFill="1"/>
    <xf numFmtId="0" fontId="0" fillId="15188" borderId="0" xfId="0" applyFill="1"/>
    <xf numFmtId="0" fontId="0" fillId="15189" borderId="0" xfId="0" applyFill="1"/>
    <xf numFmtId="0" fontId="0" fillId="15190" borderId="0" xfId="0" applyFill="1"/>
    <xf numFmtId="0" fontId="0" fillId="15191" borderId="0" xfId="0" applyFill="1"/>
    <xf numFmtId="0" fontId="0" fillId="15192" borderId="0" xfId="0" applyFill="1"/>
    <xf numFmtId="0" fontId="0" fillId="15193" borderId="0" xfId="0" applyFill="1"/>
    <xf numFmtId="0" fontId="0" fillId="15194" borderId="0" xfId="0" applyFill="1"/>
    <xf numFmtId="0" fontId="0" fillId="15195" borderId="0" xfId="0" applyFill="1"/>
    <xf numFmtId="0" fontId="0" fillId="15196" borderId="0" xfId="0" applyFill="1"/>
    <xf numFmtId="0" fontId="0" fillId="15197" borderId="0" xfId="0" applyFill="1"/>
    <xf numFmtId="0" fontId="0" fillId="15198" borderId="0" xfId="0" applyFill="1"/>
    <xf numFmtId="0" fontId="0" fillId="15199" borderId="0" xfId="0" applyFill="1"/>
    <xf numFmtId="0" fontId="0" fillId="15200" borderId="0" xfId="0" applyFill="1"/>
    <xf numFmtId="0" fontId="0" fillId="15201" borderId="0" xfId="0" applyFill="1"/>
    <xf numFmtId="0" fontId="0" fillId="15202" borderId="0" xfId="0" applyFill="1"/>
    <xf numFmtId="0" fontId="0" fillId="15203" borderId="0" xfId="0" applyFill="1"/>
    <xf numFmtId="0" fontId="0" fillId="15204" borderId="0" xfId="0" applyFill="1"/>
    <xf numFmtId="0" fontId="0" fillId="15205" borderId="0" xfId="0" applyFill="1"/>
    <xf numFmtId="0" fontId="0" fillId="15206" borderId="0" xfId="0" applyFill="1"/>
    <xf numFmtId="0" fontId="0" fillId="15207" borderId="0" xfId="0" applyFill="1"/>
    <xf numFmtId="0" fontId="0" fillId="15208" borderId="0" xfId="0" applyFill="1"/>
    <xf numFmtId="0" fontId="0" fillId="15209" borderId="0" xfId="0" applyFill="1"/>
    <xf numFmtId="0" fontId="0" fillId="15210" borderId="0" xfId="0" applyFill="1"/>
    <xf numFmtId="0" fontId="0" fillId="15211" borderId="0" xfId="0" applyFill="1"/>
    <xf numFmtId="0" fontId="0" fillId="15212" borderId="0" xfId="0" applyFill="1"/>
    <xf numFmtId="0" fontId="0" fillId="15213" borderId="0" xfId="0" applyFill="1"/>
    <xf numFmtId="0" fontId="0" fillId="15214" borderId="0" xfId="0" applyFill="1"/>
    <xf numFmtId="0" fontId="0" fillId="15215" borderId="0" xfId="0" applyFill="1"/>
    <xf numFmtId="0" fontId="0" fillId="15216" borderId="0" xfId="0" applyFill="1"/>
    <xf numFmtId="0" fontId="0" fillId="15217" borderId="0" xfId="0" applyFill="1"/>
    <xf numFmtId="0" fontId="0" fillId="15218" borderId="0" xfId="0" applyFill="1"/>
    <xf numFmtId="0" fontId="0" fillId="15219" borderId="0" xfId="0" applyFill="1"/>
    <xf numFmtId="0" fontId="0" fillId="15220" borderId="0" xfId="0" applyFill="1"/>
    <xf numFmtId="0" fontId="0" fillId="15221" borderId="0" xfId="0" applyFill="1"/>
    <xf numFmtId="0" fontId="0" fillId="15222" borderId="0" xfId="0" applyFill="1"/>
    <xf numFmtId="0" fontId="0" fillId="15223" borderId="0" xfId="0" applyFill="1"/>
    <xf numFmtId="0" fontId="0" fillId="15224" borderId="0" xfId="0" applyFill="1"/>
    <xf numFmtId="0" fontId="0" fillId="15225" borderId="0" xfId="0" applyFill="1"/>
    <xf numFmtId="0" fontId="0" fillId="15226" borderId="0" xfId="0" applyFill="1"/>
    <xf numFmtId="0" fontId="0" fillId="15227" borderId="0" xfId="0" applyFill="1"/>
    <xf numFmtId="0" fontId="0" fillId="15228" borderId="0" xfId="0" applyFill="1"/>
    <xf numFmtId="0" fontId="0" fillId="15229" borderId="0" xfId="0" applyFill="1"/>
    <xf numFmtId="0" fontId="0" fillId="15230" borderId="0" xfId="0" applyFill="1"/>
    <xf numFmtId="0" fontId="0" fillId="15231" borderId="0" xfId="0" applyFill="1"/>
    <xf numFmtId="0" fontId="0" fillId="15232" borderId="0" xfId="0" applyFill="1"/>
    <xf numFmtId="0" fontId="0" fillId="15233" borderId="0" xfId="0" applyFill="1"/>
    <xf numFmtId="0" fontId="0" fillId="15234" borderId="0" xfId="0" applyFill="1"/>
    <xf numFmtId="0" fontId="0" fillId="15235" borderId="0" xfId="0" applyFill="1"/>
    <xf numFmtId="0" fontId="0" fillId="15236" borderId="0" xfId="0" applyFill="1"/>
    <xf numFmtId="0" fontId="0" fillId="15237" borderId="0" xfId="0" applyFill="1"/>
    <xf numFmtId="0" fontId="0" fillId="15238" borderId="0" xfId="0" applyFill="1"/>
    <xf numFmtId="0" fontId="0" fillId="15239" borderId="0" xfId="0" applyFill="1"/>
    <xf numFmtId="0" fontId="0" fillId="15240" borderId="0" xfId="0" applyFill="1"/>
    <xf numFmtId="0" fontId="0" fillId="15241" borderId="0" xfId="0" applyFill="1"/>
    <xf numFmtId="0" fontId="0" fillId="15242" borderId="0" xfId="0" applyFill="1"/>
    <xf numFmtId="0" fontId="0" fillId="15243" borderId="0" xfId="0" applyFill="1"/>
    <xf numFmtId="0" fontId="0" fillId="15244" borderId="0" xfId="0" applyFill="1"/>
    <xf numFmtId="0" fontId="0" fillId="15245" borderId="0" xfId="0" applyFill="1"/>
    <xf numFmtId="0" fontId="0" fillId="15246" borderId="0" xfId="0" applyFill="1"/>
    <xf numFmtId="0" fontId="0" fillId="15247" borderId="0" xfId="0" applyFill="1"/>
    <xf numFmtId="0" fontId="0" fillId="15248" borderId="0" xfId="0" applyFill="1"/>
    <xf numFmtId="0" fontId="0" fillId="15249" borderId="0" xfId="0" applyFill="1"/>
    <xf numFmtId="0" fontId="0" fillId="15250" borderId="0" xfId="0" applyFill="1"/>
    <xf numFmtId="0" fontId="0" fillId="15251" borderId="0" xfId="0" applyFill="1"/>
    <xf numFmtId="0" fontId="0" fillId="15252" borderId="0" xfId="0" applyFill="1"/>
    <xf numFmtId="0" fontId="0" fillId="15253" borderId="0" xfId="0" applyFill="1"/>
    <xf numFmtId="0" fontId="0" fillId="15254" borderId="0" xfId="0" applyFill="1"/>
    <xf numFmtId="0" fontId="0" fillId="15255" borderId="0" xfId="0" applyFill="1"/>
    <xf numFmtId="0" fontId="0" fillId="15256" borderId="0" xfId="0" applyFill="1"/>
    <xf numFmtId="0" fontId="0" fillId="15257" borderId="0" xfId="0" applyFill="1"/>
    <xf numFmtId="0" fontId="0" fillId="15258" borderId="0" xfId="0" applyFill="1"/>
    <xf numFmtId="0" fontId="0" fillId="15259" borderId="0" xfId="0" applyFill="1"/>
    <xf numFmtId="0" fontId="0" fillId="15260" borderId="0" xfId="0" applyFill="1"/>
    <xf numFmtId="0" fontId="0" fillId="15261" borderId="0" xfId="0" applyFill="1"/>
    <xf numFmtId="0" fontId="0" fillId="15262" borderId="0" xfId="0" applyFill="1"/>
    <xf numFmtId="0" fontId="0" fillId="15263" borderId="0" xfId="0" applyFill="1"/>
    <xf numFmtId="0" fontId="0" fillId="15264" borderId="0" xfId="0" applyFill="1"/>
    <xf numFmtId="0" fontId="0" fillId="15265" borderId="0" xfId="0" applyFill="1"/>
    <xf numFmtId="0" fontId="0" fillId="15266" borderId="0" xfId="0" applyFill="1"/>
    <xf numFmtId="0" fontId="0" fillId="15267" borderId="0" xfId="0" applyFill="1"/>
    <xf numFmtId="0" fontId="0" fillId="15268" borderId="0" xfId="0" applyFill="1"/>
    <xf numFmtId="0" fontId="0" fillId="15269" borderId="0" xfId="0" applyFill="1"/>
    <xf numFmtId="0" fontId="0" fillId="15270" borderId="0" xfId="0" applyFill="1"/>
    <xf numFmtId="0" fontId="0" fillId="15271" borderId="0" xfId="0" applyFill="1"/>
    <xf numFmtId="0" fontId="0" fillId="15272" borderId="0" xfId="0" applyFill="1"/>
    <xf numFmtId="0" fontId="0" fillId="15273" borderId="0" xfId="0" applyFill="1"/>
    <xf numFmtId="0" fontId="0" fillId="15274" borderId="0" xfId="0" applyFill="1"/>
    <xf numFmtId="0" fontId="0" fillId="15275" borderId="0" xfId="0" applyFill="1"/>
    <xf numFmtId="0" fontId="0" fillId="15276" borderId="0" xfId="0" applyFill="1"/>
    <xf numFmtId="0" fontId="0" fillId="15277" borderId="0" xfId="0" applyFill="1"/>
    <xf numFmtId="0" fontId="0" fillId="15278" borderId="0" xfId="0" applyFill="1"/>
    <xf numFmtId="0" fontId="0" fillId="15279" borderId="0" xfId="0" applyFill="1"/>
    <xf numFmtId="0" fontId="0" fillId="15280" borderId="0" xfId="0" applyFill="1"/>
    <xf numFmtId="0" fontId="0" fillId="15281" borderId="0" xfId="0" applyFill="1"/>
    <xf numFmtId="0" fontId="0" fillId="15282" borderId="0" xfId="0" applyFill="1"/>
    <xf numFmtId="0" fontId="0" fillId="15283" borderId="0" xfId="0" applyFill="1"/>
    <xf numFmtId="0" fontId="0" fillId="15284" borderId="0" xfId="0" applyFill="1"/>
    <xf numFmtId="0" fontId="0" fillId="15285" borderId="0" xfId="0" applyFill="1"/>
    <xf numFmtId="0" fontId="0" fillId="15286" borderId="0" xfId="0" applyFill="1"/>
    <xf numFmtId="0" fontId="0" fillId="15287" borderId="0" xfId="0" applyFill="1"/>
    <xf numFmtId="0" fontId="0" fillId="15288" borderId="0" xfId="0" applyFill="1"/>
    <xf numFmtId="0" fontId="0" fillId="15289" borderId="0" xfId="0" applyFill="1"/>
    <xf numFmtId="0" fontId="0" fillId="15290" borderId="0" xfId="0" applyFill="1"/>
    <xf numFmtId="0" fontId="0" fillId="15291" borderId="0" xfId="0" applyFill="1"/>
    <xf numFmtId="0" fontId="0" fillId="15292" borderId="0" xfId="0" applyFill="1"/>
    <xf numFmtId="0" fontId="0" fillId="15293" borderId="0" xfId="0" applyFill="1"/>
    <xf numFmtId="0" fontId="0" fillId="15294" borderId="0" xfId="0" applyFill="1"/>
    <xf numFmtId="0" fontId="0" fillId="15295" borderId="0" xfId="0" applyFill="1"/>
    <xf numFmtId="0" fontId="0" fillId="15296" borderId="0" xfId="0" applyFill="1"/>
    <xf numFmtId="0" fontId="0" fillId="15297" borderId="0" xfId="0" applyFill="1"/>
    <xf numFmtId="0" fontId="0" fillId="15298" borderId="0" xfId="0" applyFill="1"/>
    <xf numFmtId="0" fontId="0" fillId="15299" borderId="0" xfId="0" applyFill="1"/>
    <xf numFmtId="0" fontId="0" fillId="15300" borderId="0" xfId="0" applyFill="1"/>
    <xf numFmtId="0" fontId="0" fillId="15301" borderId="0" xfId="0" applyFill="1"/>
    <xf numFmtId="0" fontId="0" fillId="15302" borderId="0" xfId="0" applyFill="1"/>
    <xf numFmtId="0" fontId="0" fillId="15303" borderId="0" xfId="0" applyFill="1"/>
    <xf numFmtId="0" fontId="0" fillId="15304" borderId="0" xfId="0" applyFill="1"/>
    <xf numFmtId="0" fontId="0" fillId="15305" borderId="0" xfId="0" applyFill="1"/>
    <xf numFmtId="0" fontId="0" fillId="15306" borderId="0" xfId="0" applyFill="1"/>
    <xf numFmtId="0" fontId="0" fillId="15307" borderId="0" xfId="0" applyFill="1"/>
    <xf numFmtId="0" fontId="0" fillId="15308" borderId="0" xfId="0" applyFill="1"/>
    <xf numFmtId="0" fontId="0" fillId="15309" borderId="0" xfId="0" applyFill="1"/>
    <xf numFmtId="0" fontId="0" fillId="15310" borderId="0" xfId="0" applyFill="1"/>
    <xf numFmtId="0" fontId="0" fillId="15311" borderId="0" xfId="0" applyFill="1"/>
    <xf numFmtId="0" fontId="0" fillId="15312" borderId="0" xfId="0" applyFill="1"/>
    <xf numFmtId="0" fontId="0" fillId="15313" borderId="0" xfId="0" applyFill="1"/>
    <xf numFmtId="0" fontId="0" fillId="15314" borderId="0" xfId="0" applyFill="1"/>
    <xf numFmtId="0" fontId="0" fillId="15315" borderId="0" xfId="0" applyFill="1"/>
    <xf numFmtId="0" fontId="0" fillId="15316" borderId="0" xfId="0" applyFill="1"/>
    <xf numFmtId="0" fontId="0" fillId="15317" borderId="0" xfId="0" applyFill="1"/>
    <xf numFmtId="0" fontId="0" fillId="15318" borderId="0" xfId="0" applyFill="1"/>
    <xf numFmtId="0" fontId="0" fillId="15319" borderId="0" xfId="0" applyFill="1"/>
    <xf numFmtId="0" fontId="0" fillId="15320" borderId="0" xfId="0" applyFill="1"/>
    <xf numFmtId="0" fontId="0" fillId="15321" borderId="0" xfId="0" applyFill="1"/>
    <xf numFmtId="0" fontId="0" fillId="15322" borderId="0" xfId="0" applyFill="1"/>
    <xf numFmtId="0" fontId="0" fillId="15323" borderId="0" xfId="0" applyFill="1"/>
    <xf numFmtId="0" fontId="0" fillId="15324" borderId="0" xfId="0" applyFill="1"/>
    <xf numFmtId="0" fontId="0" fillId="15325" borderId="0" xfId="0" applyFill="1"/>
    <xf numFmtId="0" fontId="0" fillId="15326" borderId="0" xfId="0" applyFill="1"/>
    <xf numFmtId="0" fontId="0" fillId="15327" borderId="0" xfId="0" applyFill="1"/>
    <xf numFmtId="0" fontId="0" fillId="15328" borderId="0" xfId="0" applyFill="1"/>
    <xf numFmtId="0" fontId="0" fillId="15329" borderId="0" xfId="0" applyFill="1"/>
    <xf numFmtId="0" fontId="0" fillId="15330" borderId="0" xfId="0" applyFill="1"/>
    <xf numFmtId="0" fontId="0" fillId="15331" borderId="0" xfId="0" applyFill="1"/>
    <xf numFmtId="0" fontId="0" fillId="15332" borderId="0" xfId="0" applyFill="1"/>
    <xf numFmtId="0" fontId="0" fillId="15333" borderId="0" xfId="0" applyFill="1"/>
    <xf numFmtId="0" fontId="0" fillId="15334" borderId="0" xfId="0" applyFill="1"/>
    <xf numFmtId="0" fontId="0" fillId="15335" borderId="0" xfId="0" applyFill="1"/>
    <xf numFmtId="0" fontId="0" fillId="15336" borderId="0" xfId="0" applyFill="1"/>
    <xf numFmtId="0" fontId="0" fillId="15337" borderId="0" xfId="0" applyFill="1"/>
    <xf numFmtId="0" fontId="0" fillId="15338" borderId="0" xfId="0" applyFill="1"/>
    <xf numFmtId="0" fontId="0" fillId="15339" borderId="0" xfId="0" applyFill="1"/>
    <xf numFmtId="0" fontId="0" fillId="15340" borderId="0" xfId="0" applyFill="1"/>
    <xf numFmtId="0" fontId="0" fillId="15341" borderId="0" xfId="0" applyFill="1"/>
    <xf numFmtId="0" fontId="0" fillId="15342" borderId="0" xfId="0" applyFill="1"/>
    <xf numFmtId="0" fontId="0" fillId="15343" borderId="0" xfId="0" applyFill="1"/>
    <xf numFmtId="0" fontId="0" fillId="15344" borderId="0" xfId="0" applyFill="1"/>
    <xf numFmtId="0" fontId="0" fillId="15345" borderId="0" xfId="0" applyFill="1"/>
    <xf numFmtId="0" fontId="0" fillId="15346" borderId="0" xfId="0" applyFill="1"/>
    <xf numFmtId="0" fontId="0" fillId="15347" borderId="0" xfId="0" applyFill="1"/>
    <xf numFmtId="0" fontId="0" fillId="15348" borderId="0" xfId="0" applyFill="1"/>
    <xf numFmtId="0" fontId="0" fillId="15349" borderId="0" xfId="0" applyFill="1"/>
    <xf numFmtId="0" fontId="0" fillId="15350" borderId="0" xfId="0" applyFill="1"/>
    <xf numFmtId="0" fontId="0" fillId="15351" borderId="0" xfId="0" applyFill="1"/>
    <xf numFmtId="0" fontId="0" fillId="15352" borderId="0" xfId="0" applyFill="1"/>
    <xf numFmtId="0" fontId="0" fillId="15353" borderId="0" xfId="0" applyFill="1"/>
    <xf numFmtId="0" fontId="0" fillId="15354" borderId="0" xfId="0" applyFill="1"/>
    <xf numFmtId="0" fontId="0" fillId="15355" borderId="0" xfId="0" applyFill="1"/>
    <xf numFmtId="0" fontId="0" fillId="15356" borderId="0" xfId="0" applyFill="1"/>
    <xf numFmtId="0" fontId="0" fillId="15357" borderId="0" xfId="0" applyFill="1"/>
    <xf numFmtId="0" fontId="0" fillId="15358" borderId="0" xfId="0" applyFill="1"/>
    <xf numFmtId="0" fontId="0" fillId="15359" borderId="0" xfId="0" applyFill="1"/>
    <xf numFmtId="0" fontId="0" fillId="15360" borderId="0" xfId="0" applyFill="1"/>
    <xf numFmtId="0" fontId="0" fillId="15361" borderId="0" xfId="0" applyFill="1"/>
    <xf numFmtId="0" fontId="0" fillId="15362" borderId="0" xfId="0" applyFill="1"/>
    <xf numFmtId="0" fontId="0" fillId="15363" borderId="0" xfId="0" applyFill="1"/>
    <xf numFmtId="0" fontId="0" fillId="15364" borderId="0" xfId="0" applyFill="1"/>
    <xf numFmtId="0" fontId="0" fillId="15365" borderId="0" xfId="0" applyFill="1"/>
    <xf numFmtId="0" fontId="0" fillId="15366" borderId="0" xfId="0" applyFill="1"/>
    <xf numFmtId="0" fontId="0" fillId="15367" borderId="0" xfId="0" applyFill="1"/>
    <xf numFmtId="0" fontId="0" fillId="15368" borderId="0" xfId="0" applyFill="1"/>
    <xf numFmtId="0" fontId="0" fillId="15369" borderId="0" xfId="0" applyFill="1"/>
    <xf numFmtId="0" fontId="0" fillId="15370" borderId="0" xfId="0" applyFill="1"/>
    <xf numFmtId="0" fontId="0" fillId="15371" borderId="0" xfId="0" applyFill="1"/>
    <xf numFmtId="0" fontId="0" fillId="15372" borderId="0" xfId="0" applyFill="1"/>
    <xf numFmtId="0" fontId="0" fillId="15373" borderId="0" xfId="0" applyFill="1"/>
    <xf numFmtId="0" fontId="0" fillId="15374" borderId="0" xfId="0" applyFill="1"/>
    <xf numFmtId="0" fontId="0" fillId="15375" borderId="0" xfId="0" applyFill="1"/>
    <xf numFmtId="0" fontId="0" fillId="15376" borderId="0" xfId="0" applyFill="1"/>
    <xf numFmtId="0" fontId="0" fillId="15377" borderId="0" xfId="0" applyFill="1"/>
    <xf numFmtId="0" fontId="0" fillId="15378" borderId="0" xfId="0" applyFill="1"/>
    <xf numFmtId="0" fontId="0" fillId="15379" borderId="0" xfId="0" applyFill="1"/>
    <xf numFmtId="0" fontId="0" fillId="15380" borderId="0" xfId="0" applyFill="1"/>
    <xf numFmtId="0" fontId="0" fillId="15381" borderId="0" xfId="0" applyFill="1"/>
    <xf numFmtId="0" fontId="0" fillId="15382" borderId="0" xfId="0" applyFill="1"/>
    <xf numFmtId="0" fontId="0" fillId="15383" borderId="0" xfId="0" applyFill="1"/>
    <xf numFmtId="0" fontId="0" fillId="15384" borderId="0" xfId="0" applyFill="1"/>
    <xf numFmtId="0" fontId="0" fillId="15385" borderId="0" xfId="0" applyFill="1"/>
    <xf numFmtId="0" fontId="0" fillId="15386" borderId="0" xfId="0" applyFill="1"/>
    <xf numFmtId="0" fontId="0" fillId="15387" borderId="0" xfId="0" applyFill="1"/>
    <xf numFmtId="0" fontId="0" fillId="15388" borderId="0" xfId="0" applyFill="1"/>
    <xf numFmtId="0" fontId="0" fillId="15389" borderId="0" xfId="0" applyFill="1"/>
    <xf numFmtId="0" fontId="0" fillId="15390" borderId="0" xfId="0" applyFill="1"/>
    <xf numFmtId="0" fontId="0" fillId="15391" borderId="0" xfId="0" applyFill="1"/>
    <xf numFmtId="0" fontId="0" fillId="15392" borderId="0" xfId="0" applyFill="1"/>
    <xf numFmtId="0" fontId="0" fillId="15393" borderId="0" xfId="0" applyFill="1"/>
    <xf numFmtId="0" fontId="0" fillId="15394" borderId="0" xfId="0" applyFill="1"/>
    <xf numFmtId="0" fontId="0" fillId="15395" borderId="0" xfId="0" applyFill="1"/>
    <xf numFmtId="0" fontId="0" fillId="15396" borderId="0" xfId="0" applyFill="1"/>
    <xf numFmtId="0" fontId="0" fillId="15397" borderId="0" xfId="0" applyFill="1"/>
    <xf numFmtId="0" fontId="0" fillId="15398" borderId="0" xfId="0" applyFill="1"/>
    <xf numFmtId="0" fontId="0" fillId="15399" borderId="0" xfId="0" applyFill="1"/>
    <xf numFmtId="0" fontId="0" fillId="15400" borderId="0" xfId="0" applyFill="1"/>
    <xf numFmtId="0" fontId="0" fillId="15401" borderId="0" xfId="0" applyFill="1"/>
    <xf numFmtId="0" fontId="0" fillId="15402" borderId="0" xfId="0" applyFill="1"/>
    <xf numFmtId="0" fontId="0" fillId="15403" borderId="0" xfId="0" applyFill="1"/>
    <xf numFmtId="0" fontId="0" fillId="15404" borderId="0" xfId="0" applyFill="1"/>
    <xf numFmtId="0" fontId="0" fillId="15405" borderId="0" xfId="0" applyFill="1"/>
    <xf numFmtId="0" fontId="0" fillId="15406" borderId="0" xfId="0" applyFill="1"/>
    <xf numFmtId="0" fontId="0" fillId="15407" borderId="0" xfId="0" applyFill="1"/>
    <xf numFmtId="0" fontId="0" fillId="15408" borderId="0" xfId="0" applyFill="1"/>
    <xf numFmtId="0" fontId="0" fillId="15409" borderId="0" xfId="0" applyFill="1"/>
    <xf numFmtId="0" fontId="0" fillId="15410" borderId="0" xfId="0" applyFill="1"/>
    <xf numFmtId="0" fontId="0" fillId="15411" borderId="0" xfId="0" applyFill="1"/>
    <xf numFmtId="0" fontId="0" fillId="15412" borderId="0" xfId="0" applyFill="1"/>
    <xf numFmtId="0" fontId="0" fillId="15413" borderId="0" xfId="0" applyFill="1"/>
    <xf numFmtId="0" fontId="0" fillId="15414" borderId="0" xfId="0" applyFill="1"/>
    <xf numFmtId="0" fontId="0" fillId="15415" borderId="0" xfId="0" applyFill="1"/>
    <xf numFmtId="0" fontId="0" fillId="15416" borderId="0" xfId="0" applyFill="1"/>
    <xf numFmtId="0" fontId="0" fillId="15417" borderId="0" xfId="0" applyFill="1"/>
    <xf numFmtId="0" fontId="0" fillId="15418" borderId="0" xfId="0" applyFill="1"/>
    <xf numFmtId="0" fontId="0" fillId="15419" borderId="0" xfId="0" applyFill="1"/>
    <xf numFmtId="0" fontId="0" fillId="15420" borderId="0" xfId="0" applyFill="1"/>
    <xf numFmtId="0" fontId="0" fillId="15421" borderId="0" xfId="0" applyFill="1"/>
    <xf numFmtId="0" fontId="0" fillId="15422" borderId="0" xfId="0" applyFill="1"/>
    <xf numFmtId="0" fontId="0" fillId="15423" borderId="0" xfId="0" applyFill="1"/>
    <xf numFmtId="0" fontId="0" fillId="15424" borderId="0" xfId="0" applyFill="1"/>
    <xf numFmtId="0" fontId="0" fillId="15425" borderId="0" xfId="0" applyFill="1"/>
    <xf numFmtId="0" fontId="0" fillId="15426" borderId="0" xfId="0" applyFill="1"/>
    <xf numFmtId="0" fontId="0" fillId="15427" borderId="0" xfId="0" applyFill="1"/>
    <xf numFmtId="0" fontId="0" fillId="15428" borderId="0" xfId="0" applyFill="1"/>
    <xf numFmtId="0" fontId="0" fillId="15429" borderId="0" xfId="0" applyFill="1"/>
    <xf numFmtId="0" fontId="0" fillId="15430" borderId="0" xfId="0" applyFill="1"/>
    <xf numFmtId="0" fontId="0" fillId="15431" borderId="0" xfId="0" applyFill="1"/>
    <xf numFmtId="0" fontId="0" fillId="15432" borderId="0" xfId="0" applyFill="1"/>
    <xf numFmtId="0" fontId="0" fillId="15433" borderId="0" xfId="0" applyFill="1"/>
    <xf numFmtId="0" fontId="0" fillId="15434" borderId="0" xfId="0" applyFill="1"/>
    <xf numFmtId="0" fontId="0" fillId="15435" borderId="0" xfId="0" applyFill="1"/>
    <xf numFmtId="0" fontId="0" fillId="15436" borderId="0" xfId="0" applyFill="1"/>
    <xf numFmtId="0" fontId="0" fillId="15437" borderId="0" xfId="0" applyFill="1"/>
    <xf numFmtId="0" fontId="0" fillId="15438" borderId="0" xfId="0" applyFill="1"/>
    <xf numFmtId="0" fontId="0" fillId="15439" borderId="0" xfId="0" applyFill="1"/>
    <xf numFmtId="0" fontId="0" fillId="15440" borderId="0" xfId="0" applyFill="1"/>
    <xf numFmtId="0" fontId="0" fillId="15441" borderId="0" xfId="0" applyFill="1"/>
    <xf numFmtId="0" fontId="0" fillId="15442" borderId="0" xfId="0" applyFill="1"/>
    <xf numFmtId="0" fontId="0" fillId="15443" borderId="0" xfId="0" applyFill="1"/>
    <xf numFmtId="0" fontId="0" fillId="15444" borderId="0" xfId="0" applyFill="1"/>
    <xf numFmtId="0" fontId="0" fillId="15445" borderId="0" xfId="0" applyFill="1"/>
    <xf numFmtId="0" fontId="0" fillId="15446" borderId="0" xfId="0" applyFill="1"/>
    <xf numFmtId="0" fontId="0" fillId="15447" borderId="0" xfId="0" applyFill="1"/>
    <xf numFmtId="0" fontId="0" fillId="15448" borderId="0" xfId="0" applyFill="1"/>
    <xf numFmtId="0" fontId="0" fillId="15449" borderId="0" xfId="0" applyFill="1"/>
    <xf numFmtId="0" fontId="0" fillId="15450" borderId="0" xfId="0" applyFill="1"/>
    <xf numFmtId="0" fontId="0" fillId="15451" borderId="0" xfId="0" applyFill="1"/>
    <xf numFmtId="0" fontId="0" fillId="15452" borderId="0" xfId="0" applyFill="1"/>
    <xf numFmtId="0" fontId="0" fillId="15453" borderId="0" xfId="0" applyFill="1"/>
    <xf numFmtId="0" fontId="0" fillId="15454" borderId="0" xfId="0" applyFill="1"/>
    <xf numFmtId="0" fontId="0" fillId="15455" borderId="0" xfId="0" applyFill="1"/>
    <xf numFmtId="0" fontId="0" fillId="15456" borderId="0" xfId="0" applyFill="1"/>
    <xf numFmtId="0" fontId="0" fillId="15457" borderId="0" xfId="0" applyFill="1"/>
    <xf numFmtId="0" fontId="0" fillId="15458" borderId="0" xfId="0" applyFill="1"/>
    <xf numFmtId="0" fontId="0" fillId="15459" borderId="0" xfId="0" applyFill="1"/>
    <xf numFmtId="0" fontId="0" fillId="15460" borderId="0" xfId="0" applyFill="1"/>
    <xf numFmtId="0" fontId="0" fillId="15461" borderId="0" xfId="0" applyFill="1"/>
    <xf numFmtId="0" fontId="0" fillId="15462" borderId="0" xfId="0" applyFill="1"/>
    <xf numFmtId="0" fontId="0" fillId="15463" borderId="0" xfId="0" applyFill="1"/>
    <xf numFmtId="0" fontId="0" fillId="15464" borderId="0" xfId="0" applyFill="1"/>
    <xf numFmtId="0" fontId="0" fillId="15465" borderId="0" xfId="0" applyFill="1"/>
    <xf numFmtId="0" fontId="0" fillId="15466" borderId="0" xfId="0" applyFill="1"/>
    <xf numFmtId="0" fontId="0" fillId="15467" borderId="0" xfId="0" applyFill="1"/>
    <xf numFmtId="0" fontId="0" fillId="15468" borderId="0" xfId="0" applyFill="1"/>
    <xf numFmtId="0" fontId="0" fillId="15469" borderId="0" xfId="0" applyFill="1"/>
    <xf numFmtId="0" fontId="0" fillId="15470" borderId="0" xfId="0" applyFill="1"/>
    <xf numFmtId="0" fontId="0" fillId="15471" borderId="0" xfId="0" applyFill="1"/>
    <xf numFmtId="0" fontId="0" fillId="15472" borderId="0" xfId="0" applyFill="1"/>
    <xf numFmtId="0" fontId="0" fillId="15473" borderId="0" xfId="0" applyFill="1"/>
    <xf numFmtId="0" fontId="0" fillId="15474" borderId="0" xfId="0" applyFill="1"/>
    <xf numFmtId="0" fontId="0" fillId="15475" borderId="0" xfId="0" applyFill="1"/>
    <xf numFmtId="0" fontId="0" fillId="15476" borderId="0" xfId="0" applyFill="1"/>
    <xf numFmtId="0" fontId="0" fillId="15477" borderId="0" xfId="0" applyFill="1"/>
    <xf numFmtId="0" fontId="0" fillId="15478" borderId="0" xfId="0" applyFill="1"/>
    <xf numFmtId="0" fontId="0" fillId="15479" borderId="0" xfId="0" applyFill="1"/>
    <xf numFmtId="0" fontId="0" fillId="15480" borderId="0" xfId="0" applyFill="1"/>
    <xf numFmtId="0" fontId="0" fillId="15481" borderId="0" xfId="0" applyFill="1"/>
    <xf numFmtId="0" fontId="0" fillId="15482" borderId="0" xfId="0" applyFill="1"/>
    <xf numFmtId="0" fontId="0" fillId="15483" borderId="0" xfId="0" applyFill="1"/>
    <xf numFmtId="0" fontId="0" fillId="15484" borderId="0" xfId="0" applyFill="1"/>
    <xf numFmtId="0" fontId="0" fillId="15485" borderId="0" xfId="0" applyFill="1"/>
    <xf numFmtId="0" fontId="0" fillId="15486" borderId="0" xfId="0" applyFill="1"/>
    <xf numFmtId="0" fontId="0" fillId="15487" borderId="0" xfId="0" applyFill="1"/>
    <xf numFmtId="0" fontId="0" fillId="15488" borderId="0" xfId="0" applyFill="1"/>
    <xf numFmtId="0" fontId="0" fillId="15489" borderId="0" xfId="0" applyFill="1"/>
    <xf numFmtId="0" fontId="0" fillId="15490" borderId="0" xfId="0" applyFill="1"/>
    <xf numFmtId="0" fontId="0" fillId="15491" borderId="0" xfId="0" applyFill="1"/>
    <xf numFmtId="0" fontId="0" fillId="15492" borderId="0" xfId="0" applyFill="1"/>
    <xf numFmtId="0" fontId="0" fillId="15493" borderId="0" xfId="0" applyFill="1"/>
    <xf numFmtId="0" fontId="0" fillId="15494" borderId="0" xfId="0" applyFill="1"/>
    <xf numFmtId="0" fontId="0" fillId="15495" borderId="0" xfId="0" applyFill="1"/>
    <xf numFmtId="0" fontId="0" fillId="15496" borderId="0" xfId="0" applyFill="1"/>
    <xf numFmtId="0" fontId="0" fillId="15497" borderId="0" xfId="0" applyFill="1"/>
    <xf numFmtId="0" fontId="0" fillId="15498" borderId="0" xfId="0" applyFill="1"/>
    <xf numFmtId="0" fontId="0" fillId="15499" borderId="0" xfId="0" applyFill="1"/>
    <xf numFmtId="0" fontId="0" fillId="15500" borderId="0" xfId="0" applyFill="1"/>
    <xf numFmtId="0" fontId="0" fillId="15501" borderId="0" xfId="0" applyFill="1"/>
    <xf numFmtId="0" fontId="0" fillId="15502" borderId="0" xfId="0" applyFill="1"/>
    <xf numFmtId="0" fontId="0" fillId="15503" borderId="0" xfId="0" applyFill="1"/>
    <xf numFmtId="0" fontId="0" fillId="15504" borderId="0" xfId="0" applyFill="1"/>
    <xf numFmtId="0" fontId="0" fillId="15505" borderId="0" xfId="0" applyFill="1"/>
    <xf numFmtId="0" fontId="0" fillId="15506" borderId="0" xfId="0" applyFill="1"/>
    <xf numFmtId="0" fontId="0" fillId="15507" borderId="0" xfId="0" applyFill="1"/>
    <xf numFmtId="0" fontId="0" fillId="15508" borderId="0" xfId="0" applyFill="1"/>
    <xf numFmtId="0" fontId="0" fillId="15509" borderId="0" xfId="0" applyFill="1"/>
    <xf numFmtId="0" fontId="0" fillId="15510" borderId="0" xfId="0" applyFill="1"/>
    <xf numFmtId="0" fontId="0" fillId="15511" borderId="0" xfId="0" applyFill="1"/>
    <xf numFmtId="0" fontId="0" fillId="15512" borderId="0" xfId="0" applyFill="1"/>
    <xf numFmtId="0" fontId="0" fillId="15513" borderId="0" xfId="0" applyFill="1"/>
    <xf numFmtId="0" fontId="0" fillId="15514" borderId="0" xfId="0" applyFill="1"/>
    <xf numFmtId="0" fontId="0" fillId="15515" borderId="0" xfId="0" applyFill="1"/>
    <xf numFmtId="0" fontId="0" fillId="15516" borderId="0" xfId="0" applyFill="1"/>
    <xf numFmtId="0" fontId="0" fillId="15517" borderId="0" xfId="0" applyFill="1"/>
    <xf numFmtId="0" fontId="0" fillId="15518" borderId="0" xfId="0" applyFill="1"/>
    <xf numFmtId="0" fontId="0" fillId="15519" borderId="0" xfId="0" applyFill="1"/>
    <xf numFmtId="0" fontId="0" fillId="15520" borderId="0" xfId="0" applyFill="1"/>
    <xf numFmtId="0" fontId="0" fillId="15521" borderId="0" xfId="0" applyFill="1"/>
    <xf numFmtId="0" fontId="0" fillId="15522" borderId="0" xfId="0" applyFill="1"/>
    <xf numFmtId="0" fontId="0" fillId="15523" borderId="0" xfId="0" applyFill="1"/>
    <xf numFmtId="0" fontId="0" fillId="15524" borderId="0" xfId="0" applyFill="1"/>
    <xf numFmtId="0" fontId="0" fillId="15525" borderId="0" xfId="0" applyFill="1"/>
    <xf numFmtId="0" fontId="0" fillId="15526" borderId="0" xfId="0" applyFill="1"/>
    <xf numFmtId="0" fontId="0" fillId="15527" borderId="0" xfId="0" applyFill="1"/>
    <xf numFmtId="0" fontId="0" fillId="15528" borderId="0" xfId="0" applyFill="1"/>
    <xf numFmtId="0" fontId="0" fillId="15529" borderId="0" xfId="0" applyFill="1"/>
    <xf numFmtId="0" fontId="0" fillId="15530" borderId="0" xfId="0" applyFill="1"/>
    <xf numFmtId="0" fontId="0" fillId="15531" borderId="0" xfId="0" applyFill="1"/>
    <xf numFmtId="0" fontId="0" fillId="15532" borderId="0" xfId="0" applyFill="1"/>
    <xf numFmtId="0" fontId="0" fillId="15533" borderId="0" xfId="0" applyFill="1"/>
    <xf numFmtId="0" fontId="0" fillId="15534" borderId="0" xfId="0" applyFill="1"/>
    <xf numFmtId="0" fontId="0" fillId="15535" borderId="0" xfId="0" applyFill="1"/>
    <xf numFmtId="0" fontId="0" fillId="15536" borderId="0" xfId="0" applyFill="1"/>
    <xf numFmtId="0" fontId="0" fillId="15537" borderId="0" xfId="0" applyFill="1"/>
    <xf numFmtId="0" fontId="0" fillId="15538" borderId="0" xfId="0" applyFill="1"/>
    <xf numFmtId="0" fontId="0" fillId="15539" borderId="0" xfId="0" applyFill="1"/>
    <xf numFmtId="0" fontId="0" fillId="15540" borderId="0" xfId="0" applyFill="1"/>
    <xf numFmtId="0" fontId="0" fillId="15541" borderId="0" xfId="0" applyFill="1"/>
    <xf numFmtId="0" fontId="0" fillId="15542" borderId="0" xfId="0" applyFill="1"/>
    <xf numFmtId="0" fontId="0" fillId="15543" borderId="0" xfId="0" applyFill="1"/>
    <xf numFmtId="0" fontId="0" fillId="15544" borderId="0" xfId="0" applyFill="1"/>
    <xf numFmtId="0" fontId="0" fillId="15545" borderId="0" xfId="0" applyFill="1"/>
    <xf numFmtId="0" fontId="0" fillId="15546" borderId="0" xfId="0" applyFill="1"/>
    <xf numFmtId="0" fontId="0" fillId="15547" borderId="0" xfId="0" applyFill="1"/>
    <xf numFmtId="0" fontId="0" fillId="15548" borderId="0" xfId="0" applyFill="1"/>
    <xf numFmtId="0" fontId="0" fillId="15549" borderId="0" xfId="0" applyFill="1"/>
    <xf numFmtId="0" fontId="0" fillId="15550" borderId="0" xfId="0" applyFill="1"/>
    <xf numFmtId="0" fontId="0" fillId="15551" borderId="0" xfId="0" applyFill="1"/>
    <xf numFmtId="0" fontId="0" fillId="15552" borderId="0" xfId="0" applyFill="1"/>
    <xf numFmtId="0" fontId="0" fillId="15553" borderId="0" xfId="0" applyFill="1"/>
    <xf numFmtId="0" fontId="0" fillId="15554" borderId="0" xfId="0" applyFill="1"/>
    <xf numFmtId="0" fontId="0" fillId="15555" borderId="0" xfId="0" applyFill="1"/>
    <xf numFmtId="0" fontId="0" fillId="15556" borderId="0" xfId="0" applyFill="1"/>
    <xf numFmtId="0" fontId="0" fillId="15557" borderId="0" xfId="0" applyFill="1"/>
    <xf numFmtId="0" fontId="0" fillId="15558" borderId="0" xfId="0" applyFill="1"/>
    <xf numFmtId="0" fontId="0" fillId="15559" borderId="0" xfId="0" applyFill="1"/>
    <xf numFmtId="0" fontId="0" fillId="15560" borderId="0" xfId="0" applyFill="1"/>
    <xf numFmtId="0" fontId="0" fillId="15561" borderId="0" xfId="0" applyFill="1"/>
    <xf numFmtId="0" fontId="0" fillId="15562" borderId="0" xfId="0" applyFill="1"/>
    <xf numFmtId="0" fontId="0" fillId="15563" borderId="0" xfId="0" applyFill="1"/>
    <xf numFmtId="0" fontId="0" fillId="15564" borderId="0" xfId="0" applyFill="1"/>
    <xf numFmtId="0" fontId="0" fillId="15565" borderId="0" xfId="0" applyFill="1"/>
    <xf numFmtId="0" fontId="0" fillId="15566" borderId="0" xfId="0" applyFill="1"/>
    <xf numFmtId="0" fontId="0" fillId="15567" borderId="0" xfId="0" applyFill="1"/>
    <xf numFmtId="0" fontId="0" fillId="15568" borderId="0" xfId="0" applyFill="1"/>
    <xf numFmtId="0" fontId="0" fillId="15569" borderId="0" xfId="0" applyFill="1"/>
    <xf numFmtId="0" fontId="0" fillId="15570" borderId="0" xfId="0" applyFill="1"/>
    <xf numFmtId="0" fontId="0" fillId="15571" borderId="0" xfId="0" applyFill="1"/>
    <xf numFmtId="0" fontId="0" fillId="15572" borderId="0" xfId="0" applyFill="1"/>
    <xf numFmtId="0" fontId="0" fillId="15573" borderId="0" xfId="0" applyFill="1"/>
    <xf numFmtId="0" fontId="0" fillId="15574" borderId="0" xfId="0" applyFill="1"/>
    <xf numFmtId="0" fontId="0" fillId="15575" borderId="0" xfId="0" applyFill="1"/>
    <xf numFmtId="0" fontId="0" fillId="15576" borderId="0" xfId="0" applyFill="1"/>
    <xf numFmtId="0" fontId="0" fillId="15577" borderId="0" xfId="0" applyFill="1"/>
    <xf numFmtId="0" fontId="0" fillId="15578" borderId="0" xfId="0" applyFill="1"/>
    <xf numFmtId="0" fontId="0" fillId="15579" borderId="0" xfId="0" applyFill="1"/>
    <xf numFmtId="0" fontId="0" fillId="15580" borderId="0" xfId="0" applyFill="1"/>
    <xf numFmtId="0" fontId="0" fillId="15581" borderId="0" xfId="0" applyFill="1"/>
    <xf numFmtId="0" fontId="0" fillId="15582" borderId="0" xfId="0" applyFill="1"/>
    <xf numFmtId="0" fontId="0" fillId="15583" borderId="0" xfId="0" applyFill="1"/>
    <xf numFmtId="0" fontId="0" fillId="15584" borderId="0" xfId="0" applyFill="1"/>
    <xf numFmtId="0" fontId="0" fillId="15585" borderId="0" xfId="0" applyFill="1"/>
    <xf numFmtId="0" fontId="0" fillId="15586" borderId="0" xfId="0" applyFill="1"/>
    <xf numFmtId="0" fontId="0" fillId="15587" borderId="0" xfId="0" applyFill="1"/>
    <xf numFmtId="0" fontId="0" fillId="15588" borderId="0" xfId="0" applyFill="1"/>
    <xf numFmtId="0" fontId="0" fillId="15589" borderId="0" xfId="0" applyFill="1"/>
    <xf numFmtId="0" fontId="0" fillId="15590" borderId="0" xfId="0" applyFill="1"/>
    <xf numFmtId="0" fontId="0" fillId="15591" borderId="0" xfId="0" applyFill="1"/>
    <xf numFmtId="0" fontId="0" fillId="15592" borderId="0" xfId="0" applyFill="1"/>
    <xf numFmtId="0" fontId="0" fillId="15593" borderId="0" xfId="0" applyFill="1"/>
    <xf numFmtId="0" fontId="0" fillId="15594" borderId="0" xfId="0" applyFill="1"/>
    <xf numFmtId="0" fontId="0" fillId="15595" borderId="0" xfId="0" applyFill="1"/>
    <xf numFmtId="0" fontId="0" fillId="15596" borderId="0" xfId="0" applyFill="1"/>
    <xf numFmtId="0" fontId="0" fillId="15597" borderId="0" xfId="0" applyFill="1"/>
    <xf numFmtId="0" fontId="0" fillId="15598" borderId="0" xfId="0" applyFill="1"/>
    <xf numFmtId="0" fontId="0" fillId="15599" borderId="0" xfId="0" applyFill="1"/>
    <xf numFmtId="0" fontId="0" fillId="15600" borderId="0" xfId="0" applyFill="1"/>
    <xf numFmtId="0" fontId="0" fillId="15601" borderId="0" xfId="0" applyFill="1"/>
    <xf numFmtId="0" fontId="0" fillId="15602" borderId="0" xfId="0" applyFill="1"/>
    <xf numFmtId="0" fontId="0" fillId="15603" borderId="0" xfId="0" applyFill="1"/>
    <xf numFmtId="0" fontId="0" fillId="15604" borderId="0" xfId="0" applyFill="1"/>
    <xf numFmtId="0" fontId="0" fillId="15605" borderId="0" xfId="0" applyFill="1"/>
    <xf numFmtId="0" fontId="0" fillId="15606" borderId="0" xfId="0" applyFill="1"/>
    <xf numFmtId="0" fontId="0" fillId="15607" borderId="0" xfId="0" applyFill="1"/>
    <xf numFmtId="0" fontId="0" fillId="15608" borderId="0" xfId="0" applyFill="1"/>
    <xf numFmtId="0" fontId="0" fillId="15609" borderId="0" xfId="0" applyFill="1"/>
    <xf numFmtId="0" fontId="0" fillId="15610" borderId="0" xfId="0" applyFill="1"/>
    <xf numFmtId="0" fontId="0" fillId="15611" borderId="0" xfId="0" applyFill="1"/>
    <xf numFmtId="0" fontId="0" fillId="15612" borderId="0" xfId="0" applyFill="1"/>
    <xf numFmtId="0" fontId="0" fillId="15613" borderId="0" xfId="0" applyFill="1"/>
    <xf numFmtId="0" fontId="0" fillId="15614" borderId="0" xfId="0" applyFill="1"/>
    <xf numFmtId="0" fontId="0" fillId="15615" borderId="0" xfId="0" applyFill="1"/>
    <xf numFmtId="0" fontId="0" fillId="15616" borderId="0" xfId="0" applyFill="1"/>
    <xf numFmtId="0" fontId="0" fillId="15617" borderId="0" xfId="0" applyFill="1"/>
    <xf numFmtId="0" fontId="0" fillId="15618" borderId="0" xfId="0" applyFill="1"/>
    <xf numFmtId="0" fontId="0" fillId="15619" borderId="0" xfId="0" applyFill="1"/>
    <xf numFmtId="0" fontId="0" fillId="15620" borderId="0" xfId="0" applyFill="1"/>
    <xf numFmtId="0" fontId="0" fillId="15621" borderId="0" xfId="0" applyFill="1"/>
    <xf numFmtId="0" fontId="0" fillId="15622" borderId="0" xfId="0" applyFill="1"/>
    <xf numFmtId="0" fontId="0" fillId="15623" borderId="0" xfId="0" applyFill="1"/>
    <xf numFmtId="0" fontId="0" fillId="15624" borderId="0" xfId="0" applyFill="1"/>
    <xf numFmtId="0" fontId="0" fillId="15625" borderId="0" xfId="0" applyFill="1"/>
    <xf numFmtId="0" fontId="0" fillId="15626" borderId="0" xfId="0" applyFill="1"/>
    <xf numFmtId="0" fontId="0" fillId="15627" borderId="0" xfId="0" applyFill="1"/>
    <xf numFmtId="0" fontId="0" fillId="15628" borderId="0" xfId="0" applyFill="1"/>
    <xf numFmtId="0" fontId="0" fillId="15629" borderId="0" xfId="0" applyFill="1"/>
    <xf numFmtId="0" fontId="0" fillId="15630" borderId="0" xfId="0" applyFill="1"/>
    <xf numFmtId="0" fontId="0" fillId="15631" borderId="0" xfId="0" applyFill="1"/>
    <xf numFmtId="0" fontId="0" fillId="15632" borderId="0" xfId="0" applyFill="1"/>
    <xf numFmtId="0" fontId="0" fillId="15633" borderId="0" xfId="0" applyFill="1"/>
    <xf numFmtId="0" fontId="0" fillId="15634" borderId="0" xfId="0" applyFill="1"/>
    <xf numFmtId="0" fontId="0" fillId="15635" borderId="0" xfId="0" applyFill="1"/>
    <xf numFmtId="0" fontId="0" fillId="15636" borderId="0" xfId="0" applyFill="1"/>
    <xf numFmtId="0" fontId="0" fillId="15637" borderId="0" xfId="0" applyFill="1"/>
    <xf numFmtId="0" fontId="0" fillId="15638" borderId="0" xfId="0" applyFill="1"/>
    <xf numFmtId="0" fontId="0" fillId="15639" borderId="0" xfId="0" applyFill="1"/>
    <xf numFmtId="0" fontId="0" fillId="15640" borderId="0" xfId="0" applyFill="1"/>
    <xf numFmtId="0" fontId="0" fillId="15641" borderId="0" xfId="0" applyFill="1"/>
    <xf numFmtId="0" fontId="0" fillId="15642" borderId="0" xfId="0" applyFill="1"/>
    <xf numFmtId="0" fontId="0" fillId="15643" borderId="0" xfId="0" applyFill="1"/>
    <xf numFmtId="0" fontId="0" fillId="15644" borderId="0" xfId="0" applyFill="1"/>
    <xf numFmtId="0" fontId="0" fillId="15645" borderId="0" xfId="0" applyFill="1"/>
    <xf numFmtId="0" fontId="0" fillId="15646" borderId="0" xfId="0" applyFill="1"/>
    <xf numFmtId="0" fontId="0" fillId="15647" borderId="0" xfId="0" applyFill="1"/>
    <xf numFmtId="0" fontId="0" fillId="15648" borderId="0" xfId="0" applyFill="1"/>
    <xf numFmtId="0" fontId="0" fillId="15649" borderId="0" xfId="0" applyFill="1"/>
    <xf numFmtId="0" fontId="0" fillId="15650" borderId="0" xfId="0" applyFill="1"/>
    <xf numFmtId="0" fontId="0" fillId="15651" borderId="0" xfId="0" applyFill="1"/>
    <xf numFmtId="0" fontId="0" fillId="15652" borderId="0" xfId="0" applyFill="1"/>
    <xf numFmtId="0" fontId="0" fillId="15653" borderId="0" xfId="0" applyFill="1"/>
    <xf numFmtId="0" fontId="0" fillId="15654" borderId="0" xfId="0" applyFill="1"/>
    <xf numFmtId="0" fontId="0" fillId="15655" borderId="0" xfId="0" applyFill="1"/>
    <xf numFmtId="0" fontId="0" fillId="15656" borderId="0" xfId="0" applyFill="1"/>
    <xf numFmtId="0" fontId="0" fillId="15657" borderId="0" xfId="0" applyFill="1"/>
    <xf numFmtId="0" fontId="0" fillId="15658" borderId="0" xfId="0" applyFill="1"/>
    <xf numFmtId="0" fontId="0" fillId="15659" borderId="0" xfId="0" applyFill="1"/>
    <xf numFmtId="0" fontId="0" fillId="15660" borderId="0" xfId="0" applyFill="1"/>
    <xf numFmtId="0" fontId="0" fillId="15661" borderId="0" xfId="0" applyFill="1"/>
    <xf numFmtId="0" fontId="0" fillId="15662" borderId="0" xfId="0" applyFill="1"/>
    <xf numFmtId="0" fontId="0" fillId="15663" borderId="0" xfId="0" applyFill="1"/>
    <xf numFmtId="0" fontId="0" fillId="15664" borderId="0" xfId="0" applyFill="1"/>
    <xf numFmtId="0" fontId="0" fillId="15665" borderId="0" xfId="0" applyFill="1"/>
    <xf numFmtId="0" fontId="0" fillId="15666" borderId="0" xfId="0" applyFill="1"/>
    <xf numFmtId="0" fontId="0" fillId="15667" borderId="0" xfId="0" applyFill="1"/>
    <xf numFmtId="0" fontId="0" fillId="15668" borderId="0" xfId="0" applyFill="1"/>
    <xf numFmtId="0" fontId="0" fillId="15669" borderId="0" xfId="0" applyFill="1"/>
    <xf numFmtId="0" fontId="0" fillId="15670" borderId="0" xfId="0" applyFill="1"/>
    <xf numFmtId="0" fontId="0" fillId="15671" borderId="0" xfId="0" applyFill="1"/>
    <xf numFmtId="0" fontId="0" fillId="15672" borderId="0" xfId="0" applyFill="1"/>
    <xf numFmtId="0" fontId="0" fillId="15673" borderId="0" xfId="0" applyFill="1"/>
    <xf numFmtId="0" fontId="0" fillId="15674" borderId="0" xfId="0" applyFill="1"/>
    <xf numFmtId="0" fontId="0" fillId="15675" borderId="0" xfId="0" applyFill="1"/>
    <xf numFmtId="0" fontId="0" fillId="15676" borderId="0" xfId="0" applyFill="1"/>
    <xf numFmtId="0" fontId="0" fillId="15677" borderId="0" xfId="0" applyFill="1"/>
    <xf numFmtId="0" fontId="0" fillId="15678" borderId="0" xfId="0" applyFill="1"/>
    <xf numFmtId="0" fontId="0" fillId="15679" borderId="0" xfId="0" applyFill="1"/>
    <xf numFmtId="0" fontId="0" fillId="15680" borderId="0" xfId="0" applyFill="1"/>
    <xf numFmtId="0" fontId="0" fillId="15681" borderId="0" xfId="0" applyFill="1"/>
    <xf numFmtId="0" fontId="0" fillId="15682" borderId="0" xfId="0" applyFill="1"/>
    <xf numFmtId="0" fontId="0" fillId="15683" borderId="0" xfId="0" applyFill="1"/>
    <xf numFmtId="0" fontId="0" fillId="15684" borderId="0" xfId="0" applyFill="1"/>
    <xf numFmtId="0" fontId="0" fillId="15685" borderId="0" xfId="0" applyFill="1"/>
    <xf numFmtId="0" fontId="0" fillId="15686" borderId="0" xfId="0" applyFill="1"/>
    <xf numFmtId="0" fontId="0" fillId="15687" borderId="0" xfId="0" applyFill="1"/>
    <xf numFmtId="0" fontId="0" fillId="15688" borderId="0" xfId="0" applyFill="1"/>
    <xf numFmtId="0" fontId="0" fillId="15689" borderId="0" xfId="0" applyFill="1"/>
    <xf numFmtId="0" fontId="0" fillId="15690" borderId="0" xfId="0" applyFill="1"/>
    <xf numFmtId="0" fontId="0" fillId="15691" borderId="0" xfId="0" applyFill="1"/>
    <xf numFmtId="0" fontId="0" fillId="15692" borderId="0" xfId="0" applyFill="1"/>
    <xf numFmtId="0" fontId="0" fillId="15693" borderId="0" xfId="0" applyFill="1"/>
    <xf numFmtId="0" fontId="0" fillId="15694" borderId="0" xfId="0" applyFill="1"/>
    <xf numFmtId="0" fontId="0" fillId="15695" borderId="0" xfId="0" applyFill="1"/>
    <xf numFmtId="0" fontId="0" fillId="15696" borderId="0" xfId="0" applyFill="1"/>
    <xf numFmtId="0" fontId="0" fillId="15697" borderId="0" xfId="0" applyFill="1"/>
    <xf numFmtId="0" fontId="0" fillId="15698" borderId="0" xfId="0" applyFill="1"/>
    <xf numFmtId="0" fontId="0" fillId="15699" borderId="0" xfId="0" applyFill="1"/>
    <xf numFmtId="0" fontId="0" fillId="15700" borderId="0" xfId="0" applyFill="1"/>
    <xf numFmtId="0" fontId="0" fillId="15701" borderId="0" xfId="0" applyFill="1"/>
    <xf numFmtId="0" fontId="0" fillId="15702" borderId="0" xfId="0" applyFill="1"/>
    <xf numFmtId="0" fontId="0" fillId="15703" borderId="0" xfId="0" applyFill="1"/>
    <xf numFmtId="0" fontId="0" fillId="15704" borderId="0" xfId="0" applyFill="1"/>
    <xf numFmtId="0" fontId="0" fillId="15705" borderId="0" xfId="0" applyFill="1"/>
    <xf numFmtId="0" fontId="0" fillId="15706" borderId="0" xfId="0" applyFill="1"/>
    <xf numFmtId="0" fontId="0" fillId="15707" borderId="0" xfId="0" applyFill="1"/>
    <xf numFmtId="0" fontId="0" fillId="15708" borderId="0" xfId="0" applyFill="1"/>
    <xf numFmtId="0" fontId="0" fillId="15709" borderId="0" xfId="0" applyFill="1"/>
    <xf numFmtId="0" fontId="0" fillId="15710" borderId="0" xfId="0" applyFill="1"/>
    <xf numFmtId="0" fontId="0" fillId="15711" borderId="0" xfId="0" applyFill="1"/>
    <xf numFmtId="0" fontId="0" fillId="15712" borderId="0" xfId="0" applyFill="1"/>
    <xf numFmtId="0" fontId="0" fillId="15713" borderId="0" xfId="0" applyFill="1"/>
    <xf numFmtId="0" fontId="0" fillId="15714" borderId="0" xfId="0" applyFill="1"/>
    <xf numFmtId="0" fontId="0" fillId="15715" borderId="0" xfId="0" applyFill="1"/>
    <xf numFmtId="0" fontId="0" fillId="15716" borderId="0" xfId="0" applyFill="1"/>
    <xf numFmtId="0" fontId="0" fillId="15717" borderId="0" xfId="0" applyFill="1"/>
    <xf numFmtId="0" fontId="0" fillId="15718" borderId="0" xfId="0" applyFill="1"/>
    <xf numFmtId="0" fontId="0" fillId="15719" borderId="0" xfId="0" applyFill="1"/>
    <xf numFmtId="0" fontId="0" fillId="15720" borderId="0" xfId="0" applyFill="1"/>
    <xf numFmtId="0" fontId="0" fillId="15721" borderId="0" xfId="0" applyFill="1"/>
    <xf numFmtId="0" fontId="0" fillId="15722" borderId="0" xfId="0" applyFill="1"/>
    <xf numFmtId="0" fontId="0" fillId="15723" borderId="0" xfId="0" applyFill="1"/>
    <xf numFmtId="0" fontId="0" fillId="15724" borderId="0" xfId="0" applyFill="1"/>
    <xf numFmtId="0" fontId="0" fillId="15725" borderId="0" xfId="0" applyFill="1"/>
    <xf numFmtId="0" fontId="0" fillId="15726" borderId="0" xfId="0" applyFill="1"/>
    <xf numFmtId="0" fontId="0" fillId="15727" borderId="0" xfId="0" applyFill="1"/>
    <xf numFmtId="0" fontId="0" fillId="15728" borderId="0" xfId="0" applyFill="1"/>
    <xf numFmtId="0" fontId="0" fillId="15729" borderId="0" xfId="0" applyFill="1"/>
    <xf numFmtId="0" fontId="0" fillId="15730" borderId="0" xfId="0" applyFill="1"/>
    <xf numFmtId="0" fontId="0" fillId="15731" borderId="0" xfId="0" applyFill="1"/>
    <xf numFmtId="0" fontId="0" fillId="15732" borderId="0" xfId="0" applyFill="1"/>
    <xf numFmtId="0" fontId="0" fillId="15733" borderId="0" xfId="0" applyFill="1"/>
    <xf numFmtId="0" fontId="0" fillId="15734" borderId="0" xfId="0" applyFill="1"/>
    <xf numFmtId="0" fontId="0" fillId="15735" borderId="0" xfId="0" applyFill="1"/>
    <xf numFmtId="0" fontId="0" fillId="15736" borderId="0" xfId="0" applyFill="1"/>
    <xf numFmtId="0" fontId="0" fillId="15737" borderId="0" xfId="0" applyFill="1"/>
    <xf numFmtId="0" fontId="0" fillId="15738" borderId="0" xfId="0" applyFill="1"/>
    <xf numFmtId="0" fontId="0" fillId="15739" borderId="0" xfId="0" applyFill="1"/>
    <xf numFmtId="0" fontId="0" fillId="15740" borderId="0" xfId="0" applyFill="1"/>
    <xf numFmtId="0" fontId="0" fillId="15741" borderId="0" xfId="0" applyFill="1"/>
    <xf numFmtId="0" fontId="0" fillId="15742" borderId="0" xfId="0" applyFill="1"/>
    <xf numFmtId="0" fontId="0" fillId="15743" borderId="0" xfId="0" applyFill="1"/>
    <xf numFmtId="0" fontId="0" fillId="15744" borderId="0" xfId="0" applyFill="1"/>
    <xf numFmtId="0" fontId="0" fillId="15745" borderId="0" xfId="0" applyFill="1"/>
    <xf numFmtId="0" fontId="0" fillId="15746" borderId="0" xfId="0" applyFill="1"/>
    <xf numFmtId="0" fontId="0" fillId="15747" borderId="0" xfId="0" applyFill="1"/>
    <xf numFmtId="0" fontId="0" fillId="15748" borderId="0" xfId="0" applyFill="1"/>
    <xf numFmtId="0" fontId="0" fillId="15749" borderId="0" xfId="0" applyFill="1"/>
    <xf numFmtId="0" fontId="0" fillId="15750" borderId="0" xfId="0" applyFill="1"/>
    <xf numFmtId="0" fontId="0" fillId="15751" borderId="0" xfId="0" applyFill="1"/>
    <xf numFmtId="0" fontId="0" fillId="15752" borderId="0" xfId="0" applyFill="1"/>
    <xf numFmtId="0" fontId="0" fillId="15753" borderId="0" xfId="0" applyFill="1"/>
    <xf numFmtId="0" fontId="0" fillId="15754" borderId="0" xfId="0" applyFill="1"/>
    <xf numFmtId="0" fontId="0" fillId="15755" borderId="0" xfId="0" applyFill="1"/>
    <xf numFmtId="0" fontId="0" fillId="15756" borderId="0" xfId="0" applyFill="1"/>
    <xf numFmtId="0" fontId="0" fillId="15757" borderId="0" xfId="0" applyFill="1"/>
    <xf numFmtId="0" fontId="0" fillId="15758" borderId="0" xfId="0" applyFill="1"/>
    <xf numFmtId="0" fontId="0" fillId="15759" borderId="0" xfId="0" applyFill="1"/>
    <xf numFmtId="0" fontId="0" fillId="15760" borderId="0" xfId="0" applyFill="1"/>
    <xf numFmtId="0" fontId="0" fillId="15761" borderId="0" xfId="0" applyFill="1"/>
    <xf numFmtId="0" fontId="0" fillId="15762" borderId="0" xfId="0" applyFill="1"/>
    <xf numFmtId="0" fontId="0" fillId="15763" borderId="0" xfId="0" applyFill="1"/>
    <xf numFmtId="0" fontId="0" fillId="15764" borderId="0" xfId="0" applyFill="1"/>
    <xf numFmtId="0" fontId="0" fillId="15765" borderId="0" xfId="0" applyFill="1"/>
    <xf numFmtId="0" fontId="0" fillId="15766" borderId="0" xfId="0" applyFill="1"/>
    <xf numFmtId="0" fontId="0" fillId="15767" borderId="0" xfId="0" applyFill="1"/>
    <xf numFmtId="0" fontId="0" fillId="15768" borderId="0" xfId="0" applyFill="1"/>
    <xf numFmtId="0" fontId="0" fillId="15769" borderId="0" xfId="0" applyFill="1"/>
    <xf numFmtId="0" fontId="0" fillId="15770" borderId="0" xfId="0" applyFill="1"/>
    <xf numFmtId="0" fontId="0" fillId="15771" borderId="0" xfId="0" applyFill="1"/>
    <xf numFmtId="0" fontId="0" fillId="15772" borderId="0" xfId="0" applyFill="1"/>
    <xf numFmtId="0" fontId="0" fillId="15773" borderId="0" xfId="0" applyFill="1"/>
    <xf numFmtId="0" fontId="0" fillId="15774" borderId="0" xfId="0" applyFill="1"/>
    <xf numFmtId="0" fontId="0" fillId="15775" borderId="0" xfId="0" applyFill="1"/>
    <xf numFmtId="0" fontId="0" fillId="15776" borderId="0" xfId="0" applyFill="1"/>
    <xf numFmtId="0" fontId="0" fillId="15777" borderId="0" xfId="0" applyFill="1"/>
    <xf numFmtId="0" fontId="0" fillId="15778" borderId="0" xfId="0" applyFill="1"/>
    <xf numFmtId="0" fontId="0" fillId="15779" borderId="0" xfId="0" applyFill="1"/>
    <xf numFmtId="0" fontId="0" fillId="15780" borderId="0" xfId="0" applyFill="1"/>
    <xf numFmtId="0" fontId="0" fillId="15781" borderId="0" xfId="0" applyFill="1"/>
    <xf numFmtId="0" fontId="0" fillId="15782" borderId="0" xfId="0" applyFill="1"/>
    <xf numFmtId="0" fontId="0" fillId="15783" borderId="0" xfId="0" applyFill="1"/>
    <xf numFmtId="0" fontId="0" fillId="15784" borderId="0" xfId="0" applyFill="1"/>
    <xf numFmtId="0" fontId="0" fillId="15785" borderId="0" xfId="0" applyFill="1"/>
    <xf numFmtId="0" fontId="0" fillId="15786" borderId="0" xfId="0" applyFill="1"/>
    <xf numFmtId="0" fontId="0" fillId="15787" borderId="0" xfId="0" applyFill="1"/>
    <xf numFmtId="0" fontId="0" fillId="15788" borderId="0" xfId="0" applyFill="1"/>
    <xf numFmtId="0" fontId="0" fillId="15789" borderId="0" xfId="0" applyFill="1"/>
    <xf numFmtId="0" fontId="0" fillId="15790" borderId="0" xfId="0" applyFill="1"/>
    <xf numFmtId="0" fontId="0" fillId="15791" borderId="0" xfId="0" applyFill="1"/>
    <xf numFmtId="0" fontId="0" fillId="15792" borderId="0" xfId="0" applyFill="1"/>
    <xf numFmtId="0" fontId="0" fillId="15793" borderId="0" xfId="0" applyFill="1"/>
    <xf numFmtId="0" fontId="0" fillId="15794" borderId="0" xfId="0" applyFill="1"/>
    <xf numFmtId="0" fontId="0" fillId="15795" borderId="0" xfId="0" applyFill="1"/>
    <xf numFmtId="0" fontId="0" fillId="15796" borderId="0" xfId="0" applyFill="1"/>
    <xf numFmtId="0" fontId="0" fillId="15797" borderId="0" xfId="0" applyFill="1"/>
    <xf numFmtId="0" fontId="0" fillId="15798" borderId="0" xfId="0" applyFill="1"/>
    <xf numFmtId="0" fontId="0" fillId="15799" borderId="0" xfId="0" applyFill="1"/>
    <xf numFmtId="0" fontId="0" fillId="15800" borderId="0" xfId="0" applyFill="1"/>
    <xf numFmtId="0" fontId="0" fillId="15801" borderId="0" xfId="0" applyFill="1"/>
    <xf numFmtId="0" fontId="0" fillId="15802" borderId="0" xfId="0" applyFill="1"/>
    <xf numFmtId="0" fontId="0" fillId="15803" borderId="0" xfId="0" applyFill="1"/>
    <xf numFmtId="0" fontId="0" fillId="15804" borderId="0" xfId="0" applyFill="1"/>
    <xf numFmtId="0" fontId="0" fillId="15805" borderId="0" xfId="0" applyFill="1"/>
    <xf numFmtId="0" fontId="0" fillId="15806" borderId="0" xfId="0" applyFill="1"/>
    <xf numFmtId="0" fontId="0" fillId="15807" borderId="0" xfId="0" applyFill="1"/>
    <xf numFmtId="0" fontId="0" fillId="15808" borderId="0" xfId="0" applyFill="1"/>
    <xf numFmtId="0" fontId="0" fillId="15809" borderId="0" xfId="0" applyFill="1"/>
    <xf numFmtId="0" fontId="0" fillId="15810" borderId="0" xfId="0" applyFill="1"/>
    <xf numFmtId="0" fontId="0" fillId="15811" borderId="0" xfId="0" applyFill="1"/>
    <xf numFmtId="0" fontId="0" fillId="15812" borderId="0" xfId="0" applyFill="1"/>
    <xf numFmtId="0" fontId="0" fillId="15813" borderId="0" xfId="0" applyFill="1"/>
    <xf numFmtId="0" fontId="0" fillId="15814" borderId="0" xfId="0" applyFill="1"/>
    <xf numFmtId="0" fontId="0" fillId="15815" borderId="0" xfId="0" applyFill="1"/>
    <xf numFmtId="0" fontId="0" fillId="15816" borderId="0" xfId="0" applyFill="1"/>
    <xf numFmtId="0" fontId="0" fillId="15817" borderId="0" xfId="0" applyFill="1"/>
    <xf numFmtId="0" fontId="0" fillId="15818" borderId="0" xfId="0" applyFill="1"/>
    <xf numFmtId="0" fontId="0" fillId="15819" borderId="0" xfId="0" applyFill="1"/>
    <xf numFmtId="0" fontId="0" fillId="15820" borderId="0" xfId="0" applyFill="1"/>
    <xf numFmtId="0" fontId="0" fillId="15821" borderId="0" xfId="0" applyFill="1"/>
    <xf numFmtId="0" fontId="0" fillId="15822" borderId="0" xfId="0" applyFill="1"/>
    <xf numFmtId="0" fontId="0" fillId="15823" borderId="0" xfId="0" applyFill="1"/>
    <xf numFmtId="0" fontId="0" fillId="15824" borderId="0" xfId="0" applyFill="1"/>
    <xf numFmtId="0" fontId="0" fillId="15825" borderId="0" xfId="0" applyFill="1"/>
    <xf numFmtId="0" fontId="0" fillId="15826" borderId="0" xfId="0" applyFill="1"/>
    <xf numFmtId="0" fontId="0" fillId="15827" borderId="0" xfId="0" applyFill="1"/>
    <xf numFmtId="0" fontId="0" fillId="15828" borderId="0" xfId="0" applyFill="1"/>
    <xf numFmtId="0" fontId="0" fillId="15829" borderId="0" xfId="0" applyFill="1"/>
    <xf numFmtId="0" fontId="0" fillId="15830" borderId="0" xfId="0" applyFill="1"/>
    <xf numFmtId="0" fontId="0" fillId="15831" borderId="0" xfId="0" applyFill="1"/>
    <xf numFmtId="0" fontId="0" fillId="15832" borderId="0" xfId="0" applyFill="1"/>
    <xf numFmtId="0" fontId="0" fillId="15833" borderId="0" xfId="0" applyFill="1"/>
    <xf numFmtId="0" fontId="0" fillId="15834" borderId="0" xfId="0" applyFill="1"/>
    <xf numFmtId="0" fontId="0" fillId="15835" borderId="0" xfId="0" applyFill="1"/>
    <xf numFmtId="0" fontId="0" fillId="15836" borderId="0" xfId="0" applyFill="1"/>
    <xf numFmtId="0" fontId="0" fillId="15837" borderId="0" xfId="0" applyFill="1"/>
    <xf numFmtId="0" fontId="0" fillId="15838" borderId="0" xfId="0" applyFill="1"/>
    <xf numFmtId="0" fontId="0" fillId="15839" borderId="0" xfId="0" applyFill="1"/>
    <xf numFmtId="0" fontId="0" fillId="15840" borderId="0" xfId="0" applyFill="1"/>
    <xf numFmtId="0" fontId="0" fillId="15841" borderId="0" xfId="0" applyFill="1"/>
    <xf numFmtId="0" fontId="0" fillId="15842" borderId="0" xfId="0" applyFill="1"/>
    <xf numFmtId="0" fontId="0" fillId="15843" borderId="0" xfId="0" applyFill="1"/>
    <xf numFmtId="0" fontId="0" fillId="15844" borderId="0" xfId="0" applyFill="1"/>
    <xf numFmtId="0" fontId="0" fillId="15845" borderId="0" xfId="0" applyFill="1"/>
    <xf numFmtId="0" fontId="0" fillId="15846" borderId="0" xfId="0" applyFill="1"/>
    <xf numFmtId="0" fontId="0" fillId="15847" borderId="0" xfId="0" applyFill="1"/>
    <xf numFmtId="0" fontId="0" fillId="15848" borderId="0" xfId="0" applyFill="1"/>
    <xf numFmtId="0" fontId="0" fillId="15849" borderId="0" xfId="0" applyFill="1"/>
    <xf numFmtId="0" fontId="0" fillId="15850" borderId="0" xfId="0" applyFill="1"/>
    <xf numFmtId="0" fontId="0" fillId="15851" borderId="0" xfId="0" applyFill="1"/>
    <xf numFmtId="0" fontId="0" fillId="15852" borderId="0" xfId="0" applyFill="1"/>
    <xf numFmtId="0" fontId="0" fillId="15853" borderId="0" xfId="0" applyFill="1"/>
    <xf numFmtId="0" fontId="0" fillId="15854" borderId="0" xfId="0" applyFill="1"/>
    <xf numFmtId="0" fontId="0" fillId="15855" borderId="0" xfId="0" applyFill="1"/>
    <xf numFmtId="0" fontId="0" fillId="15856" borderId="0" xfId="0" applyFill="1"/>
    <xf numFmtId="0" fontId="0" fillId="15857" borderId="0" xfId="0" applyFill="1"/>
    <xf numFmtId="0" fontId="0" fillId="15858" borderId="0" xfId="0" applyFill="1"/>
    <xf numFmtId="0" fontId="0" fillId="15859" borderId="0" xfId="0" applyFill="1"/>
    <xf numFmtId="0" fontId="0" fillId="15860" borderId="0" xfId="0" applyFill="1"/>
    <xf numFmtId="0" fontId="0" fillId="15861" borderId="0" xfId="0" applyFill="1"/>
    <xf numFmtId="0" fontId="0" fillId="15862" borderId="0" xfId="0" applyFill="1"/>
    <xf numFmtId="0" fontId="0" fillId="15863" borderId="0" xfId="0" applyFill="1"/>
    <xf numFmtId="0" fontId="0" fillId="15864" borderId="0" xfId="0" applyFill="1"/>
    <xf numFmtId="0" fontId="0" fillId="15865" borderId="0" xfId="0" applyFill="1"/>
    <xf numFmtId="0" fontId="0" fillId="15866" borderId="0" xfId="0" applyFill="1"/>
    <xf numFmtId="0" fontId="0" fillId="15867" borderId="0" xfId="0" applyFill="1"/>
    <xf numFmtId="0" fontId="0" fillId="15868" borderId="0" xfId="0" applyFill="1"/>
    <xf numFmtId="0" fontId="0" fillId="15869" borderId="0" xfId="0" applyFill="1"/>
    <xf numFmtId="0" fontId="0" fillId="15870" borderId="0" xfId="0" applyFill="1"/>
    <xf numFmtId="0" fontId="0" fillId="15871" borderId="0" xfId="0" applyFill="1"/>
    <xf numFmtId="0" fontId="0" fillId="15872" borderId="0" xfId="0" applyFill="1"/>
    <xf numFmtId="0" fontId="0" fillId="15873" borderId="0" xfId="0" applyFill="1"/>
    <xf numFmtId="0" fontId="0" fillId="15874" borderId="0" xfId="0" applyFill="1"/>
    <xf numFmtId="0" fontId="0" fillId="15875" borderId="0" xfId="0" applyFill="1"/>
    <xf numFmtId="0" fontId="0" fillId="15876" borderId="0" xfId="0" applyFill="1"/>
    <xf numFmtId="0" fontId="0" fillId="15877" borderId="0" xfId="0" applyFill="1"/>
    <xf numFmtId="0" fontId="0" fillId="15878" borderId="0" xfId="0" applyFill="1"/>
    <xf numFmtId="0" fontId="0" fillId="15879" borderId="0" xfId="0" applyFill="1"/>
    <xf numFmtId="0" fontId="0" fillId="15880" borderId="0" xfId="0" applyFill="1"/>
    <xf numFmtId="0" fontId="0" fillId="15881" borderId="0" xfId="0" applyFill="1"/>
    <xf numFmtId="0" fontId="0" fillId="15882" borderId="0" xfId="0" applyFill="1"/>
    <xf numFmtId="0" fontId="0" fillId="15883" borderId="0" xfId="0" applyFill="1"/>
    <xf numFmtId="0" fontId="0" fillId="15884" borderId="0" xfId="0" applyFill="1"/>
    <xf numFmtId="0" fontId="0" fillId="15885" borderId="0" xfId="0" applyFill="1"/>
    <xf numFmtId="0" fontId="0" fillId="15886" borderId="0" xfId="0" applyFill="1"/>
    <xf numFmtId="0" fontId="0" fillId="15887" borderId="0" xfId="0" applyFill="1"/>
    <xf numFmtId="0" fontId="0" fillId="15888" borderId="0" xfId="0" applyFill="1"/>
    <xf numFmtId="0" fontId="0" fillId="15889" borderId="0" xfId="0" applyFill="1"/>
    <xf numFmtId="0" fontId="0" fillId="15890" borderId="0" xfId="0" applyFill="1"/>
    <xf numFmtId="0" fontId="0" fillId="15891" borderId="0" xfId="0" applyFill="1"/>
    <xf numFmtId="0" fontId="0" fillId="15892" borderId="0" xfId="0" applyFill="1"/>
    <xf numFmtId="0" fontId="0" fillId="15893" borderId="0" xfId="0" applyFill="1"/>
    <xf numFmtId="0" fontId="0" fillId="15894" borderId="0" xfId="0" applyFill="1"/>
    <xf numFmtId="0" fontId="0" fillId="15895" borderId="0" xfId="0" applyFill="1"/>
    <xf numFmtId="0" fontId="0" fillId="15896" borderId="0" xfId="0" applyFill="1"/>
    <xf numFmtId="0" fontId="0" fillId="15897" borderId="0" xfId="0" applyFill="1"/>
    <xf numFmtId="0" fontId="0" fillId="15898" borderId="0" xfId="0" applyFill="1"/>
    <xf numFmtId="0" fontId="0" fillId="15899" borderId="0" xfId="0" applyFill="1"/>
    <xf numFmtId="0" fontId="0" fillId="15900" borderId="0" xfId="0" applyFill="1"/>
    <xf numFmtId="0" fontId="0" fillId="15901" borderId="0" xfId="0" applyFill="1"/>
    <xf numFmtId="0" fontId="0" fillId="15902" borderId="0" xfId="0" applyFill="1"/>
    <xf numFmtId="0" fontId="0" fillId="15903" borderId="0" xfId="0" applyFill="1"/>
    <xf numFmtId="0" fontId="0" fillId="15904" borderId="0" xfId="0" applyFill="1"/>
    <xf numFmtId="0" fontId="0" fillId="15905" borderId="0" xfId="0" applyFill="1"/>
    <xf numFmtId="0" fontId="0" fillId="15906" borderId="0" xfId="0" applyFill="1"/>
    <xf numFmtId="0" fontId="0" fillId="15907" borderId="0" xfId="0" applyFill="1"/>
    <xf numFmtId="0" fontId="0" fillId="15908" borderId="0" xfId="0" applyFill="1"/>
    <xf numFmtId="0" fontId="0" fillId="15909" borderId="0" xfId="0" applyFill="1"/>
    <xf numFmtId="0" fontId="0" fillId="15910" borderId="0" xfId="0" applyFill="1"/>
    <xf numFmtId="0" fontId="0" fillId="15911" borderId="0" xfId="0" applyFill="1"/>
    <xf numFmtId="0" fontId="0" fillId="15912" borderId="0" xfId="0" applyFill="1"/>
    <xf numFmtId="0" fontId="0" fillId="15913" borderId="0" xfId="0" applyFill="1"/>
    <xf numFmtId="0" fontId="0" fillId="15914" borderId="0" xfId="0" applyFill="1"/>
    <xf numFmtId="0" fontId="0" fillId="15915" borderId="0" xfId="0" applyFill="1"/>
    <xf numFmtId="0" fontId="0" fillId="15916" borderId="0" xfId="0" applyFill="1"/>
    <xf numFmtId="0" fontId="0" fillId="15917" borderId="0" xfId="0" applyFill="1"/>
    <xf numFmtId="0" fontId="0" fillId="15918" borderId="0" xfId="0" applyFill="1"/>
    <xf numFmtId="0" fontId="0" fillId="15919" borderId="0" xfId="0" applyFill="1"/>
    <xf numFmtId="0" fontId="0" fillId="15920" borderId="0" xfId="0" applyFill="1"/>
    <xf numFmtId="0" fontId="0" fillId="15921" borderId="0" xfId="0" applyFill="1"/>
    <xf numFmtId="0" fontId="0" fillId="15922" borderId="0" xfId="0" applyFill="1"/>
    <xf numFmtId="0" fontId="0" fillId="15923" borderId="0" xfId="0" applyFill="1"/>
    <xf numFmtId="0" fontId="0" fillId="15924" borderId="0" xfId="0" applyFill="1"/>
    <xf numFmtId="0" fontId="0" fillId="15925" borderId="0" xfId="0" applyFill="1"/>
    <xf numFmtId="0" fontId="0" fillId="15926" borderId="0" xfId="0" applyFill="1"/>
    <xf numFmtId="0" fontId="0" fillId="15927" borderId="0" xfId="0" applyFill="1"/>
    <xf numFmtId="0" fontId="0" fillId="15928" borderId="0" xfId="0" applyFill="1"/>
    <xf numFmtId="0" fontId="0" fillId="15929" borderId="0" xfId="0" applyFill="1"/>
    <xf numFmtId="0" fontId="0" fillId="15930" borderId="0" xfId="0" applyFill="1"/>
    <xf numFmtId="0" fontId="0" fillId="15931" borderId="0" xfId="0" applyFill="1"/>
    <xf numFmtId="0" fontId="0" fillId="15932" borderId="0" xfId="0" applyFill="1"/>
    <xf numFmtId="0" fontId="0" fillId="15933" borderId="0" xfId="0" applyFill="1"/>
    <xf numFmtId="0" fontId="0" fillId="15934" borderId="0" xfId="0" applyFill="1"/>
    <xf numFmtId="0" fontId="0" fillId="15935" borderId="0" xfId="0" applyFill="1"/>
    <xf numFmtId="0" fontId="0" fillId="15936" borderId="0" xfId="0" applyFill="1"/>
    <xf numFmtId="0" fontId="0" fillId="15937" borderId="0" xfId="0" applyFill="1"/>
    <xf numFmtId="0" fontId="0" fillId="15938" borderId="0" xfId="0" applyFill="1"/>
    <xf numFmtId="0" fontId="0" fillId="15939" borderId="0" xfId="0" applyFill="1"/>
    <xf numFmtId="0" fontId="0" fillId="15940" borderId="0" xfId="0" applyFill="1"/>
    <xf numFmtId="0" fontId="0" fillId="15941" borderId="0" xfId="0" applyFill="1"/>
    <xf numFmtId="0" fontId="0" fillId="15942" borderId="0" xfId="0" applyFill="1"/>
    <xf numFmtId="0" fontId="0" fillId="15943" borderId="0" xfId="0" applyFill="1"/>
    <xf numFmtId="0" fontId="0" fillId="15944" borderId="0" xfId="0" applyFill="1"/>
    <xf numFmtId="0" fontId="0" fillId="15945" borderId="0" xfId="0" applyFill="1"/>
    <xf numFmtId="0" fontId="0" fillId="15946" borderId="0" xfId="0" applyFill="1"/>
    <xf numFmtId="0" fontId="0" fillId="15947" borderId="0" xfId="0" applyFill="1"/>
    <xf numFmtId="0" fontId="0" fillId="15948" borderId="0" xfId="0" applyFill="1"/>
    <xf numFmtId="0" fontId="0" fillId="15949" borderId="0" xfId="0" applyFill="1"/>
    <xf numFmtId="0" fontId="0" fillId="15950" borderId="0" xfId="0" applyFill="1"/>
    <xf numFmtId="0" fontId="0" fillId="15951" borderId="0" xfId="0" applyFill="1"/>
    <xf numFmtId="0" fontId="0" fillId="15952" borderId="0" xfId="0" applyFill="1"/>
    <xf numFmtId="0" fontId="0" fillId="15953" borderId="0" xfId="0" applyFill="1"/>
    <xf numFmtId="0" fontId="0" fillId="15954" borderId="0" xfId="0" applyFill="1"/>
    <xf numFmtId="0" fontId="0" fillId="15955" borderId="0" xfId="0" applyFill="1"/>
    <xf numFmtId="0" fontId="0" fillId="15956" borderId="0" xfId="0" applyFill="1"/>
    <xf numFmtId="0" fontId="0" fillId="15957" borderId="0" xfId="0" applyFill="1"/>
    <xf numFmtId="0" fontId="0" fillId="15958" borderId="0" xfId="0" applyFill="1"/>
    <xf numFmtId="0" fontId="0" fillId="15959" borderId="0" xfId="0" applyFill="1"/>
    <xf numFmtId="0" fontId="0" fillId="15960" borderId="0" xfId="0" applyFill="1"/>
    <xf numFmtId="0" fontId="0" fillId="15961" borderId="0" xfId="0" applyFill="1"/>
    <xf numFmtId="0" fontId="0" fillId="15962" borderId="0" xfId="0" applyFill="1"/>
    <xf numFmtId="0" fontId="0" fillId="15963" borderId="0" xfId="0" applyFill="1"/>
    <xf numFmtId="0" fontId="0" fillId="15964" borderId="0" xfId="0" applyFill="1"/>
    <xf numFmtId="0" fontId="0" fillId="15965" borderId="0" xfId="0" applyFill="1"/>
    <xf numFmtId="0" fontId="0" fillId="15966" borderId="0" xfId="0" applyFill="1"/>
    <xf numFmtId="0" fontId="0" fillId="15967" borderId="0" xfId="0" applyFill="1"/>
    <xf numFmtId="0" fontId="0" fillId="15968" borderId="0" xfId="0" applyFill="1"/>
    <xf numFmtId="0" fontId="0" fillId="15969" borderId="0" xfId="0" applyFill="1"/>
    <xf numFmtId="0" fontId="0" fillId="15970" borderId="0" xfId="0" applyFill="1"/>
    <xf numFmtId="0" fontId="0" fillId="15971" borderId="0" xfId="0" applyFill="1"/>
    <xf numFmtId="0" fontId="0" fillId="15972" borderId="0" xfId="0" applyFill="1"/>
    <xf numFmtId="0" fontId="0" fillId="15973" borderId="0" xfId="0" applyFill="1"/>
    <xf numFmtId="0" fontId="0" fillId="15974" borderId="0" xfId="0" applyFill="1"/>
    <xf numFmtId="0" fontId="0" fillId="15975" borderId="0" xfId="0" applyFill="1"/>
    <xf numFmtId="0" fontId="0" fillId="15976" borderId="0" xfId="0" applyFill="1"/>
    <xf numFmtId="0" fontId="0" fillId="15977" borderId="0" xfId="0" applyFill="1"/>
    <xf numFmtId="0" fontId="0" fillId="15978" borderId="0" xfId="0" applyFill="1"/>
    <xf numFmtId="0" fontId="0" fillId="15979" borderId="0" xfId="0" applyFill="1"/>
    <xf numFmtId="0" fontId="0" fillId="15980" borderId="0" xfId="0" applyFill="1"/>
    <xf numFmtId="0" fontId="0" fillId="15981" borderId="0" xfId="0" applyFill="1"/>
    <xf numFmtId="0" fontId="0" fillId="15982" borderId="0" xfId="0" applyFill="1"/>
    <xf numFmtId="0" fontId="0" fillId="15983" borderId="0" xfId="0" applyFill="1"/>
    <xf numFmtId="0" fontId="0" fillId="15984" borderId="0" xfId="0" applyFill="1"/>
    <xf numFmtId="0" fontId="0" fillId="15985" borderId="0" xfId="0" applyFill="1"/>
    <xf numFmtId="0" fontId="0" fillId="15986" borderId="0" xfId="0" applyFill="1"/>
    <xf numFmtId="0" fontId="0" fillId="15987" borderId="0" xfId="0" applyFill="1"/>
    <xf numFmtId="0" fontId="0" fillId="15988" borderId="0" xfId="0" applyFill="1"/>
    <xf numFmtId="0" fontId="0" fillId="15989" borderId="0" xfId="0" applyFill="1"/>
    <xf numFmtId="0" fontId="0" fillId="15990" borderId="0" xfId="0" applyFill="1"/>
    <xf numFmtId="0" fontId="0" fillId="15991" borderId="0" xfId="0" applyFill="1"/>
    <xf numFmtId="0" fontId="0" fillId="15992" borderId="0" xfId="0" applyFill="1"/>
    <xf numFmtId="0" fontId="0" fillId="15993" borderId="0" xfId="0" applyFill="1"/>
    <xf numFmtId="0" fontId="0" fillId="15994" borderId="0" xfId="0" applyFill="1"/>
    <xf numFmtId="0" fontId="0" fillId="15995" borderId="0" xfId="0" applyFill="1"/>
    <xf numFmtId="0" fontId="0" fillId="15996" borderId="0" xfId="0" applyFill="1"/>
    <xf numFmtId="0" fontId="0" fillId="15997" borderId="0" xfId="0" applyFill="1"/>
    <xf numFmtId="0" fontId="0" fillId="15998" borderId="0" xfId="0" applyFill="1"/>
    <xf numFmtId="0" fontId="0" fillId="15999" borderId="0" xfId="0" applyFill="1"/>
    <xf numFmtId="0" fontId="0" fillId="16000" borderId="0" xfId="0" applyFill="1"/>
    <xf numFmtId="0" fontId="0" fillId="16001" borderId="0" xfId="0" applyFill="1"/>
    <xf numFmtId="0" fontId="0" fillId="16002" borderId="0" xfId="0" applyFill="1"/>
    <xf numFmtId="0" fontId="0" fillId="16003" borderId="0" xfId="0" applyFill="1"/>
    <xf numFmtId="0" fontId="0" fillId="16004" borderId="0" xfId="0" applyFill="1"/>
    <xf numFmtId="0" fontId="0" fillId="16005" borderId="0" xfId="0" applyFill="1"/>
    <xf numFmtId="0" fontId="0" fillId="16006" borderId="0" xfId="0" applyFill="1"/>
    <xf numFmtId="0" fontId="0" fillId="16007" borderId="0" xfId="0" applyFill="1"/>
    <xf numFmtId="0" fontId="0" fillId="16008" borderId="0" xfId="0" applyFill="1"/>
    <xf numFmtId="0" fontId="0" fillId="16009" borderId="0" xfId="0" applyFill="1"/>
    <xf numFmtId="0" fontId="0" fillId="16010" borderId="0" xfId="0" applyFill="1"/>
    <xf numFmtId="0" fontId="0" fillId="16011" borderId="0" xfId="0" applyFill="1"/>
    <xf numFmtId="0" fontId="0" fillId="16012" borderId="0" xfId="0" applyFill="1"/>
    <xf numFmtId="0" fontId="0" fillId="16013" borderId="0" xfId="0" applyFill="1"/>
    <xf numFmtId="0" fontId="0" fillId="16014" borderId="0" xfId="0" applyFill="1"/>
    <xf numFmtId="0" fontId="0" fillId="16015" borderId="0" xfId="0" applyFill="1"/>
    <xf numFmtId="0" fontId="0" fillId="16016" borderId="0" xfId="0" applyFill="1"/>
    <xf numFmtId="0" fontId="0" fillId="16017" borderId="0" xfId="0" applyFill="1"/>
    <xf numFmtId="0" fontId="0" fillId="16018" borderId="0" xfId="0" applyFill="1"/>
    <xf numFmtId="0" fontId="0" fillId="16019" borderId="0" xfId="0" applyFill="1"/>
    <xf numFmtId="0" fontId="0" fillId="16020" borderId="0" xfId="0" applyFill="1"/>
    <xf numFmtId="0" fontId="0" fillId="16021" borderId="0" xfId="0" applyFill="1"/>
    <xf numFmtId="0" fontId="0" fillId="16022" borderId="0" xfId="0" applyFill="1"/>
    <xf numFmtId="0" fontId="0" fillId="16023" borderId="0" xfId="0" applyFill="1"/>
    <xf numFmtId="0" fontId="0" fillId="16024" borderId="0" xfId="0" applyFill="1"/>
    <xf numFmtId="0" fontId="0" fillId="16025" borderId="0" xfId="0" applyFill="1"/>
    <xf numFmtId="0" fontId="0" fillId="16026" borderId="0" xfId="0" applyFill="1"/>
    <xf numFmtId="0" fontId="0" fillId="16027" borderId="0" xfId="0" applyFill="1"/>
    <xf numFmtId="0" fontId="0" fillId="16028" borderId="0" xfId="0" applyFill="1"/>
    <xf numFmtId="0" fontId="0" fillId="16029" borderId="0" xfId="0" applyFill="1"/>
    <xf numFmtId="0" fontId="0" fillId="16030" borderId="0" xfId="0" applyFill="1"/>
    <xf numFmtId="0" fontId="0" fillId="16031" borderId="0" xfId="0" applyFill="1"/>
    <xf numFmtId="0" fontId="0" fillId="16032" borderId="0" xfId="0" applyFill="1"/>
    <xf numFmtId="0" fontId="0" fillId="16033" borderId="0" xfId="0" applyFill="1"/>
    <xf numFmtId="0" fontId="0" fillId="16034" borderId="0" xfId="0" applyFill="1"/>
    <xf numFmtId="0" fontId="0" fillId="16035" borderId="0" xfId="0" applyFill="1"/>
    <xf numFmtId="0" fontId="0" fillId="16036" borderId="0" xfId="0" applyFill="1"/>
    <xf numFmtId="0" fontId="0" fillId="16037" borderId="0" xfId="0" applyFill="1"/>
    <xf numFmtId="0" fontId="0" fillId="16038" borderId="0" xfId="0" applyFill="1"/>
    <xf numFmtId="0" fontId="0" fillId="16039" borderId="0" xfId="0" applyFill="1"/>
    <xf numFmtId="0" fontId="0" fillId="16040" borderId="0" xfId="0" applyFill="1"/>
    <xf numFmtId="0" fontId="0" fillId="16041" borderId="0" xfId="0" applyFill="1"/>
    <xf numFmtId="0" fontId="0" fillId="16042" borderId="0" xfId="0" applyFill="1"/>
    <xf numFmtId="0" fontId="0" fillId="16043" borderId="0" xfId="0" applyFill="1"/>
    <xf numFmtId="0" fontId="0" fillId="16044" borderId="0" xfId="0" applyFill="1"/>
    <xf numFmtId="0" fontId="0" fillId="16045" borderId="0" xfId="0" applyFill="1"/>
    <xf numFmtId="0" fontId="0" fillId="16046" borderId="0" xfId="0" applyFill="1"/>
    <xf numFmtId="0" fontId="0" fillId="16047" borderId="0" xfId="0" applyFill="1"/>
    <xf numFmtId="0" fontId="0" fillId="16048" borderId="0" xfId="0" applyFill="1"/>
    <xf numFmtId="0" fontId="0" fillId="16049" borderId="0" xfId="0" applyFill="1"/>
    <xf numFmtId="0" fontId="0" fillId="16050" borderId="0" xfId="0" applyFill="1"/>
    <xf numFmtId="0" fontId="0" fillId="16051" borderId="0" xfId="0" applyFill="1"/>
    <xf numFmtId="0" fontId="0" fillId="16052" borderId="0" xfId="0" applyFill="1"/>
    <xf numFmtId="0" fontId="0" fillId="16053" borderId="0" xfId="0" applyFill="1"/>
    <xf numFmtId="0" fontId="0" fillId="16054" borderId="0" xfId="0" applyFill="1"/>
    <xf numFmtId="0" fontId="0" fillId="16055" borderId="0" xfId="0" applyFill="1"/>
    <xf numFmtId="0" fontId="0" fillId="16056" borderId="0" xfId="0" applyFill="1"/>
    <xf numFmtId="0" fontId="0" fillId="16057" borderId="0" xfId="0" applyFill="1"/>
    <xf numFmtId="0" fontId="0" fillId="16058" borderId="0" xfId="0" applyFill="1"/>
    <xf numFmtId="0" fontId="0" fillId="16059" borderId="0" xfId="0" applyFill="1"/>
    <xf numFmtId="0" fontId="0" fillId="16060" borderId="0" xfId="0" applyFill="1"/>
    <xf numFmtId="0" fontId="0" fillId="16061" borderId="0" xfId="0" applyFill="1"/>
    <xf numFmtId="0" fontId="0" fillId="16062" borderId="0" xfId="0" applyFill="1"/>
    <xf numFmtId="0" fontId="0" fillId="16063" borderId="0" xfId="0" applyFill="1"/>
    <xf numFmtId="0" fontId="0" fillId="16064" borderId="0" xfId="0" applyFill="1"/>
    <xf numFmtId="0" fontId="0" fillId="16065" borderId="0" xfId="0" applyFill="1"/>
    <xf numFmtId="0" fontId="0" fillId="16066" borderId="0" xfId="0" applyFill="1"/>
    <xf numFmtId="0" fontId="0" fillId="16067" borderId="0" xfId="0" applyFill="1"/>
    <xf numFmtId="0" fontId="0" fillId="16068" borderId="0" xfId="0" applyFill="1"/>
    <xf numFmtId="0" fontId="0" fillId="16069" borderId="0" xfId="0" applyFill="1"/>
    <xf numFmtId="0" fontId="0" fillId="16070" borderId="0" xfId="0" applyFill="1"/>
    <xf numFmtId="0" fontId="0" fillId="16071" borderId="0" xfId="0" applyFill="1"/>
    <xf numFmtId="0" fontId="0" fillId="16072" borderId="0" xfId="0" applyFill="1"/>
    <xf numFmtId="0" fontId="0" fillId="16073" borderId="0" xfId="0" applyFill="1"/>
    <xf numFmtId="0" fontId="0" fillId="16074" borderId="0" xfId="0" applyFill="1"/>
    <xf numFmtId="0" fontId="0" fillId="16075" borderId="0" xfId="0" applyFill="1"/>
    <xf numFmtId="0" fontId="0" fillId="16076" borderId="0" xfId="0" applyFill="1"/>
    <xf numFmtId="0" fontId="0" fillId="16077" borderId="0" xfId="0" applyFill="1"/>
    <xf numFmtId="0" fontId="0" fillId="16078" borderId="0" xfId="0" applyFill="1"/>
    <xf numFmtId="0" fontId="0" fillId="16079" borderId="0" xfId="0" applyFill="1"/>
    <xf numFmtId="0" fontId="0" fillId="16080" borderId="0" xfId="0" applyFill="1"/>
    <xf numFmtId="0" fontId="0" fillId="16081" borderId="0" xfId="0" applyFill="1"/>
    <xf numFmtId="0" fontId="0" fillId="16082" borderId="0" xfId="0" applyFill="1"/>
    <xf numFmtId="0" fontId="0" fillId="16083" borderId="0" xfId="0" applyFill="1"/>
    <xf numFmtId="0" fontId="0" fillId="16084" borderId="0" xfId="0" applyFill="1"/>
    <xf numFmtId="0" fontId="0" fillId="16085" borderId="0" xfId="0" applyFill="1"/>
    <xf numFmtId="0" fontId="0" fillId="16086" borderId="0" xfId="0" applyFill="1"/>
    <xf numFmtId="0" fontId="0" fillId="16087" borderId="0" xfId="0" applyFill="1"/>
    <xf numFmtId="0" fontId="0" fillId="16088" borderId="0" xfId="0" applyFill="1"/>
    <xf numFmtId="0" fontId="0" fillId="16089" borderId="0" xfId="0" applyFill="1"/>
    <xf numFmtId="0" fontId="0" fillId="16090" borderId="0" xfId="0" applyFill="1"/>
    <xf numFmtId="0" fontId="0" fillId="16091" borderId="0" xfId="0" applyFill="1"/>
    <xf numFmtId="0" fontId="0" fillId="16092" borderId="0" xfId="0" applyFill="1"/>
    <xf numFmtId="0" fontId="0" fillId="16093" borderId="0" xfId="0" applyFill="1"/>
    <xf numFmtId="0" fontId="0" fillId="16094" borderId="0" xfId="0" applyFill="1"/>
    <xf numFmtId="0" fontId="0" fillId="16095" borderId="0" xfId="0" applyFill="1"/>
    <xf numFmtId="0" fontId="0" fillId="16096" borderId="0" xfId="0" applyFill="1"/>
    <xf numFmtId="0" fontId="0" fillId="16097" borderId="0" xfId="0" applyFill="1"/>
    <xf numFmtId="0" fontId="0" fillId="16098" borderId="0" xfId="0" applyFill="1"/>
    <xf numFmtId="0" fontId="0" fillId="16099" borderId="0" xfId="0" applyFill="1"/>
    <xf numFmtId="0" fontId="0" fillId="16100" borderId="0" xfId="0" applyFill="1"/>
    <xf numFmtId="0" fontId="0" fillId="16101" borderId="0" xfId="0" applyFill="1"/>
    <xf numFmtId="0" fontId="0" fillId="16102" borderId="0" xfId="0" applyFill="1"/>
    <xf numFmtId="0" fontId="0" fillId="16103" borderId="0" xfId="0" applyFill="1"/>
    <xf numFmtId="0" fontId="0" fillId="16104" borderId="0" xfId="0" applyFill="1"/>
    <xf numFmtId="0" fontId="0" fillId="16105" borderId="0" xfId="0" applyFill="1"/>
    <xf numFmtId="0" fontId="0" fillId="16106" borderId="0" xfId="0" applyFill="1"/>
    <xf numFmtId="0" fontId="0" fillId="16107" borderId="0" xfId="0" applyFill="1"/>
    <xf numFmtId="0" fontId="0" fillId="16108" borderId="0" xfId="0" applyFill="1"/>
    <xf numFmtId="0" fontId="0" fillId="16109" borderId="0" xfId="0" applyFill="1"/>
    <xf numFmtId="0" fontId="0" fillId="16110" borderId="0" xfId="0" applyFill="1"/>
    <xf numFmtId="0" fontId="0" fillId="16111" borderId="0" xfId="0" applyFill="1"/>
    <xf numFmtId="0" fontId="0" fillId="16112" borderId="0" xfId="0" applyFill="1"/>
    <xf numFmtId="0" fontId="0" fillId="16113" borderId="0" xfId="0" applyFill="1"/>
    <xf numFmtId="0" fontId="0" fillId="16114" borderId="0" xfId="0" applyFill="1"/>
    <xf numFmtId="0" fontId="0" fillId="16115" borderId="0" xfId="0" applyFill="1"/>
    <xf numFmtId="0" fontId="0" fillId="16116" borderId="0" xfId="0" applyFill="1"/>
    <xf numFmtId="0" fontId="0" fillId="16117" borderId="0" xfId="0" applyFill="1"/>
    <xf numFmtId="0" fontId="0" fillId="16118" borderId="0" xfId="0" applyFill="1"/>
    <xf numFmtId="0" fontId="0" fillId="16119" borderId="0" xfId="0" applyFill="1"/>
    <xf numFmtId="0" fontId="0" fillId="16120" borderId="0" xfId="0" applyFill="1"/>
    <xf numFmtId="0" fontId="0" fillId="16121" borderId="0" xfId="0" applyFill="1"/>
    <xf numFmtId="0" fontId="0" fillId="16122" borderId="0" xfId="0" applyFill="1"/>
    <xf numFmtId="0" fontId="0" fillId="16123" borderId="0" xfId="0" applyFill="1"/>
    <xf numFmtId="0" fontId="0" fillId="16124" borderId="0" xfId="0" applyFill="1"/>
    <xf numFmtId="0" fontId="0" fillId="16125" borderId="0" xfId="0" applyFill="1"/>
    <xf numFmtId="0" fontId="0" fillId="16126" borderId="0" xfId="0" applyFill="1"/>
    <xf numFmtId="0" fontId="0" fillId="16127" borderId="0" xfId="0" applyFill="1"/>
    <xf numFmtId="0" fontId="0" fillId="16128" borderId="0" xfId="0" applyFill="1"/>
    <xf numFmtId="0" fontId="0" fillId="16129" borderId="0" xfId="0" applyFill="1"/>
    <xf numFmtId="0" fontId="0" fillId="16130" borderId="0" xfId="0" applyFill="1"/>
    <xf numFmtId="0" fontId="0" fillId="16131" borderId="0" xfId="0" applyFill="1"/>
    <xf numFmtId="0" fontId="0" fillId="16132" borderId="0" xfId="0" applyFill="1"/>
    <xf numFmtId="0" fontId="0" fillId="16133" borderId="0" xfId="0" applyFill="1"/>
    <xf numFmtId="0" fontId="0" fillId="16134" borderId="0" xfId="0" applyFill="1"/>
    <xf numFmtId="0" fontId="0" fillId="16135" borderId="0" xfId="0" applyFill="1"/>
    <xf numFmtId="0" fontId="0" fillId="16136" borderId="0" xfId="0" applyFill="1"/>
    <xf numFmtId="0" fontId="0" fillId="16137" borderId="0" xfId="0" applyFill="1"/>
    <xf numFmtId="0" fontId="0" fillId="16138" borderId="0" xfId="0" applyFill="1"/>
    <xf numFmtId="0" fontId="0" fillId="16139" borderId="0" xfId="0" applyFill="1"/>
    <xf numFmtId="0" fontId="0" fillId="16140" borderId="0" xfId="0" applyFill="1"/>
    <xf numFmtId="0" fontId="0" fillId="16141" borderId="0" xfId="0" applyFill="1"/>
    <xf numFmtId="0" fontId="0" fillId="16142" borderId="0" xfId="0" applyFill="1"/>
    <xf numFmtId="0" fontId="0" fillId="16143" borderId="0" xfId="0" applyFill="1"/>
    <xf numFmtId="0" fontId="0" fillId="16144" borderId="0" xfId="0" applyFill="1"/>
    <xf numFmtId="0" fontId="0" fillId="16145" borderId="0" xfId="0" applyFill="1"/>
    <xf numFmtId="0" fontId="0" fillId="16146" borderId="0" xfId="0" applyFill="1"/>
    <xf numFmtId="0" fontId="0" fillId="16147" borderId="0" xfId="0" applyFill="1"/>
    <xf numFmtId="0" fontId="0" fillId="16148" borderId="0" xfId="0" applyFill="1"/>
    <xf numFmtId="0" fontId="0" fillId="16149" borderId="0" xfId="0" applyFill="1"/>
    <xf numFmtId="0" fontId="0" fillId="16150" borderId="0" xfId="0" applyFill="1"/>
    <xf numFmtId="0" fontId="0" fillId="16151" borderId="0" xfId="0" applyFill="1"/>
    <xf numFmtId="0" fontId="0" fillId="16152" borderId="0" xfId="0" applyFill="1"/>
    <xf numFmtId="0" fontId="0" fillId="16153" borderId="0" xfId="0" applyFill="1"/>
    <xf numFmtId="0" fontId="0" fillId="16154" borderId="0" xfId="0" applyFill="1"/>
    <xf numFmtId="0" fontId="0" fillId="16155" borderId="0" xfId="0" applyFill="1"/>
    <xf numFmtId="0" fontId="0" fillId="16156" borderId="0" xfId="0" applyFill="1"/>
    <xf numFmtId="0" fontId="0" fillId="16157" borderId="0" xfId="0" applyFill="1"/>
    <xf numFmtId="0" fontId="0" fillId="16158" borderId="0" xfId="0" applyFill="1"/>
    <xf numFmtId="0" fontId="0" fillId="16159" borderId="0" xfId="0" applyFill="1"/>
    <xf numFmtId="0" fontId="0" fillId="16160" borderId="0" xfId="0" applyFill="1"/>
    <xf numFmtId="0" fontId="0" fillId="16161" borderId="0" xfId="0" applyFill="1"/>
    <xf numFmtId="0" fontId="0" fillId="16162" borderId="0" xfId="0" applyFill="1"/>
    <xf numFmtId="0" fontId="0" fillId="16163" borderId="0" xfId="0" applyFill="1"/>
    <xf numFmtId="0" fontId="0" fillId="16164" borderId="0" xfId="0" applyFill="1"/>
    <xf numFmtId="0" fontId="0" fillId="16165" borderId="0" xfId="0" applyFill="1"/>
    <xf numFmtId="0" fontId="0" fillId="16166" borderId="0" xfId="0" applyFill="1"/>
    <xf numFmtId="0" fontId="0" fillId="16167" borderId="0" xfId="0" applyFill="1"/>
    <xf numFmtId="0" fontId="0" fillId="16168" borderId="0" xfId="0" applyFill="1"/>
    <xf numFmtId="0" fontId="0" fillId="16169" borderId="0" xfId="0" applyFill="1"/>
    <xf numFmtId="0" fontId="0" fillId="16170" borderId="0" xfId="0" applyFill="1"/>
    <xf numFmtId="0" fontId="0" fillId="16171" borderId="0" xfId="0" applyFill="1"/>
    <xf numFmtId="0" fontId="0" fillId="16172" borderId="0" xfId="0" applyFill="1"/>
    <xf numFmtId="0" fontId="0" fillId="16173" borderId="0" xfId="0" applyFill="1"/>
    <xf numFmtId="0" fontId="0" fillId="16174" borderId="0" xfId="0" applyFill="1"/>
    <xf numFmtId="0" fontId="0" fillId="16175" borderId="0" xfId="0" applyFill="1"/>
    <xf numFmtId="0" fontId="0" fillId="16176" borderId="0" xfId="0" applyFill="1"/>
    <xf numFmtId="0" fontId="0" fillId="16177" borderId="0" xfId="0" applyFill="1"/>
    <xf numFmtId="0" fontId="0" fillId="16178" borderId="0" xfId="0" applyFill="1"/>
    <xf numFmtId="0" fontId="0" fillId="16179" borderId="0" xfId="0" applyFill="1"/>
    <xf numFmtId="0" fontId="0" fillId="16180" borderId="0" xfId="0" applyFill="1"/>
    <xf numFmtId="0" fontId="0" fillId="16181" borderId="0" xfId="0" applyFill="1"/>
    <xf numFmtId="0" fontId="0" fillId="16182" borderId="0" xfId="0" applyFill="1"/>
    <xf numFmtId="0" fontId="0" fillId="16183" borderId="0" xfId="0" applyFill="1"/>
    <xf numFmtId="0" fontId="0" fillId="16184" borderId="0" xfId="0" applyFill="1"/>
    <xf numFmtId="0" fontId="0" fillId="16185" borderId="0" xfId="0" applyFill="1"/>
    <xf numFmtId="0" fontId="0" fillId="16186" borderId="0" xfId="0" applyFill="1"/>
    <xf numFmtId="0" fontId="0" fillId="16187" borderId="0" xfId="0" applyFill="1"/>
    <xf numFmtId="0" fontId="0" fillId="16188" borderId="0" xfId="0" applyFill="1"/>
    <xf numFmtId="0" fontId="0" fillId="16189" borderId="0" xfId="0" applyFill="1"/>
    <xf numFmtId="0" fontId="0" fillId="16190" borderId="0" xfId="0" applyFill="1"/>
    <xf numFmtId="0" fontId="0" fillId="16191" borderId="0" xfId="0" applyFill="1"/>
    <xf numFmtId="0" fontId="0" fillId="16192" borderId="0" xfId="0" applyFill="1"/>
    <xf numFmtId="0" fontId="0" fillId="16193" borderId="0" xfId="0" applyFill="1"/>
    <xf numFmtId="0" fontId="0" fillId="16194" borderId="0" xfId="0" applyFill="1"/>
    <xf numFmtId="0" fontId="0" fillId="16195" borderId="0" xfId="0" applyFill="1"/>
    <xf numFmtId="0" fontId="0" fillId="16196" borderId="0" xfId="0" applyFill="1"/>
    <xf numFmtId="0" fontId="0" fillId="16197" borderId="0" xfId="0" applyFill="1"/>
    <xf numFmtId="0" fontId="0" fillId="16198" borderId="0" xfId="0" applyFill="1"/>
    <xf numFmtId="0" fontId="0" fillId="16199" borderId="0" xfId="0" applyFill="1"/>
    <xf numFmtId="0" fontId="0" fillId="16200" borderId="0" xfId="0" applyFill="1"/>
    <xf numFmtId="0" fontId="0" fillId="16201" borderId="0" xfId="0" applyFill="1"/>
    <xf numFmtId="0" fontId="0" fillId="16202" borderId="0" xfId="0" applyFill="1"/>
    <xf numFmtId="0" fontId="0" fillId="16203" borderId="0" xfId="0" applyFill="1"/>
    <xf numFmtId="0" fontId="0" fillId="16204" borderId="0" xfId="0" applyFill="1"/>
    <xf numFmtId="0" fontId="0" fillId="16205" borderId="0" xfId="0" applyFill="1"/>
    <xf numFmtId="0" fontId="0" fillId="16206" borderId="0" xfId="0" applyFill="1"/>
    <xf numFmtId="0" fontId="0" fillId="16207" borderId="0" xfId="0" applyFill="1"/>
    <xf numFmtId="0" fontId="0" fillId="16208" borderId="0" xfId="0" applyFill="1"/>
    <xf numFmtId="0" fontId="0" fillId="16209" borderId="0" xfId="0" applyFill="1"/>
    <xf numFmtId="0" fontId="0" fillId="16210" borderId="0" xfId="0" applyFill="1"/>
    <xf numFmtId="0" fontId="0" fillId="16211" borderId="0" xfId="0" applyFill="1"/>
    <xf numFmtId="0" fontId="0" fillId="16212" borderId="0" xfId="0" applyFill="1"/>
    <xf numFmtId="0" fontId="0" fillId="16213" borderId="0" xfId="0" applyFill="1"/>
    <xf numFmtId="0" fontId="0" fillId="16214" borderId="0" xfId="0" applyFill="1"/>
    <xf numFmtId="0" fontId="0" fillId="16215" borderId="0" xfId="0" applyFill="1"/>
    <xf numFmtId="0" fontId="0" fillId="16216" borderId="0" xfId="0" applyFill="1"/>
    <xf numFmtId="0" fontId="0" fillId="16217" borderId="0" xfId="0" applyFill="1"/>
    <xf numFmtId="0" fontId="0" fillId="16218" borderId="0" xfId="0" applyFill="1"/>
    <xf numFmtId="0" fontId="0" fillId="16219" borderId="0" xfId="0" applyFill="1"/>
    <xf numFmtId="0" fontId="0" fillId="16220" borderId="0" xfId="0" applyFill="1"/>
    <xf numFmtId="0" fontId="0" fillId="16221" borderId="0" xfId="0" applyFill="1"/>
    <xf numFmtId="0" fontId="0" fillId="16222" borderId="0" xfId="0" applyFill="1"/>
    <xf numFmtId="0" fontId="0" fillId="16223" borderId="0" xfId="0" applyFill="1"/>
    <xf numFmtId="0" fontId="0" fillId="16224" borderId="0" xfId="0" applyFill="1"/>
    <xf numFmtId="0" fontId="0" fillId="16225" borderId="0" xfId="0" applyFill="1"/>
    <xf numFmtId="0" fontId="0" fillId="16226" borderId="0" xfId="0" applyFill="1"/>
    <xf numFmtId="0" fontId="0" fillId="16227" borderId="0" xfId="0" applyFill="1"/>
    <xf numFmtId="0" fontId="0" fillId="16228" borderId="0" xfId="0" applyFill="1"/>
    <xf numFmtId="0" fontId="0" fillId="16229" borderId="0" xfId="0" applyFill="1"/>
    <xf numFmtId="0" fontId="0" fillId="16230" borderId="0" xfId="0" applyFill="1"/>
    <xf numFmtId="0" fontId="0" fillId="16231" borderId="0" xfId="0" applyFill="1"/>
    <xf numFmtId="0" fontId="0" fillId="16232" borderId="0" xfId="0" applyFill="1"/>
    <xf numFmtId="0" fontId="0" fillId="16233" borderId="0" xfId="0" applyFill="1"/>
    <xf numFmtId="0" fontId="0" fillId="16234" borderId="0" xfId="0" applyFill="1"/>
    <xf numFmtId="0" fontId="0" fillId="16235" borderId="0" xfId="0" applyFill="1"/>
    <xf numFmtId="0" fontId="0" fillId="16236" borderId="0" xfId="0" applyFill="1"/>
    <xf numFmtId="0" fontId="0" fillId="16237" borderId="0" xfId="0" applyFill="1"/>
    <xf numFmtId="0" fontId="0" fillId="16238" borderId="0" xfId="0" applyFill="1"/>
    <xf numFmtId="0" fontId="0" fillId="16239" borderId="0" xfId="0" applyFill="1"/>
    <xf numFmtId="0" fontId="0" fillId="16240" borderId="0" xfId="0" applyFill="1"/>
    <xf numFmtId="0" fontId="0" fillId="16241" borderId="0" xfId="0" applyFill="1"/>
    <xf numFmtId="0" fontId="0" fillId="16242" borderId="0" xfId="0" applyFill="1"/>
    <xf numFmtId="0" fontId="0" fillId="16243" borderId="0" xfId="0" applyFill="1"/>
    <xf numFmtId="0" fontId="0" fillId="16244" borderId="0" xfId="0" applyFill="1"/>
    <xf numFmtId="0" fontId="0" fillId="16245" borderId="0" xfId="0" applyFill="1"/>
    <xf numFmtId="0" fontId="0" fillId="16246" borderId="0" xfId="0" applyFill="1"/>
    <xf numFmtId="0" fontId="0" fillId="16247" borderId="0" xfId="0" applyFill="1"/>
    <xf numFmtId="0" fontId="0" fillId="16248" borderId="0" xfId="0" applyFill="1"/>
    <xf numFmtId="0" fontId="0" fillId="16249" borderId="0" xfId="0" applyFill="1"/>
    <xf numFmtId="0" fontId="0" fillId="16250" borderId="0" xfId="0" applyFill="1"/>
    <xf numFmtId="0" fontId="0" fillId="16251" borderId="0" xfId="0" applyFill="1"/>
    <xf numFmtId="0" fontId="0" fillId="16252" borderId="0" xfId="0" applyFill="1"/>
    <xf numFmtId="0" fontId="0" fillId="16253" borderId="0" xfId="0" applyFill="1"/>
    <xf numFmtId="0" fontId="0" fillId="16254" borderId="0" xfId="0" applyFill="1"/>
    <xf numFmtId="0" fontId="0" fillId="16255" borderId="0" xfId="0" applyFill="1"/>
    <xf numFmtId="0" fontId="0" fillId="16256" borderId="0" xfId="0" applyFill="1"/>
    <xf numFmtId="0" fontId="0" fillId="16257" borderId="0" xfId="0" applyFill="1"/>
    <xf numFmtId="0" fontId="0" fillId="16258" borderId="0" xfId="0" applyFill="1"/>
    <xf numFmtId="0" fontId="0" fillId="16259" borderId="0" xfId="0" applyFill="1"/>
    <xf numFmtId="0" fontId="0" fillId="16260" borderId="0" xfId="0" applyFill="1"/>
    <xf numFmtId="0" fontId="0" fillId="16261" borderId="0" xfId="0" applyFill="1"/>
    <xf numFmtId="0" fontId="0" fillId="16262" borderId="0" xfId="0" applyFill="1"/>
    <xf numFmtId="0" fontId="0" fillId="16263" borderId="0" xfId="0" applyFill="1"/>
    <xf numFmtId="0" fontId="0" fillId="16264" borderId="0" xfId="0" applyFill="1"/>
    <xf numFmtId="0" fontId="0" fillId="16265" borderId="0" xfId="0" applyFill="1"/>
    <xf numFmtId="0" fontId="0" fillId="16266" borderId="0" xfId="0" applyFill="1"/>
    <xf numFmtId="0" fontId="0" fillId="16267" borderId="0" xfId="0" applyFill="1"/>
    <xf numFmtId="0" fontId="0" fillId="16268" borderId="0" xfId="0" applyFill="1"/>
    <xf numFmtId="0" fontId="0" fillId="16269" borderId="0" xfId="0" applyFill="1"/>
    <xf numFmtId="0" fontId="0" fillId="16270" borderId="0" xfId="0" applyFill="1"/>
    <xf numFmtId="0" fontId="0" fillId="16271" borderId="0" xfId="0" applyFill="1"/>
    <xf numFmtId="0" fontId="0" fillId="16272" borderId="0" xfId="0" applyFill="1"/>
    <xf numFmtId="0" fontId="0" fillId="16273" borderId="0" xfId="0" applyFill="1"/>
    <xf numFmtId="0" fontId="0" fillId="16274" borderId="0" xfId="0" applyFill="1"/>
    <xf numFmtId="0" fontId="0" fillId="16275" borderId="0" xfId="0" applyFill="1"/>
    <xf numFmtId="0" fontId="0" fillId="16276" borderId="0" xfId="0" applyFill="1"/>
    <xf numFmtId="0" fontId="0" fillId="16277" borderId="0" xfId="0" applyFill="1"/>
    <xf numFmtId="0" fontId="0" fillId="16278" borderId="0" xfId="0" applyFill="1"/>
    <xf numFmtId="0" fontId="0" fillId="16279" borderId="0" xfId="0" applyFill="1"/>
    <xf numFmtId="0" fontId="0" fillId="16280" borderId="0" xfId="0" applyFill="1"/>
    <xf numFmtId="0" fontId="0" fillId="16281" borderId="0" xfId="0" applyFill="1"/>
    <xf numFmtId="0" fontId="0" fillId="16282" borderId="0" xfId="0" applyFill="1"/>
    <xf numFmtId="0" fontId="0" fillId="16283" borderId="0" xfId="0" applyFill="1"/>
    <xf numFmtId="0" fontId="0" fillId="16284" borderId="0" xfId="0" applyFill="1"/>
    <xf numFmtId="0" fontId="0" fillId="16285" borderId="0" xfId="0" applyFill="1"/>
    <xf numFmtId="0" fontId="0" fillId="16286" borderId="0" xfId="0" applyFill="1"/>
    <xf numFmtId="0" fontId="0" fillId="16287" borderId="0" xfId="0" applyFill="1"/>
    <xf numFmtId="0" fontId="0" fillId="16288" borderId="0" xfId="0" applyFill="1"/>
    <xf numFmtId="0" fontId="0" fillId="16289" borderId="0" xfId="0" applyFill="1"/>
    <xf numFmtId="0" fontId="0" fillId="16290" borderId="0" xfId="0" applyFill="1"/>
    <xf numFmtId="0" fontId="0" fillId="0" borderId="0" xfId="0" applyFill="1"/>
    <xf numFmtId="0" fontId="0" fillId="0" borderId="0" xfId="0" applyBorder="1"/>
    <xf numFmtId="0" fontId="0" fillId="16291" borderId="0" xfId="0" applyFill="1"/>
    <xf numFmtId="0" fontId="0" fillId="0" borderId="0" xfId="0" applyFont="1" applyFill="1" applyBorder="1"/>
    <xf numFmtId="0" fontId="6" fillId="0" borderId="13" xfId="0" applyFont="1" applyBorder="1"/>
    <xf numFmtId="0" fontId="6" fillId="0" borderId="14" xfId="0" applyFont="1" applyBorder="1"/>
    <xf numFmtId="0" fontId="6" fillId="0" borderId="15" xfId="0" applyFont="1" applyBorder="1"/>
    <xf numFmtId="0" fontId="2" fillId="0" borderId="0" xfId="0" applyFont="1" applyBorder="1" applyAlignment="1">
      <alignment horizontal="center"/>
    </xf>
    <xf numFmtId="164" fontId="0" fillId="0" borderId="0" xfId="1" applyNumberFormat="1" applyFont="1" applyBorder="1"/>
    <xf numFmtId="0" fontId="10" fillId="0" borderId="0" xfId="0" applyFont="1" applyBorder="1"/>
    <xf numFmtId="0" fontId="10" fillId="2" borderId="10" xfId="0" applyFont="1" applyFill="1" applyBorder="1"/>
    <xf numFmtId="0" fontId="2" fillId="16293" borderId="7" xfId="0" applyFont="1" applyFill="1" applyBorder="1"/>
    <xf numFmtId="0" fontId="2" fillId="16293" borderId="8" xfId="0" applyFont="1" applyFill="1" applyBorder="1"/>
    <xf numFmtId="10" fontId="0" fillId="0" borderId="0" xfId="1" applyNumberFormat="1" applyFont="1" applyFill="1" applyBorder="1"/>
    <xf numFmtId="0" fontId="0" fillId="0" borderId="0" xfId="0" applyFill="1" applyBorder="1"/>
    <xf numFmtId="0" fontId="10" fillId="0" borderId="1" xfId="0" applyFont="1" applyBorder="1"/>
    <xf numFmtId="0" fontId="10" fillId="0" borderId="4" xfId="0" applyFont="1" applyBorder="1"/>
    <xf numFmtId="0" fontId="11" fillId="0" borderId="10" xfId="0" applyFont="1" applyBorder="1"/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1" fillId="16294" borderId="3" xfId="0" applyFont="1" applyFill="1" applyBorder="1"/>
    <xf numFmtId="0" fontId="11" fillId="16294" borderId="6" xfId="0" applyFont="1" applyFill="1" applyBorder="1"/>
    <xf numFmtId="0" fontId="5" fillId="0" borderId="7" xfId="0" applyFont="1" applyBorder="1"/>
    <xf numFmtId="0" fontId="3" fillId="0" borderId="9" xfId="2" applyBorder="1"/>
    <xf numFmtId="0" fontId="2" fillId="2" borderId="10" xfId="0" applyFont="1" applyFill="1" applyBorder="1" applyAlignment="1">
      <alignment horizontal="center"/>
    </xf>
    <xf numFmtId="0" fontId="11" fillId="16291" borderId="4" xfId="0" applyFont="1" applyFill="1" applyBorder="1"/>
    <xf numFmtId="0" fontId="11" fillId="16291" borderId="5" xfId="0" applyFont="1" applyFill="1" applyBorder="1"/>
    <xf numFmtId="10" fontId="11" fillId="0" borderId="0" xfId="1" applyNumberFormat="1" applyFont="1"/>
    <xf numFmtId="10" fontId="12" fillId="16291" borderId="13" xfId="1" applyNumberFormat="1" applyFont="1" applyFill="1" applyBorder="1"/>
    <xf numFmtId="10" fontId="12" fillId="16291" borderId="14" xfId="1" applyNumberFormat="1" applyFont="1" applyFill="1" applyBorder="1"/>
    <xf numFmtId="10" fontId="10" fillId="0" borderId="0" xfId="1" applyNumberFormat="1" applyFont="1" applyFill="1" applyBorder="1"/>
    <xf numFmtId="164" fontId="11" fillId="16291" borderId="5" xfId="1" applyNumberFormat="1" applyFont="1" applyFill="1" applyBorder="1"/>
    <xf numFmtId="164" fontId="11" fillId="16291" borderId="6" xfId="1" applyNumberFormat="1" applyFont="1" applyFill="1" applyBorder="1"/>
    <xf numFmtId="10" fontId="10" fillId="16291" borderId="14" xfId="1" applyNumberFormat="1" applyFont="1" applyFill="1" applyBorder="1"/>
    <xf numFmtId="0" fontId="8" fillId="16294" borderId="16" xfId="0" applyFont="1" applyFill="1" applyBorder="1" applyAlignment="1">
      <alignment horizontal="center"/>
    </xf>
    <xf numFmtId="0" fontId="8" fillId="16294" borderId="18" xfId="0" applyFont="1" applyFill="1" applyBorder="1" applyAlignment="1">
      <alignment horizontal="center"/>
    </xf>
    <xf numFmtId="0" fontId="7" fillId="16294" borderId="16" xfId="0" applyFont="1" applyFill="1" applyBorder="1" applyAlignment="1">
      <alignment horizontal="center"/>
    </xf>
    <xf numFmtId="0" fontId="7" fillId="16294" borderId="17" xfId="0" applyFont="1" applyFill="1" applyBorder="1" applyAlignment="1">
      <alignment horizontal="center"/>
    </xf>
    <xf numFmtId="0" fontId="7" fillId="16294" borderId="18" xfId="0" applyFont="1" applyFill="1" applyBorder="1" applyAlignment="1">
      <alignment horizontal="center"/>
    </xf>
    <xf numFmtId="0" fontId="9" fillId="16292" borderId="16" xfId="0" applyFont="1" applyFill="1" applyBorder="1" applyAlignment="1">
      <alignment horizontal="center"/>
    </xf>
    <xf numFmtId="0" fontId="9" fillId="16292" borderId="17" xfId="0" applyFont="1" applyFill="1" applyBorder="1" applyAlignment="1">
      <alignment horizontal="center"/>
    </xf>
    <xf numFmtId="0" fontId="9" fillId="16292" borderId="18" xfId="0" applyFont="1" applyFill="1" applyBorder="1" applyAlignment="1">
      <alignment horizontal="center"/>
    </xf>
    <xf numFmtId="0" fontId="8" fillId="16292" borderId="19" xfId="0" applyFont="1" applyFill="1" applyBorder="1" applyAlignment="1">
      <alignment horizontal="center"/>
    </xf>
    <xf numFmtId="0" fontId="8" fillId="16292" borderId="20" xfId="0" applyFont="1" applyFill="1" applyBorder="1" applyAlignment="1">
      <alignment horizontal="center"/>
    </xf>
    <xf numFmtId="0" fontId="8" fillId="16292" borderId="21" xfId="0" applyFont="1" applyFill="1" applyBorder="1" applyAlignment="1">
      <alignment horizontal="center"/>
    </xf>
    <xf numFmtId="0" fontId="8" fillId="16294" borderId="17" xfId="0" applyFont="1" applyFill="1" applyBorder="1" applyAlignment="1">
      <alignment horizontal="center"/>
    </xf>
    <xf numFmtId="0" fontId="2" fillId="16293" borderId="22" xfId="0" applyFont="1" applyFill="1" applyBorder="1"/>
    <xf numFmtId="0" fontId="0" fillId="0" borderId="22" xfId="0" applyBorder="1"/>
    <xf numFmtId="10" fontId="12" fillId="16291" borderId="15" xfId="1" applyNumberFormat="1" applyFont="1" applyFill="1" applyBorder="1"/>
    <xf numFmtId="0" fontId="15" fillId="0" borderId="0" xfId="2" applyFont="1"/>
    <xf numFmtId="0" fontId="16" fillId="0" borderId="0" xfId="0" applyFont="1" applyAlignment="1">
      <alignment horizontal="center" vertical="center" wrapText="1"/>
    </xf>
  </cellXfs>
  <cellStyles count="3">
    <cellStyle name="Lien hypertexte" xfId="2" builtinId="8"/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sharedStrings" Target="sharedStrings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5.xml"/><Relationship Id="rId12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theme" Target="theme/theme1.xml"/><Relationship Id="rId5" Type="http://schemas.openxmlformats.org/officeDocument/2006/relationships/worksheet" Target="worksheets/sheet3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7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Portfolio Optimization - Simulations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Values</c:v>
          </c:tx>
          <c:spPr>
            <a:ln w="19050">
              <a:noFill/>
            </a:ln>
          </c:spPr>
          <c:dPt>
            <c:idx val="1174"/>
            <c:marker>
              <c:symbol val="circle"/>
              <c:size val="12"/>
              <c:spPr>
                <a:solidFill>
                  <a:schemeClr val="accent2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7D04-44A7-93DD-77D0DB9320A4}"/>
              </c:ext>
            </c:extLst>
          </c:dPt>
          <c:xVal>
            <c:numRef>
              <c:f>'Output Sheet'!$J$5:$J$9999</c:f>
              <c:numCache>
                <c:formatCode>General</c:formatCode>
                <c:ptCount val="9995"/>
                <c:pt idx="0">
                  <c:v>5.6189630180597305E-2</c:v>
                </c:pt>
                <c:pt idx="1">
                  <c:v>6.3849180936813354E-2</c:v>
                </c:pt>
                <c:pt idx="2">
                  <c:v>5.8192644268274307E-2</c:v>
                </c:pt>
                <c:pt idx="3">
                  <c:v>6.196502223610878E-2</c:v>
                </c:pt>
                <c:pt idx="4">
                  <c:v>6.1192955821752548E-2</c:v>
                </c:pt>
                <c:pt idx="5">
                  <c:v>5.9281133115291595E-2</c:v>
                </c:pt>
                <c:pt idx="6">
                  <c:v>5.0909843295812607E-2</c:v>
                </c:pt>
                <c:pt idx="7">
                  <c:v>5.346968024969101E-2</c:v>
                </c:pt>
                <c:pt idx="8">
                  <c:v>5.2486691623926163E-2</c:v>
                </c:pt>
                <c:pt idx="9">
                  <c:v>6.1402477324008942E-2</c:v>
                </c:pt>
                <c:pt idx="10">
                  <c:v>6.3528217375278473E-2</c:v>
                </c:pt>
                <c:pt idx="11">
                  <c:v>4.7589238733053207E-2</c:v>
                </c:pt>
                <c:pt idx="12">
                  <c:v>6.7798309028148651E-2</c:v>
                </c:pt>
                <c:pt idx="13">
                  <c:v>6.6784076392650604E-2</c:v>
                </c:pt>
                <c:pt idx="14">
                  <c:v>4.878610372543335E-2</c:v>
                </c:pt>
                <c:pt idx="15">
                  <c:v>6.2130358070135117E-2</c:v>
                </c:pt>
                <c:pt idx="16">
                  <c:v>6.618015468120575E-2</c:v>
                </c:pt>
                <c:pt idx="17">
                  <c:v>4.404924064874649E-2</c:v>
                </c:pt>
                <c:pt idx="18">
                  <c:v>5.7165153324604034E-2</c:v>
                </c:pt>
                <c:pt idx="19">
                  <c:v>5.0773847848176956E-2</c:v>
                </c:pt>
                <c:pt idx="20">
                  <c:v>6.8916246294975281E-2</c:v>
                </c:pt>
                <c:pt idx="21">
                  <c:v>5.3583864122629166E-2</c:v>
                </c:pt>
                <c:pt idx="22">
                  <c:v>6.003083661198616E-2</c:v>
                </c:pt>
                <c:pt idx="23">
                  <c:v>6.1732862144708633E-2</c:v>
                </c:pt>
                <c:pt idx="24">
                  <c:v>5.3918581455945969E-2</c:v>
                </c:pt>
                <c:pt idx="25">
                  <c:v>6.5533563494682312E-2</c:v>
                </c:pt>
                <c:pt idx="26">
                  <c:v>5.1871675997972488E-2</c:v>
                </c:pt>
                <c:pt idx="27">
                  <c:v>6.0138743370771408E-2</c:v>
                </c:pt>
                <c:pt idx="28">
                  <c:v>6.0640640556812286E-2</c:v>
                </c:pt>
                <c:pt idx="29">
                  <c:v>6.5221711993217468E-2</c:v>
                </c:pt>
                <c:pt idx="30">
                  <c:v>9.6279606223106384E-2</c:v>
                </c:pt>
                <c:pt idx="31">
                  <c:v>5.424836277961731E-2</c:v>
                </c:pt>
                <c:pt idx="32">
                  <c:v>4.7888446599245071E-2</c:v>
                </c:pt>
                <c:pt idx="33">
                  <c:v>6.1700314283370972E-2</c:v>
                </c:pt>
                <c:pt idx="34">
                  <c:v>7.0288777351379395E-2</c:v>
                </c:pt>
                <c:pt idx="35">
                  <c:v>4.5288920402526855E-2</c:v>
                </c:pt>
                <c:pt idx="36">
                  <c:v>5.9098836034536362E-2</c:v>
                </c:pt>
                <c:pt idx="37">
                  <c:v>5.2176874130964279E-2</c:v>
                </c:pt>
                <c:pt idx="38">
                  <c:v>5.1850266754627228E-2</c:v>
                </c:pt>
                <c:pt idx="39">
                  <c:v>4.4218998402357101E-2</c:v>
                </c:pt>
                <c:pt idx="40">
                  <c:v>6.9275498390197754E-2</c:v>
                </c:pt>
                <c:pt idx="41">
                  <c:v>6.3738040626049042E-2</c:v>
                </c:pt>
                <c:pt idx="42">
                  <c:v>5.2739661186933517E-2</c:v>
                </c:pt>
                <c:pt idx="43">
                  <c:v>5.671512708067894E-2</c:v>
                </c:pt>
                <c:pt idx="44">
                  <c:v>4.4888544827699661E-2</c:v>
                </c:pt>
                <c:pt idx="45">
                  <c:v>6.6147699952125549E-2</c:v>
                </c:pt>
                <c:pt idx="46">
                  <c:v>5.1992859691381454E-2</c:v>
                </c:pt>
                <c:pt idx="47">
                  <c:v>5.4454341530799866E-2</c:v>
                </c:pt>
                <c:pt idx="48">
                  <c:v>5.9676721692085266E-2</c:v>
                </c:pt>
                <c:pt idx="49">
                  <c:v>5.0520379096269608E-2</c:v>
                </c:pt>
                <c:pt idx="50">
                  <c:v>5.6429024785757065E-2</c:v>
                </c:pt>
                <c:pt idx="51">
                  <c:v>4.7595325857400894E-2</c:v>
                </c:pt>
                <c:pt idx="52">
                  <c:v>6.9208070635795593E-2</c:v>
                </c:pt>
                <c:pt idx="53">
                  <c:v>4.7752957791090012E-2</c:v>
                </c:pt>
                <c:pt idx="54">
                  <c:v>5.9634760022163391E-2</c:v>
                </c:pt>
                <c:pt idx="55">
                  <c:v>5.1148004829883575E-2</c:v>
                </c:pt>
                <c:pt idx="56">
                  <c:v>4.9796301871538162E-2</c:v>
                </c:pt>
                <c:pt idx="57">
                  <c:v>5.4101672023534775E-2</c:v>
                </c:pt>
                <c:pt idx="58">
                  <c:v>6.7870482802391052E-2</c:v>
                </c:pt>
                <c:pt idx="59">
                  <c:v>7.8343555331230164E-2</c:v>
                </c:pt>
                <c:pt idx="60">
                  <c:v>7.5659863650798798E-2</c:v>
                </c:pt>
                <c:pt idx="61">
                  <c:v>5.0997138023376465E-2</c:v>
                </c:pt>
                <c:pt idx="62">
                  <c:v>5.2196070551872253E-2</c:v>
                </c:pt>
                <c:pt idx="63">
                  <c:v>6.3676699995994568E-2</c:v>
                </c:pt>
                <c:pt idx="64">
                  <c:v>4.9312222748994827E-2</c:v>
                </c:pt>
                <c:pt idx="65">
                  <c:v>6.8038210272789001E-2</c:v>
                </c:pt>
                <c:pt idx="66">
                  <c:v>7.0500925183296204E-2</c:v>
                </c:pt>
                <c:pt idx="67">
                  <c:v>4.0678836405277252E-2</c:v>
                </c:pt>
                <c:pt idx="68">
                  <c:v>6.512896716594696E-2</c:v>
                </c:pt>
                <c:pt idx="69">
                  <c:v>4.6653930097818375E-2</c:v>
                </c:pt>
                <c:pt idx="70">
                  <c:v>6.7812725901603699E-2</c:v>
                </c:pt>
                <c:pt idx="71">
                  <c:v>7.1267373859882355E-2</c:v>
                </c:pt>
                <c:pt idx="72">
                  <c:v>6.5544523298740387E-2</c:v>
                </c:pt>
                <c:pt idx="73">
                  <c:v>6.4303703606128693E-2</c:v>
                </c:pt>
                <c:pt idx="74">
                  <c:v>6.3836261630058289E-2</c:v>
                </c:pt>
                <c:pt idx="75">
                  <c:v>6.9201156497001648E-2</c:v>
                </c:pt>
                <c:pt idx="76">
                  <c:v>6.2957495450973511E-2</c:v>
                </c:pt>
                <c:pt idx="77">
                  <c:v>5.3525425493717194E-2</c:v>
                </c:pt>
                <c:pt idx="78">
                  <c:v>6.7181095480918884E-2</c:v>
                </c:pt>
                <c:pt idx="79">
                  <c:v>4.8710078001022339E-2</c:v>
                </c:pt>
                <c:pt idx="80">
                  <c:v>4.8372495919466019E-2</c:v>
                </c:pt>
                <c:pt idx="81">
                  <c:v>5.8560583740472794E-2</c:v>
                </c:pt>
                <c:pt idx="82">
                  <c:v>5.0263594835996628E-2</c:v>
                </c:pt>
                <c:pt idx="83">
                  <c:v>5.5930595844984055E-2</c:v>
                </c:pt>
                <c:pt idx="84">
                  <c:v>6.702616810798645E-2</c:v>
                </c:pt>
                <c:pt idx="85">
                  <c:v>6.1590984463691711E-2</c:v>
                </c:pt>
                <c:pt idx="86">
                  <c:v>6.1388835310935974E-2</c:v>
                </c:pt>
                <c:pt idx="87">
                  <c:v>5.208885669708252E-2</c:v>
                </c:pt>
                <c:pt idx="88">
                  <c:v>4.7004628926515579E-2</c:v>
                </c:pt>
                <c:pt idx="89">
                  <c:v>5.9410065412521362E-2</c:v>
                </c:pt>
                <c:pt idx="90">
                  <c:v>6.170942634344101E-2</c:v>
                </c:pt>
                <c:pt idx="91">
                  <c:v>5.0543200224637985E-2</c:v>
                </c:pt>
                <c:pt idx="92">
                  <c:v>6.0298088937997818E-2</c:v>
                </c:pt>
                <c:pt idx="93">
                  <c:v>6.397603452205658E-2</c:v>
                </c:pt>
                <c:pt idx="94">
                  <c:v>5.3664140403270721E-2</c:v>
                </c:pt>
                <c:pt idx="95">
                  <c:v>6.2691777944564819E-2</c:v>
                </c:pt>
                <c:pt idx="96">
                  <c:v>4.9123756587505341E-2</c:v>
                </c:pt>
                <c:pt idx="97">
                  <c:v>5.8164287358522415E-2</c:v>
                </c:pt>
                <c:pt idx="98">
                  <c:v>5.5363383144140244E-2</c:v>
                </c:pt>
                <c:pt idx="99">
                  <c:v>6.271979957818985E-2</c:v>
                </c:pt>
                <c:pt idx="100">
                  <c:v>4.6712886542081833E-2</c:v>
                </c:pt>
                <c:pt idx="101">
                  <c:v>5.756436288356781E-2</c:v>
                </c:pt>
                <c:pt idx="102">
                  <c:v>5.0221256911754608E-2</c:v>
                </c:pt>
                <c:pt idx="103">
                  <c:v>6.4221113920211792E-2</c:v>
                </c:pt>
                <c:pt idx="104">
                  <c:v>4.4831208884716034E-2</c:v>
                </c:pt>
                <c:pt idx="105">
                  <c:v>5.8429934084415436E-2</c:v>
                </c:pt>
                <c:pt idx="106">
                  <c:v>5.7474896311759949E-2</c:v>
                </c:pt>
                <c:pt idx="107">
                  <c:v>5.5319428443908691E-2</c:v>
                </c:pt>
                <c:pt idx="108">
                  <c:v>9.9766507744789124E-2</c:v>
                </c:pt>
                <c:pt idx="109">
                  <c:v>4.6893581748008728E-2</c:v>
                </c:pt>
                <c:pt idx="110">
                  <c:v>6.0557842254638672E-2</c:v>
                </c:pt>
                <c:pt idx="111">
                  <c:v>4.8729397356510162E-2</c:v>
                </c:pt>
                <c:pt idx="112">
                  <c:v>7.3888465762138367E-2</c:v>
                </c:pt>
                <c:pt idx="113">
                  <c:v>6.9955587387084961E-2</c:v>
                </c:pt>
                <c:pt idx="114">
                  <c:v>5.6308384984731674E-2</c:v>
                </c:pt>
                <c:pt idx="115">
                  <c:v>5.7480070739984512E-2</c:v>
                </c:pt>
                <c:pt idx="116">
                  <c:v>6.5024293959140778E-2</c:v>
                </c:pt>
                <c:pt idx="117">
                  <c:v>5.6272130459547043E-2</c:v>
                </c:pt>
                <c:pt idx="118">
                  <c:v>6.6747352480888367E-2</c:v>
                </c:pt>
                <c:pt idx="119">
                  <c:v>6.6264152526855469E-2</c:v>
                </c:pt>
                <c:pt idx="120">
                  <c:v>5.0697207450866699E-2</c:v>
                </c:pt>
                <c:pt idx="121">
                  <c:v>8.2227051258087158E-2</c:v>
                </c:pt>
                <c:pt idx="122">
                  <c:v>5.8859724551439285E-2</c:v>
                </c:pt>
                <c:pt idx="123">
                  <c:v>5.7660236954689026E-2</c:v>
                </c:pt>
                <c:pt idx="124">
                  <c:v>5.4899647831916809E-2</c:v>
                </c:pt>
                <c:pt idx="125">
                  <c:v>5.4154630750417709E-2</c:v>
                </c:pt>
                <c:pt idx="126">
                  <c:v>5.2716922014951706E-2</c:v>
                </c:pt>
                <c:pt idx="127">
                  <c:v>6.2383558601140976E-2</c:v>
                </c:pt>
                <c:pt idx="128">
                  <c:v>5.9811249375343323E-2</c:v>
                </c:pt>
                <c:pt idx="129">
                  <c:v>5.6060586124658585E-2</c:v>
                </c:pt>
                <c:pt idx="130">
                  <c:v>5.9800770133733749E-2</c:v>
                </c:pt>
                <c:pt idx="131">
                  <c:v>7.3310106992721558E-2</c:v>
                </c:pt>
                <c:pt idx="132">
                  <c:v>4.9465958029031754E-2</c:v>
                </c:pt>
                <c:pt idx="133">
                  <c:v>5.2964426577091217E-2</c:v>
                </c:pt>
                <c:pt idx="134">
                  <c:v>6.4269423484802246E-2</c:v>
                </c:pt>
                <c:pt idx="135">
                  <c:v>5.0808779895305634E-2</c:v>
                </c:pt>
                <c:pt idx="136">
                  <c:v>5.1319971680641174E-2</c:v>
                </c:pt>
                <c:pt idx="137">
                  <c:v>5.6214507669210434E-2</c:v>
                </c:pt>
                <c:pt idx="138">
                  <c:v>5.4784607142210007E-2</c:v>
                </c:pt>
                <c:pt idx="139">
                  <c:v>6.3266187906265259E-2</c:v>
                </c:pt>
                <c:pt idx="140">
                  <c:v>5.9931959956884384E-2</c:v>
                </c:pt>
                <c:pt idx="141">
                  <c:v>5.6299511343240738E-2</c:v>
                </c:pt>
                <c:pt idx="142">
                  <c:v>5.5209334939718246E-2</c:v>
                </c:pt>
                <c:pt idx="143">
                  <c:v>6.9345720112323761E-2</c:v>
                </c:pt>
                <c:pt idx="144">
                  <c:v>6.7902065813541412E-2</c:v>
                </c:pt>
                <c:pt idx="145">
                  <c:v>5.358833447098732E-2</c:v>
                </c:pt>
                <c:pt idx="146">
                  <c:v>6.3220895826816559E-2</c:v>
                </c:pt>
                <c:pt idx="147">
                  <c:v>4.8842411488294601E-2</c:v>
                </c:pt>
                <c:pt idx="148">
                  <c:v>6.3112914562225342E-2</c:v>
                </c:pt>
                <c:pt idx="149">
                  <c:v>5.3077727556228638E-2</c:v>
                </c:pt>
                <c:pt idx="150">
                  <c:v>5.9868928045034409E-2</c:v>
                </c:pt>
                <c:pt idx="151">
                  <c:v>6.7110054194927216E-2</c:v>
                </c:pt>
                <c:pt idx="152">
                  <c:v>5.2474841475486755E-2</c:v>
                </c:pt>
                <c:pt idx="153">
                  <c:v>6.015627458691597E-2</c:v>
                </c:pt>
                <c:pt idx="154">
                  <c:v>5.5868368595838547E-2</c:v>
                </c:pt>
                <c:pt idx="155">
                  <c:v>5.4523136466741562E-2</c:v>
                </c:pt>
                <c:pt idx="156">
                  <c:v>5.1971152424812317E-2</c:v>
                </c:pt>
                <c:pt idx="157">
                  <c:v>4.7470167279243469E-2</c:v>
                </c:pt>
                <c:pt idx="158">
                  <c:v>5.4624583572149277E-2</c:v>
                </c:pt>
                <c:pt idx="159">
                  <c:v>5.7354111224412918E-2</c:v>
                </c:pt>
                <c:pt idx="160">
                  <c:v>4.8071503639221191E-2</c:v>
                </c:pt>
                <c:pt idx="161">
                  <c:v>5.4169915616512299E-2</c:v>
                </c:pt>
                <c:pt idx="162">
                  <c:v>6.4174018800258636E-2</c:v>
                </c:pt>
                <c:pt idx="163">
                  <c:v>4.432683065533638E-2</c:v>
                </c:pt>
                <c:pt idx="164">
                  <c:v>6.0762222856283188E-2</c:v>
                </c:pt>
                <c:pt idx="165">
                  <c:v>6.7870624363422394E-2</c:v>
                </c:pt>
                <c:pt idx="166">
                  <c:v>6.7890986800193787E-2</c:v>
                </c:pt>
                <c:pt idx="167">
                  <c:v>4.4306207448244095E-2</c:v>
                </c:pt>
                <c:pt idx="168">
                  <c:v>7.3608338832855225E-2</c:v>
                </c:pt>
                <c:pt idx="169">
                  <c:v>5.3735539317131042E-2</c:v>
                </c:pt>
                <c:pt idx="170">
                  <c:v>5.413549393415451E-2</c:v>
                </c:pt>
                <c:pt idx="171">
                  <c:v>6.6592305898666382E-2</c:v>
                </c:pt>
                <c:pt idx="172">
                  <c:v>8.6211018264293671E-2</c:v>
                </c:pt>
                <c:pt idx="173">
                  <c:v>6.0093149542808533E-2</c:v>
                </c:pt>
                <c:pt idx="174">
                  <c:v>5.9864796698093414E-2</c:v>
                </c:pt>
                <c:pt idx="175">
                  <c:v>5.4034929722547531E-2</c:v>
                </c:pt>
                <c:pt idx="176">
                  <c:v>5.5075198411941528E-2</c:v>
                </c:pt>
                <c:pt idx="177">
                  <c:v>4.7971144318580627E-2</c:v>
                </c:pt>
                <c:pt idx="178">
                  <c:v>6.0206525027751923E-2</c:v>
                </c:pt>
                <c:pt idx="179">
                  <c:v>4.92277592420578E-2</c:v>
                </c:pt>
                <c:pt idx="180">
                  <c:v>4.8288952559232712E-2</c:v>
                </c:pt>
                <c:pt idx="181">
                  <c:v>8.1291720271110535E-2</c:v>
                </c:pt>
                <c:pt idx="182">
                  <c:v>6.0590784996747971E-2</c:v>
                </c:pt>
                <c:pt idx="183">
                  <c:v>5.2308142185211182E-2</c:v>
                </c:pt>
                <c:pt idx="184">
                  <c:v>6.5944015979766846E-2</c:v>
                </c:pt>
                <c:pt idx="185">
                  <c:v>6.571313738822937E-2</c:v>
                </c:pt>
                <c:pt idx="186">
                  <c:v>5.1483474671840668E-2</c:v>
                </c:pt>
                <c:pt idx="187">
                  <c:v>5.8341309428215027E-2</c:v>
                </c:pt>
                <c:pt idx="188">
                  <c:v>6.3549421727657318E-2</c:v>
                </c:pt>
                <c:pt idx="189">
                  <c:v>4.3236248195171356E-2</c:v>
                </c:pt>
                <c:pt idx="190">
                  <c:v>4.455726221203804E-2</c:v>
                </c:pt>
                <c:pt idx="191">
                  <c:v>5.0859071314334869E-2</c:v>
                </c:pt>
                <c:pt idx="192">
                  <c:v>6.1087928712368011E-2</c:v>
                </c:pt>
                <c:pt idx="193">
                  <c:v>4.9439441412687302E-2</c:v>
                </c:pt>
                <c:pt idx="194">
                  <c:v>5.0008993595838547E-2</c:v>
                </c:pt>
                <c:pt idx="195">
                  <c:v>7.5389117002487183E-2</c:v>
                </c:pt>
                <c:pt idx="196">
                  <c:v>5.9736091643571854E-2</c:v>
                </c:pt>
                <c:pt idx="197">
                  <c:v>6.0293730348348618E-2</c:v>
                </c:pt>
                <c:pt idx="198">
                  <c:v>9.0351231396198273E-2</c:v>
                </c:pt>
                <c:pt idx="199">
                  <c:v>5.5336117744445801E-2</c:v>
                </c:pt>
                <c:pt idx="200">
                  <c:v>6.8689145147800446E-2</c:v>
                </c:pt>
                <c:pt idx="201">
                  <c:v>5.0680015236139297E-2</c:v>
                </c:pt>
                <c:pt idx="202">
                  <c:v>4.7660630196332932E-2</c:v>
                </c:pt>
                <c:pt idx="203">
                  <c:v>5.5476058274507523E-2</c:v>
                </c:pt>
                <c:pt idx="204">
                  <c:v>4.420163482427597E-2</c:v>
                </c:pt>
                <c:pt idx="205">
                  <c:v>6.7937314510345459E-2</c:v>
                </c:pt>
                <c:pt idx="206">
                  <c:v>5.5900748819112778E-2</c:v>
                </c:pt>
                <c:pt idx="207">
                  <c:v>7.0398487150669098E-2</c:v>
                </c:pt>
                <c:pt idx="208">
                  <c:v>5.2764575928449631E-2</c:v>
                </c:pt>
                <c:pt idx="209">
                  <c:v>4.7077294439077377E-2</c:v>
                </c:pt>
                <c:pt idx="210">
                  <c:v>5.6379165500402451E-2</c:v>
                </c:pt>
                <c:pt idx="211">
                  <c:v>5.9275716543197632E-2</c:v>
                </c:pt>
                <c:pt idx="212">
                  <c:v>5.9384748339653015E-2</c:v>
                </c:pt>
                <c:pt idx="213">
                  <c:v>6.3056357204914093E-2</c:v>
                </c:pt>
                <c:pt idx="214">
                  <c:v>5.5249985307455063E-2</c:v>
                </c:pt>
                <c:pt idx="215">
                  <c:v>6.8207249045372009E-2</c:v>
                </c:pt>
                <c:pt idx="216">
                  <c:v>6.0106068849563599E-2</c:v>
                </c:pt>
                <c:pt idx="217">
                  <c:v>5.1354318857192993E-2</c:v>
                </c:pt>
                <c:pt idx="218">
                  <c:v>6.9367349147796631E-2</c:v>
                </c:pt>
                <c:pt idx="219">
                  <c:v>6.3310116529464722E-2</c:v>
                </c:pt>
                <c:pt idx="220">
                  <c:v>4.8571556806564331E-2</c:v>
                </c:pt>
                <c:pt idx="221">
                  <c:v>6.402132660150528E-2</c:v>
                </c:pt>
                <c:pt idx="222">
                  <c:v>5.3248804062604904E-2</c:v>
                </c:pt>
                <c:pt idx="223">
                  <c:v>7.0435024797916412E-2</c:v>
                </c:pt>
                <c:pt idx="224">
                  <c:v>7.1031428873538971E-2</c:v>
                </c:pt>
                <c:pt idx="225">
                  <c:v>5.3535901010036469E-2</c:v>
                </c:pt>
                <c:pt idx="226">
                  <c:v>6.0626637190580368E-2</c:v>
                </c:pt>
                <c:pt idx="227">
                  <c:v>6.9746442139148712E-2</c:v>
                </c:pt>
                <c:pt idx="228">
                  <c:v>4.1841689497232437E-2</c:v>
                </c:pt>
                <c:pt idx="229">
                  <c:v>8.1801041960716248E-2</c:v>
                </c:pt>
                <c:pt idx="230">
                  <c:v>6.2413949519395828E-2</c:v>
                </c:pt>
                <c:pt idx="231">
                  <c:v>7.1732215583324432E-2</c:v>
                </c:pt>
                <c:pt idx="232">
                  <c:v>5.6923869997262955E-2</c:v>
                </c:pt>
                <c:pt idx="233">
                  <c:v>5.3151875734329224E-2</c:v>
                </c:pt>
                <c:pt idx="234">
                  <c:v>5.0561521202325821E-2</c:v>
                </c:pt>
                <c:pt idx="235">
                  <c:v>6.3159547746181488E-2</c:v>
                </c:pt>
                <c:pt idx="236">
                  <c:v>5.4676767438650131E-2</c:v>
                </c:pt>
                <c:pt idx="237">
                  <c:v>6.3564978539943695E-2</c:v>
                </c:pt>
                <c:pt idx="238">
                  <c:v>5.3748283535242081E-2</c:v>
                </c:pt>
                <c:pt idx="239">
                  <c:v>5.3377486765384674E-2</c:v>
                </c:pt>
                <c:pt idx="240">
                  <c:v>6.4331576228141785E-2</c:v>
                </c:pt>
                <c:pt idx="241">
                  <c:v>5.7487931102514267E-2</c:v>
                </c:pt>
                <c:pt idx="242">
                  <c:v>6.7684784531593323E-2</c:v>
                </c:pt>
                <c:pt idx="243">
                  <c:v>5.6442618370056152E-2</c:v>
                </c:pt>
                <c:pt idx="244">
                  <c:v>5.298960953950882E-2</c:v>
                </c:pt>
                <c:pt idx="245">
                  <c:v>5.1717247813940048E-2</c:v>
                </c:pt>
                <c:pt idx="246">
                  <c:v>6.4883038401603699E-2</c:v>
                </c:pt>
                <c:pt idx="247">
                  <c:v>6.6333696246147156E-2</c:v>
                </c:pt>
                <c:pt idx="248">
                  <c:v>4.1571557521820068E-2</c:v>
                </c:pt>
                <c:pt idx="249">
                  <c:v>5.7359080761671066E-2</c:v>
                </c:pt>
                <c:pt idx="250">
                  <c:v>6.4599782228469849E-2</c:v>
                </c:pt>
                <c:pt idx="251">
                  <c:v>4.3133433908224106E-2</c:v>
                </c:pt>
                <c:pt idx="252">
                  <c:v>6.3721790909767151E-2</c:v>
                </c:pt>
                <c:pt idx="253">
                  <c:v>5.1589373499155045E-2</c:v>
                </c:pt>
                <c:pt idx="254">
                  <c:v>5.108979344367981E-2</c:v>
                </c:pt>
                <c:pt idx="255">
                  <c:v>6.3825339078903198E-2</c:v>
                </c:pt>
                <c:pt idx="256">
                  <c:v>5.1454085856676102E-2</c:v>
                </c:pt>
                <c:pt idx="257">
                  <c:v>6.4641937613487244E-2</c:v>
                </c:pt>
                <c:pt idx="258">
                  <c:v>6.0163687914609909E-2</c:v>
                </c:pt>
                <c:pt idx="259">
                  <c:v>4.6928200870752335E-2</c:v>
                </c:pt>
                <c:pt idx="260">
                  <c:v>7.2911113500595093E-2</c:v>
                </c:pt>
                <c:pt idx="261">
                  <c:v>5.1878616213798523E-2</c:v>
                </c:pt>
                <c:pt idx="262">
                  <c:v>5.5775325745344162E-2</c:v>
                </c:pt>
                <c:pt idx="263">
                  <c:v>5.0107333809137344E-2</c:v>
                </c:pt>
                <c:pt idx="264">
                  <c:v>6.4685344696044922E-2</c:v>
                </c:pt>
                <c:pt idx="265">
                  <c:v>6.2020789831876755E-2</c:v>
                </c:pt>
                <c:pt idx="266">
                  <c:v>4.8162698745727539E-2</c:v>
                </c:pt>
                <c:pt idx="267">
                  <c:v>5.1406946033239365E-2</c:v>
                </c:pt>
                <c:pt idx="268">
                  <c:v>6.0759715735912323E-2</c:v>
                </c:pt>
                <c:pt idx="269">
                  <c:v>4.9230016767978668E-2</c:v>
                </c:pt>
                <c:pt idx="270">
                  <c:v>6.0332726687192917E-2</c:v>
                </c:pt>
                <c:pt idx="271">
                  <c:v>5.6926414370536804E-2</c:v>
                </c:pt>
                <c:pt idx="272">
                  <c:v>5.9715647250413895E-2</c:v>
                </c:pt>
                <c:pt idx="273">
                  <c:v>6.8750366568565369E-2</c:v>
                </c:pt>
                <c:pt idx="274">
                  <c:v>5.0291653722524643E-2</c:v>
                </c:pt>
                <c:pt idx="275">
                  <c:v>6.3842244446277618E-2</c:v>
                </c:pt>
                <c:pt idx="276">
                  <c:v>4.9309533089399338E-2</c:v>
                </c:pt>
                <c:pt idx="277">
                  <c:v>6.4911328256130219E-2</c:v>
                </c:pt>
                <c:pt idx="278">
                  <c:v>5.6023906916379929E-2</c:v>
                </c:pt>
                <c:pt idx="279">
                  <c:v>5.8744020760059357E-2</c:v>
                </c:pt>
                <c:pt idx="280">
                  <c:v>6.8379461765289307E-2</c:v>
                </c:pt>
                <c:pt idx="281">
                  <c:v>4.8304688185453415E-2</c:v>
                </c:pt>
                <c:pt idx="282">
                  <c:v>4.1902158409357071E-2</c:v>
                </c:pt>
                <c:pt idx="283">
                  <c:v>6.2539517879486084E-2</c:v>
                </c:pt>
                <c:pt idx="284">
                  <c:v>7.5650796294212341E-2</c:v>
                </c:pt>
                <c:pt idx="285">
                  <c:v>5.5434271693229675E-2</c:v>
                </c:pt>
                <c:pt idx="286">
                  <c:v>7.5598321855068207E-2</c:v>
                </c:pt>
                <c:pt idx="287">
                  <c:v>8.5130617022514343E-2</c:v>
                </c:pt>
                <c:pt idx="288">
                  <c:v>5.3380481898784637E-2</c:v>
                </c:pt>
                <c:pt idx="289">
                  <c:v>6.1554249376058578E-2</c:v>
                </c:pt>
                <c:pt idx="290">
                  <c:v>6.1568502336740494E-2</c:v>
                </c:pt>
                <c:pt idx="291">
                  <c:v>4.4358290731906891E-2</c:v>
                </c:pt>
                <c:pt idx="292">
                  <c:v>5.9747844934463501E-2</c:v>
                </c:pt>
                <c:pt idx="293">
                  <c:v>5.0707325339317322E-2</c:v>
                </c:pt>
                <c:pt idx="294">
                  <c:v>7.2818301618099213E-2</c:v>
                </c:pt>
                <c:pt idx="295">
                  <c:v>4.2300820350646973E-2</c:v>
                </c:pt>
                <c:pt idx="296">
                  <c:v>6.8769596517086029E-2</c:v>
                </c:pt>
                <c:pt idx="297">
                  <c:v>6.0982722789049149E-2</c:v>
                </c:pt>
                <c:pt idx="298">
                  <c:v>6.3515029847621918E-2</c:v>
                </c:pt>
                <c:pt idx="299">
                  <c:v>5.4093863815069199E-2</c:v>
                </c:pt>
                <c:pt idx="300">
                  <c:v>5.4221801459789276E-2</c:v>
                </c:pt>
                <c:pt idx="301">
                  <c:v>5.1373343914747238E-2</c:v>
                </c:pt>
                <c:pt idx="302">
                  <c:v>5.7889524847269058E-2</c:v>
                </c:pt>
                <c:pt idx="303">
                  <c:v>5.0713915377855301E-2</c:v>
                </c:pt>
                <c:pt idx="304">
                  <c:v>6.2386211007833481E-2</c:v>
                </c:pt>
                <c:pt idx="305">
                  <c:v>5.1517188549041748E-2</c:v>
                </c:pt>
                <c:pt idx="306">
                  <c:v>5.2178431302309036E-2</c:v>
                </c:pt>
                <c:pt idx="307">
                  <c:v>7.7539987862110138E-2</c:v>
                </c:pt>
                <c:pt idx="308">
                  <c:v>6.5138846635818481E-2</c:v>
                </c:pt>
                <c:pt idx="309">
                  <c:v>5.6763660162687302E-2</c:v>
                </c:pt>
                <c:pt idx="310">
                  <c:v>5.7431478053331375E-2</c:v>
                </c:pt>
                <c:pt idx="311">
                  <c:v>5.1234669983386993E-2</c:v>
                </c:pt>
                <c:pt idx="312">
                  <c:v>4.7286387532949448E-2</c:v>
                </c:pt>
                <c:pt idx="313">
                  <c:v>8.4963776171207428E-2</c:v>
                </c:pt>
                <c:pt idx="314">
                  <c:v>6.0085583478212357E-2</c:v>
                </c:pt>
                <c:pt idx="315">
                  <c:v>7.7243223786354065E-2</c:v>
                </c:pt>
                <c:pt idx="316">
                  <c:v>5.6608233600854874E-2</c:v>
                </c:pt>
                <c:pt idx="317">
                  <c:v>6.7466229200363159E-2</c:v>
                </c:pt>
                <c:pt idx="318">
                  <c:v>5.7048812508583069E-2</c:v>
                </c:pt>
                <c:pt idx="319">
                  <c:v>5.8340121060609818E-2</c:v>
                </c:pt>
                <c:pt idx="320">
                  <c:v>6.0845226049423218E-2</c:v>
                </c:pt>
                <c:pt idx="321">
                  <c:v>4.2790681123733521E-2</c:v>
                </c:pt>
                <c:pt idx="322">
                  <c:v>5.7852957397699356E-2</c:v>
                </c:pt>
                <c:pt idx="323">
                  <c:v>6.6239453852176666E-2</c:v>
                </c:pt>
                <c:pt idx="324">
                  <c:v>6.1218328773975372E-2</c:v>
                </c:pt>
                <c:pt idx="325">
                  <c:v>5.4925538599491119E-2</c:v>
                </c:pt>
                <c:pt idx="326">
                  <c:v>5.9024829417467117E-2</c:v>
                </c:pt>
                <c:pt idx="327">
                  <c:v>6.4168691635131836E-2</c:v>
                </c:pt>
                <c:pt idx="328">
                  <c:v>6.4136132597923279E-2</c:v>
                </c:pt>
                <c:pt idx="329">
                  <c:v>5.5381815880537033E-2</c:v>
                </c:pt>
                <c:pt idx="330">
                  <c:v>8.239089697599411E-2</c:v>
                </c:pt>
                <c:pt idx="331">
                  <c:v>5.99946528673172E-2</c:v>
                </c:pt>
                <c:pt idx="332">
                  <c:v>5.0547681748867035E-2</c:v>
                </c:pt>
                <c:pt idx="333">
                  <c:v>5.9617631137371063E-2</c:v>
                </c:pt>
                <c:pt idx="334">
                  <c:v>5.8263737708330154E-2</c:v>
                </c:pt>
                <c:pt idx="335">
                  <c:v>6.9031082093715668E-2</c:v>
                </c:pt>
                <c:pt idx="336">
                  <c:v>5.8986350893974304E-2</c:v>
                </c:pt>
                <c:pt idx="337">
                  <c:v>5.5418573319911957E-2</c:v>
                </c:pt>
                <c:pt idx="338">
                  <c:v>6.1870556324720383E-2</c:v>
                </c:pt>
                <c:pt idx="339">
                  <c:v>7.1591630578041077E-2</c:v>
                </c:pt>
                <c:pt idx="340">
                  <c:v>6.6787682473659515E-2</c:v>
                </c:pt>
                <c:pt idx="341">
                  <c:v>4.3304409831762314E-2</c:v>
                </c:pt>
                <c:pt idx="342">
                  <c:v>6.1497189104557037E-2</c:v>
                </c:pt>
                <c:pt idx="343">
                  <c:v>6.6308505833148956E-2</c:v>
                </c:pt>
                <c:pt idx="344">
                  <c:v>5.3687874227762222E-2</c:v>
                </c:pt>
                <c:pt idx="345">
                  <c:v>5.7573698461055756E-2</c:v>
                </c:pt>
                <c:pt idx="346">
                  <c:v>5.7398192584514618E-2</c:v>
                </c:pt>
                <c:pt idx="347">
                  <c:v>5.3230889141559601E-2</c:v>
                </c:pt>
                <c:pt idx="348">
                  <c:v>5.3057152777910233E-2</c:v>
                </c:pt>
                <c:pt idx="349">
                  <c:v>7.2045989334583282E-2</c:v>
                </c:pt>
                <c:pt idx="350">
                  <c:v>5.9226386249065399E-2</c:v>
                </c:pt>
                <c:pt idx="351">
                  <c:v>6.1718873679637909E-2</c:v>
                </c:pt>
                <c:pt idx="352">
                  <c:v>4.8963919281959534E-2</c:v>
                </c:pt>
                <c:pt idx="353">
                  <c:v>5.2435778081417084E-2</c:v>
                </c:pt>
                <c:pt idx="354">
                  <c:v>5.1178727298974991E-2</c:v>
                </c:pt>
                <c:pt idx="355">
                  <c:v>6.1588414013385773E-2</c:v>
                </c:pt>
                <c:pt idx="356">
                  <c:v>5.8748077601194382E-2</c:v>
                </c:pt>
                <c:pt idx="357">
                  <c:v>5.290631577372551E-2</c:v>
                </c:pt>
                <c:pt idx="358">
                  <c:v>6.7723236978054047E-2</c:v>
                </c:pt>
                <c:pt idx="359">
                  <c:v>6.1793122440576553E-2</c:v>
                </c:pt>
                <c:pt idx="360">
                  <c:v>8.7700381875038147E-2</c:v>
                </c:pt>
                <c:pt idx="361">
                  <c:v>4.9077503383159637E-2</c:v>
                </c:pt>
                <c:pt idx="362">
                  <c:v>6.5417580306529999E-2</c:v>
                </c:pt>
                <c:pt idx="363">
                  <c:v>4.4732414186000824E-2</c:v>
                </c:pt>
                <c:pt idx="364">
                  <c:v>5.4711628705263138E-2</c:v>
                </c:pt>
                <c:pt idx="365">
                  <c:v>4.9467969685792923E-2</c:v>
                </c:pt>
                <c:pt idx="366">
                  <c:v>4.6728901565074921E-2</c:v>
                </c:pt>
                <c:pt idx="367">
                  <c:v>5.524396151304245E-2</c:v>
                </c:pt>
                <c:pt idx="368">
                  <c:v>5.0453078001737595E-2</c:v>
                </c:pt>
                <c:pt idx="369">
                  <c:v>6.2156729400157928E-2</c:v>
                </c:pt>
                <c:pt idx="370">
                  <c:v>4.7528736293315887E-2</c:v>
                </c:pt>
                <c:pt idx="371">
                  <c:v>6.7985430359840393E-2</c:v>
                </c:pt>
                <c:pt idx="372">
                  <c:v>7.1489281952381134E-2</c:v>
                </c:pt>
                <c:pt idx="373">
                  <c:v>6.4097650349140167E-2</c:v>
                </c:pt>
                <c:pt idx="374">
                  <c:v>6.4597293734550476E-2</c:v>
                </c:pt>
                <c:pt idx="375">
                  <c:v>5.8640055358409882E-2</c:v>
                </c:pt>
                <c:pt idx="376">
                  <c:v>5.7414311915636063E-2</c:v>
                </c:pt>
                <c:pt idx="377">
                  <c:v>6.5187364816665649E-2</c:v>
                </c:pt>
                <c:pt idx="378">
                  <c:v>6.2522351741790771E-2</c:v>
                </c:pt>
                <c:pt idx="379">
                  <c:v>6.7552909255027771E-2</c:v>
                </c:pt>
                <c:pt idx="380">
                  <c:v>5.9464685618877411E-2</c:v>
                </c:pt>
                <c:pt idx="381">
                  <c:v>5.5310089141130447E-2</c:v>
                </c:pt>
                <c:pt idx="382">
                  <c:v>6.223655492067337E-2</c:v>
                </c:pt>
                <c:pt idx="383">
                  <c:v>5.3323127329349518E-2</c:v>
                </c:pt>
                <c:pt idx="384">
                  <c:v>4.6560242772102356E-2</c:v>
                </c:pt>
                <c:pt idx="385">
                  <c:v>5.5432181805372238E-2</c:v>
                </c:pt>
                <c:pt idx="386">
                  <c:v>5.3008943796157837E-2</c:v>
                </c:pt>
                <c:pt idx="387">
                  <c:v>6.4808107912540436E-2</c:v>
                </c:pt>
                <c:pt idx="388">
                  <c:v>6.1615761369466782E-2</c:v>
                </c:pt>
                <c:pt idx="389">
                  <c:v>5.6797057390213013E-2</c:v>
                </c:pt>
                <c:pt idx="390">
                  <c:v>6.8360120058059692E-2</c:v>
                </c:pt>
                <c:pt idx="391">
                  <c:v>5.9657365083694458E-2</c:v>
                </c:pt>
                <c:pt idx="392">
                  <c:v>6.9337375462055206E-2</c:v>
                </c:pt>
                <c:pt idx="393">
                  <c:v>5.4126854985952377E-2</c:v>
                </c:pt>
                <c:pt idx="394">
                  <c:v>5.2999071776866913E-2</c:v>
                </c:pt>
                <c:pt idx="395">
                  <c:v>7.0107199251651764E-2</c:v>
                </c:pt>
                <c:pt idx="396">
                  <c:v>5.9146948158740997E-2</c:v>
                </c:pt>
                <c:pt idx="397">
                  <c:v>5.6146726012229919E-2</c:v>
                </c:pt>
                <c:pt idx="398">
                  <c:v>5.6487433612346649E-2</c:v>
                </c:pt>
                <c:pt idx="399">
                  <c:v>6.2767274677753448E-2</c:v>
                </c:pt>
                <c:pt idx="400">
                  <c:v>7.734990119934082E-2</c:v>
                </c:pt>
                <c:pt idx="401">
                  <c:v>5.5221527814865112E-2</c:v>
                </c:pt>
                <c:pt idx="402">
                  <c:v>5.9256356209516525E-2</c:v>
                </c:pt>
                <c:pt idx="403">
                  <c:v>6.1183393001556396E-2</c:v>
                </c:pt>
                <c:pt idx="404">
                  <c:v>5.5984023958444595E-2</c:v>
                </c:pt>
                <c:pt idx="405">
                  <c:v>5.3402278572320938E-2</c:v>
                </c:pt>
                <c:pt idx="406">
                  <c:v>5.7288404554128647E-2</c:v>
                </c:pt>
                <c:pt idx="407">
                  <c:v>5.7320136576890945E-2</c:v>
                </c:pt>
                <c:pt idx="408">
                  <c:v>5.9759777039289474E-2</c:v>
                </c:pt>
                <c:pt idx="409">
                  <c:v>5.2351415157318115E-2</c:v>
                </c:pt>
                <c:pt idx="410">
                  <c:v>6.2139999121427536E-2</c:v>
                </c:pt>
                <c:pt idx="411">
                  <c:v>6.3269540667533875E-2</c:v>
                </c:pt>
                <c:pt idx="412">
                  <c:v>5.7489491999149323E-2</c:v>
                </c:pt>
                <c:pt idx="413">
                  <c:v>4.7079969197511673E-2</c:v>
                </c:pt>
                <c:pt idx="414">
                  <c:v>5.9014070779085159E-2</c:v>
                </c:pt>
                <c:pt idx="415">
                  <c:v>5.4215282201766968E-2</c:v>
                </c:pt>
                <c:pt idx="416">
                  <c:v>4.8498362302780151E-2</c:v>
                </c:pt>
                <c:pt idx="417">
                  <c:v>5.0983238965272903E-2</c:v>
                </c:pt>
                <c:pt idx="418">
                  <c:v>7.2917819023132324E-2</c:v>
                </c:pt>
                <c:pt idx="419">
                  <c:v>6.9755859673023224E-2</c:v>
                </c:pt>
                <c:pt idx="420">
                  <c:v>6.0906410217285156E-2</c:v>
                </c:pt>
                <c:pt idx="421">
                  <c:v>5.021141842007637E-2</c:v>
                </c:pt>
                <c:pt idx="422">
                  <c:v>4.900854080915451E-2</c:v>
                </c:pt>
                <c:pt idx="423">
                  <c:v>7.0709019899368286E-2</c:v>
                </c:pt>
                <c:pt idx="424">
                  <c:v>7.1339108049869537E-2</c:v>
                </c:pt>
                <c:pt idx="425">
                  <c:v>6.6475018858909607E-2</c:v>
                </c:pt>
                <c:pt idx="426">
                  <c:v>5.4730549454689026E-2</c:v>
                </c:pt>
                <c:pt idx="427">
                  <c:v>7.4173517525196075E-2</c:v>
                </c:pt>
                <c:pt idx="428">
                  <c:v>5.5126361548900604E-2</c:v>
                </c:pt>
                <c:pt idx="429">
                  <c:v>7.0567503571510315E-2</c:v>
                </c:pt>
                <c:pt idx="430">
                  <c:v>5.8794442564249039E-2</c:v>
                </c:pt>
                <c:pt idx="431">
                  <c:v>6.0306336730718613E-2</c:v>
                </c:pt>
                <c:pt idx="432">
                  <c:v>5.3093168884515762E-2</c:v>
                </c:pt>
                <c:pt idx="433">
                  <c:v>5.3448017686605453E-2</c:v>
                </c:pt>
                <c:pt idx="434">
                  <c:v>5.210273340344429E-2</c:v>
                </c:pt>
                <c:pt idx="435">
                  <c:v>5.6733425706624985E-2</c:v>
                </c:pt>
                <c:pt idx="436">
                  <c:v>5.7406201958656311E-2</c:v>
                </c:pt>
                <c:pt idx="437">
                  <c:v>6.8645782768726349E-2</c:v>
                </c:pt>
                <c:pt idx="438">
                  <c:v>5.4881393909454346E-2</c:v>
                </c:pt>
                <c:pt idx="439">
                  <c:v>6.4980961382389069E-2</c:v>
                </c:pt>
                <c:pt idx="440">
                  <c:v>4.7227077186107635E-2</c:v>
                </c:pt>
                <c:pt idx="441">
                  <c:v>8.314061164855957E-2</c:v>
                </c:pt>
                <c:pt idx="442">
                  <c:v>6.4241118729114532E-2</c:v>
                </c:pt>
                <c:pt idx="443">
                  <c:v>4.9241267144680023E-2</c:v>
                </c:pt>
                <c:pt idx="444">
                  <c:v>6.1083171516656876E-2</c:v>
                </c:pt>
                <c:pt idx="445">
                  <c:v>6.5052658319473267E-2</c:v>
                </c:pt>
                <c:pt idx="446">
                  <c:v>5.0729867070913315E-2</c:v>
                </c:pt>
                <c:pt idx="447">
                  <c:v>5.9555798768997192E-2</c:v>
                </c:pt>
                <c:pt idx="448">
                  <c:v>5.0167307257652283E-2</c:v>
                </c:pt>
                <c:pt idx="449">
                  <c:v>6.0797553509473801E-2</c:v>
                </c:pt>
                <c:pt idx="450">
                  <c:v>6.6145032644271851E-2</c:v>
                </c:pt>
                <c:pt idx="451">
                  <c:v>5.4494522511959076E-2</c:v>
                </c:pt>
                <c:pt idx="452">
                  <c:v>5.1074903458356857E-2</c:v>
                </c:pt>
                <c:pt idx="453">
                  <c:v>6.7987367510795593E-2</c:v>
                </c:pt>
                <c:pt idx="454">
                  <c:v>7.3901988565921783E-2</c:v>
                </c:pt>
                <c:pt idx="455">
                  <c:v>5.1583733409643173E-2</c:v>
                </c:pt>
                <c:pt idx="456">
                  <c:v>5.7080492377281189E-2</c:v>
                </c:pt>
                <c:pt idx="457">
                  <c:v>5.8636553585529327E-2</c:v>
                </c:pt>
                <c:pt idx="458">
                  <c:v>6.0603678226470947E-2</c:v>
                </c:pt>
                <c:pt idx="459">
                  <c:v>4.5254886150360107E-2</c:v>
                </c:pt>
                <c:pt idx="460">
                  <c:v>5.3910769522190094E-2</c:v>
                </c:pt>
                <c:pt idx="461">
                  <c:v>7.6710514724254608E-2</c:v>
                </c:pt>
                <c:pt idx="462">
                  <c:v>5.5727217346429825E-2</c:v>
                </c:pt>
                <c:pt idx="463">
                  <c:v>7.0053771138191223E-2</c:v>
                </c:pt>
                <c:pt idx="464">
                  <c:v>4.392494261264801E-2</c:v>
                </c:pt>
                <c:pt idx="465">
                  <c:v>5.6261740624904633E-2</c:v>
                </c:pt>
                <c:pt idx="466">
                  <c:v>7.7283039689064026E-2</c:v>
                </c:pt>
                <c:pt idx="467">
                  <c:v>6.3288614153862E-2</c:v>
                </c:pt>
                <c:pt idx="468">
                  <c:v>7.0121079683303833E-2</c:v>
                </c:pt>
                <c:pt idx="469">
                  <c:v>5.3586643189191818E-2</c:v>
                </c:pt>
                <c:pt idx="470">
                  <c:v>4.7970522195100784E-2</c:v>
                </c:pt>
                <c:pt idx="471">
                  <c:v>5.7593218982219696E-2</c:v>
                </c:pt>
                <c:pt idx="472">
                  <c:v>4.9566250294446945E-2</c:v>
                </c:pt>
                <c:pt idx="473">
                  <c:v>5.650705099105835E-2</c:v>
                </c:pt>
                <c:pt idx="474">
                  <c:v>5.4156724363565445E-2</c:v>
                </c:pt>
                <c:pt idx="475">
                  <c:v>4.0831785649061203E-2</c:v>
                </c:pt>
                <c:pt idx="476">
                  <c:v>4.7671709209680557E-2</c:v>
                </c:pt>
                <c:pt idx="477">
                  <c:v>6.4773961901664734E-2</c:v>
                </c:pt>
                <c:pt idx="478">
                  <c:v>4.6704314649105072E-2</c:v>
                </c:pt>
                <c:pt idx="479">
                  <c:v>5.8821246027946472E-2</c:v>
                </c:pt>
                <c:pt idx="480">
                  <c:v>6.1207085847854614E-2</c:v>
                </c:pt>
                <c:pt idx="481">
                  <c:v>6.032930314540863E-2</c:v>
                </c:pt>
                <c:pt idx="482">
                  <c:v>5.855545774102211E-2</c:v>
                </c:pt>
                <c:pt idx="483">
                  <c:v>4.7171950340270996E-2</c:v>
                </c:pt>
                <c:pt idx="484">
                  <c:v>5.3666643798351288E-2</c:v>
                </c:pt>
                <c:pt idx="485">
                  <c:v>5.2269726991653442E-2</c:v>
                </c:pt>
                <c:pt idx="486">
                  <c:v>5.0335679203271866E-2</c:v>
                </c:pt>
                <c:pt idx="487">
                  <c:v>5.066024512052536E-2</c:v>
                </c:pt>
                <c:pt idx="488">
                  <c:v>5.2382778376340866E-2</c:v>
                </c:pt>
                <c:pt idx="489">
                  <c:v>5.7926494628190994E-2</c:v>
                </c:pt>
                <c:pt idx="490">
                  <c:v>6.346999853849411E-2</c:v>
                </c:pt>
                <c:pt idx="491">
                  <c:v>6.6016368567943573E-2</c:v>
                </c:pt>
                <c:pt idx="492">
                  <c:v>5.1573954522609711E-2</c:v>
                </c:pt>
                <c:pt idx="493">
                  <c:v>5.7145867496728897E-2</c:v>
                </c:pt>
                <c:pt idx="494">
                  <c:v>7.7189698815345764E-2</c:v>
                </c:pt>
                <c:pt idx="495">
                  <c:v>5.9153005480766296E-2</c:v>
                </c:pt>
                <c:pt idx="496">
                  <c:v>5.5316172540187836E-2</c:v>
                </c:pt>
                <c:pt idx="497">
                  <c:v>5.9575889259576797E-2</c:v>
                </c:pt>
                <c:pt idx="498">
                  <c:v>5.3841464221477509E-2</c:v>
                </c:pt>
                <c:pt idx="499">
                  <c:v>6.7294389009475708E-2</c:v>
                </c:pt>
                <c:pt idx="500">
                  <c:v>5.8387327939271927E-2</c:v>
                </c:pt>
                <c:pt idx="501">
                  <c:v>5.071721225976944E-2</c:v>
                </c:pt>
                <c:pt idx="502">
                  <c:v>6.3429214060306549E-2</c:v>
                </c:pt>
                <c:pt idx="503">
                  <c:v>6.4713083207607269E-2</c:v>
                </c:pt>
                <c:pt idx="504">
                  <c:v>5.2225571125745773E-2</c:v>
                </c:pt>
                <c:pt idx="505">
                  <c:v>6.0372296720743179E-2</c:v>
                </c:pt>
                <c:pt idx="506">
                  <c:v>5.4598424583673477E-2</c:v>
                </c:pt>
                <c:pt idx="507">
                  <c:v>4.6189837157726288E-2</c:v>
                </c:pt>
                <c:pt idx="508">
                  <c:v>4.6377111226320267E-2</c:v>
                </c:pt>
                <c:pt idx="509">
                  <c:v>6.08786940574646E-2</c:v>
                </c:pt>
                <c:pt idx="510">
                  <c:v>4.7615155577659607E-2</c:v>
                </c:pt>
                <c:pt idx="511">
                  <c:v>8.0530837178230286E-2</c:v>
                </c:pt>
                <c:pt idx="512">
                  <c:v>5.5579580366611481E-2</c:v>
                </c:pt>
                <c:pt idx="513">
                  <c:v>8.8366173207759857E-2</c:v>
                </c:pt>
                <c:pt idx="514">
                  <c:v>5.8425262570381165E-2</c:v>
                </c:pt>
                <c:pt idx="515">
                  <c:v>5.0832502543926239E-2</c:v>
                </c:pt>
                <c:pt idx="516">
                  <c:v>6.3179343938827515E-2</c:v>
                </c:pt>
                <c:pt idx="517">
                  <c:v>6.3216716051101685E-2</c:v>
                </c:pt>
                <c:pt idx="518">
                  <c:v>4.1048698127269745E-2</c:v>
                </c:pt>
                <c:pt idx="519">
                  <c:v>6.4254067838191986E-2</c:v>
                </c:pt>
                <c:pt idx="520">
                  <c:v>5.6125063449144363E-2</c:v>
                </c:pt>
                <c:pt idx="521">
                  <c:v>7.7569872140884399E-2</c:v>
                </c:pt>
                <c:pt idx="522">
                  <c:v>5.5313900113105774E-2</c:v>
                </c:pt>
                <c:pt idx="523">
                  <c:v>4.8626333475112915E-2</c:v>
                </c:pt>
                <c:pt idx="524">
                  <c:v>5.8927427977323532E-2</c:v>
                </c:pt>
                <c:pt idx="525">
                  <c:v>6.1754114925861359E-2</c:v>
                </c:pt>
                <c:pt idx="526">
                  <c:v>5.3394243121147156E-2</c:v>
                </c:pt>
                <c:pt idx="527">
                  <c:v>5.9483882039785385E-2</c:v>
                </c:pt>
                <c:pt idx="528">
                  <c:v>4.7091566026210785E-2</c:v>
                </c:pt>
                <c:pt idx="529">
                  <c:v>4.841386154294014E-2</c:v>
                </c:pt>
                <c:pt idx="530">
                  <c:v>4.8512768000364304E-2</c:v>
                </c:pt>
                <c:pt idx="531">
                  <c:v>5.1481883972883224E-2</c:v>
                </c:pt>
                <c:pt idx="532">
                  <c:v>5.8353256434202194E-2</c:v>
                </c:pt>
                <c:pt idx="533">
                  <c:v>5.6999005377292633E-2</c:v>
                </c:pt>
                <c:pt idx="534">
                  <c:v>4.3577764183282852E-2</c:v>
                </c:pt>
                <c:pt idx="535">
                  <c:v>6.0918353497982025E-2</c:v>
                </c:pt>
                <c:pt idx="536">
                  <c:v>5.3152475506067276E-2</c:v>
                </c:pt>
                <c:pt idx="537">
                  <c:v>7.4391812086105347E-2</c:v>
                </c:pt>
                <c:pt idx="538">
                  <c:v>5.812489241361618E-2</c:v>
                </c:pt>
                <c:pt idx="539">
                  <c:v>6.3223816454410553E-2</c:v>
                </c:pt>
                <c:pt idx="540">
                  <c:v>6.0521360486745834E-2</c:v>
                </c:pt>
                <c:pt idx="541">
                  <c:v>5.2644945681095123E-2</c:v>
                </c:pt>
                <c:pt idx="542">
                  <c:v>7.3016025125980377E-2</c:v>
                </c:pt>
                <c:pt idx="543">
                  <c:v>4.7187786549329758E-2</c:v>
                </c:pt>
                <c:pt idx="544">
                  <c:v>6.2213771045207977E-2</c:v>
                </c:pt>
                <c:pt idx="545">
                  <c:v>6.3931979238986969E-2</c:v>
                </c:pt>
                <c:pt idx="546">
                  <c:v>5.8200456202030182E-2</c:v>
                </c:pt>
                <c:pt idx="547">
                  <c:v>5.8457568287849426E-2</c:v>
                </c:pt>
                <c:pt idx="548">
                  <c:v>7.1137525141239166E-2</c:v>
                </c:pt>
                <c:pt idx="549">
                  <c:v>5.3121183067560196E-2</c:v>
                </c:pt>
                <c:pt idx="550">
                  <c:v>7.2680763900279999E-2</c:v>
                </c:pt>
                <c:pt idx="551">
                  <c:v>5.8024812489748001E-2</c:v>
                </c:pt>
                <c:pt idx="552">
                  <c:v>4.3722130358219147E-2</c:v>
                </c:pt>
                <c:pt idx="553">
                  <c:v>6.2824927270412445E-2</c:v>
                </c:pt>
                <c:pt idx="554">
                  <c:v>4.3477945029735565E-2</c:v>
                </c:pt>
                <c:pt idx="555">
                  <c:v>5.3811892867088318E-2</c:v>
                </c:pt>
                <c:pt idx="556">
                  <c:v>7.4504971504211426E-2</c:v>
                </c:pt>
                <c:pt idx="557">
                  <c:v>7.1158751845359802E-2</c:v>
                </c:pt>
                <c:pt idx="558">
                  <c:v>7.723834365606308E-2</c:v>
                </c:pt>
                <c:pt idx="559">
                  <c:v>5.1601361483335495E-2</c:v>
                </c:pt>
                <c:pt idx="560">
                  <c:v>4.9430593848228455E-2</c:v>
                </c:pt>
                <c:pt idx="561">
                  <c:v>5.2971497178077698E-2</c:v>
                </c:pt>
                <c:pt idx="562">
                  <c:v>6.9428533315658569E-2</c:v>
                </c:pt>
                <c:pt idx="563">
                  <c:v>5.953478068113327E-2</c:v>
                </c:pt>
                <c:pt idx="564">
                  <c:v>5.9019781649112701E-2</c:v>
                </c:pt>
                <c:pt idx="565">
                  <c:v>7.7739953994750977E-2</c:v>
                </c:pt>
                <c:pt idx="566">
                  <c:v>6.5037108957767487E-2</c:v>
                </c:pt>
                <c:pt idx="567">
                  <c:v>4.8124402761459351E-2</c:v>
                </c:pt>
                <c:pt idx="568">
                  <c:v>5.7384401559829712E-2</c:v>
                </c:pt>
                <c:pt idx="569">
                  <c:v>6.6395565867424011E-2</c:v>
                </c:pt>
                <c:pt idx="570">
                  <c:v>6.0579612851142883E-2</c:v>
                </c:pt>
                <c:pt idx="571">
                  <c:v>6.4802654087543488E-2</c:v>
                </c:pt>
                <c:pt idx="572">
                  <c:v>6.4805135130882263E-2</c:v>
                </c:pt>
                <c:pt idx="573">
                  <c:v>6.531350314617157E-2</c:v>
                </c:pt>
                <c:pt idx="574">
                  <c:v>7.0693671703338623E-2</c:v>
                </c:pt>
                <c:pt idx="575">
                  <c:v>5.3443882614374161E-2</c:v>
                </c:pt>
                <c:pt idx="576">
                  <c:v>5.9089023619890213E-2</c:v>
                </c:pt>
                <c:pt idx="577">
                  <c:v>4.2261984199285507E-2</c:v>
                </c:pt>
                <c:pt idx="578">
                  <c:v>5.0131000578403473E-2</c:v>
                </c:pt>
                <c:pt idx="579">
                  <c:v>5.7513449341058731E-2</c:v>
                </c:pt>
                <c:pt idx="580">
                  <c:v>5.9692662209272385E-2</c:v>
                </c:pt>
                <c:pt idx="581">
                  <c:v>6.8572074174880981E-2</c:v>
                </c:pt>
                <c:pt idx="582">
                  <c:v>5.8463346213102341E-2</c:v>
                </c:pt>
                <c:pt idx="583">
                  <c:v>5.2714765071868896E-2</c:v>
                </c:pt>
                <c:pt idx="584">
                  <c:v>5.4301746189594269E-2</c:v>
                </c:pt>
                <c:pt idx="585">
                  <c:v>5.3010668605566025E-2</c:v>
                </c:pt>
                <c:pt idx="586">
                  <c:v>5.6371916085481644E-2</c:v>
                </c:pt>
                <c:pt idx="587">
                  <c:v>5.6457862257957458E-2</c:v>
                </c:pt>
                <c:pt idx="588">
                  <c:v>4.597899317741394E-2</c:v>
                </c:pt>
                <c:pt idx="589">
                  <c:v>6.7182198166847229E-2</c:v>
                </c:pt>
                <c:pt idx="590">
                  <c:v>5.143703892827034E-2</c:v>
                </c:pt>
                <c:pt idx="591">
                  <c:v>5.6235432624816895E-2</c:v>
                </c:pt>
                <c:pt idx="592">
                  <c:v>6.0742471367120743E-2</c:v>
                </c:pt>
                <c:pt idx="593">
                  <c:v>5.5093735456466675E-2</c:v>
                </c:pt>
                <c:pt idx="594">
                  <c:v>4.673970490694046E-2</c:v>
                </c:pt>
                <c:pt idx="595">
                  <c:v>5.1986873149871826E-2</c:v>
                </c:pt>
                <c:pt idx="596">
                  <c:v>4.8801399767398834E-2</c:v>
                </c:pt>
                <c:pt idx="597">
                  <c:v>5.8505024760961533E-2</c:v>
                </c:pt>
                <c:pt idx="598">
                  <c:v>5.4357271641492844E-2</c:v>
                </c:pt>
                <c:pt idx="599">
                  <c:v>4.8986580222845078E-2</c:v>
                </c:pt>
                <c:pt idx="600">
                  <c:v>5.2862983196973801E-2</c:v>
                </c:pt>
                <c:pt idx="601">
                  <c:v>5.3517106920480728E-2</c:v>
                </c:pt>
                <c:pt idx="602">
                  <c:v>4.6728931367397308E-2</c:v>
                </c:pt>
                <c:pt idx="603">
                  <c:v>5.8700881898403168E-2</c:v>
                </c:pt>
                <c:pt idx="604">
                  <c:v>8.3568990230560303E-2</c:v>
                </c:pt>
                <c:pt idx="605">
                  <c:v>5.4497703909873962E-2</c:v>
                </c:pt>
                <c:pt idx="606">
                  <c:v>5.2314843982458115E-2</c:v>
                </c:pt>
                <c:pt idx="607">
                  <c:v>4.8181746155023575E-2</c:v>
                </c:pt>
                <c:pt idx="608">
                  <c:v>5.2511543035507202E-2</c:v>
                </c:pt>
                <c:pt idx="609">
                  <c:v>4.9451205879449844E-2</c:v>
                </c:pt>
                <c:pt idx="610">
                  <c:v>4.0323689579963684E-2</c:v>
                </c:pt>
                <c:pt idx="611">
                  <c:v>6.9838620722293854E-2</c:v>
                </c:pt>
                <c:pt idx="612">
                  <c:v>6.3390418887138367E-2</c:v>
                </c:pt>
                <c:pt idx="613">
                  <c:v>6.6264547407627106E-2</c:v>
                </c:pt>
                <c:pt idx="614">
                  <c:v>5.9201847761869431E-2</c:v>
                </c:pt>
                <c:pt idx="615">
                  <c:v>7.9696670174598694E-2</c:v>
                </c:pt>
                <c:pt idx="616">
                  <c:v>4.7642495483160019E-2</c:v>
                </c:pt>
                <c:pt idx="617">
                  <c:v>5.2454892545938492E-2</c:v>
                </c:pt>
                <c:pt idx="618">
                  <c:v>6.3516929745674133E-2</c:v>
                </c:pt>
                <c:pt idx="619">
                  <c:v>6.2175210565328598E-2</c:v>
                </c:pt>
                <c:pt idx="620">
                  <c:v>4.5347046107053757E-2</c:v>
                </c:pt>
                <c:pt idx="621">
                  <c:v>5.489499494433403E-2</c:v>
                </c:pt>
                <c:pt idx="622">
                  <c:v>5.5870585143566132E-2</c:v>
                </c:pt>
                <c:pt idx="623">
                  <c:v>5.1271297037601471E-2</c:v>
                </c:pt>
                <c:pt idx="624">
                  <c:v>4.878765344619751E-2</c:v>
                </c:pt>
                <c:pt idx="625">
                  <c:v>5.4189391434192657E-2</c:v>
                </c:pt>
                <c:pt idx="626">
                  <c:v>4.9836885184049606E-2</c:v>
                </c:pt>
                <c:pt idx="627">
                  <c:v>7.5353257358074188E-2</c:v>
                </c:pt>
                <c:pt idx="628">
                  <c:v>4.1927702724933624E-2</c:v>
                </c:pt>
                <c:pt idx="629">
                  <c:v>4.4674374163150787E-2</c:v>
                </c:pt>
                <c:pt idx="630">
                  <c:v>5.9694074094295502E-2</c:v>
                </c:pt>
                <c:pt idx="631">
                  <c:v>4.8444926738739014E-2</c:v>
                </c:pt>
                <c:pt idx="632">
                  <c:v>5.1000978797674179E-2</c:v>
                </c:pt>
                <c:pt idx="633">
                  <c:v>5.6240290403366089E-2</c:v>
                </c:pt>
                <c:pt idx="634">
                  <c:v>6.8793430924415588E-2</c:v>
                </c:pt>
                <c:pt idx="635">
                  <c:v>5.8927889913320541E-2</c:v>
                </c:pt>
                <c:pt idx="636">
                  <c:v>7.079741358757019E-2</c:v>
                </c:pt>
                <c:pt idx="637">
                  <c:v>6.6344313323497772E-2</c:v>
                </c:pt>
                <c:pt idx="638">
                  <c:v>4.5001298189163208E-2</c:v>
                </c:pt>
                <c:pt idx="639">
                  <c:v>6.0762867331504822E-2</c:v>
                </c:pt>
                <c:pt idx="640">
                  <c:v>6.8916715681552887E-2</c:v>
                </c:pt>
                <c:pt idx="641">
                  <c:v>5.0550948828458786E-2</c:v>
                </c:pt>
                <c:pt idx="642">
                  <c:v>6.5282717347145081E-2</c:v>
                </c:pt>
                <c:pt idx="643">
                  <c:v>5.3048420697450638E-2</c:v>
                </c:pt>
                <c:pt idx="644">
                  <c:v>5.8870524168014526E-2</c:v>
                </c:pt>
                <c:pt idx="645">
                  <c:v>6.0014251619577408E-2</c:v>
                </c:pt>
                <c:pt idx="646">
                  <c:v>5.5945422500371933E-2</c:v>
                </c:pt>
                <c:pt idx="647">
                  <c:v>7.0077002048492432E-2</c:v>
                </c:pt>
                <c:pt idx="648">
                  <c:v>5.1737487316131592E-2</c:v>
                </c:pt>
                <c:pt idx="649">
                  <c:v>6.1210699379444122E-2</c:v>
                </c:pt>
                <c:pt idx="650">
                  <c:v>6.2931053340435028E-2</c:v>
                </c:pt>
                <c:pt idx="651">
                  <c:v>4.2579442262649536E-2</c:v>
                </c:pt>
                <c:pt idx="652">
                  <c:v>4.6658363193273544E-2</c:v>
                </c:pt>
                <c:pt idx="653">
                  <c:v>5.7545054703950882E-2</c:v>
                </c:pt>
                <c:pt idx="654">
                  <c:v>6.1406645923852921E-2</c:v>
                </c:pt>
                <c:pt idx="655">
                  <c:v>7.8300885856151581E-2</c:v>
                </c:pt>
                <c:pt idx="656">
                  <c:v>4.8421092331409454E-2</c:v>
                </c:pt>
                <c:pt idx="657">
                  <c:v>5.8725487440824509E-2</c:v>
                </c:pt>
                <c:pt idx="658">
                  <c:v>4.4998571276664734E-2</c:v>
                </c:pt>
                <c:pt idx="659">
                  <c:v>4.783061146736145E-2</c:v>
                </c:pt>
                <c:pt idx="660">
                  <c:v>5.3483970463275909E-2</c:v>
                </c:pt>
                <c:pt idx="661">
                  <c:v>5.6417964398860931E-2</c:v>
                </c:pt>
                <c:pt idx="662">
                  <c:v>8.2708574831485748E-2</c:v>
                </c:pt>
                <c:pt idx="663">
                  <c:v>6.3798315823078156E-2</c:v>
                </c:pt>
                <c:pt idx="664">
                  <c:v>5.2884235978126526E-2</c:v>
                </c:pt>
                <c:pt idx="665">
                  <c:v>6.1802923679351807E-2</c:v>
                </c:pt>
                <c:pt idx="666">
                  <c:v>5.3178600966930389E-2</c:v>
                </c:pt>
                <c:pt idx="667">
                  <c:v>5.2858989685773849E-2</c:v>
                </c:pt>
                <c:pt idx="668">
                  <c:v>6.3268415629863739E-2</c:v>
                </c:pt>
                <c:pt idx="669">
                  <c:v>4.5887306332588196E-2</c:v>
                </c:pt>
                <c:pt idx="670">
                  <c:v>6.4891092479228973E-2</c:v>
                </c:pt>
                <c:pt idx="671">
                  <c:v>5.7257786393165588E-2</c:v>
                </c:pt>
                <c:pt idx="672">
                  <c:v>4.599442332983017E-2</c:v>
                </c:pt>
                <c:pt idx="673">
                  <c:v>6.2927424907684326E-2</c:v>
                </c:pt>
                <c:pt idx="674">
                  <c:v>6.1001889407634735E-2</c:v>
                </c:pt>
                <c:pt idx="675">
                  <c:v>5.7939145714044571E-2</c:v>
                </c:pt>
                <c:pt idx="676">
                  <c:v>6.6655747592449188E-2</c:v>
                </c:pt>
                <c:pt idx="677">
                  <c:v>6.7886888980865479E-2</c:v>
                </c:pt>
                <c:pt idx="678">
                  <c:v>6.7883104085922241E-2</c:v>
                </c:pt>
                <c:pt idx="679">
                  <c:v>6.8944424390792847E-2</c:v>
                </c:pt>
                <c:pt idx="680">
                  <c:v>5.4500367492437363E-2</c:v>
                </c:pt>
                <c:pt idx="681">
                  <c:v>6.0042262077331543E-2</c:v>
                </c:pt>
                <c:pt idx="682">
                  <c:v>6.2215272337198257E-2</c:v>
                </c:pt>
                <c:pt idx="683">
                  <c:v>4.031604528427124E-2</c:v>
                </c:pt>
                <c:pt idx="684">
                  <c:v>6.2440790235996246E-2</c:v>
                </c:pt>
                <c:pt idx="685">
                  <c:v>5.8739293366670609E-2</c:v>
                </c:pt>
                <c:pt idx="686">
                  <c:v>6.5322592854499817E-2</c:v>
                </c:pt>
                <c:pt idx="687">
                  <c:v>3.9864242076873779E-2</c:v>
                </c:pt>
                <c:pt idx="688">
                  <c:v>6.9561347365379333E-2</c:v>
                </c:pt>
                <c:pt idx="689">
                  <c:v>6.4127303659915924E-2</c:v>
                </c:pt>
                <c:pt idx="690">
                  <c:v>5.7916373014450073E-2</c:v>
                </c:pt>
                <c:pt idx="691">
                  <c:v>7.6749078929424286E-2</c:v>
                </c:pt>
                <c:pt idx="692">
                  <c:v>5.1634091883897781E-2</c:v>
                </c:pt>
                <c:pt idx="693">
                  <c:v>4.9243133515119553E-2</c:v>
                </c:pt>
                <c:pt idx="694">
                  <c:v>4.4106669723987579E-2</c:v>
                </c:pt>
                <c:pt idx="695">
                  <c:v>7.3785148561000824E-2</c:v>
                </c:pt>
                <c:pt idx="696">
                  <c:v>5.7908840477466583E-2</c:v>
                </c:pt>
                <c:pt idx="697">
                  <c:v>7.0755913853645325E-2</c:v>
                </c:pt>
                <c:pt idx="698">
                  <c:v>6.9178909063339233E-2</c:v>
                </c:pt>
                <c:pt idx="699">
                  <c:v>6.0096610337495804E-2</c:v>
                </c:pt>
                <c:pt idx="700">
                  <c:v>7.0604667067527771E-2</c:v>
                </c:pt>
                <c:pt idx="701">
                  <c:v>7.047155499458313E-2</c:v>
                </c:pt>
                <c:pt idx="702">
                  <c:v>6.6773504018783569E-2</c:v>
                </c:pt>
                <c:pt idx="703">
                  <c:v>4.9436859786510468E-2</c:v>
                </c:pt>
                <c:pt idx="704">
                  <c:v>6.6728651523590088E-2</c:v>
                </c:pt>
                <c:pt idx="705">
                  <c:v>4.8464987426996231E-2</c:v>
                </c:pt>
                <c:pt idx="706">
                  <c:v>7.3471382260322571E-2</c:v>
                </c:pt>
                <c:pt idx="707">
                  <c:v>6.6031947731971741E-2</c:v>
                </c:pt>
                <c:pt idx="708">
                  <c:v>5.790342390537262E-2</c:v>
                </c:pt>
                <c:pt idx="709">
                  <c:v>5.8852445334196091E-2</c:v>
                </c:pt>
                <c:pt idx="710">
                  <c:v>5.7413544505834579E-2</c:v>
                </c:pt>
                <c:pt idx="711">
                  <c:v>7.0735514163970947E-2</c:v>
                </c:pt>
                <c:pt idx="712">
                  <c:v>4.9818318337202072E-2</c:v>
                </c:pt>
                <c:pt idx="713">
                  <c:v>4.7916732728481293E-2</c:v>
                </c:pt>
                <c:pt idx="714">
                  <c:v>5.0304621458053589E-2</c:v>
                </c:pt>
                <c:pt idx="715">
                  <c:v>4.8388835042715073E-2</c:v>
                </c:pt>
                <c:pt idx="716">
                  <c:v>6.8739242851734161E-2</c:v>
                </c:pt>
                <c:pt idx="717">
                  <c:v>6.6182248294353485E-2</c:v>
                </c:pt>
                <c:pt idx="718">
                  <c:v>5.9327464550733566E-2</c:v>
                </c:pt>
                <c:pt idx="719">
                  <c:v>6.7870885133743286E-2</c:v>
                </c:pt>
                <c:pt idx="720">
                  <c:v>5.3318381309509277E-2</c:v>
                </c:pt>
                <c:pt idx="721">
                  <c:v>4.5552652329206467E-2</c:v>
                </c:pt>
                <c:pt idx="722">
                  <c:v>7.3326915502548218E-2</c:v>
                </c:pt>
                <c:pt idx="723">
                  <c:v>4.9497593194246292E-2</c:v>
                </c:pt>
                <c:pt idx="724">
                  <c:v>5.7796847075223923E-2</c:v>
                </c:pt>
                <c:pt idx="725">
                  <c:v>5.7727281004190445E-2</c:v>
                </c:pt>
                <c:pt idx="726">
                  <c:v>5.4744124412536621E-2</c:v>
                </c:pt>
                <c:pt idx="727">
                  <c:v>4.39792200922966E-2</c:v>
                </c:pt>
                <c:pt idx="728">
                  <c:v>4.6947754919528961E-2</c:v>
                </c:pt>
                <c:pt idx="729">
                  <c:v>4.6440329402685165E-2</c:v>
                </c:pt>
                <c:pt idx="730">
                  <c:v>6.4200662076473236E-2</c:v>
                </c:pt>
                <c:pt idx="731">
                  <c:v>8.6999073624610901E-2</c:v>
                </c:pt>
                <c:pt idx="732">
                  <c:v>5.1082771271467209E-2</c:v>
                </c:pt>
                <c:pt idx="733">
                  <c:v>4.5210469514131546E-2</c:v>
                </c:pt>
                <c:pt idx="734">
                  <c:v>6.4807765185832977E-2</c:v>
                </c:pt>
                <c:pt idx="735">
                  <c:v>6.0132373124361038E-2</c:v>
                </c:pt>
                <c:pt idx="736">
                  <c:v>6.0324307531118393E-2</c:v>
                </c:pt>
                <c:pt idx="737">
                  <c:v>6.0565508902072906E-2</c:v>
                </c:pt>
                <c:pt idx="738">
                  <c:v>4.2481228709220886E-2</c:v>
                </c:pt>
                <c:pt idx="739">
                  <c:v>4.6991758048534393E-2</c:v>
                </c:pt>
                <c:pt idx="740">
                  <c:v>6.0121286660432816E-2</c:v>
                </c:pt>
                <c:pt idx="741">
                  <c:v>6.9943785667419434E-2</c:v>
                </c:pt>
                <c:pt idx="742">
                  <c:v>5.5473126471042633E-2</c:v>
                </c:pt>
                <c:pt idx="743">
                  <c:v>5.2616141736507416E-2</c:v>
                </c:pt>
                <c:pt idx="744">
                  <c:v>5.6454740464687347E-2</c:v>
                </c:pt>
                <c:pt idx="745">
                  <c:v>5.7384971529245377E-2</c:v>
                </c:pt>
                <c:pt idx="746">
                  <c:v>5.247173085808754E-2</c:v>
                </c:pt>
                <c:pt idx="747">
                  <c:v>6.5672531723976135E-2</c:v>
                </c:pt>
                <c:pt idx="748">
                  <c:v>5.2181843668222427E-2</c:v>
                </c:pt>
                <c:pt idx="749">
                  <c:v>4.93878573179245E-2</c:v>
                </c:pt>
                <c:pt idx="750">
                  <c:v>6.528010219335556E-2</c:v>
                </c:pt>
                <c:pt idx="751">
                  <c:v>5.6611333042383194E-2</c:v>
                </c:pt>
                <c:pt idx="752">
                  <c:v>5.1364533603191376E-2</c:v>
                </c:pt>
                <c:pt idx="753">
                  <c:v>4.5615267008543015E-2</c:v>
                </c:pt>
                <c:pt idx="754">
                  <c:v>7.5059458613395691E-2</c:v>
                </c:pt>
                <c:pt idx="755">
                  <c:v>6.1782926321029663E-2</c:v>
                </c:pt>
                <c:pt idx="756">
                  <c:v>4.7055888921022415E-2</c:v>
                </c:pt>
                <c:pt idx="757">
                  <c:v>5.8759681880474091E-2</c:v>
                </c:pt>
                <c:pt idx="758">
                  <c:v>6.7437626421451569E-2</c:v>
                </c:pt>
                <c:pt idx="759">
                  <c:v>7.4115313589572906E-2</c:v>
                </c:pt>
                <c:pt idx="760">
                  <c:v>9.0474426746368408E-2</c:v>
                </c:pt>
                <c:pt idx="761">
                  <c:v>6.8079829216003418E-2</c:v>
                </c:pt>
                <c:pt idx="762">
                  <c:v>6.3873842358589172E-2</c:v>
                </c:pt>
                <c:pt idx="763">
                  <c:v>6.6012144088745117E-2</c:v>
                </c:pt>
                <c:pt idx="764">
                  <c:v>6.1565954238176346E-2</c:v>
                </c:pt>
                <c:pt idx="765">
                  <c:v>5.9064436703920364E-2</c:v>
                </c:pt>
                <c:pt idx="766">
                  <c:v>6.578671932220459E-2</c:v>
                </c:pt>
                <c:pt idx="767">
                  <c:v>5.0576034933328629E-2</c:v>
                </c:pt>
                <c:pt idx="768">
                  <c:v>4.8916410654783249E-2</c:v>
                </c:pt>
                <c:pt idx="769">
                  <c:v>5.1636829972267151E-2</c:v>
                </c:pt>
                <c:pt idx="770">
                  <c:v>4.8757486045360565E-2</c:v>
                </c:pt>
                <c:pt idx="771">
                  <c:v>5.1518231630325317E-2</c:v>
                </c:pt>
                <c:pt idx="772">
                  <c:v>7.3322750627994537E-2</c:v>
                </c:pt>
                <c:pt idx="773">
                  <c:v>7.3287896811962128E-2</c:v>
                </c:pt>
                <c:pt idx="774">
                  <c:v>6.2922105193138123E-2</c:v>
                </c:pt>
                <c:pt idx="775">
                  <c:v>5.4847542196512222E-2</c:v>
                </c:pt>
                <c:pt idx="776">
                  <c:v>5.8682814240455627E-2</c:v>
                </c:pt>
                <c:pt idx="777">
                  <c:v>5.2448049187660217E-2</c:v>
                </c:pt>
                <c:pt idx="778">
                  <c:v>4.7747243195772171E-2</c:v>
                </c:pt>
                <c:pt idx="779">
                  <c:v>7.706865668296814E-2</c:v>
                </c:pt>
                <c:pt idx="780">
                  <c:v>5.0039447844028473E-2</c:v>
                </c:pt>
                <c:pt idx="781">
                  <c:v>5.9210155159235001E-2</c:v>
                </c:pt>
                <c:pt idx="782">
                  <c:v>6.3501812517642975E-2</c:v>
                </c:pt>
                <c:pt idx="783">
                  <c:v>4.7877170145511627E-2</c:v>
                </c:pt>
                <c:pt idx="784">
                  <c:v>4.3119113892316818E-2</c:v>
                </c:pt>
                <c:pt idx="785">
                  <c:v>7.6872698962688446E-2</c:v>
                </c:pt>
                <c:pt idx="786">
                  <c:v>5.2195291966199875E-2</c:v>
                </c:pt>
                <c:pt idx="787">
                  <c:v>8.8124409317970276E-2</c:v>
                </c:pt>
                <c:pt idx="788">
                  <c:v>6.2861226499080658E-2</c:v>
                </c:pt>
                <c:pt idx="789">
                  <c:v>6.6825248301029205E-2</c:v>
                </c:pt>
                <c:pt idx="790">
                  <c:v>4.7701742500066757E-2</c:v>
                </c:pt>
                <c:pt idx="791">
                  <c:v>6.0519486665725708E-2</c:v>
                </c:pt>
                <c:pt idx="792">
                  <c:v>4.8240702599287033E-2</c:v>
                </c:pt>
                <c:pt idx="793">
                  <c:v>7.4109122157096863E-2</c:v>
                </c:pt>
                <c:pt idx="794">
                  <c:v>5.9342525899410248E-2</c:v>
                </c:pt>
                <c:pt idx="795">
                  <c:v>4.0355190634727478E-2</c:v>
                </c:pt>
                <c:pt idx="796">
                  <c:v>5.9365168213844299E-2</c:v>
                </c:pt>
                <c:pt idx="797">
                  <c:v>5.7959705591201782E-2</c:v>
                </c:pt>
                <c:pt idx="798">
                  <c:v>5.8956526219844818E-2</c:v>
                </c:pt>
                <c:pt idx="799">
                  <c:v>6.8829089403152466E-2</c:v>
                </c:pt>
                <c:pt idx="800">
                  <c:v>4.8012878745794296E-2</c:v>
                </c:pt>
                <c:pt idx="801">
                  <c:v>7.1763746440410614E-2</c:v>
                </c:pt>
                <c:pt idx="802">
                  <c:v>4.8589278012514114E-2</c:v>
                </c:pt>
                <c:pt idx="803">
                  <c:v>5.7868871837854385E-2</c:v>
                </c:pt>
                <c:pt idx="804">
                  <c:v>5.0627775490283966E-2</c:v>
                </c:pt>
                <c:pt idx="805">
                  <c:v>6.3820727169513702E-2</c:v>
                </c:pt>
                <c:pt idx="806">
                  <c:v>5.6840173900127411E-2</c:v>
                </c:pt>
                <c:pt idx="807">
                  <c:v>6.327415257692337E-2</c:v>
                </c:pt>
                <c:pt idx="808">
                  <c:v>6.5741531550884247E-2</c:v>
                </c:pt>
                <c:pt idx="809">
                  <c:v>6.4323164522647858E-2</c:v>
                </c:pt>
                <c:pt idx="810">
                  <c:v>6.3831239938735962E-2</c:v>
                </c:pt>
                <c:pt idx="811">
                  <c:v>5.2015684545040131E-2</c:v>
                </c:pt>
                <c:pt idx="812">
                  <c:v>5.8009784668684006E-2</c:v>
                </c:pt>
                <c:pt idx="813">
                  <c:v>5.606682226061821E-2</c:v>
                </c:pt>
                <c:pt idx="814">
                  <c:v>6.1640214174985886E-2</c:v>
                </c:pt>
                <c:pt idx="815">
                  <c:v>5.4517213255167007E-2</c:v>
                </c:pt>
                <c:pt idx="816">
                  <c:v>5.9242621064186096E-2</c:v>
                </c:pt>
                <c:pt idx="817">
                  <c:v>7.316957414150238E-2</c:v>
                </c:pt>
                <c:pt idx="818">
                  <c:v>4.9542680382728577E-2</c:v>
                </c:pt>
                <c:pt idx="819">
                  <c:v>6.7095741629600525E-2</c:v>
                </c:pt>
                <c:pt idx="820">
                  <c:v>6.5626800060272217E-2</c:v>
                </c:pt>
                <c:pt idx="821">
                  <c:v>5.9058152139186859E-2</c:v>
                </c:pt>
                <c:pt idx="822">
                  <c:v>6.889411062002182E-2</c:v>
                </c:pt>
                <c:pt idx="823">
                  <c:v>4.9707408994436264E-2</c:v>
                </c:pt>
                <c:pt idx="824">
                  <c:v>5.210721492767334E-2</c:v>
                </c:pt>
                <c:pt idx="825">
                  <c:v>5.1567871123552322E-2</c:v>
                </c:pt>
                <c:pt idx="826">
                  <c:v>6.6695593297481537E-2</c:v>
                </c:pt>
                <c:pt idx="827">
                  <c:v>5.8713801205158234E-2</c:v>
                </c:pt>
                <c:pt idx="828">
                  <c:v>6.3368640840053558E-2</c:v>
                </c:pt>
                <c:pt idx="829">
                  <c:v>6.8026751279830933E-2</c:v>
                </c:pt>
                <c:pt idx="830">
                  <c:v>5.7777814567089081E-2</c:v>
                </c:pt>
                <c:pt idx="831">
                  <c:v>4.327581450343132E-2</c:v>
                </c:pt>
                <c:pt idx="832">
                  <c:v>6.4328014850616455E-2</c:v>
                </c:pt>
                <c:pt idx="833">
                  <c:v>5.443057045340538E-2</c:v>
                </c:pt>
                <c:pt idx="834">
                  <c:v>6.9608762860298157E-2</c:v>
                </c:pt>
                <c:pt idx="835">
                  <c:v>5.5826790630817413E-2</c:v>
                </c:pt>
                <c:pt idx="836">
                  <c:v>7.0163436233997345E-2</c:v>
                </c:pt>
                <c:pt idx="837">
                  <c:v>5.3934212774038315E-2</c:v>
                </c:pt>
                <c:pt idx="838">
                  <c:v>6.7808479070663452E-2</c:v>
                </c:pt>
                <c:pt idx="839">
                  <c:v>5.4877046495676041E-2</c:v>
                </c:pt>
                <c:pt idx="840">
                  <c:v>7.0769272744655609E-2</c:v>
                </c:pt>
                <c:pt idx="841">
                  <c:v>5.6234367191791534E-2</c:v>
                </c:pt>
                <c:pt idx="842">
                  <c:v>4.3255403637886047E-2</c:v>
                </c:pt>
                <c:pt idx="843">
                  <c:v>5.575118213891983E-2</c:v>
                </c:pt>
                <c:pt idx="844">
                  <c:v>5.8743167668581009E-2</c:v>
                </c:pt>
                <c:pt idx="845">
                  <c:v>5.474785715341568E-2</c:v>
                </c:pt>
                <c:pt idx="846">
                  <c:v>6.1961788684129715E-2</c:v>
                </c:pt>
                <c:pt idx="847">
                  <c:v>7.8239262104034424E-2</c:v>
                </c:pt>
                <c:pt idx="848">
                  <c:v>6.6146306693553925E-2</c:v>
                </c:pt>
                <c:pt idx="849">
                  <c:v>6.5394192934036255E-2</c:v>
                </c:pt>
                <c:pt idx="850">
                  <c:v>7.9013168811798096E-2</c:v>
                </c:pt>
                <c:pt idx="851">
                  <c:v>6.8543195724487305E-2</c:v>
                </c:pt>
                <c:pt idx="852">
                  <c:v>7.4021533131599426E-2</c:v>
                </c:pt>
                <c:pt idx="853">
                  <c:v>3.999260812997818E-2</c:v>
                </c:pt>
                <c:pt idx="854">
                  <c:v>5.3612496703863144E-2</c:v>
                </c:pt>
                <c:pt idx="855">
                  <c:v>6.0844320803880692E-2</c:v>
                </c:pt>
                <c:pt idx="856">
                  <c:v>5.2508991211652756E-2</c:v>
                </c:pt>
                <c:pt idx="857">
                  <c:v>5.7435799390077591E-2</c:v>
                </c:pt>
                <c:pt idx="858">
                  <c:v>4.4571582227945328E-2</c:v>
                </c:pt>
                <c:pt idx="859">
                  <c:v>4.3321497738361359E-2</c:v>
                </c:pt>
                <c:pt idx="860">
                  <c:v>6.3828207552433014E-2</c:v>
                </c:pt>
                <c:pt idx="861">
                  <c:v>6.3096582889556885E-2</c:v>
                </c:pt>
                <c:pt idx="862">
                  <c:v>6.1863470822572708E-2</c:v>
                </c:pt>
                <c:pt idx="863">
                  <c:v>6.7917577922344208E-2</c:v>
                </c:pt>
                <c:pt idx="864">
                  <c:v>8.6406193673610687E-2</c:v>
                </c:pt>
                <c:pt idx="865">
                  <c:v>5.2689474076032639E-2</c:v>
                </c:pt>
                <c:pt idx="866">
                  <c:v>5.174076184630394E-2</c:v>
                </c:pt>
                <c:pt idx="867">
                  <c:v>4.8657920211553574E-2</c:v>
                </c:pt>
                <c:pt idx="868">
                  <c:v>5.6595157831907272E-2</c:v>
                </c:pt>
                <c:pt idx="869">
                  <c:v>4.1182395070791245E-2</c:v>
                </c:pt>
                <c:pt idx="870">
                  <c:v>5.7391118258237839E-2</c:v>
                </c:pt>
                <c:pt idx="871">
                  <c:v>4.6932552009820938E-2</c:v>
                </c:pt>
                <c:pt idx="872">
                  <c:v>6.4168035984039307E-2</c:v>
                </c:pt>
                <c:pt idx="873">
                  <c:v>4.6147618442773819E-2</c:v>
                </c:pt>
                <c:pt idx="874">
                  <c:v>4.3759092688560486E-2</c:v>
                </c:pt>
                <c:pt idx="875">
                  <c:v>4.7043215483427048E-2</c:v>
                </c:pt>
                <c:pt idx="876">
                  <c:v>5.1431052386760712E-2</c:v>
                </c:pt>
                <c:pt idx="877">
                  <c:v>4.2332589626312256E-2</c:v>
                </c:pt>
                <c:pt idx="878">
                  <c:v>6.4055740833282471E-2</c:v>
                </c:pt>
                <c:pt idx="879">
                  <c:v>6.5610483288764954E-2</c:v>
                </c:pt>
                <c:pt idx="880">
                  <c:v>5.4639037698507309E-2</c:v>
                </c:pt>
                <c:pt idx="881">
                  <c:v>5.3719401359558105E-2</c:v>
                </c:pt>
                <c:pt idx="882">
                  <c:v>5.3830560296773911E-2</c:v>
                </c:pt>
                <c:pt idx="883">
                  <c:v>5.4520536214113235E-2</c:v>
                </c:pt>
                <c:pt idx="884">
                  <c:v>8.4146834909915924E-2</c:v>
                </c:pt>
                <c:pt idx="885">
                  <c:v>4.4051911681890488E-2</c:v>
                </c:pt>
                <c:pt idx="886">
                  <c:v>6.3545882701873779E-2</c:v>
                </c:pt>
                <c:pt idx="887">
                  <c:v>4.1802059859037399E-2</c:v>
                </c:pt>
                <c:pt idx="888">
                  <c:v>6.2311731278896332E-2</c:v>
                </c:pt>
                <c:pt idx="889">
                  <c:v>5.24875707924366E-2</c:v>
                </c:pt>
                <c:pt idx="890">
                  <c:v>6.1062797904014587E-2</c:v>
                </c:pt>
                <c:pt idx="891">
                  <c:v>5.3186692297458649E-2</c:v>
                </c:pt>
                <c:pt idx="892">
                  <c:v>7.1042247116565704E-2</c:v>
                </c:pt>
                <c:pt idx="893">
                  <c:v>6.3842505216598511E-2</c:v>
                </c:pt>
                <c:pt idx="894">
                  <c:v>7.3019750416278839E-2</c:v>
                </c:pt>
                <c:pt idx="895">
                  <c:v>5.3238086402416229E-2</c:v>
                </c:pt>
                <c:pt idx="896">
                  <c:v>6.3198074698448181E-2</c:v>
                </c:pt>
                <c:pt idx="897">
                  <c:v>5.9325631707906723E-2</c:v>
                </c:pt>
                <c:pt idx="898">
                  <c:v>5.4508805274963379E-2</c:v>
                </c:pt>
                <c:pt idx="899">
                  <c:v>6.1904281377792358E-2</c:v>
                </c:pt>
                <c:pt idx="900">
                  <c:v>5.4180625826120377E-2</c:v>
                </c:pt>
                <c:pt idx="901">
                  <c:v>4.7074269503355026E-2</c:v>
                </c:pt>
                <c:pt idx="902">
                  <c:v>7.1074791252613068E-2</c:v>
                </c:pt>
                <c:pt idx="903">
                  <c:v>7.0234701037406921E-2</c:v>
                </c:pt>
                <c:pt idx="904">
                  <c:v>5.9490371495485306E-2</c:v>
                </c:pt>
                <c:pt idx="905">
                  <c:v>5.36375492811203E-2</c:v>
                </c:pt>
                <c:pt idx="906">
                  <c:v>5.307532474398613E-2</c:v>
                </c:pt>
                <c:pt idx="907">
                  <c:v>5.4095525294542313E-2</c:v>
                </c:pt>
                <c:pt idx="908">
                  <c:v>4.822218045592308E-2</c:v>
                </c:pt>
                <c:pt idx="909">
                  <c:v>6.055213138461113E-2</c:v>
                </c:pt>
                <c:pt idx="910">
                  <c:v>6.3190385699272156E-2</c:v>
                </c:pt>
                <c:pt idx="911">
                  <c:v>6.2703236937522888E-2</c:v>
                </c:pt>
                <c:pt idx="912">
                  <c:v>6.6283434629440308E-2</c:v>
                </c:pt>
                <c:pt idx="913">
                  <c:v>6.8468153476715088E-2</c:v>
                </c:pt>
                <c:pt idx="914">
                  <c:v>7.3552772402763367E-2</c:v>
                </c:pt>
                <c:pt idx="915">
                  <c:v>5.7649876922369003E-2</c:v>
                </c:pt>
                <c:pt idx="916">
                  <c:v>6.4723946154117584E-2</c:v>
                </c:pt>
                <c:pt idx="917">
                  <c:v>6.6994637250900269E-2</c:v>
                </c:pt>
                <c:pt idx="918">
                  <c:v>6.4259253442287445E-2</c:v>
                </c:pt>
                <c:pt idx="919">
                  <c:v>5.382591113448143E-2</c:v>
                </c:pt>
                <c:pt idx="920">
                  <c:v>6.369464099407196E-2</c:v>
                </c:pt>
                <c:pt idx="921">
                  <c:v>5.3177922964096069E-2</c:v>
                </c:pt>
                <c:pt idx="922">
                  <c:v>6.4411439001560211E-2</c:v>
                </c:pt>
                <c:pt idx="923">
                  <c:v>5.943569540977478E-2</c:v>
                </c:pt>
                <c:pt idx="924">
                  <c:v>6.9050870835781097E-2</c:v>
                </c:pt>
                <c:pt idx="925">
                  <c:v>6.6006593406200409E-2</c:v>
                </c:pt>
                <c:pt idx="926">
                  <c:v>6.0669466853141785E-2</c:v>
                </c:pt>
                <c:pt idx="927">
                  <c:v>4.3377146124839783E-2</c:v>
                </c:pt>
                <c:pt idx="928">
                  <c:v>7.0148713886737823E-2</c:v>
                </c:pt>
                <c:pt idx="929">
                  <c:v>8.40291827917099E-2</c:v>
                </c:pt>
                <c:pt idx="930">
                  <c:v>5.5459942668676376E-2</c:v>
                </c:pt>
                <c:pt idx="931">
                  <c:v>6.8377360701560974E-2</c:v>
                </c:pt>
                <c:pt idx="932">
                  <c:v>6.0451280325651169E-2</c:v>
                </c:pt>
                <c:pt idx="933">
                  <c:v>5.8159608393907547E-2</c:v>
                </c:pt>
                <c:pt idx="934">
                  <c:v>6.5025106072425842E-2</c:v>
                </c:pt>
                <c:pt idx="935">
                  <c:v>6.9935351610183716E-2</c:v>
                </c:pt>
                <c:pt idx="936">
                  <c:v>6.2939949333667755E-2</c:v>
                </c:pt>
                <c:pt idx="937">
                  <c:v>7.1735486388206482E-2</c:v>
                </c:pt>
                <c:pt idx="938">
                  <c:v>6.0415111482143402E-2</c:v>
                </c:pt>
                <c:pt idx="939">
                  <c:v>5.0912916660308838E-2</c:v>
                </c:pt>
                <c:pt idx="940">
                  <c:v>6.5107502043247223E-2</c:v>
                </c:pt>
                <c:pt idx="941">
                  <c:v>5.9579029679298401E-2</c:v>
                </c:pt>
                <c:pt idx="942">
                  <c:v>7.2778820991516113E-2</c:v>
                </c:pt>
                <c:pt idx="943">
                  <c:v>6.8600691854953766E-2</c:v>
                </c:pt>
                <c:pt idx="944">
                  <c:v>6.8592049181461334E-2</c:v>
                </c:pt>
                <c:pt idx="945">
                  <c:v>5.4313361644744873E-2</c:v>
                </c:pt>
                <c:pt idx="946">
                  <c:v>4.3385684490203857E-2</c:v>
                </c:pt>
                <c:pt idx="947">
                  <c:v>4.8774015158414841E-2</c:v>
                </c:pt>
                <c:pt idx="948">
                  <c:v>7.0779487490653992E-2</c:v>
                </c:pt>
                <c:pt idx="949">
                  <c:v>5.0508253276348114E-2</c:v>
                </c:pt>
                <c:pt idx="950">
                  <c:v>5.6056119501590729E-2</c:v>
                </c:pt>
                <c:pt idx="951">
                  <c:v>5.5192321538925171E-2</c:v>
                </c:pt>
                <c:pt idx="952">
                  <c:v>7.2301939129829407E-2</c:v>
                </c:pt>
                <c:pt idx="953">
                  <c:v>5.5097527801990509E-2</c:v>
                </c:pt>
                <c:pt idx="954">
                  <c:v>6.0263857245445251E-2</c:v>
                </c:pt>
                <c:pt idx="955">
                  <c:v>5.9215057641267776E-2</c:v>
                </c:pt>
                <c:pt idx="956">
                  <c:v>6.233493983745575E-2</c:v>
                </c:pt>
                <c:pt idx="957">
                  <c:v>4.7430731356143951E-2</c:v>
                </c:pt>
                <c:pt idx="958">
                  <c:v>5.1783852279186249E-2</c:v>
                </c:pt>
                <c:pt idx="959">
                  <c:v>5.73931485414505E-2</c:v>
                </c:pt>
                <c:pt idx="960">
                  <c:v>6.3029967248439789E-2</c:v>
                </c:pt>
                <c:pt idx="961">
                  <c:v>5.7228613644838333E-2</c:v>
                </c:pt>
                <c:pt idx="962">
                  <c:v>5.8171369135379791E-2</c:v>
                </c:pt>
                <c:pt idx="963">
                  <c:v>4.9849376082420349E-2</c:v>
                </c:pt>
                <c:pt idx="964">
                  <c:v>7.4357055127620697E-2</c:v>
                </c:pt>
                <c:pt idx="965">
                  <c:v>4.0788285434246063E-2</c:v>
                </c:pt>
                <c:pt idx="966">
                  <c:v>6.4653873443603516E-2</c:v>
                </c:pt>
                <c:pt idx="967">
                  <c:v>8.1207312643527985E-2</c:v>
                </c:pt>
                <c:pt idx="968">
                  <c:v>7.6550789177417755E-2</c:v>
                </c:pt>
                <c:pt idx="969">
                  <c:v>5.9303969144821167E-2</c:v>
                </c:pt>
                <c:pt idx="970">
                  <c:v>6.5553277730941772E-2</c:v>
                </c:pt>
                <c:pt idx="971">
                  <c:v>5.4712157696485519E-2</c:v>
                </c:pt>
                <c:pt idx="972">
                  <c:v>7.7372580766677856E-2</c:v>
                </c:pt>
                <c:pt idx="973">
                  <c:v>6.1631865799427032E-2</c:v>
                </c:pt>
                <c:pt idx="974">
                  <c:v>5.3194120526313782E-2</c:v>
                </c:pt>
                <c:pt idx="975">
                  <c:v>5.5161751806735992E-2</c:v>
                </c:pt>
                <c:pt idx="976">
                  <c:v>5.4980557411909103E-2</c:v>
                </c:pt>
                <c:pt idx="977">
                  <c:v>5.2550818771123886E-2</c:v>
                </c:pt>
                <c:pt idx="978">
                  <c:v>5.1502592861652374E-2</c:v>
                </c:pt>
                <c:pt idx="979">
                  <c:v>5.7467766106128693E-2</c:v>
                </c:pt>
                <c:pt idx="980">
                  <c:v>8.1524930894374847E-2</c:v>
                </c:pt>
                <c:pt idx="981">
                  <c:v>5.2439082413911819E-2</c:v>
                </c:pt>
                <c:pt idx="982">
                  <c:v>6.4774312078952789E-2</c:v>
                </c:pt>
                <c:pt idx="983">
                  <c:v>6.5221138298511505E-2</c:v>
                </c:pt>
                <c:pt idx="984">
                  <c:v>6.0005418956279755E-2</c:v>
                </c:pt>
                <c:pt idx="985">
                  <c:v>5.2735723555088043E-2</c:v>
                </c:pt>
                <c:pt idx="986">
                  <c:v>4.865940660238266E-2</c:v>
                </c:pt>
                <c:pt idx="987">
                  <c:v>4.9863241612911224E-2</c:v>
                </c:pt>
                <c:pt idx="988">
                  <c:v>5.4057244211435318E-2</c:v>
                </c:pt>
                <c:pt idx="989">
                  <c:v>4.9759626388549805E-2</c:v>
                </c:pt>
                <c:pt idx="990">
                  <c:v>6.4218088984489441E-2</c:v>
                </c:pt>
                <c:pt idx="991">
                  <c:v>7.9133249819278717E-2</c:v>
                </c:pt>
                <c:pt idx="992">
                  <c:v>4.8346325755119324E-2</c:v>
                </c:pt>
                <c:pt idx="993">
                  <c:v>5.2898585796356201E-2</c:v>
                </c:pt>
                <c:pt idx="994">
                  <c:v>6.7014403641223907E-2</c:v>
                </c:pt>
                <c:pt idx="995">
                  <c:v>5.3653482347726822E-2</c:v>
                </c:pt>
                <c:pt idx="996">
                  <c:v>4.4600877910852432E-2</c:v>
                </c:pt>
                <c:pt idx="997">
                  <c:v>4.5131560415029526E-2</c:v>
                </c:pt>
                <c:pt idx="998">
                  <c:v>5.9137318283319473E-2</c:v>
                </c:pt>
                <c:pt idx="999">
                  <c:v>5.1826205104589462E-2</c:v>
                </c:pt>
                <c:pt idx="1000">
                  <c:v>6.2973842024803162E-2</c:v>
                </c:pt>
                <c:pt idx="1001">
                  <c:v>4.260857030749321E-2</c:v>
                </c:pt>
                <c:pt idx="1002">
                  <c:v>6.6226914525032043E-2</c:v>
                </c:pt>
                <c:pt idx="1003">
                  <c:v>4.6996120363473892E-2</c:v>
                </c:pt>
                <c:pt idx="1004">
                  <c:v>6.1513103544712067E-2</c:v>
                </c:pt>
                <c:pt idx="1005">
                  <c:v>7.8238368034362793E-2</c:v>
                </c:pt>
                <c:pt idx="1006">
                  <c:v>6.1307094991207123E-2</c:v>
                </c:pt>
                <c:pt idx="1007">
                  <c:v>5.7353638112545013E-2</c:v>
                </c:pt>
                <c:pt idx="1008">
                  <c:v>5.6616984307765961E-2</c:v>
                </c:pt>
                <c:pt idx="1009">
                  <c:v>7.8916586935520172E-2</c:v>
                </c:pt>
                <c:pt idx="1010">
                  <c:v>7.6249241828918457E-2</c:v>
                </c:pt>
                <c:pt idx="1011">
                  <c:v>6.525120884180069E-2</c:v>
                </c:pt>
                <c:pt idx="1012">
                  <c:v>5.8766491711139679E-2</c:v>
                </c:pt>
                <c:pt idx="1013">
                  <c:v>6.2574587762355804E-2</c:v>
                </c:pt>
                <c:pt idx="1014">
                  <c:v>5.1670964807271957E-2</c:v>
                </c:pt>
                <c:pt idx="1015">
                  <c:v>4.6480569988489151E-2</c:v>
                </c:pt>
                <c:pt idx="1016">
                  <c:v>4.8213563859462738E-2</c:v>
                </c:pt>
                <c:pt idx="1017">
                  <c:v>5.6730642914772034E-2</c:v>
                </c:pt>
                <c:pt idx="1018">
                  <c:v>5.7449940592050552E-2</c:v>
                </c:pt>
                <c:pt idx="1019">
                  <c:v>5.2046298980712891E-2</c:v>
                </c:pt>
                <c:pt idx="1020">
                  <c:v>6.7113481462001801E-2</c:v>
                </c:pt>
                <c:pt idx="1021">
                  <c:v>8.8697567582130432E-2</c:v>
                </c:pt>
                <c:pt idx="1022">
                  <c:v>6.3716471195220947E-2</c:v>
                </c:pt>
                <c:pt idx="1023">
                  <c:v>5.8342192322015762E-2</c:v>
                </c:pt>
                <c:pt idx="1024">
                  <c:v>6.5403707325458527E-2</c:v>
                </c:pt>
                <c:pt idx="1025">
                  <c:v>4.1645944118499756E-2</c:v>
                </c:pt>
                <c:pt idx="1026">
                  <c:v>7.5747467577457428E-2</c:v>
                </c:pt>
                <c:pt idx="1027">
                  <c:v>6.6000312566757202E-2</c:v>
                </c:pt>
                <c:pt idx="1028">
                  <c:v>4.3482072651386261E-2</c:v>
                </c:pt>
                <c:pt idx="1029">
                  <c:v>5.2197650074958801E-2</c:v>
                </c:pt>
                <c:pt idx="1030">
                  <c:v>6.8115115165710449E-2</c:v>
                </c:pt>
                <c:pt idx="1031">
                  <c:v>4.8975035548210144E-2</c:v>
                </c:pt>
                <c:pt idx="1032">
                  <c:v>5.9185631573200226E-2</c:v>
                </c:pt>
                <c:pt idx="1033">
                  <c:v>5.4816160351037979E-2</c:v>
                </c:pt>
                <c:pt idx="1034">
                  <c:v>6.1080086976289749E-2</c:v>
                </c:pt>
                <c:pt idx="1035">
                  <c:v>4.298795759677887E-2</c:v>
                </c:pt>
                <c:pt idx="1036">
                  <c:v>6.6528700292110443E-2</c:v>
                </c:pt>
                <c:pt idx="1037">
                  <c:v>6.1939653009176254E-2</c:v>
                </c:pt>
                <c:pt idx="1038">
                  <c:v>5.0105929374694824E-2</c:v>
                </c:pt>
                <c:pt idx="1039">
                  <c:v>5.7346086949110031E-2</c:v>
                </c:pt>
                <c:pt idx="1040">
                  <c:v>5.074043944478035E-2</c:v>
                </c:pt>
                <c:pt idx="1041">
                  <c:v>5.4521579295396805E-2</c:v>
                </c:pt>
                <c:pt idx="1042">
                  <c:v>5.5092204362154007E-2</c:v>
                </c:pt>
                <c:pt idx="1043">
                  <c:v>6.9535739719867706E-2</c:v>
                </c:pt>
                <c:pt idx="1044">
                  <c:v>5.1927380263805389E-2</c:v>
                </c:pt>
                <c:pt idx="1045">
                  <c:v>7.1363426744937897E-2</c:v>
                </c:pt>
                <c:pt idx="1046">
                  <c:v>5.3157776594161987E-2</c:v>
                </c:pt>
                <c:pt idx="1047">
                  <c:v>5.9897765517234802E-2</c:v>
                </c:pt>
                <c:pt idx="1048">
                  <c:v>4.8053927719593048E-2</c:v>
                </c:pt>
                <c:pt idx="1049">
                  <c:v>5.6144431233406067E-2</c:v>
                </c:pt>
                <c:pt idx="1050">
                  <c:v>7.1484774351119995E-2</c:v>
                </c:pt>
                <c:pt idx="1051">
                  <c:v>5.7427149266004562E-2</c:v>
                </c:pt>
                <c:pt idx="1052">
                  <c:v>5.1793478429317474E-2</c:v>
                </c:pt>
                <c:pt idx="1053">
                  <c:v>6.8411417305469513E-2</c:v>
                </c:pt>
                <c:pt idx="1054">
                  <c:v>6.5246574580669403E-2</c:v>
                </c:pt>
                <c:pt idx="1055">
                  <c:v>4.3996330350637436E-2</c:v>
                </c:pt>
                <c:pt idx="1056">
                  <c:v>4.9165915697813034E-2</c:v>
                </c:pt>
                <c:pt idx="1057">
                  <c:v>6.8491362035274506E-2</c:v>
                </c:pt>
                <c:pt idx="1058">
                  <c:v>5.6710816919803619E-2</c:v>
                </c:pt>
                <c:pt idx="1059">
                  <c:v>5.6565653532743454E-2</c:v>
                </c:pt>
                <c:pt idx="1060">
                  <c:v>6.5326012670993805E-2</c:v>
                </c:pt>
                <c:pt idx="1061">
                  <c:v>6.0198072344064713E-2</c:v>
                </c:pt>
                <c:pt idx="1062">
                  <c:v>5.7425733655691147E-2</c:v>
                </c:pt>
                <c:pt idx="1063">
                  <c:v>5.5974103510379791E-2</c:v>
                </c:pt>
                <c:pt idx="1064">
                  <c:v>6.3564807176589966E-2</c:v>
                </c:pt>
                <c:pt idx="1065">
                  <c:v>6.2738075852394104E-2</c:v>
                </c:pt>
                <c:pt idx="1066">
                  <c:v>4.2107090353965759E-2</c:v>
                </c:pt>
                <c:pt idx="1067">
                  <c:v>4.8851966857910156E-2</c:v>
                </c:pt>
                <c:pt idx="1068">
                  <c:v>5.3417302668094635E-2</c:v>
                </c:pt>
                <c:pt idx="1069">
                  <c:v>5.0581824034452438E-2</c:v>
                </c:pt>
                <c:pt idx="1070">
                  <c:v>5.6636415421962738E-2</c:v>
                </c:pt>
                <c:pt idx="1071">
                  <c:v>4.9083638936281204E-2</c:v>
                </c:pt>
                <c:pt idx="1072">
                  <c:v>5.0754722207784653E-2</c:v>
                </c:pt>
                <c:pt idx="1073">
                  <c:v>5.0862796604633331E-2</c:v>
                </c:pt>
                <c:pt idx="1074">
                  <c:v>6.2653034925460815E-2</c:v>
                </c:pt>
                <c:pt idx="1075">
                  <c:v>5.9908688068389893E-2</c:v>
                </c:pt>
                <c:pt idx="1076">
                  <c:v>4.8408694565296173E-2</c:v>
                </c:pt>
                <c:pt idx="1077">
                  <c:v>5.154867097735405E-2</c:v>
                </c:pt>
                <c:pt idx="1078">
                  <c:v>4.9981512129306793E-2</c:v>
                </c:pt>
                <c:pt idx="1079">
                  <c:v>5.8001719415187836E-2</c:v>
                </c:pt>
                <c:pt idx="1080">
                  <c:v>5.8975443243980408E-2</c:v>
                </c:pt>
                <c:pt idx="1081">
                  <c:v>7.1559801697731018E-2</c:v>
                </c:pt>
                <c:pt idx="1082">
                  <c:v>9.1105721890926361E-2</c:v>
                </c:pt>
                <c:pt idx="1083">
                  <c:v>5.7521186769008636E-2</c:v>
                </c:pt>
                <c:pt idx="1084">
                  <c:v>8.9900650084018707E-2</c:v>
                </c:pt>
                <c:pt idx="1085">
                  <c:v>5.3943444043397903E-2</c:v>
                </c:pt>
                <c:pt idx="1086">
                  <c:v>8.0239534378051758E-2</c:v>
                </c:pt>
                <c:pt idx="1087">
                  <c:v>4.3761711567640305E-2</c:v>
                </c:pt>
                <c:pt idx="1088">
                  <c:v>5.0478145480155945E-2</c:v>
                </c:pt>
                <c:pt idx="1089">
                  <c:v>6.1140522360801697E-2</c:v>
                </c:pt>
                <c:pt idx="1090">
                  <c:v>6.2295056879520416E-2</c:v>
                </c:pt>
                <c:pt idx="1091">
                  <c:v>5.3473412990570068E-2</c:v>
                </c:pt>
                <c:pt idx="1092">
                  <c:v>5.8560937643051147E-2</c:v>
                </c:pt>
                <c:pt idx="1093">
                  <c:v>4.0906574577093124E-2</c:v>
                </c:pt>
                <c:pt idx="1094">
                  <c:v>4.8870880156755447E-2</c:v>
                </c:pt>
                <c:pt idx="1095">
                  <c:v>4.9600772559642792E-2</c:v>
                </c:pt>
                <c:pt idx="1096">
                  <c:v>4.2968925088644028E-2</c:v>
                </c:pt>
                <c:pt idx="1097">
                  <c:v>7.0582836866378784E-2</c:v>
                </c:pt>
                <c:pt idx="1098">
                  <c:v>4.323321208357811E-2</c:v>
                </c:pt>
                <c:pt idx="1099">
                  <c:v>7.642018049955368E-2</c:v>
                </c:pt>
                <c:pt idx="1100">
                  <c:v>6.0124412178993225E-2</c:v>
                </c:pt>
                <c:pt idx="1101">
                  <c:v>4.9849551171064377E-2</c:v>
                </c:pt>
                <c:pt idx="1102">
                  <c:v>5.1133833825588226E-2</c:v>
                </c:pt>
                <c:pt idx="1103">
                  <c:v>4.4594783335924149E-2</c:v>
                </c:pt>
                <c:pt idx="1104">
                  <c:v>5.1441308110952377E-2</c:v>
                </c:pt>
                <c:pt idx="1105">
                  <c:v>5.151984840631485E-2</c:v>
                </c:pt>
                <c:pt idx="1106">
                  <c:v>4.2638178914785385E-2</c:v>
                </c:pt>
                <c:pt idx="1107">
                  <c:v>5.6277181953191757E-2</c:v>
                </c:pt>
                <c:pt idx="1108">
                  <c:v>6.3150800764560699E-2</c:v>
                </c:pt>
                <c:pt idx="1109">
                  <c:v>5.5236920714378357E-2</c:v>
                </c:pt>
                <c:pt idx="1110">
                  <c:v>5.4280262440443039E-2</c:v>
                </c:pt>
                <c:pt idx="1111">
                  <c:v>4.9724891781806946E-2</c:v>
                </c:pt>
                <c:pt idx="1112">
                  <c:v>5.7075649499893188E-2</c:v>
                </c:pt>
                <c:pt idx="1113">
                  <c:v>4.962669312953949E-2</c:v>
                </c:pt>
                <c:pt idx="1114">
                  <c:v>5.45525923371315E-2</c:v>
                </c:pt>
                <c:pt idx="1115">
                  <c:v>4.9263674765825272E-2</c:v>
                </c:pt>
                <c:pt idx="1116">
                  <c:v>8.3355531096458435E-2</c:v>
                </c:pt>
                <c:pt idx="1117">
                  <c:v>5.4699201136827469E-2</c:v>
                </c:pt>
                <c:pt idx="1118">
                  <c:v>6.7246124148368835E-2</c:v>
                </c:pt>
                <c:pt idx="1119">
                  <c:v>6.6549457609653473E-2</c:v>
                </c:pt>
                <c:pt idx="1120">
                  <c:v>6.2499411404132843E-2</c:v>
                </c:pt>
                <c:pt idx="1121">
                  <c:v>7.4802525341510773E-2</c:v>
                </c:pt>
                <c:pt idx="1122">
                  <c:v>5.2371501922607422E-2</c:v>
                </c:pt>
                <c:pt idx="1123">
                  <c:v>6.1787866055965424E-2</c:v>
                </c:pt>
                <c:pt idx="1124">
                  <c:v>5.417681485414505E-2</c:v>
                </c:pt>
                <c:pt idx="1125">
                  <c:v>4.7382738441228867E-2</c:v>
                </c:pt>
                <c:pt idx="1126">
                  <c:v>6.0856454074382782E-2</c:v>
                </c:pt>
                <c:pt idx="1127">
                  <c:v>6.0604721307754517E-2</c:v>
                </c:pt>
                <c:pt idx="1128">
                  <c:v>7.330680638551712E-2</c:v>
                </c:pt>
                <c:pt idx="1129">
                  <c:v>6.6995054483413696E-2</c:v>
                </c:pt>
                <c:pt idx="1130">
                  <c:v>6.3121959567070007E-2</c:v>
                </c:pt>
                <c:pt idx="1131">
                  <c:v>6.0424830764532089E-2</c:v>
                </c:pt>
                <c:pt idx="1132">
                  <c:v>5.7649329304695129E-2</c:v>
                </c:pt>
                <c:pt idx="1133">
                  <c:v>6.2505252659320831E-2</c:v>
                </c:pt>
                <c:pt idx="1134">
                  <c:v>7.9023741185665131E-2</c:v>
                </c:pt>
                <c:pt idx="1135">
                  <c:v>7.6973892748355865E-2</c:v>
                </c:pt>
                <c:pt idx="1136">
                  <c:v>6.2436673790216446E-2</c:v>
                </c:pt>
                <c:pt idx="1137">
                  <c:v>6.8902723491191864E-2</c:v>
                </c:pt>
                <c:pt idx="1138">
                  <c:v>4.768439382314682E-2</c:v>
                </c:pt>
                <c:pt idx="1139">
                  <c:v>4.6860817819833755E-2</c:v>
                </c:pt>
                <c:pt idx="1140">
                  <c:v>5.1316343247890472E-2</c:v>
                </c:pt>
                <c:pt idx="1141">
                  <c:v>5.8249779045581818E-2</c:v>
                </c:pt>
                <c:pt idx="1142">
                  <c:v>6.3749104738235474E-2</c:v>
                </c:pt>
                <c:pt idx="1143">
                  <c:v>4.7862190753221512E-2</c:v>
                </c:pt>
                <c:pt idx="1144">
                  <c:v>7.7268742024898529E-2</c:v>
                </c:pt>
                <c:pt idx="1145">
                  <c:v>6.6757626831531525E-2</c:v>
                </c:pt>
                <c:pt idx="1146">
                  <c:v>6.8409532308578491E-2</c:v>
                </c:pt>
                <c:pt idx="1147">
                  <c:v>6.0879044234752655E-2</c:v>
                </c:pt>
                <c:pt idx="1148">
                  <c:v>5.5888604372739792E-2</c:v>
                </c:pt>
                <c:pt idx="1149">
                  <c:v>4.8385482281446457E-2</c:v>
                </c:pt>
                <c:pt idx="1150">
                  <c:v>6.4935147762298584E-2</c:v>
                </c:pt>
                <c:pt idx="1151">
                  <c:v>6.1971239745616913E-2</c:v>
                </c:pt>
                <c:pt idx="1152">
                  <c:v>6.7798472940921783E-2</c:v>
                </c:pt>
                <c:pt idx="1153">
                  <c:v>5.5461667478084564E-2</c:v>
                </c:pt>
                <c:pt idx="1154">
                  <c:v>4.3987501412630081E-2</c:v>
                </c:pt>
                <c:pt idx="1155">
                  <c:v>5.7579640299081802E-2</c:v>
                </c:pt>
                <c:pt idx="1156">
                  <c:v>5.3717777132987976E-2</c:v>
                </c:pt>
                <c:pt idx="1157">
                  <c:v>5.3824860602617264E-2</c:v>
                </c:pt>
                <c:pt idx="1158">
                  <c:v>7.0883922278881073E-2</c:v>
                </c:pt>
                <c:pt idx="1159">
                  <c:v>5.2736923098564148E-2</c:v>
                </c:pt>
                <c:pt idx="1160">
                  <c:v>6.8324372172355652E-2</c:v>
                </c:pt>
                <c:pt idx="1161">
                  <c:v>6.6626235842704773E-2</c:v>
                </c:pt>
                <c:pt idx="1162">
                  <c:v>5.284770205616951E-2</c:v>
                </c:pt>
                <c:pt idx="1163">
                  <c:v>4.683341458439827E-2</c:v>
                </c:pt>
                <c:pt idx="1164">
                  <c:v>5.4196577519178391E-2</c:v>
                </c:pt>
                <c:pt idx="1165">
                  <c:v>6.2846094369888306E-2</c:v>
                </c:pt>
                <c:pt idx="1166">
                  <c:v>5.9723574668169022E-2</c:v>
                </c:pt>
                <c:pt idx="1167">
                  <c:v>4.8274099826812744E-2</c:v>
                </c:pt>
                <c:pt idx="1168">
                  <c:v>5.0540570169687271E-2</c:v>
                </c:pt>
                <c:pt idx="1169">
                  <c:v>4.5943204313516617E-2</c:v>
                </c:pt>
                <c:pt idx="1170">
                  <c:v>7.1343280375003815E-2</c:v>
                </c:pt>
                <c:pt idx="1171">
                  <c:v>8.0046266317367554E-2</c:v>
                </c:pt>
                <c:pt idx="1172">
                  <c:v>5.7976484298706055E-2</c:v>
                </c:pt>
                <c:pt idx="1173">
                  <c:v>6.1067529022693634E-2</c:v>
                </c:pt>
                <c:pt idx="1174">
                  <c:v>5.3675491362810135E-2</c:v>
                </c:pt>
                <c:pt idx="1175">
                  <c:v>4.8911377787590027E-2</c:v>
                </c:pt>
                <c:pt idx="1176">
                  <c:v>5.3651329129934311E-2</c:v>
                </c:pt>
                <c:pt idx="1177">
                  <c:v>6.4277194440364838E-2</c:v>
                </c:pt>
                <c:pt idx="1178">
                  <c:v>6.172359362244606E-2</c:v>
                </c:pt>
                <c:pt idx="1179">
                  <c:v>5.5070657283067703E-2</c:v>
                </c:pt>
                <c:pt idx="1180">
                  <c:v>5.2137065678834915E-2</c:v>
                </c:pt>
                <c:pt idx="1181">
                  <c:v>4.6031124889850616E-2</c:v>
                </c:pt>
                <c:pt idx="1182">
                  <c:v>6.8139024078845978E-2</c:v>
                </c:pt>
                <c:pt idx="1183">
                  <c:v>5.745663121342659E-2</c:v>
                </c:pt>
                <c:pt idx="1184">
                  <c:v>5.9801604598760605E-2</c:v>
                </c:pt>
                <c:pt idx="1185">
                  <c:v>4.8631805926561356E-2</c:v>
                </c:pt>
                <c:pt idx="1186">
                  <c:v>5.6477956473827362E-2</c:v>
                </c:pt>
                <c:pt idx="1187">
                  <c:v>5.8942794799804688E-2</c:v>
                </c:pt>
                <c:pt idx="1188">
                  <c:v>5.1650471985340118E-2</c:v>
                </c:pt>
                <c:pt idx="1189">
                  <c:v>6.820264458656311E-2</c:v>
                </c:pt>
                <c:pt idx="1190">
                  <c:v>5.9252787381410599E-2</c:v>
                </c:pt>
                <c:pt idx="1191">
                  <c:v>5.6591112166643143E-2</c:v>
                </c:pt>
                <c:pt idx="1192">
                  <c:v>5.1875658333301544E-2</c:v>
                </c:pt>
                <c:pt idx="1193">
                  <c:v>5.9587724506855011E-2</c:v>
                </c:pt>
                <c:pt idx="1194">
                  <c:v>4.2018167674541473E-2</c:v>
                </c:pt>
                <c:pt idx="1195">
                  <c:v>4.4023014605045319E-2</c:v>
                </c:pt>
                <c:pt idx="1196">
                  <c:v>6.9889701902866364E-2</c:v>
                </c:pt>
                <c:pt idx="1197">
                  <c:v>6.8997867405414581E-2</c:v>
                </c:pt>
                <c:pt idx="1198">
                  <c:v>4.5747764408588409E-2</c:v>
                </c:pt>
                <c:pt idx="1199">
                  <c:v>4.1012130677700043E-2</c:v>
                </c:pt>
                <c:pt idx="1200">
                  <c:v>4.8415955156087875E-2</c:v>
                </c:pt>
                <c:pt idx="1201">
                  <c:v>7.1434423327445984E-2</c:v>
                </c:pt>
                <c:pt idx="1202">
                  <c:v>5.386868491768837E-2</c:v>
                </c:pt>
                <c:pt idx="1203">
                  <c:v>4.4828947633504868E-2</c:v>
                </c:pt>
                <c:pt idx="1204">
                  <c:v>7.8272730112075806E-2</c:v>
                </c:pt>
                <c:pt idx="1205">
                  <c:v>4.9679126590490341E-2</c:v>
                </c:pt>
                <c:pt idx="1206">
                  <c:v>5.3560175001621246E-2</c:v>
                </c:pt>
                <c:pt idx="1207">
                  <c:v>4.8033285886049271E-2</c:v>
                </c:pt>
                <c:pt idx="1208">
                  <c:v>5.4937560111284256E-2</c:v>
                </c:pt>
                <c:pt idx="1209">
                  <c:v>5.9650581330060959E-2</c:v>
                </c:pt>
                <c:pt idx="1210">
                  <c:v>5.7711087167263031E-2</c:v>
                </c:pt>
                <c:pt idx="1211">
                  <c:v>6.5909981727600098E-2</c:v>
                </c:pt>
                <c:pt idx="1212">
                  <c:v>6.3393928110599518E-2</c:v>
                </c:pt>
                <c:pt idx="1213">
                  <c:v>6.9157347083091736E-2</c:v>
                </c:pt>
                <c:pt idx="1214">
                  <c:v>5.0651580095291138E-2</c:v>
                </c:pt>
                <c:pt idx="1215">
                  <c:v>5.8891363441944122E-2</c:v>
                </c:pt>
                <c:pt idx="1216">
                  <c:v>5.6067083030939102E-2</c:v>
                </c:pt>
                <c:pt idx="1217">
                  <c:v>4.8377316445112228E-2</c:v>
                </c:pt>
                <c:pt idx="1218">
                  <c:v>7.1831226348876953E-2</c:v>
                </c:pt>
                <c:pt idx="1219">
                  <c:v>5.6251812726259232E-2</c:v>
                </c:pt>
                <c:pt idx="1220">
                  <c:v>6.2842339277267456E-2</c:v>
                </c:pt>
                <c:pt idx="1221">
                  <c:v>5.4331142455339432E-2</c:v>
                </c:pt>
                <c:pt idx="1222">
                  <c:v>5.3953651338815689E-2</c:v>
                </c:pt>
                <c:pt idx="1223">
                  <c:v>5.4583411663770676E-2</c:v>
                </c:pt>
                <c:pt idx="1224">
                  <c:v>5.5826477706432343E-2</c:v>
                </c:pt>
                <c:pt idx="1225">
                  <c:v>6.182778999209404E-2</c:v>
                </c:pt>
                <c:pt idx="1226">
                  <c:v>6.2777794897556305E-2</c:v>
                </c:pt>
                <c:pt idx="1227">
                  <c:v>4.2236689478158951E-2</c:v>
                </c:pt>
                <c:pt idx="1228">
                  <c:v>6.4010314643383026E-2</c:v>
                </c:pt>
                <c:pt idx="1229">
                  <c:v>6.4885728061199188E-2</c:v>
                </c:pt>
                <c:pt idx="1230">
                  <c:v>5.5054314434528351E-2</c:v>
                </c:pt>
                <c:pt idx="1231">
                  <c:v>5.9018287807703018E-2</c:v>
                </c:pt>
                <c:pt idx="1232">
                  <c:v>4.739721491932869E-2</c:v>
                </c:pt>
                <c:pt idx="1233">
                  <c:v>6.442541629076004E-2</c:v>
                </c:pt>
                <c:pt idx="1234">
                  <c:v>5.7164814323186874E-2</c:v>
                </c:pt>
                <c:pt idx="1235">
                  <c:v>6.5141208469867706E-2</c:v>
                </c:pt>
                <c:pt idx="1236">
                  <c:v>5.3644072264432907E-2</c:v>
                </c:pt>
                <c:pt idx="1237">
                  <c:v>5.2799329161643982E-2</c:v>
                </c:pt>
                <c:pt idx="1238">
                  <c:v>5.512373149394989E-2</c:v>
                </c:pt>
                <c:pt idx="1239">
                  <c:v>5.3188756108283997E-2</c:v>
                </c:pt>
                <c:pt idx="1240">
                  <c:v>5.7606007903814316E-2</c:v>
                </c:pt>
                <c:pt idx="1241">
                  <c:v>4.1108708828687668E-2</c:v>
                </c:pt>
                <c:pt idx="1242">
                  <c:v>5.845705047249794E-2</c:v>
                </c:pt>
                <c:pt idx="1243">
                  <c:v>6.2085568904876709E-2</c:v>
                </c:pt>
                <c:pt idx="1244">
                  <c:v>6.732504814863205E-2</c:v>
                </c:pt>
                <c:pt idx="1245">
                  <c:v>6.9346621632575989E-2</c:v>
                </c:pt>
                <c:pt idx="1246">
                  <c:v>4.6724665910005569E-2</c:v>
                </c:pt>
                <c:pt idx="1247">
                  <c:v>4.8413168638944626E-2</c:v>
                </c:pt>
                <c:pt idx="1248">
                  <c:v>5.8506403118371964E-2</c:v>
                </c:pt>
                <c:pt idx="1249">
                  <c:v>5.590507760643959E-2</c:v>
                </c:pt>
                <c:pt idx="1250">
                  <c:v>7.3887430131435394E-2</c:v>
                </c:pt>
                <c:pt idx="1251">
                  <c:v>5.923740565776825E-2</c:v>
                </c:pt>
                <c:pt idx="1252">
                  <c:v>5.7371325790882111E-2</c:v>
                </c:pt>
                <c:pt idx="1253">
                  <c:v>5.8669105172157288E-2</c:v>
                </c:pt>
                <c:pt idx="1254">
                  <c:v>5.2155584096908569E-2</c:v>
                </c:pt>
                <c:pt idx="1255">
                  <c:v>5.7947751134634018E-2</c:v>
                </c:pt>
                <c:pt idx="1256">
                  <c:v>6.2420349568128586E-2</c:v>
                </c:pt>
                <c:pt idx="1257">
                  <c:v>4.7263536602258682E-2</c:v>
                </c:pt>
                <c:pt idx="1258">
                  <c:v>6.0495994985103607E-2</c:v>
                </c:pt>
                <c:pt idx="1259">
                  <c:v>5.4145358502864838E-2</c:v>
                </c:pt>
                <c:pt idx="1260">
                  <c:v>4.684453085064888E-2</c:v>
                </c:pt>
                <c:pt idx="1261">
                  <c:v>5.8514904230833054E-2</c:v>
                </c:pt>
                <c:pt idx="1262">
                  <c:v>5.9800338000059128E-2</c:v>
                </c:pt>
                <c:pt idx="1263">
                  <c:v>6.6585004329681396E-2</c:v>
                </c:pt>
                <c:pt idx="1264">
                  <c:v>4.7607254236936569E-2</c:v>
                </c:pt>
                <c:pt idx="1265">
                  <c:v>5.576556921005249E-2</c:v>
                </c:pt>
                <c:pt idx="1266">
                  <c:v>5.2571889013051987E-2</c:v>
                </c:pt>
                <c:pt idx="1267">
                  <c:v>4.9098793417215347E-2</c:v>
                </c:pt>
                <c:pt idx="1268">
                  <c:v>5.8407817035913467E-2</c:v>
                </c:pt>
                <c:pt idx="1269">
                  <c:v>5.0363887101411819E-2</c:v>
                </c:pt>
                <c:pt idx="1270">
                  <c:v>5.668611079454422E-2</c:v>
                </c:pt>
                <c:pt idx="1271">
                  <c:v>6.6280744969844818E-2</c:v>
                </c:pt>
                <c:pt idx="1272">
                  <c:v>5.305805429816246E-2</c:v>
                </c:pt>
                <c:pt idx="1273">
                  <c:v>5.8974429965019226E-2</c:v>
                </c:pt>
                <c:pt idx="1274">
                  <c:v>4.0731858462095261E-2</c:v>
                </c:pt>
                <c:pt idx="1275">
                  <c:v>5.4321397095918655E-2</c:v>
                </c:pt>
                <c:pt idx="1276">
                  <c:v>5.3792867809534073E-2</c:v>
                </c:pt>
                <c:pt idx="1277">
                  <c:v>4.5229930430650711E-2</c:v>
                </c:pt>
                <c:pt idx="1278">
                  <c:v>5.9880666434764862E-2</c:v>
                </c:pt>
                <c:pt idx="1279">
                  <c:v>5.0042122602462769E-2</c:v>
                </c:pt>
                <c:pt idx="1280">
                  <c:v>8.5878513753414154E-2</c:v>
                </c:pt>
                <c:pt idx="1281">
                  <c:v>4.6690735965967178E-2</c:v>
                </c:pt>
                <c:pt idx="1282">
                  <c:v>7.5014814734458923E-2</c:v>
                </c:pt>
                <c:pt idx="1283">
                  <c:v>4.6920109540224075E-2</c:v>
                </c:pt>
                <c:pt idx="1284">
                  <c:v>5.3466085344552994E-2</c:v>
                </c:pt>
                <c:pt idx="1285">
                  <c:v>7.0520117878913879E-2</c:v>
                </c:pt>
                <c:pt idx="1286">
                  <c:v>6.6210083663463593E-2</c:v>
                </c:pt>
                <c:pt idx="1287">
                  <c:v>5.4862603545188904E-2</c:v>
                </c:pt>
                <c:pt idx="1288">
                  <c:v>5.6089013814926147E-2</c:v>
                </c:pt>
                <c:pt idx="1289">
                  <c:v>6.8724647164344788E-2</c:v>
                </c:pt>
                <c:pt idx="1290">
                  <c:v>7.6415151357650757E-2</c:v>
                </c:pt>
                <c:pt idx="1291">
                  <c:v>5.9427578002214432E-2</c:v>
                </c:pt>
                <c:pt idx="1292">
                  <c:v>6.020750105381012E-2</c:v>
                </c:pt>
                <c:pt idx="1293">
                  <c:v>5.6887350976467133E-2</c:v>
                </c:pt>
                <c:pt idx="1294">
                  <c:v>5.5951666086912155E-2</c:v>
                </c:pt>
                <c:pt idx="1295">
                  <c:v>6.2073245644569397E-2</c:v>
                </c:pt>
                <c:pt idx="1296">
                  <c:v>6.7352227866649628E-2</c:v>
                </c:pt>
                <c:pt idx="1297">
                  <c:v>5.5098988115787506E-2</c:v>
                </c:pt>
                <c:pt idx="1298">
                  <c:v>5.0029803067445755E-2</c:v>
                </c:pt>
                <c:pt idx="1299">
                  <c:v>4.9516934901475906E-2</c:v>
                </c:pt>
                <c:pt idx="1300">
                  <c:v>6.7142561078071594E-2</c:v>
                </c:pt>
                <c:pt idx="1301">
                  <c:v>5.1733255386352539E-2</c:v>
                </c:pt>
                <c:pt idx="1302">
                  <c:v>7.3375597596168518E-2</c:v>
                </c:pt>
                <c:pt idx="1303">
                  <c:v>5.6926470249891281E-2</c:v>
                </c:pt>
                <c:pt idx="1304">
                  <c:v>7.281455397605896E-2</c:v>
                </c:pt>
                <c:pt idx="1305">
                  <c:v>5.4304394870996475E-2</c:v>
                </c:pt>
                <c:pt idx="1306">
                  <c:v>5.6695189327001572E-2</c:v>
                </c:pt>
                <c:pt idx="1307">
                  <c:v>5.8826226741075516E-2</c:v>
                </c:pt>
                <c:pt idx="1308">
                  <c:v>6.0717713087797165E-2</c:v>
                </c:pt>
                <c:pt idx="1309">
                  <c:v>7.3795795440673828E-2</c:v>
                </c:pt>
                <c:pt idx="1310">
                  <c:v>5.9327393770217896E-2</c:v>
                </c:pt>
                <c:pt idx="1311">
                  <c:v>6.5617874264717102E-2</c:v>
                </c:pt>
                <c:pt idx="1312">
                  <c:v>6.8319380283355713E-2</c:v>
                </c:pt>
                <c:pt idx="1313">
                  <c:v>5.6429360061883926E-2</c:v>
                </c:pt>
                <c:pt idx="1314">
                  <c:v>5.4326210170984268E-2</c:v>
                </c:pt>
                <c:pt idx="1315">
                  <c:v>5.6129120290279388E-2</c:v>
                </c:pt>
                <c:pt idx="1316">
                  <c:v>7.8900881111621857E-2</c:v>
                </c:pt>
                <c:pt idx="1317">
                  <c:v>7.5115077197551727E-2</c:v>
                </c:pt>
                <c:pt idx="1318">
                  <c:v>4.5603260397911072E-2</c:v>
                </c:pt>
                <c:pt idx="1319">
                  <c:v>5.5562719702720642E-2</c:v>
                </c:pt>
                <c:pt idx="1320">
                  <c:v>6.066909059882164E-2</c:v>
                </c:pt>
                <c:pt idx="1321">
                  <c:v>5.2699718624353409E-2</c:v>
                </c:pt>
                <c:pt idx="1322">
                  <c:v>6.9048836827278137E-2</c:v>
                </c:pt>
                <c:pt idx="1323">
                  <c:v>6.9670110940933228E-2</c:v>
                </c:pt>
                <c:pt idx="1324">
                  <c:v>6.1247680336236954E-2</c:v>
                </c:pt>
                <c:pt idx="1325">
                  <c:v>5.4083898663520813E-2</c:v>
                </c:pt>
                <c:pt idx="1326">
                  <c:v>4.9747578799724579E-2</c:v>
                </c:pt>
                <c:pt idx="1327">
                  <c:v>6.7467138171195984E-2</c:v>
                </c:pt>
                <c:pt idx="1328">
                  <c:v>5.8801088482141495E-2</c:v>
                </c:pt>
                <c:pt idx="1329">
                  <c:v>5.4480221122503281E-2</c:v>
                </c:pt>
                <c:pt idx="1330">
                  <c:v>6.0093715786933899E-2</c:v>
                </c:pt>
                <c:pt idx="1331">
                  <c:v>5.4061591625213623E-2</c:v>
                </c:pt>
                <c:pt idx="1332">
                  <c:v>7.3248535394668579E-2</c:v>
                </c:pt>
                <c:pt idx="1333">
                  <c:v>6.3760094344615936E-2</c:v>
                </c:pt>
                <c:pt idx="1334">
                  <c:v>4.6363309025764465E-2</c:v>
                </c:pt>
                <c:pt idx="1335">
                  <c:v>5.9589114040136337E-2</c:v>
                </c:pt>
                <c:pt idx="1336">
                  <c:v>5.5427201092243195E-2</c:v>
                </c:pt>
                <c:pt idx="1337">
                  <c:v>5.7575859129428864E-2</c:v>
                </c:pt>
                <c:pt idx="1338">
                  <c:v>6.4587168395519257E-2</c:v>
                </c:pt>
                <c:pt idx="1339">
                  <c:v>5.7848598808050156E-2</c:v>
                </c:pt>
                <c:pt idx="1340">
                  <c:v>6.4767152070999146E-2</c:v>
                </c:pt>
                <c:pt idx="1341">
                  <c:v>5.7675693184137344E-2</c:v>
                </c:pt>
                <c:pt idx="1342">
                  <c:v>5.9963688254356384E-2</c:v>
                </c:pt>
                <c:pt idx="1343">
                  <c:v>5.0749164074659348E-2</c:v>
                </c:pt>
                <c:pt idx="1344">
                  <c:v>6.1221804469823837E-2</c:v>
                </c:pt>
                <c:pt idx="1345">
                  <c:v>6.0101483017206192E-2</c:v>
                </c:pt>
                <c:pt idx="1346">
                  <c:v>6.2634259462356567E-2</c:v>
                </c:pt>
                <c:pt idx="1347">
                  <c:v>5.1377125084400177E-2</c:v>
                </c:pt>
                <c:pt idx="1348">
                  <c:v>5.8219116181135178E-2</c:v>
                </c:pt>
                <c:pt idx="1349">
                  <c:v>6.7359723150730133E-2</c:v>
                </c:pt>
                <c:pt idx="1350">
                  <c:v>6.3870355486869812E-2</c:v>
                </c:pt>
                <c:pt idx="1351">
                  <c:v>4.4746354222297668E-2</c:v>
                </c:pt>
                <c:pt idx="1352">
                  <c:v>6.6410407423973083E-2</c:v>
                </c:pt>
                <c:pt idx="1353">
                  <c:v>8.4329627454280853E-2</c:v>
                </c:pt>
                <c:pt idx="1354">
                  <c:v>5.0524987280368805E-2</c:v>
                </c:pt>
                <c:pt idx="1355">
                  <c:v>4.8998534679412842E-2</c:v>
                </c:pt>
                <c:pt idx="1356">
                  <c:v>5.3035508841276169E-2</c:v>
                </c:pt>
                <c:pt idx="1357">
                  <c:v>5.1568109542131424E-2</c:v>
                </c:pt>
                <c:pt idx="1358">
                  <c:v>5.6337747722864151E-2</c:v>
                </c:pt>
                <c:pt idx="1359">
                  <c:v>6.7268267273902893E-2</c:v>
                </c:pt>
                <c:pt idx="1360">
                  <c:v>5.5449206382036209E-2</c:v>
                </c:pt>
                <c:pt idx="1361">
                  <c:v>4.1274566203355789E-2</c:v>
                </c:pt>
                <c:pt idx="1362">
                  <c:v>5.9361487627029419E-2</c:v>
                </c:pt>
                <c:pt idx="1363">
                  <c:v>6.9997511804103851E-2</c:v>
                </c:pt>
                <c:pt idx="1364">
                  <c:v>6.2881939113140106E-2</c:v>
                </c:pt>
                <c:pt idx="1365">
                  <c:v>5.9839490801095963E-2</c:v>
                </c:pt>
                <c:pt idx="1366">
                  <c:v>5.5398959666490555E-2</c:v>
                </c:pt>
                <c:pt idx="1367">
                  <c:v>6.4139418303966522E-2</c:v>
                </c:pt>
                <c:pt idx="1368">
                  <c:v>5.4835200309753418E-2</c:v>
                </c:pt>
                <c:pt idx="1369">
                  <c:v>6.327027827501297E-2</c:v>
                </c:pt>
                <c:pt idx="1370">
                  <c:v>5.5065717548131943E-2</c:v>
                </c:pt>
                <c:pt idx="1371">
                  <c:v>4.1566707193851471E-2</c:v>
                </c:pt>
                <c:pt idx="1372">
                  <c:v>5.6681085377931595E-2</c:v>
                </c:pt>
                <c:pt idx="1373">
                  <c:v>6.2307093292474747E-2</c:v>
                </c:pt>
                <c:pt idx="1374">
                  <c:v>5.442316085100174E-2</c:v>
                </c:pt>
                <c:pt idx="1375">
                  <c:v>5.5472012609243393E-2</c:v>
                </c:pt>
                <c:pt idx="1376">
                  <c:v>6.2450237572193146E-2</c:v>
                </c:pt>
                <c:pt idx="1377">
                  <c:v>5.812063068151474E-2</c:v>
                </c:pt>
                <c:pt idx="1378">
                  <c:v>4.6308428049087524E-2</c:v>
                </c:pt>
                <c:pt idx="1379">
                  <c:v>5.2924543619155884E-2</c:v>
                </c:pt>
                <c:pt idx="1380">
                  <c:v>5.081171914935112E-2</c:v>
                </c:pt>
                <c:pt idx="1381">
                  <c:v>8.1468008458614349E-2</c:v>
                </c:pt>
                <c:pt idx="1382">
                  <c:v>5.5357292294502258E-2</c:v>
                </c:pt>
                <c:pt idx="1383">
                  <c:v>5.8810427784919739E-2</c:v>
                </c:pt>
                <c:pt idx="1384">
                  <c:v>7.1510441601276398E-2</c:v>
                </c:pt>
                <c:pt idx="1385">
                  <c:v>6.062190979719162E-2</c:v>
                </c:pt>
                <c:pt idx="1386">
                  <c:v>4.7367237508296967E-2</c:v>
                </c:pt>
                <c:pt idx="1387">
                  <c:v>5.6967608630657196E-2</c:v>
                </c:pt>
                <c:pt idx="1388">
                  <c:v>6.8880803883075714E-2</c:v>
                </c:pt>
                <c:pt idx="1389">
                  <c:v>6.7810356616973877E-2</c:v>
                </c:pt>
                <c:pt idx="1390">
                  <c:v>7.1332827210426331E-2</c:v>
                </c:pt>
                <c:pt idx="1391">
                  <c:v>4.9225900322198868E-2</c:v>
                </c:pt>
                <c:pt idx="1392">
                  <c:v>6.3752561807632446E-2</c:v>
                </c:pt>
                <c:pt idx="1393">
                  <c:v>6.4702898263931274E-2</c:v>
                </c:pt>
                <c:pt idx="1394">
                  <c:v>6.993287056684494E-2</c:v>
                </c:pt>
                <c:pt idx="1395">
                  <c:v>5.8291774243116379E-2</c:v>
                </c:pt>
                <c:pt idx="1396">
                  <c:v>6.985839456319809E-2</c:v>
                </c:pt>
                <c:pt idx="1397">
                  <c:v>7.1163415908813477E-2</c:v>
                </c:pt>
                <c:pt idx="1398">
                  <c:v>8.1020727753639221E-2</c:v>
                </c:pt>
                <c:pt idx="1399">
                  <c:v>6.2884598970413208E-2</c:v>
                </c:pt>
                <c:pt idx="1400">
                  <c:v>4.5825373381376266E-2</c:v>
                </c:pt>
                <c:pt idx="1401">
                  <c:v>5.9947974979877472E-2</c:v>
                </c:pt>
                <c:pt idx="1402">
                  <c:v>6.645704060792923E-2</c:v>
                </c:pt>
                <c:pt idx="1403">
                  <c:v>5.6407742202281952E-2</c:v>
                </c:pt>
                <c:pt idx="1404">
                  <c:v>4.6543281525373459E-2</c:v>
                </c:pt>
                <c:pt idx="1405">
                  <c:v>5.4940566420555115E-2</c:v>
                </c:pt>
                <c:pt idx="1406">
                  <c:v>4.7159310430288315E-2</c:v>
                </c:pt>
                <c:pt idx="1407">
                  <c:v>7.7532760798931122E-2</c:v>
                </c:pt>
                <c:pt idx="1408">
                  <c:v>4.8379924148321152E-2</c:v>
                </c:pt>
                <c:pt idx="1409">
                  <c:v>4.6754911541938782E-2</c:v>
                </c:pt>
                <c:pt idx="1410">
                  <c:v>5.5759046226739883E-2</c:v>
                </c:pt>
                <c:pt idx="1411">
                  <c:v>6.0982279479503632E-2</c:v>
                </c:pt>
                <c:pt idx="1412">
                  <c:v>6.5734393894672394E-2</c:v>
                </c:pt>
                <c:pt idx="1413">
                  <c:v>5.877908319234848E-2</c:v>
                </c:pt>
                <c:pt idx="1414">
                  <c:v>6.9934271275997162E-2</c:v>
                </c:pt>
                <c:pt idx="1415">
                  <c:v>4.7653477638959885E-2</c:v>
                </c:pt>
                <c:pt idx="1416">
                  <c:v>4.8593852669000626E-2</c:v>
                </c:pt>
                <c:pt idx="1417">
                  <c:v>7.574944943189621E-2</c:v>
                </c:pt>
                <c:pt idx="1418">
                  <c:v>5.3837437182664871E-2</c:v>
                </c:pt>
                <c:pt idx="1419">
                  <c:v>5.4985970258712769E-2</c:v>
                </c:pt>
                <c:pt idx="1420">
                  <c:v>4.3579816818237305E-2</c:v>
                </c:pt>
                <c:pt idx="1421">
                  <c:v>6.3097864389419556E-2</c:v>
                </c:pt>
                <c:pt idx="1422">
                  <c:v>5.7363279163837433E-2</c:v>
                </c:pt>
                <c:pt idx="1423">
                  <c:v>6.4258642494678497E-2</c:v>
                </c:pt>
                <c:pt idx="1424">
                  <c:v>7.2142340242862701E-2</c:v>
                </c:pt>
                <c:pt idx="1425">
                  <c:v>6.1727575957775116E-2</c:v>
                </c:pt>
                <c:pt idx="1426">
                  <c:v>4.9994491040706635E-2</c:v>
                </c:pt>
                <c:pt idx="1427">
                  <c:v>5.9682581573724747E-2</c:v>
                </c:pt>
                <c:pt idx="1428">
                  <c:v>5.6484401226043701E-2</c:v>
                </c:pt>
                <c:pt idx="1429">
                  <c:v>6.3699007034301758E-2</c:v>
                </c:pt>
                <c:pt idx="1430">
                  <c:v>4.9763418734073639E-2</c:v>
                </c:pt>
                <c:pt idx="1431">
                  <c:v>5.1196318119764328E-2</c:v>
                </c:pt>
                <c:pt idx="1432">
                  <c:v>5.7183001190423965E-2</c:v>
                </c:pt>
                <c:pt idx="1433">
                  <c:v>6.5992556512355804E-2</c:v>
                </c:pt>
                <c:pt idx="1434">
                  <c:v>5.1212333142757416E-2</c:v>
                </c:pt>
                <c:pt idx="1435">
                  <c:v>4.2113788425922394E-2</c:v>
                </c:pt>
                <c:pt idx="1436">
                  <c:v>5.4394125938415527E-2</c:v>
                </c:pt>
                <c:pt idx="1437">
                  <c:v>5.4968349635601044E-2</c:v>
                </c:pt>
                <c:pt idx="1438">
                  <c:v>5.1836553961038589E-2</c:v>
                </c:pt>
                <c:pt idx="1439">
                  <c:v>6.1658333986997604E-2</c:v>
                </c:pt>
                <c:pt idx="1440">
                  <c:v>5.9989489614963531E-2</c:v>
                </c:pt>
                <c:pt idx="1441">
                  <c:v>5.9082213789224625E-2</c:v>
                </c:pt>
                <c:pt idx="1442">
                  <c:v>6.4420796930789948E-2</c:v>
                </c:pt>
                <c:pt idx="1443">
                  <c:v>6.7441083490848541E-2</c:v>
                </c:pt>
                <c:pt idx="1444">
                  <c:v>7.5088508427143097E-2</c:v>
                </c:pt>
                <c:pt idx="1445">
                  <c:v>5.5262580513954163E-2</c:v>
                </c:pt>
                <c:pt idx="1446">
                  <c:v>7.5286053121089935E-2</c:v>
                </c:pt>
                <c:pt idx="1447">
                  <c:v>6.3736379146575928E-2</c:v>
                </c:pt>
                <c:pt idx="1448">
                  <c:v>5.8225996792316437E-2</c:v>
                </c:pt>
                <c:pt idx="1449">
                  <c:v>5.0736632198095322E-2</c:v>
                </c:pt>
                <c:pt idx="1450">
                  <c:v>5.6550972163677216E-2</c:v>
                </c:pt>
                <c:pt idx="1451">
                  <c:v>6.4953722059726715E-2</c:v>
                </c:pt>
                <c:pt idx="1452">
                  <c:v>6.8375438451766968E-2</c:v>
                </c:pt>
                <c:pt idx="1453">
                  <c:v>4.7842670232057571E-2</c:v>
                </c:pt>
                <c:pt idx="1454">
                  <c:v>7.1292899549007416E-2</c:v>
                </c:pt>
                <c:pt idx="1455">
                  <c:v>4.8967856913805008E-2</c:v>
                </c:pt>
                <c:pt idx="1456">
                  <c:v>5.9820357710123062E-2</c:v>
                </c:pt>
                <c:pt idx="1457">
                  <c:v>7.2599224746227264E-2</c:v>
                </c:pt>
                <c:pt idx="1458">
                  <c:v>4.6891938894987106E-2</c:v>
                </c:pt>
                <c:pt idx="1459">
                  <c:v>4.5430529862642288E-2</c:v>
                </c:pt>
                <c:pt idx="1460">
                  <c:v>4.5748729258775711E-2</c:v>
                </c:pt>
                <c:pt idx="1461">
                  <c:v>7.5045548379421234E-2</c:v>
                </c:pt>
                <c:pt idx="1462">
                  <c:v>5.9877175837755203E-2</c:v>
                </c:pt>
                <c:pt idx="1463">
                  <c:v>4.9189422279596329E-2</c:v>
                </c:pt>
                <c:pt idx="1464">
                  <c:v>6.0428332537412643E-2</c:v>
                </c:pt>
                <c:pt idx="1465">
                  <c:v>4.96172234416008E-2</c:v>
                </c:pt>
                <c:pt idx="1466">
                  <c:v>5.2139312028884888E-2</c:v>
                </c:pt>
                <c:pt idx="1467">
                  <c:v>5.2129480987787247E-2</c:v>
                </c:pt>
                <c:pt idx="1468">
                  <c:v>6.3718222081661224E-2</c:v>
                </c:pt>
                <c:pt idx="1469">
                  <c:v>6.2636449933052063E-2</c:v>
                </c:pt>
                <c:pt idx="1470">
                  <c:v>4.7944840043783188E-2</c:v>
                </c:pt>
                <c:pt idx="1471">
                  <c:v>5.2696771919727325E-2</c:v>
                </c:pt>
                <c:pt idx="1472">
                  <c:v>5.6805379688739777E-2</c:v>
                </c:pt>
                <c:pt idx="1473">
                  <c:v>6.0028456151485443E-2</c:v>
                </c:pt>
                <c:pt idx="1474">
                  <c:v>5.1396910101175308E-2</c:v>
                </c:pt>
                <c:pt idx="1475">
                  <c:v>6.0784682631492615E-2</c:v>
                </c:pt>
                <c:pt idx="1476">
                  <c:v>5.4607212543487549E-2</c:v>
                </c:pt>
                <c:pt idx="1477">
                  <c:v>5.2931908518075943E-2</c:v>
                </c:pt>
                <c:pt idx="1478">
                  <c:v>4.1249971836805344E-2</c:v>
                </c:pt>
                <c:pt idx="1479">
                  <c:v>6.0559775680303574E-2</c:v>
                </c:pt>
                <c:pt idx="1480">
                  <c:v>6.1009008437395096E-2</c:v>
                </c:pt>
                <c:pt idx="1481">
                  <c:v>6.9951631128787994E-2</c:v>
                </c:pt>
                <c:pt idx="1482">
                  <c:v>6.2605902552604675E-2</c:v>
                </c:pt>
                <c:pt idx="1483">
                  <c:v>6.2688060104846954E-2</c:v>
                </c:pt>
                <c:pt idx="1484">
                  <c:v>5.3258024156093597E-2</c:v>
                </c:pt>
                <c:pt idx="1485">
                  <c:v>6.9378182291984558E-2</c:v>
                </c:pt>
                <c:pt idx="1486">
                  <c:v>5.6010201573371887E-2</c:v>
                </c:pt>
                <c:pt idx="1487">
                  <c:v>6.1791256070137024E-2</c:v>
                </c:pt>
                <c:pt idx="1488">
                  <c:v>6.0046903789043427E-2</c:v>
                </c:pt>
                <c:pt idx="1489">
                  <c:v>8.2799166440963745E-2</c:v>
                </c:pt>
                <c:pt idx="1490">
                  <c:v>5.9388097375631332E-2</c:v>
                </c:pt>
                <c:pt idx="1491">
                  <c:v>8.3771310746669769E-2</c:v>
                </c:pt>
                <c:pt idx="1492">
                  <c:v>6.2645368278026581E-2</c:v>
                </c:pt>
                <c:pt idx="1493">
                  <c:v>6.6504277288913727E-2</c:v>
                </c:pt>
                <c:pt idx="1494">
                  <c:v>6.1627838760614395E-2</c:v>
                </c:pt>
                <c:pt idx="1495">
                  <c:v>5.5207818746566772E-2</c:v>
                </c:pt>
                <c:pt idx="1496">
                  <c:v>6.3226699829101563E-2</c:v>
                </c:pt>
                <c:pt idx="1497">
                  <c:v>5.1201149821281433E-2</c:v>
                </c:pt>
                <c:pt idx="1498">
                  <c:v>4.8606038093566895E-2</c:v>
                </c:pt>
                <c:pt idx="1499">
                  <c:v>6.1313193291425705E-2</c:v>
                </c:pt>
              </c:numCache>
            </c:numRef>
          </c:xVal>
          <c:yVal>
            <c:numRef>
              <c:f>'Output Sheet'!$K$5:$K$9999</c:f>
              <c:numCache>
                <c:formatCode>General</c:formatCode>
                <c:ptCount val="9995"/>
                <c:pt idx="0">
                  <c:v>2.3523520678281784E-2</c:v>
                </c:pt>
                <c:pt idx="1">
                  <c:v>2.4832909926772118E-2</c:v>
                </c:pt>
                <c:pt idx="2">
                  <c:v>2.4667162448167801E-2</c:v>
                </c:pt>
                <c:pt idx="3">
                  <c:v>2.5417912751436234E-2</c:v>
                </c:pt>
                <c:pt idx="4">
                  <c:v>2.5689434260129929E-2</c:v>
                </c:pt>
                <c:pt idx="5">
                  <c:v>2.3939521983265877E-2</c:v>
                </c:pt>
                <c:pt idx="6">
                  <c:v>2.2014303132891655E-2</c:v>
                </c:pt>
                <c:pt idx="7">
                  <c:v>2.2394834086298943E-2</c:v>
                </c:pt>
                <c:pt idx="8">
                  <c:v>2.2046439349651337E-2</c:v>
                </c:pt>
                <c:pt idx="9">
                  <c:v>2.4856416508555412E-2</c:v>
                </c:pt>
                <c:pt idx="10">
                  <c:v>2.4442967027425766E-2</c:v>
                </c:pt>
                <c:pt idx="11">
                  <c:v>2.053559198975563E-2</c:v>
                </c:pt>
                <c:pt idx="12">
                  <c:v>2.6541117578744888E-2</c:v>
                </c:pt>
                <c:pt idx="13">
                  <c:v>2.7337314561009407E-2</c:v>
                </c:pt>
                <c:pt idx="14">
                  <c:v>2.0745787769556046E-2</c:v>
                </c:pt>
                <c:pt idx="15">
                  <c:v>2.4552628397941589E-2</c:v>
                </c:pt>
                <c:pt idx="16">
                  <c:v>2.6764469221234322E-2</c:v>
                </c:pt>
                <c:pt idx="17">
                  <c:v>1.8460145220160484E-2</c:v>
                </c:pt>
                <c:pt idx="18">
                  <c:v>2.3446528241038322E-2</c:v>
                </c:pt>
                <c:pt idx="19">
                  <c:v>2.1036181598901749E-2</c:v>
                </c:pt>
                <c:pt idx="20">
                  <c:v>2.6500556617975235E-2</c:v>
                </c:pt>
                <c:pt idx="21">
                  <c:v>2.2859238088130951E-2</c:v>
                </c:pt>
                <c:pt idx="22">
                  <c:v>2.3765429854393005E-2</c:v>
                </c:pt>
                <c:pt idx="23">
                  <c:v>2.4352971464395523E-2</c:v>
                </c:pt>
                <c:pt idx="24">
                  <c:v>2.292272262275219E-2</c:v>
                </c:pt>
                <c:pt idx="25">
                  <c:v>2.6915639638900757E-2</c:v>
                </c:pt>
                <c:pt idx="26">
                  <c:v>2.2115975618362427E-2</c:v>
                </c:pt>
                <c:pt idx="27">
                  <c:v>2.4706162512302399E-2</c:v>
                </c:pt>
                <c:pt idx="28">
                  <c:v>2.456965297460556E-2</c:v>
                </c:pt>
                <c:pt idx="29">
                  <c:v>2.6779582723975182E-2</c:v>
                </c:pt>
                <c:pt idx="30">
                  <c:v>3.2246958464384079E-2</c:v>
                </c:pt>
                <c:pt idx="31">
                  <c:v>2.209729328751564E-2</c:v>
                </c:pt>
                <c:pt idx="32">
                  <c:v>2.0153315737843513E-2</c:v>
                </c:pt>
                <c:pt idx="33">
                  <c:v>2.546730637550354E-2</c:v>
                </c:pt>
                <c:pt idx="34">
                  <c:v>2.641741931438446E-2</c:v>
                </c:pt>
                <c:pt idx="35">
                  <c:v>1.8706809729337692E-2</c:v>
                </c:pt>
                <c:pt idx="36">
                  <c:v>2.4566780775785446E-2</c:v>
                </c:pt>
                <c:pt idx="37">
                  <c:v>2.2281134501099586E-2</c:v>
                </c:pt>
                <c:pt idx="38">
                  <c:v>2.2107869386672974E-2</c:v>
                </c:pt>
                <c:pt idx="39">
                  <c:v>1.8759174272418022E-2</c:v>
                </c:pt>
                <c:pt idx="40">
                  <c:v>2.7020083740353584E-2</c:v>
                </c:pt>
                <c:pt idx="41">
                  <c:v>2.6091005653142929E-2</c:v>
                </c:pt>
                <c:pt idx="42">
                  <c:v>2.0459702238440514E-2</c:v>
                </c:pt>
                <c:pt idx="43">
                  <c:v>2.3683484643697739E-2</c:v>
                </c:pt>
                <c:pt idx="44">
                  <c:v>1.8835017457604408E-2</c:v>
                </c:pt>
                <c:pt idx="45">
                  <c:v>2.6329336687922478E-2</c:v>
                </c:pt>
                <c:pt idx="46">
                  <c:v>2.1999344229698181E-2</c:v>
                </c:pt>
                <c:pt idx="47">
                  <c:v>2.3306591436266899E-2</c:v>
                </c:pt>
                <c:pt idx="48">
                  <c:v>2.5159312412142754E-2</c:v>
                </c:pt>
                <c:pt idx="49">
                  <c:v>2.156132273375988E-2</c:v>
                </c:pt>
                <c:pt idx="50">
                  <c:v>2.2060273215174675E-2</c:v>
                </c:pt>
                <c:pt idx="51">
                  <c:v>2.0108450204133987E-2</c:v>
                </c:pt>
                <c:pt idx="52">
                  <c:v>2.7527917176485062E-2</c:v>
                </c:pt>
                <c:pt idx="53">
                  <c:v>2.0191187039017677E-2</c:v>
                </c:pt>
                <c:pt idx="54">
                  <c:v>2.5012139230966568E-2</c:v>
                </c:pt>
                <c:pt idx="55">
                  <c:v>2.1169811487197876E-2</c:v>
                </c:pt>
                <c:pt idx="56">
                  <c:v>2.1443156525492668E-2</c:v>
                </c:pt>
                <c:pt idx="57">
                  <c:v>2.2417573258280754E-2</c:v>
                </c:pt>
                <c:pt idx="58">
                  <c:v>2.6621216908097267E-2</c:v>
                </c:pt>
                <c:pt idx="59">
                  <c:v>2.776864729821682E-2</c:v>
                </c:pt>
                <c:pt idx="60">
                  <c:v>2.8486095368862152E-2</c:v>
                </c:pt>
                <c:pt idx="61">
                  <c:v>2.1526627242565155E-2</c:v>
                </c:pt>
                <c:pt idx="62">
                  <c:v>2.1827427670359612E-2</c:v>
                </c:pt>
                <c:pt idx="63">
                  <c:v>2.5900047272443771E-2</c:v>
                </c:pt>
                <c:pt idx="64">
                  <c:v>2.1142998710274696E-2</c:v>
                </c:pt>
                <c:pt idx="65">
                  <c:v>2.7570007368922234E-2</c:v>
                </c:pt>
                <c:pt idx="66">
                  <c:v>2.7924610301852226E-2</c:v>
                </c:pt>
                <c:pt idx="67">
                  <c:v>1.6315342858433723E-2</c:v>
                </c:pt>
                <c:pt idx="68">
                  <c:v>2.350192703306675E-2</c:v>
                </c:pt>
                <c:pt idx="69">
                  <c:v>1.9577091559767723E-2</c:v>
                </c:pt>
                <c:pt idx="70">
                  <c:v>2.7289293706417084E-2</c:v>
                </c:pt>
                <c:pt idx="71">
                  <c:v>2.7802919968962669E-2</c:v>
                </c:pt>
                <c:pt idx="72">
                  <c:v>2.5841303169727325E-2</c:v>
                </c:pt>
                <c:pt idx="73">
                  <c:v>2.6265569031238556E-2</c:v>
                </c:pt>
                <c:pt idx="74">
                  <c:v>2.6069892570376396E-2</c:v>
                </c:pt>
                <c:pt idx="75">
                  <c:v>2.7510760352015495E-2</c:v>
                </c:pt>
                <c:pt idx="76">
                  <c:v>2.5587422773241997E-2</c:v>
                </c:pt>
                <c:pt idx="77">
                  <c:v>2.2927911952137947E-2</c:v>
                </c:pt>
                <c:pt idx="78">
                  <c:v>2.7299791574478149E-2</c:v>
                </c:pt>
                <c:pt idx="79">
                  <c:v>1.8682936206459999E-2</c:v>
                </c:pt>
                <c:pt idx="80">
                  <c:v>1.8921146169304848E-2</c:v>
                </c:pt>
                <c:pt idx="81">
                  <c:v>2.3056585341691971E-2</c:v>
                </c:pt>
                <c:pt idx="82">
                  <c:v>2.1236186847090721E-2</c:v>
                </c:pt>
                <c:pt idx="83">
                  <c:v>2.3537561297416687E-2</c:v>
                </c:pt>
                <c:pt idx="84">
                  <c:v>2.579088881611824E-2</c:v>
                </c:pt>
                <c:pt idx="85">
                  <c:v>2.4261880666017532E-2</c:v>
                </c:pt>
                <c:pt idx="86">
                  <c:v>2.4922966957092285E-2</c:v>
                </c:pt>
                <c:pt idx="87">
                  <c:v>2.2382905706763268E-2</c:v>
                </c:pt>
                <c:pt idx="88">
                  <c:v>1.9358713179826736E-2</c:v>
                </c:pt>
                <c:pt idx="89">
                  <c:v>2.4728802964091301E-2</c:v>
                </c:pt>
                <c:pt idx="90">
                  <c:v>2.4276215583086014E-2</c:v>
                </c:pt>
                <c:pt idx="91">
                  <c:v>2.1859321743249893E-2</c:v>
                </c:pt>
                <c:pt idx="92">
                  <c:v>2.4200392886996269E-2</c:v>
                </c:pt>
                <c:pt idx="93">
                  <c:v>2.5271639227867126E-2</c:v>
                </c:pt>
                <c:pt idx="94">
                  <c:v>2.2665360942482948E-2</c:v>
                </c:pt>
                <c:pt idx="95">
                  <c:v>2.5800665840506554E-2</c:v>
                </c:pt>
                <c:pt idx="96">
                  <c:v>2.1249923855066299E-2</c:v>
                </c:pt>
                <c:pt idx="97">
                  <c:v>2.3858334869146347E-2</c:v>
                </c:pt>
                <c:pt idx="98">
                  <c:v>2.2472081705927849E-2</c:v>
                </c:pt>
                <c:pt idx="99">
                  <c:v>2.496720664203167E-2</c:v>
                </c:pt>
                <c:pt idx="100">
                  <c:v>1.9287478178739548E-2</c:v>
                </c:pt>
                <c:pt idx="101">
                  <c:v>2.379891648888588E-2</c:v>
                </c:pt>
                <c:pt idx="102">
                  <c:v>2.15884018689394E-2</c:v>
                </c:pt>
                <c:pt idx="103">
                  <c:v>2.5012169033288956E-2</c:v>
                </c:pt>
                <c:pt idx="104">
                  <c:v>1.9256671890616417E-2</c:v>
                </c:pt>
                <c:pt idx="105">
                  <c:v>2.4017093703150749E-2</c:v>
                </c:pt>
                <c:pt idx="106">
                  <c:v>2.3341981694102287E-2</c:v>
                </c:pt>
                <c:pt idx="107">
                  <c:v>2.2686423733830452E-2</c:v>
                </c:pt>
                <c:pt idx="108">
                  <c:v>3.2801810652017593E-2</c:v>
                </c:pt>
                <c:pt idx="109">
                  <c:v>1.9847052171826363E-2</c:v>
                </c:pt>
                <c:pt idx="110">
                  <c:v>2.4977145716547966E-2</c:v>
                </c:pt>
                <c:pt idx="111">
                  <c:v>1.994861476123333E-2</c:v>
                </c:pt>
                <c:pt idx="112">
                  <c:v>2.9387582093477249E-2</c:v>
                </c:pt>
                <c:pt idx="113">
                  <c:v>2.6840982958674431E-2</c:v>
                </c:pt>
                <c:pt idx="114">
                  <c:v>2.3816794157028198E-2</c:v>
                </c:pt>
                <c:pt idx="115">
                  <c:v>2.3927703499794006E-2</c:v>
                </c:pt>
                <c:pt idx="116">
                  <c:v>2.5033643469214439E-2</c:v>
                </c:pt>
                <c:pt idx="117">
                  <c:v>2.350977249443531E-2</c:v>
                </c:pt>
                <c:pt idx="118">
                  <c:v>2.6614410802721977E-2</c:v>
                </c:pt>
                <c:pt idx="119">
                  <c:v>2.7194390073418617E-2</c:v>
                </c:pt>
                <c:pt idx="120">
                  <c:v>2.0832043141126633E-2</c:v>
                </c:pt>
                <c:pt idx="121">
                  <c:v>2.8458558022975922E-2</c:v>
                </c:pt>
                <c:pt idx="122">
                  <c:v>2.3562755435705185E-2</c:v>
                </c:pt>
                <c:pt idx="123">
                  <c:v>2.4292083457112312E-2</c:v>
                </c:pt>
                <c:pt idx="124">
                  <c:v>2.1831519901752472E-2</c:v>
                </c:pt>
                <c:pt idx="125">
                  <c:v>2.3044237866997719E-2</c:v>
                </c:pt>
                <c:pt idx="126">
                  <c:v>2.1859226748347282E-2</c:v>
                </c:pt>
                <c:pt idx="127">
                  <c:v>2.5487776845693588E-2</c:v>
                </c:pt>
                <c:pt idx="128">
                  <c:v>2.4445317685604095E-2</c:v>
                </c:pt>
                <c:pt idx="129">
                  <c:v>2.3613754659891129E-2</c:v>
                </c:pt>
                <c:pt idx="130">
                  <c:v>2.5132520124316216E-2</c:v>
                </c:pt>
                <c:pt idx="131">
                  <c:v>2.8821650892496109E-2</c:v>
                </c:pt>
                <c:pt idx="132">
                  <c:v>2.1289370954036713E-2</c:v>
                </c:pt>
                <c:pt idx="133">
                  <c:v>2.1207408979535103E-2</c:v>
                </c:pt>
                <c:pt idx="134">
                  <c:v>2.6212666183710098E-2</c:v>
                </c:pt>
                <c:pt idx="135">
                  <c:v>2.1239573135972023E-2</c:v>
                </c:pt>
                <c:pt idx="136">
                  <c:v>2.1814951673150063E-2</c:v>
                </c:pt>
                <c:pt idx="137">
                  <c:v>2.3688578978180885E-2</c:v>
                </c:pt>
                <c:pt idx="138">
                  <c:v>2.2631298750638962E-2</c:v>
                </c:pt>
                <c:pt idx="139">
                  <c:v>2.4380570277571678E-2</c:v>
                </c:pt>
                <c:pt idx="140">
                  <c:v>2.4085324257612228E-2</c:v>
                </c:pt>
                <c:pt idx="141">
                  <c:v>2.2958347573876381E-2</c:v>
                </c:pt>
                <c:pt idx="142">
                  <c:v>2.2965991869568825E-2</c:v>
                </c:pt>
                <c:pt idx="143">
                  <c:v>2.7576582506299019E-2</c:v>
                </c:pt>
                <c:pt idx="144">
                  <c:v>2.754918672144413E-2</c:v>
                </c:pt>
                <c:pt idx="145">
                  <c:v>2.2386046126484871E-2</c:v>
                </c:pt>
                <c:pt idx="146">
                  <c:v>2.5888396427035332E-2</c:v>
                </c:pt>
                <c:pt idx="147">
                  <c:v>2.0216051489114761E-2</c:v>
                </c:pt>
                <c:pt idx="148">
                  <c:v>2.5754699483513832E-2</c:v>
                </c:pt>
                <c:pt idx="149">
                  <c:v>2.255576103925705E-2</c:v>
                </c:pt>
                <c:pt idx="150">
                  <c:v>2.5086663663387299E-2</c:v>
                </c:pt>
                <c:pt idx="151">
                  <c:v>2.4954656139016151E-2</c:v>
                </c:pt>
                <c:pt idx="152">
                  <c:v>2.2264910861849785E-2</c:v>
                </c:pt>
                <c:pt idx="153">
                  <c:v>2.4765944108366966E-2</c:v>
                </c:pt>
                <c:pt idx="154">
                  <c:v>2.3792441934347153E-2</c:v>
                </c:pt>
                <c:pt idx="155">
                  <c:v>2.336832694709301E-2</c:v>
                </c:pt>
                <c:pt idx="156">
                  <c:v>2.2329669445753098E-2</c:v>
                </c:pt>
                <c:pt idx="157">
                  <c:v>2.0293217152357101E-2</c:v>
                </c:pt>
                <c:pt idx="158">
                  <c:v>2.302907221019268E-2</c:v>
                </c:pt>
                <c:pt idx="159">
                  <c:v>2.4308476597070694E-2</c:v>
                </c:pt>
                <c:pt idx="160">
                  <c:v>1.9295293837785721E-2</c:v>
                </c:pt>
                <c:pt idx="161">
                  <c:v>2.3098954930901527E-2</c:v>
                </c:pt>
                <c:pt idx="162">
                  <c:v>2.663789875805378E-2</c:v>
                </c:pt>
                <c:pt idx="163">
                  <c:v>1.8927369266748428E-2</c:v>
                </c:pt>
                <c:pt idx="164">
                  <c:v>2.5474727153778076E-2</c:v>
                </c:pt>
                <c:pt idx="165">
                  <c:v>2.714131586253643E-2</c:v>
                </c:pt>
                <c:pt idx="166">
                  <c:v>2.6584217324852943E-2</c:v>
                </c:pt>
                <c:pt idx="167">
                  <c:v>1.8679177388548851E-2</c:v>
                </c:pt>
                <c:pt idx="168">
                  <c:v>2.8446108102798462E-2</c:v>
                </c:pt>
                <c:pt idx="169">
                  <c:v>2.2971628233790398E-2</c:v>
                </c:pt>
                <c:pt idx="170">
                  <c:v>2.2709619253873825E-2</c:v>
                </c:pt>
                <c:pt idx="171">
                  <c:v>2.6329139247536659E-2</c:v>
                </c:pt>
                <c:pt idx="172">
                  <c:v>2.9615869745612144E-2</c:v>
                </c:pt>
                <c:pt idx="173">
                  <c:v>2.531147375702858E-2</c:v>
                </c:pt>
                <c:pt idx="174">
                  <c:v>2.3728804662823677E-2</c:v>
                </c:pt>
                <c:pt idx="175">
                  <c:v>2.1400492638349533E-2</c:v>
                </c:pt>
                <c:pt idx="176">
                  <c:v>2.3462910205125809E-2</c:v>
                </c:pt>
                <c:pt idx="177">
                  <c:v>2.028120681643486E-2</c:v>
                </c:pt>
                <c:pt idx="178">
                  <c:v>2.5195958092808723E-2</c:v>
                </c:pt>
                <c:pt idx="179">
                  <c:v>2.1214218810200691E-2</c:v>
                </c:pt>
                <c:pt idx="180">
                  <c:v>2.0357750356197357E-2</c:v>
                </c:pt>
                <c:pt idx="181">
                  <c:v>2.9970718547701836E-2</c:v>
                </c:pt>
                <c:pt idx="182">
                  <c:v>2.424122579395771E-2</c:v>
                </c:pt>
                <c:pt idx="183">
                  <c:v>2.2030597552657127E-2</c:v>
                </c:pt>
                <c:pt idx="184">
                  <c:v>2.6538865640759468E-2</c:v>
                </c:pt>
                <c:pt idx="185">
                  <c:v>2.7100613340735435E-2</c:v>
                </c:pt>
                <c:pt idx="186">
                  <c:v>2.1876141428947449E-2</c:v>
                </c:pt>
                <c:pt idx="187">
                  <c:v>2.3932542651891708E-2</c:v>
                </c:pt>
                <c:pt idx="188">
                  <c:v>2.4666167795658112E-2</c:v>
                </c:pt>
                <c:pt idx="189">
                  <c:v>1.792297326028347E-2</c:v>
                </c:pt>
                <c:pt idx="190">
                  <c:v>1.8871856853365898E-2</c:v>
                </c:pt>
                <c:pt idx="191">
                  <c:v>2.0682938396930695E-2</c:v>
                </c:pt>
                <c:pt idx="192">
                  <c:v>2.4904768913984299E-2</c:v>
                </c:pt>
                <c:pt idx="193">
                  <c:v>2.1245120093226433E-2</c:v>
                </c:pt>
                <c:pt idx="194">
                  <c:v>1.9669489935040474E-2</c:v>
                </c:pt>
                <c:pt idx="195">
                  <c:v>2.955118753015995E-2</c:v>
                </c:pt>
                <c:pt idx="196">
                  <c:v>2.4977525696158409E-2</c:v>
                </c:pt>
                <c:pt idx="197">
                  <c:v>2.4112386628985405E-2</c:v>
                </c:pt>
                <c:pt idx="198">
                  <c:v>3.0662691220641136E-2</c:v>
                </c:pt>
                <c:pt idx="199">
                  <c:v>2.2539447993040085E-2</c:v>
                </c:pt>
                <c:pt idx="200">
                  <c:v>2.7737237513065338E-2</c:v>
                </c:pt>
                <c:pt idx="201">
                  <c:v>2.1879695355892181E-2</c:v>
                </c:pt>
                <c:pt idx="202">
                  <c:v>2.0554415881633759E-2</c:v>
                </c:pt>
                <c:pt idx="203">
                  <c:v>2.363278716802597E-2</c:v>
                </c:pt>
                <c:pt idx="204">
                  <c:v>1.7978189513087273E-2</c:v>
                </c:pt>
                <c:pt idx="205">
                  <c:v>2.713870070874691E-2</c:v>
                </c:pt>
                <c:pt idx="206">
                  <c:v>2.2574665024876595E-2</c:v>
                </c:pt>
                <c:pt idx="207">
                  <c:v>2.7859354391694069E-2</c:v>
                </c:pt>
                <c:pt idx="208">
                  <c:v>2.1871967241168022E-2</c:v>
                </c:pt>
                <c:pt idx="209">
                  <c:v>1.9806118682026863E-2</c:v>
                </c:pt>
                <c:pt idx="210">
                  <c:v>2.2391960024833679E-2</c:v>
                </c:pt>
                <c:pt idx="211">
                  <c:v>2.4592513218522072E-2</c:v>
                </c:pt>
                <c:pt idx="212">
                  <c:v>2.4824220687150955E-2</c:v>
                </c:pt>
                <c:pt idx="213">
                  <c:v>2.4721043184399605E-2</c:v>
                </c:pt>
                <c:pt idx="214">
                  <c:v>2.3259704932570457E-2</c:v>
                </c:pt>
                <c:pt idx="215">
                  <c:v>2.7017433196306229E-2</c:v>
                </c:pt>
                <c:pt idx="216">
                  <c:v>2.5323258712887764E-2</c:v>
                </c:pt>
                <c:pt idx="217">
                  <c:v>2.2129382938146591E-2</c:v>
                </c:pt>
                <c:pt idx="218">
                  <c:v>2.8173875063657761E-2</c:v>
                </c:pt>
                <c:pt idx="219">
                  <c:v>2.4021944031119347E-2</c:v>
                </c:pt>
                <c:pt idx="220">
                  <c:v>2.0697092637419701E-2</c:v>
                </c:pt>
                <c:pt idx="221">
                  <c:v>2.6011992245912552E-2</c:v>
                </c:pt>
                <c:pt idx="222">
                  <c:v>2.2485431283712387E-2</c:v>
                </c:pt>
                <c:pt idx="223">
                  <c:v>2.8259851038455963E-2</c:v>
                </c:pt>
                <c:pt idx="224">
                  <c:v>2.7877461165189743E-2</c:v>
                </c:pt>
                <c:pt idx="225">
                  <c:v>2.2324470803141594E-2</c:v>
                </c:pt>
                <c:pt idx="226">
                  <c:v>2.4509591981768608E-2</c:v>
                </c:pt>
                <c:pt idx="227">
                  <c:v>2.5910930708050728E-2</c:v>
                </c:pt>
                <c:pt idx="228">
                  <c:v>1.7072930932044983E-2</c:v>
                </c:pt>
                <c:pt idx="229">
                  <c:v>3.0327862128615379E-2</c:v>
                </c:pt>
                <c:pt idx="230">
                  <c:v>2.4988694116473198E-2</c:v>
                </c:pt>
                <c:pt idx="231">
                  <c:v>2.5847757235169411E-2</c:v>
                </c:pt>
                <c:pt idx="232">
                  <c:v>2.3249257355928421E-2</c:v>
                </c:pt>
                <c:pt idx="233">
                  <c:v>2.1832646802067757E-2</c:v>
                </c:pt>
                <c:pt idx="234">
                  <c:v>2.1259097382426262E-2</c:v>
                </c:pt>
                <c:pt idx="235">
                  <c:v>2.6179436594247818E-2</c:v>
                </c:pt>
                <c:pt idx="236">
                  <c:v>2.2301215678453445E-2</c:v>
                </c:pt>
                <c:pt idx="237">
                  <c:v>2.5246996432542801E-2</c:v>
                </c:pt>
                <c:pt idx="238">
                  <c:v>2.2129058837890625E-2</c:v>
                </c:pt>
                <c:pt idx="239">
                  <c:v>2.2867284715175629E-2</c:v>
                </c:pt>
                <c:pt idx="240">
                  <c:v>2.4852178990840912E-2</c:v>
                </c:pt>
                <c:pt idx="241">
                  <c:v>2.4225546047091484E-2</c:v>
                </c:pt>
                <c:pt idx="242">
                  <c:v>2.6886884123086929E-2</c:v>
                </c:pt>
                <c:pt idx="243">
                  <c:v>2.3949729278683662E-2</c:v>
                </c:pt>
                <c:pt idx="244">
                  <c:v>2.2383999079465866E-2</c:v>
                </c:pt>
                <c:pt idx="245">
                  <c:v>2.2222219035029411E-2</c:v>
                </c:pt>
                <c:pt idx="246">
                  <c:v>2.6627328246831894E-2</c:v>
                </c:pt>
                <c:pt idx="247">
                  <c:v>2.647014893591404E-2</c:v>
                </c:pt>
                <c:pt idx="248">
                  <c:v>1.7003472894430161E-2</c:v>
                </c:pt>
                <c:pt idx="249">
                  <c:v>2.4277152493596077E-2</c:v>
                </c:pt>
                <c:pt idx="250">
                  <c:v>2.6691297069191933E-2</c:v>
                </c:pt>
                <c:pt idx="251">
                  <c:v>1.8037082627415657E-2</c:v>
                </c:pt>
                <c:pt idx="252">
                  <c:v>2.6306511834263802E-2</c:v>
                </c:pt>
                <c:pt idx="253">
                  <c:v>2.2083977237343788E-2</c:v>
                </c:pt>
                <c:pt idx="254">
                  <c:v>2.0994676277041435E-2</c:v>
                </c:pt>
                <c:pt idx="255">
                  <c:v>2.4844454601407051E-2</c:v>
                </c:pt>
                <c:pt idx="256">
                  <c:v>2.1494470536708832E-2</c:v>
                </c:pt>
                <c:pt idx="257">
                  <c:v>2.643745020031929E-2</c:v>
                </c:pt>
                <c:pt idx="258">
                  <c:v>2.441105805337429E-2</c:v>
                </c:pt>
                <c:pt idx="259">
                  <c:v>1.9957065582275391E-2</c:v>
                </c:pt>
                <c:pt idx="260">
                  <c:v>2.7646519243717194E-2</c:v>
                </c:pt>
                <c:pt idx="261">
                  <c:v>2.2246023640036583E-2</c:v>
                </c:pt>
                <c:pt idx="262">
                  <c:v>2.3720135912299156E-2</c:v>
                </c:pt>
                <c:pt idx="263">
                  <c:v>2.1623371168971062E-2</c:v>
                </c:pt>
                <c:pt idx="264">
                  <c:v>2.3757092654705048E-2</c:v>
                </c:pt>
                <c:pt idx="265">
                  <c:v>2.5603668764233589E-2</c:v>
                </c:pt>
                <c:pt idx="266">
                  <c:v>2.0405486226081848E-2</c:v>
                </c:pt>
                <c:pt idx="267">
                  <c:v>2.1173618733882904E-2</c:v>
                </c:pt>
                <c:pt idx="268">
                  <c:v>2.3912753909826279E-2</c:v>
                </c:pt>
                <c:pt idx="269">
                  <c:v>1.9981933757662773E-2</c:v>
                </c:pt>
                <c:pt idx="270">
                  <c:v>2.4060918018221855E-2</c:v>
                </c:pt>
                <c:pt idx="271">
                  <c:v>2.4095717817544937E-2</c:v>
                </c:pt>
                <c:pt idx="272">
                  <c:v>2.4704422801733017E-2</c:v>
                </c:pt>
                <c:pt idx="273">
                  <c:v>2.5993078947067261E-2</c:v>
                </c:pt>
                <c:pt idx="274">
                  <c:v>2.1743541583418846E-2</c:v>
                </c:pt>
                <c:pt idx="275">
                  <c:v>2.6387846097350121E-2</c:v>
                </c:pt>
                <c:pt idx="276">
                  <c:v>2.0230351015925407E-2</c:v>
                </c:pt>
                <c:pt idx="277">
                  <c:v>2.6742789894342422E-2</c:v>
                </c:pt>
                <c:pt idx="278">
                  <c:v>2.3945920169353485E-2</c:v>
                </c:pt>
                <c:pt idx="279">
                  <c:v>2.3347092792391777E-2</c:v>
                </c:pt>
                <c:pt idx="280">
                  <c:v>2.6124969124794006E-2</c:v>
                </c:pt>
                <c:pt idx="281">
                  <c:v>2.0740117877721786E-2</c:v>
                </c:pt>
                <c:pt idx="282">
                  <c:v>1.697239838540554E-2</c:v>
                </c:pt>
                <c:pt idx="283">
                  <c:v>2.5277275592088699E-2</c:v>
                </c:pt>
                <c:pt idx="284">
                  <c:v>2.8361620381474495E-2</c:v>
                </c:pt>
                <c:pt idx="285">
                  <c:v>2.312290295958519E-2</c:v>
                </c:pt>
                <c:pt idx="286">
                  <c:v>2.8035057708621025E-2</c:v>
                </c:pt>
                <c:pt idx="287">
                  <c:v>2.9009949415922165E-2</c:v>
                </c:pt>
                <c:pt idx="288">
                  <c:v>2.2253083065152168E-2</c:v>
                </c:pt>
                <c:pt idx="289">
                  <c:v>2.44444590061903E-2</c:v>
                </c:pt>
                <c:pt idx="290">
                  <c:v>2.3892324417829514E-2</c:v>
                </c:pt>
                <c:pt idx="291">
                  <c:v>1.8238158896565437E-2</c:v>
                </c:pt>
                <c:pt idx="292">
                  <c:v>2.5123871862888336E-2</c:v>
                </c:pt>
                <c:pt idx="293">
                  <c:v>2.0723294466733932E-2</c:v>
                </c:pt>
                <c:pt idx="294">
                  <c:v>2.8261158615350723E-2</c:v>
                </c:pt>
                <c:pt idx="295">
                  <c:v>1.7592301592230797E-2</c:v>
                </c:pt>
                <c:pt idx="296">
                  <c:v>2.5914203375577927E-2</c:v>
                </c:pt>
                <c:pt idx="297">
                  <c:v>2.5629404932260513E-2</c:v>
                </c:pt>
                <c:pt idx="298">
                  <c:v>2.5194484740495682E-2</c:v>
                </c:pt>
                <c:pt idx="299">
                  <c:v>2.2457899525761604E-2</c:v>
                </c:pt>
                <c:pt idx="300">
                  <c:v>2.3290965706110001E-2</c:v>
                </c:pt>
                <c:pt idx="301">
                  <c:v>2.1658668294548988E-2</c:v>
                </c:pt>
                <c:pt idx="302">
                  <c:v>2.3757012560963631E-2</c:v>
                </c:pt>
                <c:pt idx="303">
                  <c:v>2.1226871758699417E-2</c:v>
                </c:pt>
                <c:pt idx="304">
                  <c:v>2.5366231799125671E-2</c:v>
                </c:pt>
                <c:pt idx="305">
                  <c:v>2.1934185177087784E-2</c:v>
                </c:pt>
                <c:pt idx="306">
                  <c:v>2.1943852305412292E-2</c:v>
                </c:pt>
                <c:pt idx="307">
                  <c:v>2.7644876390695572E-2</c:v>
                </c:pt>
                <c:pt idx="308">
                  <c:v>2.3545853793621063E-2</c:v>
                </c:pt>
                <c:pt idx="309">
                  <c:v>2.3409385234117508E-2</c:v>
                </c:pt>
                <c:pt idx="310">
                  <c:v>2.3867389187216759E-2</c:v>
                </c:pt>
                <c:pt idx="311">
                  <c:v>2.152244932949543E-2</c:v>
                </c:pt>
                <c:pt idx="312">
                  <c:v>1.9894896075129509E-2</c:v>
                </c:pt>
                <c:pt idx="313">
                  <c:v>3.1138230115175247E-2</c:v>
                </c:pt>
                <c:pt idx="314">
                  <c:v>2.3894449695944786E-2</c:v>
                </c:pt>
                <c:pt idx="315">
                  <c:v>2.8035864233970642E-2</c:v>
                </c:pt>
                <c:pt idx="316">
                  <c:v>2.3958966135978699E-2</c:v>
                </c:pt>
                <c:pt idx="317">
                  <c:v>2.6692232117056847E-2</c:v>
                </c:pt>
                <c:pt idx="318">
                  <c:v>2.3905828595161438E-2</c:v>
                </c:pt>
                <c:pt idx="319">
                  <c:v>2.3566557094454765E-2</c:v>
                </c:pt>
                <c:pt idx="320">
                  <c:v>2.4462888017296791E-2</c:v>
                </c:pt>
                <c:pt idx="321">
                  <c:v>1.7664236947894096E-2</c:v>
                </c:pt>
                <c:pt idx="322">
                  <c:v>2.4434886872768402E-2</c:v>
                </c:pt>
                <c:pt idx="323">
                  <c:v>2.50054020434618E-2</c:v>
                </c:pt>
                <c:pt idx="324">
                  <c:v>2.5420725345611572E-2</c:v>
                </c:pt>
                <c:pt idx="325">
                  <c:v>2.1851006895303726E-2</c:v>
                </c:pt>
                <c:pt idx="326">
                  <c:v>2.3317841812968254E-2</c:v>
                </c:pt>
                <c:pt idx="327">
                  <c:v>2.6015777140855789E-2</c:v>
                </c:pt>
                <c:pt idx="328">
                  <c:v>2.5992365553975105E-2</c:v>
                </c:pt>
                <c:pt idx="329">
                  <c:v>2.3058362305164337E-2</c:v>
                </c:pt>
                <c:pt idx="330">
                  <c:v>3.0721381306648254E-2</c:v>
                </c:pt>
                <c:pt idx="331">
                  <c:v>2.485540509223938E-2</c:v>
                </c:pt>
                <c:pt idx="332">
                  <c:v>2.1705817431211472E-2</c:v>
                </c:pt>
                <c:pt idx="333">
                  <c:v>2.5225723162293434E-2</c:v>
                </c:pt>
                <c:pt idx="334">
                  <c:v>2.4586020037531853E-2</c:v>
                </c:pt>
                <c:pt idx="335">
                  <c:v>2.4457523599267006E-2</c:v>
                </c:pt>
                <c:pt idx="336">
                  <c:v>2.223297581076622E-2</c:v>
                </c:pt>
                <c:pt idx="337">
                  <c:v>2.311427891254425E-2</c:v>
                </c:pt>
                <c:pt idx="338">
                  <c:v>2.594340592622757E-2</c:v>
                </c:pt>
                <c:pt idx="339">
                  <c:v>2.8195774182677269E-2</c:v>
                </c:pt>
                <c:pt idx="340">
                  <c:v>2.5812286883592606E-2</c:v>
                </c:pt>
                <c:pt idx="341">
                  <c:v>1.7957268282771111E-2</c:v>
                </c:pt>
                <c:pt idx="342">
                  <c:v>2.3218384012579918E-2</c:v>
                </c:pt>
                <c:pt idx="343">
                  <c:v>2.725040540099144E-2</c:v>
                </c:pt>
                <c:pt idx="344">
                  <c:v>2.1677074953913689E-2</c:v>
                </c:pt>
                <c:pt idx="345">
                  <c:v>2.4437125772237778E-2</c:v>
                </c:pt>
                <c:pt idx="346">
                  <c:v>2.4339478462934494E-2</c:v>
                </c:pt>
                <c:pt idx="347">
                  <c:v>2.0796783268451691E-2</c:v>
                </c:pt>
                <c:pt idx="348">
                  <c:v>2.1831637248396873E-2</c:v>
                </c:pt>
                <c:pt idx="349">
                  <c:v>2.8162868693470955E-2</c:v>
                </c:pt>
                <c:pt idx="350">
                  <c:v>2.4028941988945007E-2</c:v>
                </c:pt>
                <c:pt idx="351">
                  <c:v>2.403990738093853E-2</c:v>
                </c:pt>
                <c:pt idx="352">
                  <c:v>1.9083740189671516E-2</c:v>
                </c:pt>
                <c:pt idx="353">
                  <c:v>2.2151606157422066E-2</c:v>
                </c:pt>
                <c:pt idx="354">
                  <c:v>2.1952928975224495E-2</c:v>
                </c:pt>
                <c:pt idx="355">
                  <c:v>2.4520678445696831E-2</c:v>
                </c:pt>
                <c:pt idx="356">
                  <c:v>2.2984504699707031E-2</c:v>
                </c:pt>
                <c:pt idx="357">
                  <c:v>2.1992700174450874E-2</c:v>
                </c:pt>
                <c:pt idx="358">
                  <c:v>2.678336389362812E-2</c:v>
                </c:pt>
                <c:pt idx="359">
                  <c:v>2.4251749739050865E-2</c:v>
                </c:pt>
                <c:pt idx="360">
                  <c:v>3.0969956889748573E-2</c:v>
                </c:pt>
                <c:pt idx="361">
                  <c:v>2.0295089110732079E-2</c:v>
                </c:pt>
                <c:pt idx="362">
                  <c:v>2.3756310343742371E-2</c:v>
                </c:pt>
                <c:pt idx="363">
                  <c:v>1.8306907266378403E-2</c:v>
                </c:pt>
                <c:pt idx="364">
                  <c:v>2.3222560063004494E-2</c:v>
                </c:pt>
                <c:pt idx="365">
                  <c:v>2.1080976352095604E-2</c:v>
                </c:pt>
                <c:pt idx="366">
                  <c:v>1.979123055934906E-2</c:v>
                </c:pt>
                <c:pt idx="367">
                  <c:v>2.297627367079258E-2</c:v>
                </c:pt>
                <c:pt idx="368">
                  <c:v>2.1561257541179657E-2</c:v>
                </c:pt>
                <c:pt idx="369">
                  <c:v>2.5866368785500526E-2</c:v>
                </c:pt>
                <c:pt idx="370">
                  <c:v>1.9989235326647758E-2</c:v>
                </c:pt>
                <c:pt idx="371">
                  <c:v>2.7427595108747482E-2</c:v>
                </c:pt>
                <c:pt idx="372">
                  <c:v>2.5243630632758141E-2</c:v>
                </c:pt>
                <c:pt idx="373">
                  <c:v>2.6657268404960632E-2</c:v>
                </c:pt>
                <c:pt idx="374">
                  <c:v>2.6345815509557724E-2</c:v>
                </c:pt>
                <c:pt idx="375">
                  <c:v>2.2581573575735092E-2</c:v>
                </c:pt>
                <c:pt idx="376">
                  <c:v>2.4111205711960793E-2</c:v>
                </c:pt>
                <c:pt idx="377">
                  <c:v>2.6287099346518517E-2</c:v>
                </c:pt>
                <c:pt idx="378">
                  <c:v>2.5396574288606644E-2</c:v>
                </c:pt>
                <c:pt idx="379">
                  <c:v>2.5900760665535927E-2</c:v>
                </c:pt>
                <c:pt idx="380">
                  <c:v>2.5003518909215927E-2</c:v>
                </c:pt>
                <c:pt idx="381">
                  <c:v>2.3051885887980461E-2</c:v>
                </c:pt>
                <c:pt idx="382">
                  <c:v>2.5583837181329727E-2</c:v>
                </c:pt>
                <c:pt idx="383">
                  <c:v>2.2200804203748703E-2</c:v>
                </c:pt>
                <c:pt idx="384">
                  <c:v>2.0006593316793442E-2</c:v>
                </c:pt>
                <c:pt idx="385">
                  <c:v>2.2940261289477348E-2</c:v>
                </c:pt>
                <c:pt idx="386">
                  <c:v>2.2068900987505913E-2</c:v>
                </c:pt>
                <c:pt idx="387">
                  <c:v>2.6389852166175842E-2</c:v>
                </c:pt>
                <c:pt idx="388">
                  <c:v>2.5608686730265617E-2</c:v>
                </c:pt>
                <c:pt idx="389">
                  <c:v>2.4060588330030441E-2</c:v>
                </c:pt>
                <c:pt idx="390">
                  <c:v>2.6869894936680794E-2</c:v>
                </c:pt>
                <c:pt idx="391">
                  <c:v>2.4978229776024818E-2</c:v>
                </c:pt>
                <c:pt idx="392">
                  <c:v>2.4645593017339706E-2</c:v>
                </c:pt>
                <c:pt idx="393">
                  <c:v>2.2590905427932739E-2</c:v>
                </c:pt>
                <c:pt idx="394">
                  <c:v>2.2729182615876198E-2</c:v>
                </c:pt>
                <c:pt idx="395">
                  <c:v>2.7729380875825882E-2</c:v>
                </c:pt>
                <c:pt idx="396">
                  <c:v>2.5063289329409599E-2</c:v>
                </c:pt>
                <c:pt idx="397">
                  <c:v>2.3587698116898537E-2</c:v>
                </c:pt>
                <c:pt idx="398">
                  <c:v>2.3701554164290428E-2</c:v>
                </c:pt>
                <c:pt idx="399">
                  <c:v>2.6188602671027184E-2</c:v>
                </c:pt>
                <c:pt idx="400">
                  <c:v>2.7674639597535133E-2</c:v>
                </c:pt>
                <c:pt idx="401">
                  <c:v>2.1949561312794685E-2</c:v>
                </c:pt>
                <c:pt idx="402">
                  <c:v>2.3904820904135704E-2</c:v>
                </c:pt>
                <c:pt idx="403">
                  <c:v>2.4976314976811409E-2</c:v>
                </c:pt>
                <c:pt idx="404">
                  <c:v>2.3947028443217278E-2</c:v>
                </c:pt>
                <c:pt idx="405">
                  <c:v>2.2438934072852135E-2</c:v>
                </c:pt>
                <c:pt idx="406">
                  <c:v>2.2469688206911087E-2</c:v>
                </c:pt>
                <c:pt idx="407">
                  <c:v>2.2491997107863426E-2</c:v>
                </c:pt>
                <c:pt idx="408">
                  <c:v>2.4535812437534332E-2</c:v>
                </c:pt>
                <c:pt idx="409">
                  <c:v>2.2409182041883469E-2</c:v>
                </c:pt>
                <c:pt idx="410">
                  <c:v>2.5051962584257126E-2</c:v>
                </c:pt>
                <c:pt idx="411">
                  <c:v>2.5338685140013695E-2</c:v>
                </c:pt>
                <c:pt idx="412">
                  <c:v>2.4486925452947617E-2</c:v>
                </c:pt>
                <c:pt idx="413">
                  <c:v>1.8570559099316597E-2</c:v>
                </c:pt>
                <c:pt idx="414">
                  <c:v>2.4542337283492088E-2</c:v>
                </c:pt>
                <c:pt idx="415">
                  <c:v>2.2264612838625908E-2</c:v>
                </c:pt>
                <c:pt idx="416">
                  <c:v>2.044130302965641E-2</c:v>
                </c:pt>
                <c:pt idx="417">
                  <c:v>2.1388685330748558E-2</c:v>
                </c:pt>
                <c:pt idx="418">
                  <c:v>2.8831291943788528E-2</c:v>
                </c:pt>
                <c:pt idx="419">
                  <c:v>2.811802364885807E-2</c:v>
                </c:pt>
                <c:pt idx="420">
                  <c:v>2.3820884525775909E-2</c:v>
                </c:pt>
                <c:pt idx="421">
                  <c:v>2.1650828421115875E-2</c:v>
                </c:pt>
                <c:pt idx="422">
                  <c:v>1.858803816139698E-2</c:v>
                </c:pt>
                <c:pt idx="423">
                  <c:v>2.802516333758831E-2</c:v>
                </c:pt>
                <c:pt idx="424">
                  <c:v>2.7855927124619484E-2</c:v>
                </c:pt>
                <c:pt idx="425">
                  <c:v>2.6092285290360451E-2</c:v>
                </c:pt>
                <c:pt idx="426">
                  <c:v>2.1688178181648254E-2</c:v>
                </c:pt>
                <c:pt idx="427">
                  <c:v>2.8212236240506172E-2</c:v>
                </c:pt>
                <c:pt idx="428">
                  <c:v>2.3386381566524506E-2</c:v>
                </c:pt>
                <c:pt idx="429">
                  <c:v>2.711130864918232E-2</c:v>
                </c:pt>
                <c:pt idx="430">
                  <c:v>2.3648949339985847E-2</c:v>
                </c:pt>
                <c:pt idx="431">
                  <c:v>2.4549635127186775E-2</c:v>
                </c:pt>
                <c:pt idx="432">
                  <c:v>2.2618401795625687E-2</c:v>
                </c:pt>
                <c:pt idx="433">
                  <c:v>2.2698722779750824E-2</c:v>
                </c:pt>
                <c:pt idx="434">
                  <c:v>2.2127527743577957E-2</c:v>
                </c:pt>
                <c:pt idx="435">
                  <c:v>2.3461932316422462E-2</c:v>
                </c:pt>
                <c:pt idx="436">
                  <c:v>2.3530874401330948E-2</c:v>
                </c:pt>
                <c:pt idx="437">
                  <c:v>2.715190127491951E-2</c:v>
                </c:pt>
                <c:pt idx="438">
                  <c:v>2.2986952215433121E-2</c:v>
                </c:pt>
                <c:pt idx="439">
                  <c:v>2.649541012942791E-2</c:v>
                </c:pt>
                <c:pt idx="440">
                  <c:v>2.0362719893455505E-2</c:v>
                </c:pt>
                <c:pt idx="441">
                  <c:v>3.0542166903614998E-2</c:v>
                </c:pt>
                <c:pt idx="442">
                  <c:v>2.5997534394264221E-2</c:v>
                </c:pt>
                <c:pt idx="443">
                  <c:v>1.9161392003297806E-2</c:v>
                </c:pt>
                <c:pt idx="444">
                  <c:v>2.5316257029771805E-2</c:v>
                </c:pt>
                <c:pt idx="445">
                  <c:v>2.6779931038618088E-2</c:v>
                </c:pt>
                <c:pt idx="446">
                  <c:v>2.1604651585221291E-2</c:v>
                </c:pt>
                <c:pt idx="447">
                  <c:v>2.3994341492652893E-2</c:v>
                </c:pt>
                <c:pt idx="448">
                  <c:v>2.1056722849607468E-2</c:v>
                </c:pt>
                <c:pt idx="449">
                  <c:v>2.5261892005801201E-2</c:v>
                </c:pt>
                <c:pt idx="450">
                  <c:v>2.628440223634243E-2</c:v>
                </c:pt>
                <c:pt idx="451">
                  <c:v>2.3214325308799744E-2</c:v>
                </c:pt>
                <c:pt idx="452">
                  <c:v>2.2028978914022446E-2</c:v>
                </c:pt>
                <c:pt idx="453">
                  <c:v>2.556162141263485E-2</c:v>
                </c:pt>
                <c:pt idx="454">
                  <c:v>2.7143832296133041E-2</c:v>
                </c:pt>
                <c:pt idx="455">
                  <c:v>2.1804468706250191E-2</c:v>
                </c:pt>
                <c:pt idx="456">
                  <c:v>2.3739255964756012E-2</c:v>
                </c:pt>
                <c:pt idx="457">
                  <c:v>2.4389522150158882E-2</c:v>
                </c:pt>
                <c:pt idx="458">
                  <c:v>2.5112360715866089E-2</c:v>
                </c:pt>
                <c:pt idx="459">
                  <c:v>1.9339423626661301E-2</c:v>
                </c:pt>
                <c:pt idx="460">
                  <c:v>2.2604329511523247E-2</c:v>
                </c:pt>
                <c:pt idx="461">
                  <c:v>2.8063578531146049E-2</c:v>
                </c:pt>
                <c:pt idx="462">
                  <c:v>2.2954931482672691E-2</c:v>
                </c:pt>
                <c:pt idx="463">
                  <c:v>2.7579342946410179E-2</c:v>
                </c:pt>
                <c:pt idx="464">
                  <c:v>1.8700955435633659E-2</c:v>
                </c:pt>
                <c:pt idx="465">
                  <c:v>2.2410795092582703E-2</c:v>
                </c:pt>
                <c:pt idx="466">
                  <c:v>3.0039997771382332E-2</c:v>
                </c:pt>
                <c:pt idx="467">
                  <c:v>2.5691019371151924E-2</c:v>
                </c:pt>
                <c:pt idx="468">
                  <c:v>2.8016252443194389E-2</c:v>
                </c:pt>
                <c:pt idx="469">
                  <c:v>2.1704770624637604E-2</c:v>
                </c:pt>
                <c:pt idx="470">
                  <c:v>1.9982343539595604E-2</c:v>
                </c:pt>
                <c:pt idx="471">
                  <c:v>2.3008033633232117E-2</c:v>
                </c:pt>
                <c:pt idx="472">
                  <c:v>2.0960096269845963E-2</c:v>
                </c:pt>
                <c:pt idx="473">
                  <c:v>2.3529300466179848E-2</c:v>
                </c:pt>
                <c:pt idx="474">
                  <c:v>2.3180995136499405E-2</c:v>
                </c:pt>
                <c:pt idx="475">
                  <c:v>1.6413610428571701E-2</c:v>
                </c:pt>
                <c:pt idx="476">
                  <c:v>1.9659360870718956E-2</c:v>
                </c:pt>
                <c:pt idx="477">
                  <c:v>2.5439845398068428E-2</c:v>
                </c:pt>
                <c:pt idx="478">
                  <c:v>1.8424378708004951E-2</c:v>
                </c:pt>
                <c:pt idx="479">
                  <c:v>2.3042516782879829E-2</c:v>
                </c:pt>
                <c:pt idx="480">
                  <c:v>2.5647677481174469E-2</c:v>
                </c:pt>
                <c:pt idx="481">
                  <c:v>2.3046283051371574E-2</c:v>
                </c:pt>
                <c:pt idx="482">
                  <c:v>2.3686407133936882E-2</c:v>
                </c:pt>
                <c:pt idx="483">
                  <c:v>1.9975556060671806E-2</c:v>
                </c:pt>
                <c:pt idx="484">
                  <c:v>2.1490715444087982E-2</c:v>
                </c:pt>
                <c:pt idx="485">
                  <c:v>2.2392302751541138E-2</c:v>
                </c:pt>
                <c:pt idx="486">
                  <c:v>2.1710865199565887E-2</c:v>
                </c:pt>
                <c:pt idx="487">
                  <c:v>2.1908920258283615E-2</c:v>
                </c:pt>
                <c:pt idx="488">
                  <c:v>2.1047685295343399E-2</c:v>
                </c:pt>
                <c:pt idx="489">
                  <c:v>2.3856194689869881E-2</c:v>
                </c:pt>
                <c:pt idx="490">
                  <c:v>2.4117395281791687E-2</c:v>
                </c:pt>
                <c:pt idx="491">
                  <c:v>2.5793790817260742E-2</c:v>
                </c:pt>
                <c:pt idx="492">
                  <c:v>2.1971341222524643E-2</c:v>
                </c:pt>
                <c:pt idx="493">
                  <c:v>2.3180343210697174E-2</c:v>
                </c:pt>
                <c:pt idx="494">
                  <c:v>2.724408358335495E-2</c:v>
                </c:pt>
                <c:pt idx="495">
                  <c:v>2.282271720468998E-2</c:v>
                </c:pt>
                <c:pt idx="496">
                  <c:v>2.24276352673769E-2</c:v>
                </c:pt>
                <c:pt idx="497">
                  <c:v>2.3686157539486885E-2</c:v>
                </c:pt>
                <c:pt idx="498">
                  <c:v>2.2750616073608398E-2</c:v>
                </c:pt>
                <c:pt idx="499">
                  <c:v>2.7218310162425041E-2</c:v>
                </c:pt>
                <c:pt idx="500">
                  <c:v>2.4543683975934982E-2</c:v>
                </c:pt>
                <c:pt idx="501">
                  <c:v>2.0627152174711227E-2</c:v>
                </c:pt>
                <c:pt idx="502">
                  <c:v>2.5719739496707916E-2</c:v>
                </c:pt>
                <c:pt idx="503">
                  <c:v>2.64547448605299E-2</c:v>
                </c:pt>
                <c:pt idx="504">
                  <c:v>2.1657159551978111E-2</c:v>
                </c:pt>
                <c:pt idx="505">
                  <c:v>2.4823570623993874E-2</c:v>
                </c:pt>
                <c:pt idx="506">
                  <c:v>1.9430281594395638E-2</c:v>
                </c:pt>
                <c:pt idx="507">
                  <c:v>1.9672559574246407E-2</c:v>
                </c:pt>
                <c:pt idx="508">
                  <c:v>2.0001281052827835E-2</c:v>
                </c:pt>
                <c:pt idx="509">
                  <c:v>2.3846074938774109E-2</c:v>
                </c:pt>
                <c:pt idx="510">
                  <c:v>1.990114152431488E-2</c:v>
                </c:pt>
                <c:pt idx="511">
                  <c:v>3.0324496328830719E-2</c:v>
                </c:pt>
                <c:pt idx="512">
                  <c:v>2.3711502552032471E-2</c:v>
                </c:pt>
                <c:pt idx="513">
                  <c:v>3.0360184609889984E-2</c:v>
                </c:pt>
                <c:pt idx="514">
                  <c:v>2.4555269628763199E-2</c:v>
                </c:pt>
                <c:pt idx="515">
                  <c:v>2.1503115072846413E-2</c:v>
                </c:pt>
                <c:pt idx="516">
                  <c:v>2.307511493563652E-2</c:v>
                </c:pt>
                <c:pt idx="517">
                  <c:v>2.5039652362465858E-2</c:v>
                </c:pt>
                <c:pt idx="518">
                  <c:v>1.6288885846734047E-2</c:v>
                </c:pt>
                <c:pt idx="519">
                  <c:v>2.6105104014277458E-2</c:v>
                </c:pt>
                <c:pt idx="520">
                  <c:v>2.327253483235836E-2</c:v>
                </c:pt>
                <c:pt idx="521">
                  <c:v>2.753799594938755E-2</c:v>
                </c:pt>
                <c:pt idx="522">
                  <c:v>2.2616937756538391E-2</c:v>
                </c:pt>
                <c:pt idx="523">
                  <c:v>2.0070744678378105E-2</c:v>
                </c:pt>
                <c:pt idx="524">
                  <c:v>2.4313094094395638E-2</c:v>
                </c:pt>
                <c:pt idx="525">
                  <c:v>2.3943804204463959E-2</c:v>
                </c:pt>
                <c:pt idx="526">
                  <c:v>2.176329679787159E-2</c:v>
                </c:pt>
                <c:pt idx="527">
                  <c:v>2.3628946393728256E-2</c:v>
                </c:pt>
                <c:pt idx="528">
                  <c:v>1.9530259072780609E-2</c:v>
                </c:pt>
                <c:pt idx="529">
                  <c:v>2.0684652030467987E-2</c:v>
                </c:pt>
                <c:pt idx="530">
                  <c:v>2.0771387964487076E-2</c:v>
                </c:pt>
                <c:pt idx="531">
                  <c:v>2.1843448281288147E-2</c:v>
                </c:pt>
                <c:pt idx="532">
                  <c:v>2.309892512857914E-2</c:v>
                </c:pt>
                <c:pt idx="533">
                  <c:v>2.3999132215976715E-2</c:v>
                </c:pt>
                <c:pt idx="534">
                  <c:v>1.8094779923558235E-2</c:v>
                </c:pt>
                <c:pt idx="535">
                  <c:v>2.4056367576122284E-2</c:v>
                </c:pt>
                <c:pt idx="536">
                  <c:v>2.2282833233475685E-2</c:v>
                </c:pt>
                <c:pt idx="537">
                  <c:v>2.9198577627539635E-2</c:v>
                </c:pt>
                <c:pt idx="538">
                  <c:v>2.2573046386241913E-2</c:v>
                </c:pt>
                <c:pt idx="539">
                  <c:v>2.5397766381502151E-2</c:v>
                </c:pt>
                <c:pt idx="540">
                  <c:v>2.5059256702661514E-2</c:v>
                </c:pt>
                <c:pt idx="541">
                  <c:v>2.1668540313839912E-2</c:v>
                </c:pt>
                <c:pt idx="542">
                  <c:v>2.8194429352879524E-2</c:v>
                </c:pt>
                <c:pt idx="543">
                  <c:v>2.0380681380629539E-2</c:v>
                </c:pt>
                <c:pt idx="544">
                  <c:v>2.5196686387062073E-2</c:v>
                </c:pt>
                <c:pt idx="545">
                  <c:v>2.6538224890828133E-2</c:v>
                </c:pt>
                <c:pt idx="546">
                  <c:v>2.4407485499978065E-2</c:v>
                </c:pt>
                <c:pt idx="547">
                  <c:v>2.4759646505117416E-2</c:v>
                </c:pt>
                <c:pt idx="548">
                  <c:v>2.6539843529462814E-2</c:v>
                </c:pt>
                <c:pt idx="549">
                  <c:v>2.2514794021844864E-2</c:v>
                </c:pt>
                <c:pt idx="550">
                  <c:v>2.8711806982755661E-2</c:v>
                </c:pt>
                <c:pt idx="551">
                  <c:v>2.412206307053566E-2</c:v>
                </c:pt>
                <c:pt idx="552">
                  <c:v>1.8286857753992081E-2</c:v>
                </c:pt>
                <c:pt idx="553">
                  <c:v>2.6127355173230171E-2</c:v>
                </c:pt>
                <c:pt idx="554">
                  <c:v>1.8201190978288651E-2</c:v>
                </c:pt>
                <c:pt idx="555">
                  <c:v>2.0950090140104294E-2</c:v>
                </c:pt>
                <c:pt idx="556">
                  <c:v>2.7675030753016472E-2</c:v>
                </c:pt>
                <c:pt idx="557">
                  <c:v>2.7567291632294655E-2</c:v>
                </c:pt>
                <c:pt idx="558">
                  <c:v>2.9247226193547249E-2</c:v>
                </c:pt>
                <c:pt idx="559">
                  <c:v>2.229989692568779E-2</c:v>
                </c:pt>
                <c:pt idx="560">
                  <c:v>2.0169155672192574E-2</c:v>
                </c:pt>
                <c:pt idx="561">
                  <c:v>2.024509571492672E-2</c:v>
                </c:pt>
                <c:pt idx="562">
                  <c:v>2.6061639189720154E-2</c:v>
                </c:pt>
                <c:pt idx="563">
                  <c:v>2.4787005037069321E-2</c:v>
                </c:pt>
                <c:pt idx="564">
                  <c:v>2.4782806634902954E-2</c:v>
                </c:pt>
                <c:pt idx="565">
                  <c:v>2.9405701905488968E-2</c:v>
                </c:pt>
                <c:pt idx="566">
                  <c:v>2.6106242090463638E-2</c:v>
                </c:pt>
                <c:pt idx="567">
                  <c:v>2.0656291395425797E-2</c:v>
                </c:pt>
                <c:pt idx="568">
                  <c:v>2.4006698280572891E-2</c:v>
                </c:pt>
                <c:pt idx="569">
                  <c:v>2.696322463452816E-2</c:v>
                </c:pt>
                <c:pt idx="570">
                  <c:v>2.508380264043808E-2</c:v>
                </c:pt>
                <c:pt idx="571">
                  <c:v>2.6029584929347038E-2</c:v>
                </c:pt>
                <c:pt idx="572">
                  <c:v>2.6592930778861046E-2</c:v>
                </c:pt>
                <c:pt idx="573">
                  <c:v>2.6684088632464409E-2</c:v>
                </c:pt>
                <c:pt idx="574">
                  <c:v>2.7219003066420555E-2</c:v>
                </c:pt>
                <c:pt idx="575">
                  <c:v>2.1680222824215889E-2</c:v>
                </c:pt>
                <c:pt idx="576">
                  <c:v>2.4760330095887184E-2</c:v>
                </c:pt>
                <c:pt idx="577">
                  <c:v>1.7561892047524452E-2</c:v>
                </c:pt>
                <c:pt idx="578">
                  <c:v>2.0925618708133698E-2</c:v>
                </c:pt>
                <c:pt idx="579">
                  <c:v>2.3822858929634094E-2</c:v>
                </c:pt>
                <c:pt idx="580">
                  <c:v>2.4512430652976036E-2</c:v>
                </c:pt>
                <c:pt idx="581">
                  <c:v>2.7371227741241455E-2</c:v>
                </c:pt>
                <c:pt idx="582">
                  <c:v>2.4553865194320679E-2</c:v>
                </c:pt>
                <c:pt idx="583">
                  <c:v>2.0586336031556129E-2</c:v>
                </c:pt>
                <c:pt idx="584">
                  <c:v>2.2520400583744049E-2</c:v>
                </c:pt>
                <c:pt idx="585">
                  <c:v>2.1726515144109726E-2</c:v>
                </c:pt>
                <c:pt idx="586">
                  <c:v>2.4063562974333763E-2</c:v>
                </c:pt>
                <c:pt idx="587">
                  <c:v>2.3218745365738869E-2</c:v>
                </c:pt>
                <c:pt idx="588">
                  <c:v>1.9780345261096954E-2</c:v>
                </c:pt>
                <c:pt idx="589">
                  <c:v>2.729899063706398E-2</c:v>
                </c:pt>
                <c:pt idx="590">
                  <c:v>2.2124217823147774E-2</c:v>
                </c:pt>
                <c:pt idx="591">
                  <c:v>2.3693298920989037E-2</c:v>
                </c:pt>
                <c:pt idx="592">
                  <c:v>2.3975569754838943E-2</c:v>
                </c:pt>
                <c:pt idx="593">
                  <c:v>2.3422129452228546E-2</c:v>
                </c:pt>
                <c:pt idx="594">
                  <c:v>1.9725121557712555E-2</c:v>
                </c:pt>
                <c:pt idx="595">
                  <c:v>2.2402459755539894E-2</c:v>
                </c:pt>
                <c:pt idx="596">
                  <c:v>2.1045222878456116E-2</c:v>
                </c:pt>
                <c:pt idx="597">
                  <c:v>2.3761030286550522E-2</c:v>
                </c:pt>
                <c:pt idx="598">
                  <c:v>2.3313596844673157E-2</c:v>
                </c:pt>
                <c:pt idx="599">
                  <c:v>2.1017985418438911E-2</c:v>
                </c:pt>
                <c:pt idx="600">
                  <c:v>2.263864129781723E-2</c:v>
                </c:pt>
                <c:pt idx="601">
                  <c:v>2.2217651829123497E-2</c:v>
                </c:pt>
                <c:pt idx="602">
                  <c:v>1.970670185983181E-2</c:v>
                </c:pt>
                <c:pt idx="603">
                  <c:v>2.3627270013093948E-2</c:v>
                </c:pt>
                <c:pt idx="604">
                  <c:v>3.0529551208019257E-2</c:v>
                </c:pt>
                <c:pt idx="605">
                  <c:v>2.3361125960946083E-2</c:v>
                </c:pt>
                <c:pt idx="606">
                  <c:v>2.1308403462171555E-2</c:v>
                </c:pt>
                <c:pt idx="607">
                  <c:v>2.0448664203286171E-2</c:v>
                </c:pt>
                <c:pt idx="608">
                  <c:v>2.2357543930411339E-2</c:v>
                </c:pt>
                <c:pt idx="609">
                  <c:v>2.1220482885837555E-2</c:v>
                </c:pt>
                <c:pt idx="610">
                  <c:v>1.579757034778595E-2</c:v>
                </c:pt>
                <c:pt idx="611">
                  <c:v>2.6550674811005592E-2</c:v>
                </c:pt>
                <c:pt idx="612">
                  <c:v>2.478872612118721E-2</c:v>
                </c:pt>
                <c:pt idx="613">
                  <c:v>2.6960624381899834E-2</c:v>
                </c:pt>
                <c:pt idx="614">
                  <c:v>2.4189969524741173E-2</c:v>
                </c:pt>
                <c:pt idx="615">
                  <c:v>3.0134793370962143E-2</c:v>
                </c:pt>
                <c:pt idx="616">
                  <c:v>1.9939614459872246E-2</c:v>
                </c:pt>
                <c:pt idx="617">
                  <c:v>2.2187735885381699E-2</c:v>
                </c:pt>
                <c:pt idx="618">
                  <c:v>2.4008758366107941E-2</c:v>
                </c:pt>
                <c:pt idx="619">
                  <c:v>2.4798288941383362E-2</c:v>
                </c:pt>
                <c:pt idx="620">
                  <c:v>1.9027005881071091E-2</c:v>
                </c:pt>
                <c:pt idx="621">
                  <c:v>2.3271612823009491E-2</c:v>
                </c:pt>
                <c:pt idx="622">
                  <c:v>2.2893102839589119E-2</c:v>
                </c:pt>
                <c:pt idx="623">
                  <c:v>2.1048236638307571E-2</c:v>
                </c:pt>
                <c:pt idx="624">
                  <c:v>2.0936161279678345E-2</c:v>
                </c:pt>
                <c:pt idx="625">
                  <c:v>2.3256208747625351E-2</c:v>
                </c:pt>
                <c:pt idx="626">
                  <c:v>2.1270230412483215E-2</c:v>
                </c:pt>
                <c:pt idx="627">
                  <c:v>2.9198594391345978E-2</c:v>
                </c:pt>
                <c:pt idx="628">
                  <c:v>1.5190734528005123E-2</c:v>
                </c:pt>
                <c:pt idx="629">
                  <c:v>1.879449374973774E-2</c:v>
                </c:pt>
                <c:pt idx="630">
                  <c:v>2.5088217109441757E-2</c:v>
                </c:pt>
                <c:pt idx="631">
                  <c:v>2.0911499857902527E-2</c:v>
                </c:pt>
                <c:pt idx="632">
                  <c:v>2.1220188587903976E-2</c:v>
                </c:pt>
                <c:pt idx="633">
                  <c:v>2.3924950510263443E-2</c:v>
                </c:pt>
                <c:pt idx="634">
                  <c:v>2.616339735686779E-2</c:v>
                </c:pt>
                <c:pt idx="635">
                  <c:v>2.481255866587162E-2</c:v>
                </c:pt>
                <c:pt idx="636">
                  <c:v>2.6683397591114044E-2</c:v>
                </c:pt>
                <c:pt idx="637">
                  <c:v>2.4697532877326012E-2</c:v>
                </c:pt>
                <c:pt idx="638">
                  <c:v>1.8263500183820724E-2</c:v>
                </c:pt>
                <c:pt idx="639">
                  <c:v>2.5163436308503151E-2</c:v>
                </c:pt>
                <c:pt idx="640">
                  <c:v>2.653098851442337E-2</c:v>
                </c:pt>
                <c:pt idx="641">
                  <c:v>2.1512659266591072E-2</c:v>
                </c:pt>
                <c:pt idx="642">
                  <c:v>2.6385493576526642E-2</c:v>
                </c:pt>
                <c:pt idx="643">
                  <c:v>2.2219462320208549E-2</c:v>
                </c:pt>
                <c:pt idx="644">
                  <c:v>2.46608667075634E-2</c:v>
                </c:pt>
                <c:pt idx="645">
                  <c:v>2.5361448526382446E-2</c:v>
                </c:pt>
                <c:pt idx="646">
                  <c:v>2.3136580362915993E-2</c:v>
                </c:pt>
                <c:pt idx="647">
                  <c:v>2.7851829305291176E-2</c:v>
                </c:pt>
                <c:pt idx="648">
                  <c:v>2.2186364978551865E-2</c:v>
                </c:pt>
                <c:pt idx="649">
                  <c:v>2.5676514953374863E-2</c:v>
                </c:pt>
                <c:pt idx="650">
                  <c:v>2.3435994982719421E-2</c:v>
                </c:pt>
                <c:pt idx="651">
                  <c:v>1.770717091858387E-2</c:v>
                </c:pt>
                <c:pt idx="652">
                  <c:v>2.0170554518699646E-2</c:v>
                </c:pt>
                <c:pt idx="653">
                  <c:v>2.2637689486145973E-2</c:v>
                </c:pt>
                <c:pt idx="654">
                  <c:v>2.4361306801438332E-2</c:v>
                </c:pt>
                <c:pt idx="655">
                  <c:v>2.884102426469326E-2</c:v>
                </c:pt>
                <c:pt idx="656">
                  <c:v>2.0912302657961845E-2</c:v>
                </c:pt>
                <c:pt idx="657">
                  <c:v>2.4325717240571976E-2</c:v>
                </c:pt>
                <c:pt idx="658">
                  <c:v>1.9163044169545174E-2</c:v>
                </c:pt>
                <c:pt idx="659">
                  <c:v>1.8837923184037209E-2</c:v>
                </c:pt>
                <c:pt idx="660">
                  <c:v>2.2625751793384552E-2</c:v>
                </c:pt>
                <c:pt idx="661">
                  <c:v>2.3936530575156212E-2</c:v>
                </c:pt>
                <c:pt idx="662">
                  <c:v>2.8470627963542938E-2</c:v>
                </c:pt>
                <c:pt idx="663">
                  <c:v>2.4579005315899849E-2</c:v>
                </c:pt>
                <c:pt idx="664">
                  <c:v>2.202242985367775E-2</c:v>
                </c:pt>
                <c:pt idx="665">
                  <c:v>2.5832079350948334E-2</c:v>
                </c:pt>
                <c:pt idx="666">
                  <c:v>2.2610163316130638E-2</c:v>
                </c:pt>
                <c:pt idx="667">
                  <c:v>2.1882250905036926E-2</c:v>
                </c:pt>
                <c:pt idx="668">
                  <c:v>2.555028535425663E-2</c:v>
                </c:pt>
                <c:pt idx="669">
                  <c:v>1.9794214516878128E-2</c:v>
                </c:pt>
                <c:pt idx="670">
                  <c:v>2.6197336614131927E-2</c:v>
                </c:pt>
                <c:pt idx="671">
                  <c:v>2.4142442271113396E-2</c:v>
                </c:pt>
                <c:pt idx="672">
                  <c:v>1.9485708326101303E-2</c:v>
                </c:pt>
                <c:pt idx="673">
                  <c:v>2.4147715419530869E-2</c:v>
                </c:pt>
                <c:pt idx="674">
                  <c:v>2.4343237280845642E-2</c:v>
                </c:pt>
                <c:pt idx="675">
                  <c:v>2.4319050833582878E-2</c:v>
                </c:pt>
                <c:pt idx="676">
                  <c:v>2.684376947581768E-2</c:v>
                </c:pt>
                <c:pt idx="677">
                  <c:v>2.7513936161994934E-2</c:v>
                </c:pt>
                <c:pt idx="678">
                  <c:v>2.7738140895962715E-2</c:v>
                </c:pt>
                <c:pt idx="679">
                  <c:v>2.5840772315859795E-2</c:v>
                </c:pt>
                <c:pt idx="680">
                  <c:v>2.1640392020344734E-2</c:v>
                </c:pt>
                <c:pt idx="681">
                  <c:v>2.441830188035965E-2</c:v>
                </c:pt>
                <c:pt idx="682">
                  <c:v>2.5866074487566948E-2</c:v>
                </c:pt>
                <c:pt idx="683">
                  <c:v>1.6019498929381371E-2</c:v>
                </c:pt>
                <c:pt idx="684">
                  <c:v>2.3143408820033073E-2</c:v>
                </c:pt>
                <c:pt idx="685">
                  <c:v>2.483782172203064E-2</c:v>
                </c:pt>
                <c:pt idx="686">
                  <c:v>2.5041200220584869E-2</c:v>
                </c:pt>
                <c:pt idx="687">
                  <c:v>1.4742434956133366E-2</c:v>
                </c:pt>
                <c:pt idx="688">
                  <c:v>2.7791375294327736E-2</c:v>
                </c:pt>
                <c:pt idx="689">
                  <c:v>2.6627048850059509E-2</c:v>
                </c:pt>
                <c:pt idx="690">
                  <c:v>2.4005282670259476E-2</c:v>
                </c:pt>
                <c:pt idx="691">
                  <c:v>2.723313681781292E-2</c:v>
                </c:pt>
                <c:pt idx="692">
                  <c:v>2.2225847467780113E-2</c:v>
                </c:pt>
                <c:pt idx="693">
                  <c:v>2.1079340949654579E-2</c:v>
                </c:pt>
                <c:pt idx="694">
                  <c:v>1.7958015203475952E-2</c:v>
                </c:pt>
                <c:pt idx="695">
                  <c:v>2.8286667540669441E-2</c:v>
                </c:pt>
                <c:pt idx="696">
                  <c:v>2.2806202992796898E-2</c:v>
                </c:pt>
                <c:pt idx="697">
                  <c:v>2.7052829042077065E-2</c:v>
                </c:pt>
                <c:pt idx="698">
                  <c:v>2.7105975896120071E-2</c:v>
                </c:pt>
                <c:pt idx="699">
                  <c:v>2.2611958906054497E-2</c:v>
                </c:pt>
                <c:pt idx="700">
                  <c:v>2.8345184400677681E-2</c:v>
                </c:pt>
                <c:pt idx="701">
                  <c:v>2.6275848969817162E-2</c:v>
                </c:pt>
                <c:pt idx="702">
                  <c:v>2.7080357074737549E-2</c:v>
                </c:pt>
                <c:pt idx="703">
                  <c:v>2.0132508128881454E-2</c:v>
                </c:pt>
                <c:pt idx="704">
                  <c:v>2.6716362684965134E-2</c:v>
                </c:pt>
                <c:pt idx="705">
                  <c:v>2.0786071196198463E-2</c:v>
                </c:pt>
                <c:pt idx="706">
                  <c:v>2.8390564024448395E-2</c:v>
                </c:pt>
                <c:pt idx="707">
                  <c:v>2.5431638583540916E-2</c:v>
                </c:pt>
                <c:pt idx="708">
                  <c:v>2.3987030610442162E-2</c:v>
                </c:pt>
                <c:pt idx="709">
                  <c:v>2.4894088506698608E-2</c:v>
                </c:pt>
                <c:pt idx="710">
                  <c:v>2.3491024971008301E-2</c:v>
                </c:pt>
                <c:pt idx="711">
                  <c:v>2.5164814665913582E-2</c:v>
                </c:pt>
                <c:pt idx="712">
                  <c:v>2.0062386989593506E-2</c:v>
                </c:pt>
                <c:pt idx="713">
                  <c:v>1.982603594660759E-2</c:v>
                </c:pt>
                <c:pt idx="714">
                  <c:v>2.1684519946575165E-2</c:v>
                </c:pt>
                <c:pt idx="715">
                  <c:v>2.0749172195792198E-2</c:v>
                </c:pt>
                <c:pt idx="716">
                  <c:v>2.7215246111154556E-2</c:v>
                </c:pt>
                <c:pt idx="717">
                  <c:v>2.6938145980238914E-2</c:v>
                </c:pt>
                <c:pt idx="718">
                  <c:v>2.3733507841825485E-2</c:v>
                </c:pt>
                <c:pt idx="719">
                  <c:v>2.5792190805077553E-2</c:v>
                </c:pt>
                <c:pt idx="720">
                  <c:v>2.2575536742806435E-2</c:v>
                </c:pt>
                <c:pt idx="721">
                  <c:v>1.9350612536072731E-2</c:v>
                </c:pt>
                <c:pt idx="722">
                  <c:v>2.8869843110442162E-2</c:v>
                </c:pt>
                <c:pt idx="723">
                  <c:v>2.0985724404454231E-2</c:v>
                </c:pt>
                <c:pt idx="724">
                  <c:v>2.426857128739357E-2</c:v>
                </c:pt>
                <c:pt idx="725">
                  <c:v>2.2270623594522476E-2</c:v>
                </c:pt>
                <c:pt idx="726">
                  <c:v>2.3313840851187706E-2</c:v>
                </c:pt>
                <c:pt idx="727">
                  <c:v>1.7708534374833107E-2</c:v>
                </c:pt>
                <c:pt idx="728">
                  <c:v>1.9573826342821121E-2</c:v>
                </c:pt>
                <c:pt idx="729">
                  <c:v>1.955215260386467E-2</c:v>
                </c:pt>
                <c:pt idx="730">
                  <c:v>2.6499522849917412E-2</c:v>
                </c:pt>
                <c:pt idx="731">
                  <c:v>3.0311016365885735E-2</c:v>
                </c:pt>
                <c:pt idx="732">
                  <c:v>2.1179910749197006E-2</c:v>
                </c:pt>
                <c:pt idx="733">
                  <c:v>1.9301131367683411E-2</c:v>
                </c:pt>
                <c:pt idx="734">
                  <c:v>2.6205588132143021E-2</c:v>
                </c:pt>
                <c:pt idx="735">
                  <c:v>2.4995693936944008E-2</c:v>
                </c:pt>
                <c:pt idx="736">
                  <c:v>2.4687759578227997E-2</c:v>
                </c:pt>
                <c:pt idx="737">
                  <c:v>2.5549577549099922E-2</c:v>
                </c:pt>
                <c:pt idx="738">
                  <c:v>1.5946840867400169E-2</c:v>
                </c:pt>
                <c:pt idx="739">
                  <c:v>2.017744816839695E-2</c:v>
                </c:pt>
                <c:pt idx="740">
                  <c:v>2.5202970951795578E-2</c:v>
                </c:pt>
                <c:pt idx="741">
                  <c:v>2.7509624138474464E-2</c:v>
                </c:pt>
                <c:pt idx="742">
                  <c:v>2.3483419790863991E-2</c:v>
                </c:pt>
                <c:pt idx="743">
                  <c:v>2.2293597459793091E-2</c:v>
                </c:pt>
                <c:pt idx="744">
                  <c:v>2.3928424343466759E-2</c:v>
                </c:pt>
                <c:pt idx="745">
                  <c:v>2.4189138785004616E-2</c:v>
                </c:pt>
                <c:pt idx="746">
                  <c:v>2.1793652325868607E-2</c:v>
                </c:pt>
                <c:pt idx="747">
                  <c:v>2.6382008567452431E-2</c:v>
                </c:pt>
                <c:pt idx="748">
                  <c:v>2.2363997995853424E-2</c:v>
                </c:pt>
                <c:pt idx="749">
                  <c:v>2.080228365957737E-2</c:v>
                </c:pt>
                <c:pt idx="750">
                  <c:v>2.5935756042599678E-2</c:v>
                </c:pt>
                <c:pt idx="751">
                  <c:v>2.3493265733122826E-2</c:v>
                </c:pt>
                <c:pt idx="752">
                  <c:v>2.13038120418787E-2</c:v>
                </c:pt>
                <c:pt idx="753">
                  <c:v>1.9008459523320198E-2</c:v>
                </c:pt>
                <c:pt idx="754">
                  <c:v>2.8329279273748398E-2</c:v>
                </c:pt>
                <c:pt idx="755">
                  <c:v>2.5903409346938133E-2</c:v>
                </c:pt>
                <c:pt idx="756">
                  <c:v>2.0053980872035027E-2</c:v>
                </c:pt>
                <c:pt idx="757">
                  <c:v>2.4428410455584526E-2</c:v>
                </c:pt>
                <c:pt idx="758">
                  <c:v>2.5968369096517563E-2</c:v>
                </c:pt>
                <c:pt idx="759">
                  <c:v>2.8407838195562363E-2</c:v>
                </c:pt>
                <c:pt idx="760">
                  <c:v>3.0264232307672501E-2</c:v>
                </c:pt>
                <c:pt idx="761">
                  <c:v>2.6649145409464836E-2</c:v>
                </c:pt>
                <c:pt idx="762">
                  <c:v>2.5815317407250404E-2</c:v>
                </c:pt>
                <c:pt idx="763">
                  <c:v>2.6760054752230644E-2</c:v>
                </c:pt>
                <c:pt idx="764">
                  <c:v>2.4140102788805962E-2</c:v>
                </c:pt>
                <c:pt idx="765">
                  <c:v>2.3764777928590775E-2</c:v>
                </c:pt>
                <c:pt idx="766">
                  <c:v>2.6290763169527054E-2</c:v>
                </c:pt>
                <c:pt idx="767">
                  <c:v>2.0652925595641136E-2</c:v>
                </c:pt>
                <c:pt idx="768">
                  <c:v>2.0061157643795013E-2</c:v>
                </c:pt>
                <c:pt idx="769">
                  <c:v>2.1472159773111343E-2</c:v>
                </c:pt>
                <c:pt idx="770">
                  <c:v>2.0522423088550568E-2</c:v>
                </c:pt>
                <c:pt idx="771">
                  <c:v>2.169213630259037E-2</c:v>
                </c:pt>
                <c:pt idx="772">
                  <c:v>2.5413423776626587E-2</c:v>
                </c:pt>
                <c:pt idx="773">
                  <c:v>2.897828072309494E-2</c:v>
                </c:pt>
                <c:pt idx="774">
                  <c:v>2.5897836312651634E-2</c:v>
                </c:pt>
                <c:pt idx="775">
                  <c:v>2.2734932601451874E-2</c:v>
                </c:pt>
                <c:pt idx="776">
                  <c:v>2.4338789284229279E-2</c:v>
                </c:pt>
                <c:pt idx="777">
                  <c:v>2.263278141617775E-2</c:v>
                </c:pt>
                <c:pt idx="778">
                  <c:v>2.0209256559610367E-2</c:v>
                </c:pt>
                <c:pt idx="779">
                  <c:v>2.9127772897481918E-2</c:v>
                </c:pt>
                <c:pt idx="780">
                  <c:v>2.0746722817420959E-2</c:v>
                </c:pt>
                <c:pt idx="781">
                  <c:v>2.2021697834134102E-2</c:v>
                </c:pt>
                <c:pt idx="782">
                  <c:v>2.6069015264511108E-2</c:v>
                </c:pt>
                <c:pt idx="783">
                  <c:v>1.9648224115371704E-2</c:v>
                </c:pt>
                <c:pt idx="784">
                  <c:v>1.7671220004558563E-2</c:v>
                </c:pt>
                <c:pt idx="785">
                  <c:v>2.9079115018248558E-2</c:v>
                </c:pt>
                <c:pt idx="786">
                  <c:v>2.1799780428409576E-2</c:v>
                </c:pt>
                <c:pt idx="787">
                  <c:v>3.0804423615336418E-2</c:v>
                </c:pt>
                <c:pt idx="788">
                  <c:v>2.5948299095034599E-2</c:v>
                </c:pt>
                <c:pt idx="789">
                  <c:v>2.7207402512431145E-2</c:v>
                </c:pt>
                <c:pt idx="790">
                  <c:v>2.0641239359974861E-2</c:v>
                </c:pt>
                <c:pt idx="791">
                  <c:v>2.4880990386009216E-2</c:v>
                </c:pt>
                <c:pt idx="792">
                  <c:v>2.0751046016812325E-2</c:v>
                </c:pt>
                <c:pt idx="793">
                  <c:v>2.8457393869757652E-2</c:v>
                </c:pt>
                <c:pt idx="794">
                  <c:v>2.4872703477740288E-2</c:v>
                </c:pt>
                <c:pt idx="795">
                  <c:v>1.5798352658748627E-2</c:v>
                </c:pt>
                <c:pt idx="796">
                  <c:v>2.2925635799765587E-2</c:v>
                </c:pt>
                <c:pt idx="797">
                  <c:v>2.3467248305678368E-2</c:v>
                </c:pt>
                <c:pt idx="798">
                  <c:v>2.2441959008574486E-2</c:v>
                </c:pt>
                <c:pt idx="799">
                  <c:v>2.6043979451060295E-2</c:v>
                </c:pt>
                <c:pt idx="800">
                  <c:v>2.0059598609805107E-2</c:v>
                </c:pt>
                <c:pt idx="801">
                  <c:v>2.5797668844461441E-2</c:v>
                </c:pt>
                <c:pt idx="802">
                  <c:v>1.89535953104496E-2</c:v>
                </c:pt>
                <c:pt idx="803">
                  <c:v>2.2786080837249756E-2</c:v>
                </c:pt>
                <c:pt idx="804">
                  <c:v>2.1866478025913239E-2</c:v>
                </c:pt>
                <c:pt idx="805">
                  <c:v>2.6320492848753929E-2</c:v>
                </c:pt>
                <c:pt idx="806">
                  <c:v>2.2987240925431252E-2</c:v>
                </c:pt>
                <c:pt idx="807">
                  <c:v>2.4791646748781204E-2</c:v>
                </c:pt>
                <c:pt idx="808">
                  <c:v>2.492796815931797E-2</c:v>
                </c:pt>
                <c:pt idx="809">
                  <c:v>2.5591619312763214E-2</c:v>
                </c:pt>
                <c:pt idx="810">
                  <c:v>2.3883596062660217E-2</c:v>
                </c:pt>
                <c:pt idx="811">
                  <c:v>2.1549290046095848E-2</c:v>
                </c:pt>
                <c:pt idx="812">
                  <c:v>2.3333707824349403E-2</c:v>
                </c:pt>
                <c:pt idx="813">
                  <c:v>2.3423109203577042E-2</c:v>
                </c:pt>
                <c:pt idx="814">
                  <c:v>2.5076985359191895E-2</c:v>
                </c:pt>
                <c:pt idx="815">
                  <c:v>2.2375395521521568E-2</c:v>
                </c:pt>
                <c:pt idx="816">
                  <c:v>2.5096135213971138E-2</c:v>
                </c:pt>
                <c:pt idx="817">
                  <c:v>2.8534326702356339E-2</c:v>
                </c:pt>
                <c:pt idx="818">
                  <c:v>2.0899228751659393E-2</c:v>
                </c:pt>
                <c:pt idx="819">
                  <c:v>2.6811797171831131E-2</c:v>
                </c:pt>
                <c:pt idx="820">
                  <c:v>2.6057865470647812E-2</c:v>
                </c:pt>
                <c:pt idx="821">
                  <c:v>2.4447958916425705E-2</c:v>
                </c:pt>
                <c:pt idx="822">
                  <c:v>2.628406323492527E-2</c:v>
                </c:pt>
                <c:pt idx="823">
                  <c:v>2.1169383078813553E-2</c:v>
                </c:pt>
                <c:pt idx="824">
                  <c:v>2.2452658042311668E-2</c:v>
                </c:pt>
                <c:pt idx="825">
                  <c:v>2.0710082724690437E-2</c:v>
                </c:pt>
                <c:pt idx="826">
                  <c:v>2.5299647822976112E-2</c:v>
                </c:pt>
                <c:pt idx="827">
                  <c:v>2.4620596319437027E-2</c:v>
                </c:pt>
                <c:pt idx="828">
                  <c:v>2.5726756080985069E-2</c:v>
                </c:pt>
                <c:pt idx="829">
                  <c:v>2.6446102187037468E-2</c:v>
                </c:pt>
                <c:pt idx="830">
                  <c:v>2.4387044832110405E-2</c:v>
                </c:pt>
                <c:pt idx="831">
                  <c:v>1.775074191391468E-2</c:v>
                </c:pt>
                <c:pt idx="832">
                  <c:v>2.6481499895453453E-2</c:v>
                </c:pt>
                <c:pt idx="833">
                  <c:v>2.3196600377559662E-2</c:v>
                </c:pt>
                <c:pt idx="834">
                  <c:v>2.821400947868824E-2</c:v>
                </c:pt>
                <c:pt idx="835">
                  <c:v>2.2372081875801086E-2</c:v>
                </c:pt>
                <c:pt idx="836">
                  <c:v>2.4810843169689178E-2</c:v>
                </c:pt>
                <c:pt idx="837">
                  <c:v>2.2833399474620819E-2</c:v>
                </c:pt>
                <c:pt idx="838">
                  <c:v>2.7496689930558205E-2</c:v>
                </c:pt>
                <c:pt idx="839">
                  <c:v>2.3273896425962448E-2</c:v>
                </c:pt>
                <c:pt idx="840">
                  <c:v>2.6651827618479729E-2</c:v>
                </c:pt>
                <c:pt idx="841">
                  <c:v>2.2679772228002548E-2</c:v>
                </c:pt>
                <c:pt idx="842">
                  <c:v>1.8187103793025017E-2</c:v>
                </c:pt>
                <c:pt idx="843">
                  <c:v>2.298746258020401E-2</c:v>
                </c:pt>
                <c:pt idx="844">
                  <c:v>2.3976655676960945E-2</c:v>
                </c:pt>
                <c:pt idx="845">
                  <c:v>2.2330379113554955E-2</c:v>
                </c:pt>
                <c:pt idx="846">
                  <c:v>2.424691803753376E-2</c:v>
                </c:pt>
                <c:pt idx="847">
                  <c:v>3.0040841549634933E-2</c:v>
                </c:pt>
                <c:pt idx="848">
                  <c:v>2.7068110182881355E-2</c:v>
                </c:pt>
                <c:pt idx="849">
                  <c:v>2.6817308738827705E-2</c:v>
                </c:pt>
                <c:pt idx="850">
                  <c:v>2.9296852648258209E-2</c:v>
                </c:pt>
                <c:pt idx="851">
                  <c:v>2.7882959693670273E-2</c:v>
                </c:pt>
                <c:pt idx="852">
                  <c:v>2.7013834565877914E-2</c:v>
                </c:pt>
                <c:pt idx="853">
                  <c:v>1.5505258925259113E-2</c:v>
                </c:pt>
                <c:pt idx="854">
                  <c:v>2.2972565144300461E-2</c:v>
                </c:pt>
                <c:pt idx="855">
                  <c:v>2.5043953210115433E-2</c:v>
                </c:pt>
                <c:pt idx="856">
                  <c:v>2.1654736250638962E-2</c:v>
                </c:pt>
                <c:pt idx="857">
                  <c:v>2.3517334833741188E-2</c:v>
                </c:pt>
                <c:pt idx="858">
                  <c:v>1.7066787928342819E-2</c:v>
                </c:pt>
                <c:pt idx="859">
                  <c:v>1.8343161791563034E-2</c:v>
                </c:pt>
                <c:pt idx="860">
                  <c:v>2.4841511622071266E-2</c:v>
                </c:pt>
                <c:pt idx="861">
                  <c:v>2.4751808494329453E-2</c:v>
                </c:pt>
                <c:pt idx="862">
                  <c:v>2.4232195690274239E-2</c:v>
                </c:pt>
                <c:pt idx="863">
                  <c:v>2.6175392791628838E-2</c:v>
                </c:pt>
                <c:pt idx="864">
                  <c:v>3.0818074941635132E-2</c:v>
                </c:pt>
                <c:pt idx="865">
                  <c:v>2.21590306609869E-2</c:v>
                </c:pt>
                <c:pt idx="866">
                  <c:v>2.2296000272035599E-2</c:v>
                </c:pt>
                <c:pt idx="867">
                  <c:v>2.0922388881444931E-2</c:v>
                </c:pt>
                <c:pt idx="868">
                  <c:v>2.3895982652902603E-2</c:v>
                </c:pt>
                <c:pt idx="869">
                  <c:v>1.631508581340313E-2</c:v>
                </c:pt>
                <c:pt idx="870">
                  <c:v>2.4388635531067848E-2</c:v>
                </c:pt>
                <c:pt idx="871">
                  <c:v>1.9367091357707977E-2</c:v>
                </c:pt>
                <c:pt idx="872">
                  <c:v>2.6612132787704468E-2</c:v>
                </c:pt>
                <c:pt idx="873">
                  <c:v>1.8799914047122002E-2</c:v>
                </c:pt>
                <c:pt idx="874">
                  <c:v>1.8223397433757782E-2</c:v>
                </c:pt>
                <c:pt idx="875">
                  <c:v>2.0349215716123581E-2</c:v>
                </c:pt>
                <c:pt idx="876">
                  <c:v>2.2035872563719749E-2</c:v>
                </c:pt>
                <c:pt idx="877">
                  <c:v>1.7211567610502243E-2</c:v>
                </c:pt>
                <c:pt idx="878">
                  <c:v>2.4801159277558327E-2</c:v>
                </c:pt>
                <c:pt idx="879">
                  <c:v>2.6182984933257103E-2</c:v>
                </c:pt>
                <c:pt idx="880">
                  <c:v>2.298225462436676E-2</c:v>
                </c:pt>
                <c:pt idx="881">
                  <c:v>2.2492391988635063E-2</c:v>
                </c:pt>
                <c:pt idx="882">
                  <c:v>2.2055948153138161E-2</c:v>
                </c:pt>
                <c:pt idx="883">
                  <c:v>2.1280378103256226E-2</c:v>
                </c:pt>
                <c:pt idx="884">
                  <c:v>2.9905781149864197E-2</c:v>
                </c:pt>
                <c:pt idx="885">
                  <c:v>1.8211901187896729E-2</c:v>
                </c:pt>
                <c:pt idx="886">
                  <c:v>2.4342406541109085E-2</c:v>
                </c:pt>
                <c:pt idx="887">
                  <c:v>1.7331166192889214E-2</c:v>
                </c:pt>
                <c:pt idx="888">
                  <c:v>2.4136140942573547E-2</c:v>
                </c:pt>
                <c:pt idx="889">
                  <c:v>2.2491326555609703E-2</c:v>
                </c:pt>
                <c:pt idx="890">
                  <c:v>2.5469884276390076E-2</c:v>
                </c:pt>
                <c:pt idx="891">
                  <c:v>2.250012569129467E-2</c:v>
                </c:pt>
                <c:pt idx="892">
                  <c:v>2.7730297297239304E-2</c:v>
                </c:pt>
                <c:pt idx="893">
                  <c:v>2.5481836870312691E-2</c:v>
                </c:pt>
                <c:pt idx="894">
                  <c:v>2.9021900147199631E-2</c:v>
                </c:pt>
                <c:pt idx="895">
                  <c:v>2.2560255602002144E-2</c:v>
                </c:pt>
                <c:pt idx="896">
                  <c:v>2.6126515120267868E-2</c:v>
                </c:pt>
                <c:pt idx="897">
                  <c:v>2.5079825893044472E-2</c:v>
                </c:pt>
                <c:pt idx="898">
                  <c:v>2.33868807554245E-2</c:v>
                </c:pt>
                <c:pt idx="899">
                  <c:v>2.525879442691803E-2</c:v>
                </c:pt>
                <c:pt idx="900">
                  <c:v>2.3072397336363792E-2</c:v>
                </c:pt>
                <c:pt idx="901">
                  <c:v>1.9933024421334267E-2</c:v>
                </c:pt>
                <c:pt idx="902">
                  <c:v>2.7827298268675804E-2</c:v>
                </c:pt>
                <c:pt idx="903">
                  <c:v>2.5782579556107521E-2</c:v>
                </c:pt>
                <c:pt idx="904">
                  <c:v>2.4645181372761726E-2</c:v>
                </c:pt>
                <c:pt idx="905">
                  <c:v>2.2355940192937851E-2</c:v>
                </c:pt>
                <c:pt idx="906">
                  <c:v>2.1795798093080521E-2</c:v>
                </c:pt>
                <c:pt idx="907">
                  <c:v>2.2132230922579765E-2</c:v>
                </c:pt>
                <c:pt idx="908">
                  <c:v>2.0479774102568626E-2</c:v>
                </c:pt>
                <c:pt idx="909">
                  <c:v>2.5342833250761032E-2</c:v>
                </c:pt>
                <c:pt idx="910">
                  <c:v>2.6057476177811623E-2</c:v>
                </c:pt>
                <c:pt idx="911">
                  <c:v>2.5216888636350632E-2</c:v>
                </c:pt>
                <c:pt idx="912">
                  <c:v>2.6091858744621277E-2</c:v>
                </c:pt>
                <c:pt idx="913">
                  <c:v>2.7528077363967896E-2</c:v>
                </c:pt>
                <c:pt idx="914">
                  <c:v>2.7249513193964958E-2</c:v>
                </c:pt>
                <c:pt idx="915">
                  <c:v>2.3397326469421387E-2</c:v>
                </c:pt>
                <c:pt idx="916">
                  <c:v>2.5777392089366913E-2</c:v>
                </c:pt>
                <c:pt idx="917">
                  <c:v>2.6728434488177299E-2</c:v>
                </c:pt>
                <c:pt idx="918">
                  <c:v>2.5777487084269524E-2</c:v>
                </c:pt>
                <c:pt idx="919">
                  <c:v>2.2935552522540092E-2</c:v>
                </c:pt>
                <c:pt idx="920">
                  <c:v>2.5308582931756973E-2</c:v>
                </c:pt>
                <c:pt idx="921">
                  <c:v>2.2504933178424835E-2</c:v>
                </c:pt>
                <c:pt idx="922">
                  <c:v>2.4929365143179893E-2</c:v>
                </c:pt>
                <c:pt idx="923">
                  <c:v>2.4432925507426262E-2</c:v>
                </c:pt>
                <c:pt idx="924">
                  <c:v>2.7976891025900841E-2</c:v>
                </c:pt>
                <c:pt idx="925">
                  <c:v>2.7037261053919792E-2</c:v>
                </c:pt>
                <c:pt idx="926">
                  <c:v>2.530062198638916E-2</c:v>
                </c:pt>
                <c:pt idx="927">
                  <c:v>1.8404684960842133E-2</c:v>
                </c:pt>
                <c:pt idx="928">
                  <c:v>2.8215916827321053E-2</c:v>
                </c:pt>
                <c:pt idx="929">
                  <c:v>2.8509790077805519E-2</c:v>
                </c:pt>
                <c:pt idx="930">
                  <c:v>2.2772578522562981E-2</c:v>
                </c:pt>
                <c:pt idx="931">
                  <c:v>2.7331480756402016E-2</c:v>
                </c:pt>
                <c:pt idx="932">
                  <c:v>2.5053622201085091E-2</c:v>
                </c:pt>
                <c:pt idx="933">
                  <c:v>2.2546540945768356E-2</c:v>
                </c:pt>
                <c:pt idx="934">
                  <c:v>2.6735523715615273E-2</c:v>
                </c:pt>
                <c:pt idx="935">
                  <c:v>2.67685167491436E-2</c:v>
                </c:pt>
                <c:pt idx="936">
                  <c:v>2.5715446099638939E-2</c:v>
                </c:pt>
                <c:pt idx="937">
                  <c:v>2.7526935562491417E-2</c:v>
                </c:pt>
                <c:pt idx="938">
                  <c:v>2.4775462225079536E-2</c:v>
                </c:pt>
                <c:pt idx="939">
                  <c:v>2.1045900881290436E-2</c:v>
                </c:pt>
                <c:pt idx="940">
                  <c:v>2.6197813451290131E-2</c:v>
                </c:pt>
                <c:pt idx="941">
                  <c:v>2.4421852082014084E-2</c:v>
                </c:pt>
                <c:pt idx="942">
                  <c:v>2.8804697096347809E-2</c:v>
                </c:pt>
                <c:pt idx="943">
                  <c:v>2.7096180245280266E-2</c:v>
                </c:pt>
                <c:pt idx="944">
                  <c:v>2.6221107691526413E-2</c:v>
                </c:pt>
                <c:pt idx="945">
                  <c:v>2.3019004613161087E-2</c:v>
                </c:pt>
                <c:pt idx="946">
                  <c:v>1.8323330208659172E-2</c:v>
                </c:pt>
                <c:pt idx="947">
                  <c:v>2.0807625725865364E-2</c:v>
                </c:pt>
                <c:pt idx="948">
                  <c:v>2.5778898969292641E-2</c:v>
                </c:pt>
                <c:pt idx="949">
                  <c:v>2.0852237939834595E-2</c:v>
                </c:pt>
                <c:pt idx="950">
                  <c:v>2.342541329562664E-2</c:v>
                </c:pt>
                <c:pt idx="951">
                  <c:v>2.3471154272556305E-2</c:v>
                </c:pt>
                <c:pt idx="952">
                  <c:v>2.6923429220914841E-2</c:v>
                </c:pt>
                <c:pt idx="953">
                  <c:v>2.2769201546907425E-2</c:v>
                </c:pt>
                <c:pt idx="954">
                  <c:v>2.49343141913414E-2</c:v>
                </c:pt>
                <c:pt idx="955">
                  <c:v>2.3944806307554245E-2</c:v>
                </c:pt>
                <c:pt idx="956">
                  <c:v>2.5997234508395195E-2</c:v>
                </c:pt>
                <c:pt idx="957">
                  <c:v>2.0405307412147522E-2</c:v>
                </c:pt>
                <c:pt idx="958">
                  <c:v>2.2174596786499023E-2</c:v>
                </c:pt>
                <c:pt idx="959">
                  <c:v>2.3625794798135757E-2</c:v>
                </c:pt>
                <c:pt idx="960">
                  <c:v>2.564624696969986E-2</c:v>
                </c:pt>
                <c:pt idx="961">
                  <c:v>2.2697661072015762E-2</c:v>
                </c:pt>
                <c:pt idx="962">
                  <c:v>2.4552902206778526E-2</c:v>
                </c:pt>
                <c:pt idx="963">
                  <c:v>2.1038670092821121E-2</c:v>
                </c:pt>
                <c:pt idx="964">
                  <c:v>2.7866052463650703E-2</c:v>
                </c:pt>
                <c:pt idx="965">
                  <c:v>1.6005104407668114E-2</c:v>
                </c:pt>
                <c:pt idx="966">
                  <c:v>2.5114450603723526E-2</c:v>
                </c:pt>
                <c:pt idx="967">
                  <c:v>2.8130821883678436E-2</c:v>
                </c:pt>
                <c:pt idx="968">
                  <c:v>2.7997434139251709E-2</c:v>
                </c:pt>
                <c:pt idx="969">
                  <c:v>2.4675300344824791E-2</c:v>
                </c:pt>
                <c:pt idx="970">
                  <c:v>2.6758331805467606E-2</c:v>
                </c:pt>
                <c:pt idx="971">
                  <c:v>2.3142680525779724E-2</c:v>
                </c:pt>
                <c:pt idx="972">
                  <c:v>2.9681259766221046E-2</c:v>
                </c:pt>
                <c:pt idx="973">
                  <c:v>2.518361434340477E-2</c:v>
                </c:pt>
                <c:pt idx="974">
                  <c:v>2.2764343768358231E-2</c:v>
                </c:pt>
                <c:pt idx="975">
                  <c:v>2.2903371602296829E-2</c:v>
                </c:pt>
                <c:pt idx="976">
                  <c:v>2.1713148802518845E-2</c:v>
                </c:pt>
                <c:pt idx="977">
                  <c:v>2.2355969995260239E-2</c:v>
                </c:pt>
                <c:pt idx="978">
                  <c:v>2.1665094420313835E-2</c:v>
                </c:pt>
                <c:pt idx="979">
                  <c:v>2.3954236879944801E-2</c:v>
                </c:pt>
                <c:pt idx="980">
                  <c:v>2.7938805520534515E-2</c:v>
                </c:pt>
                <c:pt idx="981">
                  <c:v>2.1534642204642296E-2</c:v>
                </c:pt>
                <c:pt idx="982">
                  <c:v>2.6441456750035286E-2</c:v>
                </c:pt>
                <c:pt idx="983">
                  <c:v>2.5898920372128487E-2</c:v>
                </c:pt>
                <c:pt idx="984">
                  <c:v>2.451493963599205E-2</c:v>
                </c:pt>
                <c:pt idx="985">
                  <c:v>2.195325680077076E-2</c:v>
                </c:pt>
                <c:pt idx="986">
                  <c:v>2.0147873088717461E-2</c:v>
                </c:pt>
                <c:pt idx="987">
                  <c:v>2.1468181163072586E-2</c:v>
                </c:pt>
                <c:pt idx="988">
                  <c:v>2.1109422668814659E-2</c:v>
                </c:pt>
                <c:pt idx="989">
                  <c:v>2.1539922803640366E-2</c:v>
                </c:pt>
                <c:pt idx="990">
                  <c:v>2.5675386190414429E-2</c:v>
                </c:pt>
                <c:pt idx="991">
                  <c:v>2.8030399233102798E-2</c:v>
                </c:pt>
                <c:pt idx="992">
                  <c:v>2.0325381308794022E-2</c:v>
                </c:pt>
                <c:pt idx="993">
                  <c:v>2.2396283224225044E-2</c:v>
                </c:pt>
                <c:pt idx="994">
                  <c:v>2.666652575135231E-2</c:v>
                </c:pt>
                <c:pt idx="995">
                  <c:v>2.2521359845995903E-2</c:v>
                </c:pt>
                <c:pt idx="996">
                  <c:v>1.7606353387236595E-2</c:v>
                </c:pt>
                <c:pt idx="997">
                  <c:v>1.8758218735456467E-2</c:v>
                </c:pt>
                <c:pt idx="998">
                  <c:v>2.4092424660921097E-2</c:v>
                </c:pt>
                <c:pt idx="999">
                  <c:v>2.1052766591310501E-2</c:v>
                </c:pt>
                <c:pt idx="1000">
                  <c:v>2.5714641436934471E-2</c:v>
                </c:pt>
                <c:pt idx="1001">
                  <c:v>1.7942957580089569E-2</c:v>
                </c:pt>
                <c:pt idx="1002">
                  <c:v>2.6151189580559731E-2</c:v>
                </c:pt>
                <c:pt idx="1003">
                  <c:v>1.9537320360541344E-2</c:v>
                </c:pt>
                <c:pt idx="1004">
                  <c:v>2.5613568723201752E-2</c:v>
                </c:pt>
                <c:pt idx="1005">
                  <c:v>2.9027577489614487E-2</c:v>
                </c:pt>
                <c:pt idx="1006">
                  <c:v>2.3886814713478088E-2</c:v>
                </c:pt>
                <c:pt idx="1007">
                  <c:v>2.3931952193379402E-2</c:v>
                </c:pt>
                <c:pt idx="1008">
                  <c:v>2.3013604804873466E-2</c:v>
                </c:pt>
                <c:pt idx="1009">
                  <c:v>3.0225509777665138E-2</c:v>
                </c:pt>
                <c:pt idx="1010">
                  <c:v>2.8295770287513733E-2</c:v>
                </c:pt>
                <c:pt idx="1011">
                  <c:v>2.6035711169242859E-2</c:v>
                </c:pt>
                <c:pt idx="1012">
                  <c:v>2.3182636126875877E-2</c:v>
                </c:pt>
                <c:pt idx="1013">
                  <c:v>2.5530518963932991E-2</c:v>
                </c:pt>
                <c:pt idx="1014">
                  <c:v>2.1793080493807793E-2</c:v>
                </c:pt>
                <c:pt idx="1015">
                  <c:v>1.8981309607625008E-2</c:v>
                </c:pt>
                <c:pt idx="1016">
                  <c:v>2.0563259720802307E-2</c:v>
                </c:pt>
                <c:pt idx="1017">
                  <c:v>2.3562757298350334E-2</c:v>
                </c:pt>
                <c:pt idx="1018">
                  <c:v>2.2885199636220932E-2</c:v>
                </c:pt>
                <c:pt idx="1019">
                  <c:v>2.2405514493584633E-2</c:v>
                </c:pt>
                <c:pt idx="1020">
                  <c:v>2.4495953693985939E-2</c:v>
                </c:pt>
                <c:pt idx="1021">
                  <c:v>2.9931956902146339E-2</c:v>
                </c:pt>
                <c:pt idx="1022">
                  <c:v>2.5224559009075165E-2</c:v>
                </c:pt>
                <c:pt idx="1023">
                  <c:v>2.1165246143937111E-2</c:v>
                </c:pt>
                <c:pt idx="1024">
                  <c:v>2.3950029164552689E-2</c:v>
                </c:pt>
                <c:pt idx="1025">
                  <c:v>1.7229167744517326E-2</c:v>
                </c:pt>
                <c:pt idx="1026">
                  <c:v>2.967681922018528E-2</c:v>
                </c:pt>
                <c:pt idx="1027">
                  <c:v>2.601790614426136E-2</c:v>
                </c:pt>
                <c:pt idx="1028">
                  <c:v>1.80805753916502E-2</c:v>
                </c:pt>
                <c:pt idx="1029">
                  <c:v>2.2431211546063423E-2</c:v>
                </c:pt>
                <c:pt idx="1030">
                  <c:v>2.7367632836103439E-2</c:v>
                </c:pt>
                <c:pt idx="1031">
                  <c:v>2.0621635019779205E-2</c:v>
                </c:pt>
                <c:pt idx="1032">
                  <c:v>2.4000000208616257E-2</c:v>
                </c:pt>
                <c:pt idx="1033">
                  <c:v>2.3144954815506935E-2</c:v>
                </c:pt>
                <c:pt idx="1034">
                  <c:v>2.5375250726938248E-2</c:v>
                </c:pt>
                <c:pt idx="1035">
                  <c:v>1.7717458307743073E-2</c:v>
                </c:pt>
                <c:pt idx="1036">
                  <c:v>2.6204347610473633E-2</c:v>
                </c:pt>
                <c:pt idx="1037">
                  <c:v>2.5260668247938156E-2</c:v>
                </c:pt>
                <c:pt idx="1038">
                  <c:v>2.023271843791008E-2</c:v>
                </c:pt>
                <c:pt idx="1039">
                  <c:v>2.4319568648934364E-2</c:v>
                </c:pt>
                <c:pt idx="1040">
                  <c:v>2.1859453991055489E-2</c:v>
                </c:pt>
                <c:pt idx="1041">
                  <c:v>2.2950666025280952E-2</c:v>
                </c:pt>
                <c:pt idx="1042">
                  <c:v>2.3093584924936295E-2</c:v>
                </c:pt>
                <c:pt idx="1043">
                  <c:v>2.7393370866775513E-2</c:v>
                </c:pt>
                <c:pt idx="1044">
                  <c:v>2.2033365443348885E-2</c:v>
                </c:pt>
                <c:pt idx="1045">
                  <c:v>2.8215579688549042E-2</c:v>
                </c:pt>
                <c:pt idx="1046">
                  <c:v>2.1673262119293213E-2</c:v>
                </c:pt>
                <c:pt idx="1047">
                  <c:v>2.4863220751285553E-2</c:v>
                </c:pt>
                <c:pt idx="1048">
                  <c:v>2.0695747807621956E-2</c:v>
                </c:pt>
                <c:pt idx="1049">
                  <c:v>2.2394370287656784E-2</c:v>
                </c:pt>
                <c:pt idx="1050">
                  <c:v>2.7652736753225327E-2</c:v>
                </c:pt>
                <c:pt idx="1051">
                  <c:v>2.4254795163869858E-2</c:v>
                </c:pt>
                <c:pt idx="1052">
                  <c:v>2.2172717377543449E-2</c:v>
                </c:pt>
                <c:pt idx="1053">
                  <c:v>2.6104986667633057E-2</c:v>
                </c:pt>
                <c:pt idx="1054">
                  <c:v>2.5862684473395348E-2</c:v>
                </c:pt>
                <c:pt idx="1055">
                  <c:v>1.7847519367933273E-2</c:v>
                </c:pt>
                <c:pt idx="1056">
                  <c:v>2.0427700132131577E-2</c:v>
                </c:pt>
                <c:pt idx="1057">
                  <c:v>2.7166185900568962E-2</c:v>
                </c:pt>
                <c:pt idx="1058">
                  <c:v>2.2359337657690048E-2</c:v>
                </c:pt>
                <c:pt idx="1059">
                  <c:v>2.3792276158928871E-2</c:v>
                </c:pt>
                <c:pt idx="1060">
                  <c:v>2.6543859392404556E-2</c:v>
                </c:pt>
                <c:pt idx="1061">
                  <c:v>2.3731322959065437E-2</c:v>
                </c:pt>
                <c:pt idx="1062">
                  <c:v>2.4275664240121841E-2</c:v>
                </c:pt>
                <c:pt idx="1063">
                  <c:v>2.2729797288775444E-2</c:v>
                </c:pt>
                <c:pt idx="1064">
                  <c:v>2.5447549298405647E-2</c:v>
                </c:pt>
                <c:pt idx="1065">
                  <c:v>2.6161922141909599E-2</c:v>
                </c:pt>
                <c:pt idx="1066">
                  <c:v>1.7473051324486732E-2</c:v>
                </c:pt>
                <c:pt idx="1067">
                  <c:v>1.9774941727519035E-2</c:v>
                </c:pt>
                <c:pt idx="1068">
                  <c:v>2.1786969155073166E-2</c:v>
                </c:pt>
                <c:pt idx="1069">
                  <c:v>2.1245324984192848E-2</c:v>
                </c:pt>
                <c:pt idx="1070">
                  <c:v>2.3293295875191689E-2</c:v>
                </c:pt>
                <c:pt idx="1071">
                  <c:v>2.0871808752417564E-2</c:v>
                </c:pt>
                <c:pt idx="1072">
                  <c:v>2.129257470369339E-2</c:v>
                </c:pt>
                <c:pt idx="1073">
                  <c:v>2.184617891907692E-2</c:v>
                </c:pt>
                <c:pt idx="1074">
                  <c:v>2.5527643039822578E-2</c:v>
                </c:pt>
                <c:pt idx="1075">
                  <c:v>2.4563463404774666E-2</c:v>
                </c:pt>
                <c:pt idx="1076">
                  <c:v>2.0509503781795502E-2</c:v>
                </c:pt>
                <c:pt idx="1077">
                  <c:v>2.1710481494665146E-2</c:v>
                </c:pt>
                <c:pt idx="1078">
                  <c:v>2.1123692393302917E-2</c:v>
                </c:pt>
                <c:pt idx="1079">
                  <c:v>2.4472381919622421E-2</c:v>
                </c:pt>
                <c:pt idx="1080">
                  <c:v>2.1365700289607048E-2</c:v>
                </c:pt>
                <c:pt idx="1081">
                  <c:v>2.8603868559002876E-2</c:v>
                </c:pt>
                <c:pt idx="1082">
                  <c:v>3.1219057738780975E-2</c:v>
                </c:pt>
                <c:pt idx="1083">
                  <c:v>2.4451110512018204E-2</c:v>
                </c:pt>
                <c:pt idx="1084">
                  <c:v>2.9670819640159607E-2</c:v>
                </c:pt>
                <c:pt idx="1085">
                  <c:v>2.2344542667269707E-2</c:v>
                </c:pt>
                <c:pt idx="1086">
                  <c:v>2.9727770015597343E-2</c:v>
                </c:pt>
                <c:pt idx="1087">
                  <c:v>1.8298391252756119E-2</c:v>
                </c:pt>
                <c:pt idx="1088">
                  <c:v>2.0216779783368111E-2</c:v>
                </c:pt>
                <c:pt idx="1089">
                  <c:v>2.2893454879522324E-2</c:v>
                </c:pt>
                <c:pt idx="1090">
                  <c:v>2.6041150093078613E-2</c:v>
                </c:pt>
                <c:pt idx="1091">
                  <c:v>2.2957358509302139E-2</c:v>
                </c:pt>
                <c:pt idx="1092">
                  <c:v>2.4229839444160461E-2</c:v>
                </c:pt>
                <c:pt idx="1093">
                  <c:v>1.6273126006126404E-2</c:v>
                </c:pt>
                <c:pt idx="1094">
                  <c:v>2.0848020911216736E-2</c:v>
                </c:pt>
                <c:pt idx="1095">
                  <c:v>2.0802756771445274E-2</c:v>
                </c:pt>
                <c:pt idx="1096">
                  <c:v>1.7281604930758476E-2</c:v>
                </c:pt>
                <c:pt idx="1097">
                  <c:v>2.7629850432276726E-2</c:v>
                </c:pt>
                <c:pt idx="1098">
                  <c:v>1.8323119729757309E-2</c:v>
                </c:pt>
                <c:pt idx="1099">
                  <c:v>2.8863454237580299E-2</c:v>
                </c:pt>
                <c:pt idx="1100">
                  <c:v>2.4791263043880463E-2</c:v>
                </c:pt>
                <c:pt idx="1101">
                  <c:v>2.0868808031082153E-2</c:v>
                </c:pt>
                <c:pt idx="1102">
                  <c:v>2.1487709134817123E-2</c:v>
                </c:pt>
                <c:pt idx="1103">
                  <c:v>1.8290314823389053E-2</c:v>
                </c:pt>
                <c:pt idx="1104">
                  <c:v>2.1248955279588699E-2</c:v>
                </c:pt>
                <c:pt idx="1105">
                  <c:v>2.2042324766516685E-2</c:v>
                </c:pt>
                <c:pt idx="1106">
                  <c:v>1.5241969376802444E-2</c:v>
                </c:pt>
                <c:pt idx="1107">
                  <c:v>2.3777535185217857E-2</c:v>
                </c:pt>
                <c:pt idx="1108">
                  <c:v>2.5036145001649857E-2</c:v>
                </c:pt>
                <c:pt idx="1109">
                  <c:v>2.3390123620629311E-2</c:v>
                </c:pt>
                <c:pt idx="1110">
                  <c:v>2.3027712479233742E-2</c:v>
                </c:pt>
                <c:pt idx="1111">
                  <c:v>2.1179720759391785E-2</c:v>
                </c:pt>
                <c:pt idx="1112">
                  <c:v>2.3426827043294907E-2</c:v>
                </c:pt>
                <c:pt idx="1113">
                  <c:v>2.1367255598306656E-2</c:v>
                </c:pt>
                <c:pt idx="1114">
                  <c:v>2.2758292034268379E-2</c:v>
                </c:pt>
                <c:pt idx="1115">
                  <c:v>1.9271422177553177E-2</c:v>
                </c:pt>
                <c:pt idx="1116">
                  <c:v>2.9288908466696739E-2</c:v>
                </c:pt>
                <c:pt idx="1117">
                  <c:v>2.1861007437109947E-2</c:v>
                </c:pt>
                <c:pt idx="1118">
                  <c:v>2.7538379654288292E-2</c:v>
                </c:pt>
                <c:pt idx="1119">
                  <c:v>2.6070045307278633E-2</c:v>
                </c:pt>
                <c:pt idx="1120">
                  <c:v>2.4320503696799278E-2</c:v>
                </c:pt>
                <c:pt idx="1121">
                  <c:v>2.7181817218661308E-2</c:v>
                </c:pt>
                <c:pt idx="1122">
                  <c:v>2.231706865131855E-2</c:v>
                </c:pt>
                <c:pt idx="1123">
                  <c:v>2.499174140393734E-2</c:v>
                </c:pt>
                <c:pt idx="1124">
                  <c:v>2.3108335211873055E-2</c:v>
                </c:pt>
                <c:pt idx="1125">
                  <c:v>2.0415160804986954E-2</c:v>
                </c:pt>
                <c:pt idx="1126">
                  <c:v>2.4673126637935638E-2</c:v>
                </c:pt>
                <c:pt idx="1127">
                  <c:v>2.3900480940937996E-2</c:v>
                </c:pt>
                <c:pt idx="1128">
                  <c:v>2.8362462297081947E-2</c:v>
                </c:pt>
                <c:pt idx="1129">
                  <c:v>2.6108941063284874E-2</c:v>
                </c:pt>
                <c:pt idx="1130">
                  <c:v>2.6392525061964989E-2</c:v>
                </c:pt>
                <c:pt idx="1131">
                  <c:v>2.4345481768250465E-2</c:v>
                </c:pt>
                <c:pt idx="1132">
                  <c:v>2.2553781047463417E-2</c:v>
                </c:pt>
                <c:pt idx="1133">
                  <c:v>2.5750039145350456E-2</c:v>
                </c:pt>
                <c:pt idx="1134">
                  <c:v>2.9724875465035439E-2</c:v>
                </c:pt>
                <c:pt idx="1135">
                  <c:v>3.002459742128849E-2</c:v>
                </c:pt>
                <c:pt idx="1136">
                  <c:v>2.476019598543644E-2</c:v>
                </c:pt>
                <c:pt idx="1137">
                  <c:v>2.7064688503742218E-2</c:v>
                </c:pt>
                <c:pt idx="1138">
                  <c:v>1.9922660663723946E-2</c:v>
                </c:pt>
                <c:pt idx="1139">
                  <c:v>1.9581545144319534E-2</c:v>
                </c:pt>
                <c:pt idx="1140">
                  <c:v>2.1981896832585335E-2</c:v>
                </c:pt>
                <c:pt idx="1141">
                  <c:v>2.4613624438643456E-2</c:v>
                </c:pt>
                <c:pt idx="1142">
                  <c:v>2.567317895591259E-2</c:v>
                </c:pt>
                <c:pt idx="1143">
                  <c:v>2.0183548331260681E-2</c:v>
                </c:pt>
                <c:pt idx="1144">
                  <c:v>2.8028737753629684E-2</c:v>
                </c:pt>
                <c:pt idx="1145">
                  <c:v>2.6676557958126068E-2</c:v>
                </c:pt>
                <c:pt idx="1146">
                  <c:v>2.6892393827438354E-2</c:v>
                </c:pt>
                <c:pt idx="1147">
                  <c:v>2.5113167241215706E-2</c:v>
                </c:pt>
                <c:pt idx="1148">
                  <c:v>2.3067498579621315E-2</c:v>
                </c:pt>
                <c:pt idx="1149">
                  <c:v>2.0920943468809128E-2</c:v>
                </c:pt>
                <c:pt idx="1150">
                  <c:v>2.4124013260006905E-2</c:v>
                </c:pt>
                <c:pt idx="1151">
                  <c:v>2.4945437908172607E-2</c:v>
                </c:pt>
                <c:pt idx="1152">
                  <c:v>2.6659006252884865E-2</c:v>
                </c:pt>
                <c:pt idx="1153">
                  <c:v>2.2537698969244957E-2</c:v>
                </c:pt>
                <c:pt idx="1154">
                  <c:v>1.8204454332590103E-2</c:v>
                </c:pt>
                <c:pt idx="1155">
                  <c:v>2.3286879062652588E-2</c:v>
                </c:pt>
                <c:pt idx="1156">
                  <c:v>2.2125802934169769E-2</c:v>
                </c:pt>
                <c:pt idx="1157">
                  <c:v>2.2580843418836594E-2</c:v>
                </c:pt>
                <c:pt idx="1158">
                  <c:v>2.6870220899581909E-2</c:v>
                </c:pt>
                <c:pt idx="1159">
                  <c:v>2.2260649129748344E-2</c:v>
                </c:pt>
                <c:pt idx="1160">
                  <c:v>2.6473423466086388E-2</c:v>
                </c:pt>
                <c:pt idx="1161">
                  <c:v>2.7232106775045395E-2</c:v>
                </c:pt>
                <c:pt idx="1162">
                  <c:v>2.1281324326992035E-2</c:v>
                </c:pt>
                <c:pt idx="1163">
                  <c:v>2.0082725211977959E-2</c:v>
                </c:pt>
                <c:pt idx="1164">
                  <c:v>2.2382000461220741E-2</c:v>
                </c:pt>
                <c:pt idx="1165">
                  <c:v>2.5207472965121269E-2</c:v>
                </c:pt>
                <c:pt idx="1166">
                  <c:v>2.3742547258734703E-2</c:v>
                </c:pt>
                <c:pt idx="1167">
                  <c:v>2.0651550963521004E-2</c:v>
                </c:pt>
                <c:pt idx="1168">
                  <c:v>2.0797621458768845E-2</c:v>
                </c:pt>
                <c:pt idx="1169">
                  <c:v>1.9685450941324234E-2</c:v>
                </c:pt>
                <c:pt idx="1170">
                  <c:v>2.5628518313169479E-2</c:v>
                </c:pt>
                <c:pt idx="1171">
                  <c:v>2.9969152063131332E-2</c:v>
                </c:pt>
                <c:pt idx="1172">
                  <c:v>2.4488117545843124E-2</c:v>
                </c:pt>
                <c:pt idx="1173">
                  <c:v>2.3857632651925087E-2</c:v>
                </c:pt>
                <c:pt idx="1174">
                  <c:v>2.3098988458514214E-2</c:v>
                </c:pt>
                <c:pt idx="1175">
                  <c:v>2.0868157967925072E-2</c:v>
                </c:pt>
                <c:pt idx="1176">
                  <c:v>2.1811665967106819E-2</c:v>
                </c:pt>
                <c:pt idx="1177">
                  <c:v>2.6212505996227264E-2</c:v>
                </c:pt>
                <c:pt idx="1178">
                  <c:v>2.4365747347474098E-2</c:v>
                </c:pt>
                <c:pt idx="1179">
                  <c:v>2.2608350962400436E-2</c:v>
                </c:pt>
                <c:pt idx="1180">
                  <c:v>2.0938482135534286E-2</c:v>
                </c:pt>
                <c:pt idx="1181">
                  <c:v>1.8993968144059181E-2</c:v>
                </c:pt>
                <c:pt idx="1182">
                  <c:v>2.6435650885105133E-2</c:v>
                </c:pt>
                <c:pt idx="1183">
                  <c:v>2.3997073993086815E-2</c:v>
                </c:pt>
                <c:pt idx="1184">
                  <c:v>2.4834562093019485E-2</c:v>
                </c:pt>
                <c:pt idx="1185">
                  <c:v>2.0511111244559288E-2</c:v>
                </c:pt>
                <c:pt idx="1186">
                  <c:v>2.3943988606333733E-2</c:v>
                </c:pt>
                <c:pt idx="1187">
                  <c:v>2.3366052657365799E-2</c:v>
                </c:pt>
                <c:pt idx="1188">
                  <c:v>2.0990081131458282E-2</c:v>
                </c:pt>
                <c:pt idx="1189">
                  <c:v>2.7830800041556358E-2</c:v>
                </c:pt>
                <c:pt idx="1190">
                  <c:v>2.4340765550732613E-2</c:v>
                </c:pt>
                <c:pt idx="1191">
                  <c:v>2.4050883948802948E-2</c:v>
                </c:pt>
                <c:pt idx="1192">
                  <c:v>2.1606782451272011E-2</c:v>
                </c:pt>
                <c:pt idx="1193">
                  <c:v>2.3056918755173683E-2</c:v>
                </c:pt>
                <c:pt idx="1194">
                  <c:v>1.7164178192615509E-2</c:v>
                </c:pt>
                <c:pt idx="1195">
                  <c:v>1.8319655209779739E-2</c:v>
                </c:pt>
                <c:pt idx="1196">
                  <c:v>2.5081384927034378E-2</c:v>
                </c:pt>
                <c:pt idx="1197">
                  <c:v>2.7668422088027E-2</c:v>
                </c:pt>
                <c:pt idx="1198">
                  <c:v>1.8539296463131905E-2</c:v>
                </c:pt>
                <c:pt idx="1199">
                  <c:v>1.6443558037281036E-2</c:v>
                </c:pt>
                <c:pt idx="1200">
                  <c:v>2.0494237542152405E-2</c:v>
                </c:pt>
                <c:pt idx="1201">
                  <c:v>2.8091926127672195E-2</c:v>
                </c:pt>
                <c:pt idx="1202">
                  <c:v>2.3100966587662697E-2</c:v>
                </c:pt>
                <c:pt idx="1203">
                  <c:v>1.9117210060358047E-2</c:v>
                </c:pt>
                <c:pt idx="1204">
                  <c:v>3.0180895701050758E-2</c:v>
                </c:pt>
                <c:pt idx="1205">
                  <c:v>2.1472973749041557E-2</c:v>
                </c:pt>
                <c:pt idx="1206">
                  <c:v>2.240203320980072E-2</c:v>
                </c:pt>
                <c:pt idx="1207">
                  <c:v>2.0758749917149544E-2</c:v>
                </c:pt>
                <c:pt idx="1208">
                  <c:v>2.2217590361833572E-2</c:v>
                </c:pt>
                <c:pt idx="1209">
                  <c:v>2.486882358789444E-2</c:v>
                </c:pt>
                <c:pt idx="1210">
                  <c:v>2.4382084608078003E-2</c:v>
                </c:pt>
                <c:pt idx="1211">
                  <c:v>2.6740707457065582E-2</c:v>
                </c:pt>
                <c:pt idx="1212">
                  <c:v>2.5846006348729134E-2</c:v>
                </c:pt>
                <c:pt idx="1213">
                  <c:v>2.7793476358056068E-2</c:v>
                </c:pt>
                <c:pt idx="1214">
                  <c:v>2.0780289545655251E-2</c:v>
                </c:pt>
                <c:pt idx="1215">
                  <c:v>2.4852979928255081E-2</c:v>
                </c:pt>
                <c:pt idx="1216">
                  <c:v>2.3388957604765892E-2</c:v>
                </c:pt>
                <c:pt idx="1217">
                  <c:v>2.0378740504384041E-2</c:v>
                </c:pt>
                <c:pt idx="1218">
                  <c:v>2.6935826987028122E-2</c:v>
                </c:pt>
                <c:pt idx="1219">
                  <c:v>2.2465221583843231E-2</c:v>
                </c:pt>
                <c:pt idx="1220">
                  <c:v>2.539265900850296E-2</c:v>
                </c:pt>
                <c:pt idx="1221">
                  <c:v>2.2100342437624931E-2</c:v>
                </c:pt>
                <c:pt idx="1222">
                  <c:v>2.1614778786897659E-2</c:v>
                </c:pt>
                <c:pt idx="1223">
                  <c:v>2.3060433566570282E-2</c:v>
                </c:pt>
                <c:pt idx="1224">
                  <c:v>2.3553166538476944E-2</c:v>
                </c:pt>
                <c:pt idx="1225">
                  <c:v>2.5810560211539268E-2</c:v>
                </c:pt>
                <c:pt idx="1226">
                  <c:v>2.4349967017769814E-2</c:v>
                </c:pt>
                <c:pt idx="1227">
                  <c:v>1.5357957221567631E-2</c:v>
                </c:pt>
                <c:pt idx="1228">
                  <c:v>2.651173435151577E-2</c:v>
                </c:pt>
                <c:pt idx="1229">
                  <c:v>2.6655016466975212E-2</c:v>
                </c:pt>
                <c:pt idx="1230">
                  <c:v>2.3460386320948601E-2</c:v>
                </c:pt>
                <c:pt idx="1231">
                  <c:v>2.4197984486818314E-2</c:v>
                </c:pt>
                <c:pt idx="1232">
                  <c:v>2.027427963912487E-2</c:v>
                </c:pt>
                <c:pt idx="1233">
                  <c:v>2.6378387585282326E-2</c:v>
                </c:pt>
                <c:pt idx="1234">
                  <c:v>2.4019241333007813E-2</c:v>
                </c:pt>
                <c:pt idx="1235">
                  <c:v>2.6164064183831215E-2</c:v>
                </c:pt>
                <c:pt idx="1236">
                  <c:v>2.3018408566713333E-2</c:v>
                </c:pt>
                <c:pt idx="1237">
                  <c:v>2.2149993106722832E-2</c:v>
                </c:pt>
                <c:pt idx="1238">
                  <c:v>2.33573317527771E-2</c:v>
                </c:pt>
                <c:pt idx="1239">
                  <c:v>2.2751772776246071E-2</c:v>
                </c:pt>
                <c:pt idx="1240">
                  <c:v>2.4233398959040642E-2</c:v>
                </c:pt>
                <c:pt idx="1241">
                  <c:v>1.640048436820507E-2</c:v>
                </c:pt>
                <c:pt idx="1242">
                  <c:v>2.3988831788301468E-2</c:v>
                </c:pt>
                <c:pt idx="1243">
                  <c:v>2.2321389988064766E-2</c:v>
                </c:pt>
                <c:pt idx="1244">
                  <c:v>2.6204105466604233E-2</c:v>
                </c:pt>
                <c:pt idx="1245">
                  <c:v>2.6764685288071632E-2</c:v>
                </c:pt>
                <c:pt idx="1246">
                  <c:v>2.0117273554205894E-2</c:v>
                </c:pt>
                <c:pt idx="1247">
                  <c:v>2.0587947219610214E-2</c:v>
                </c:pt>
                <c:pt idx="1248">
                  <c:v>2.461102232336998E-2</c:v>
                </c:pt>
                <c:pt idx="1249">
                  <c:v>2.257915586233139E-2</c:v>
                </c:pt>
                <c:pt idx="1250">
                  <c:v>2.7087679132819176E-2</c:v>
                </c:pt>
                <c:pt idx="1251">
                  <c:v>2.447914145886898E-2</c:v>
                </c:pt>
                <c:pt idx="1252">
                  <c:v>2.3977210745215416E-2</c:v>
                </c:pt>
                <c:pt idx="1253">
                  <c:v>2.3359175771474838E-2</c:v>
                </c:pt>
                <c:pt idx="1254">
                  <c:v>2.2129366174340248E-2</c:v>
                </c:pt>
                <c:pt idx="1255">
                  <c:v>2.4606609717011452E-2</c:v>
                </c:pt>
                <c:pt idx="1256">
                  <c:v>2.4583900347352028E-2</c:v>
                </c:pt>
                <c:pt idx="1257">
                  <c:v>2.0417196676135063E-2</c:v>
                </c:pt>
                <c:pt idx="1258">
                  <c:v>2.4236852303147316E-2</c:v>
                </c:pt>
                <c:pt idx="1259">
                  <c:v>2.3076830431818962E-2</c:v>
                </c:pt>
                <c:pt idx="1260">
                  <c:v>2.0014336332678795E-2</c:v>
                </c:pt>
                <c:pt idx="1261">
                  <c:v>2.415161207318306E-2</c:v>
                </c:pt>
                <c:pt idx="1262">
                  <c:v>2.3508312180638313E-2</c:v>
                </c:pt>
                <c:pt idx="1263">
                  <c:v>2.6360331103205681E-2</c:v>
                </c:pt>
                <c:pt idx="1264">
                  <c:v>2.0202688872814178E-2</c:v>
                </c:pt>
                <c:pt idx="1265">
                  <c:v>2.3566607385873795E-2</c:v>
                </c:pt>
                <c:pt idx="1266">
                  <c:v>2.1348407492041588E-2</c:v>
                </c:pt>
                <c:pt idx="1267">
                  <c:v>2.0263079553842545E-2</c:v>
                </c:pt>
                <c:pt idx="1268">
                  <c:v>2.4577144533395767E-2</c:v>
                </c:pt>
                <c:pt idx="1269">
                  <c:v>2.180265448987484E-2</c:v>
                </c:pt>
                <c:pt idx="1270">
                  <c:v>2.3880932480096817E-2</c:v>
                </c:pt>
                <c:pt idx="1271">
                  <c:v>2.6787912473082542E-2</c:v>
                </c:pt>
                <c:pt idx="1272">
                  <c:v>2.2359881550073624E-2</c:v>
                </c:pt>
                <c:pt idx="1273">
                  <c:v>2.4031311273574829E-2</c:v>
                </c:pt>
                <c:pt idx="1274">
                  <c:v>1.4237722381949425E-2</c:v>
                </c:pt>
                <c:pt idx="1275">
                  <c:v>2.2858919575810432E-2</c:v>
                </c:pt>
                <c:pt idx="1276">
                  <c:v>2.2614441812038422E-2</c:v>
                </c:pt>
                <c:pt idx="1277">
                  <c:v>1.8769359216094017E-2</c:v>
                </c:pt>
                <c:pt idx="1278">
                  <c:v>2.4110622704029083E-2</c:v>
                </c:pt>
                <c:pt idx="1279">
                  <c:v>1.9440095871686935E-2</c:v>
                </c:pt>
                <c:pt idx="1280">
                  <c:v>3.1104641035199165E-2</c:v>
                </c:pt>
                <c:pt idx="1281">
                  <c:v>1.9717838615179062E-2</c:v>
                </c:pt>
                <c:pt idx="1282">
                  <c:v>2.727123536169529E-2</c:v>
                </c:pt>
                <c:pt idx="1283">
                  <c:v>1.9218025729060173E-2</c:v>
                </c:pt>
                <c:pt idx="1284">
                  <c:v>2.2814808413386345E-2</c:v>
                </c:pt>
                <c:pt idx="1285">
                  <c:v>2.637772262096405E-2</c:v>
                </c:pt>
                <c:pt idx="1286">
                  <c:v>2.6697594672441483E-2</c:v>
                </c:pt>
                <c:pt idx="1287">
                  <c:v>2.3168444633483887E-2</c:v>
                </c:pt>
                <c:pt idx="1288">
                  <c:v>2.3375233635306358E-2</c:v>
                </c:pt>
                <c:pt idx="1289">
                  <c:v>2.6036990806460381E-2</c:v>
                </c:pt>
                <c:pt idx="1290">
                  <c:v>2.9294110834598541E-2</c:v>
                </c:pt>
                <c:pt idx="1291">
                  <c:v>2.4325735867023468E-2</c:v>
                </c:pt>
                <c:pt idx="1292">
                  <c:v>2.3820251226425171E-2</c:v>
                </c:pt>
                <c:pt idx="1293">
                  <c:v>2.384786494076252E-2</c:v>
                </c:pt>
                <c:pt idx="1294">
                  <c:v>2.2939998656511307E-2</c:v>
                </c:pt>
                <c:pt idx="1295">
                  <c:v>2.4039359763264656E-2</c:v>
                </c:pt>
                <c:pt idx="1296">
                  <c:v>2.5085415691137314E-2</c:v>
                </c:pt>
                <c:pt idx="1297">
                  <c:v>2.3272784426808357E-2</c:v>
                </c:pt>
                <c:pt idx="1298">
                  <c:v>2.095879428088665E-2</c:v>
                </c:pt>
                <c:pt idx="1299">
                  <c:v>2.1238220855593681E-2</c:v>
                </c:pt>
                <c:pt idx="1300">
                  <c:v>2.752201072871685E-2</c:v>
                </c:pt>
                <c:pt idx="1301">
                  <c:v>2.0613566040992737E-2</c:v>
                </c:pt>
                <c:pt idx="1302">
                  <c:v>2.8022319078445435E-2</c:v>
                </c:pt>
                <c:pt idx="1303">
                  <c:v>2.405259944498539E-2</c:v>
                </c:pt>
                <c:pt idx="1304">
                  <c:v>2.8509879484772682E-2</c:v>
                </c:pt>
                <c:pt idx="1305">
                  <c:v>2.1881302818655968E-2</c:v>
                </c:pt>
                <c:pt idx="1306">
                  <c:v>2.4113155901432037E-2</c:v>
                </c:pt>
                <c:pt idx="1307">
                  <c:v>2.4720242246985435E-2</c:v>
                </c:pt>
                <c:pt idx="1308">
                  <c:v>2.5267546996474266E-2</c:v>
                </c:pt>
                <c:pt idx="1309">
                  <c:v>2.8940208256244659E-2</c:v>
                </c:pt>
                <c:pt idx="1310">
                  <c:v>2.4654960259795189E-2</c:v>
                </c:pt>
                <c:pt idx="1311">
                  <c:v>2.7195489034056664E-2</c:v>
                </c:pt>
                <c:pt idx="1312">
                  <c:v>2.7608761563897133E-2</c:v>
                </c:pt>
                <c:pt idx="1313">
                  <c:v>2.2996058687567711E-2</c:v>
                </c:pt>
                <c:pt idx="1314">
                  <c:v>2.3210786283016205E-2</c:v>
                </c:pt>
                <c:pt idx="1315">
                  <c:v>2.3474888876080513E-2</c:v>
                </c:pt>
                <c:pt idx="1316">
                  <c:v>3.0186913907527924E-2</c:v>
                </c:pt>
                <c:pt idx="1317">
                  <c:v>2.9237285256385803E-2</c:v>
                </c:pt>
                <c:pt idx="1318">
                  <c:v>1.9605623558163643E-2</c:v>
                </c:pt>
                <c:pt idx="1319">
                  <c:v>2.3659724742174149E-2</c:v>
                </c:pt>
                <c:pt idx="1320">
                  <c:v>2.3172503337264061E-2</c:v>
                </c:pt>
                <c:pt idx="1321">
                  <c:v>2.1774861961603165E-2</c:v>
                </c:pt>
                <c:pt idx="1322">
                  <c:v>2.7562269940972328E-2</c:v>
                </c:pt>
                <c:pt idx="1323">
                  <c:v>2.6845391839742661E-2</c:v>
                </c:pt>
                <c:pt idx="1324">
                  <c:v>2.4758309125900269E-2</c:v>
                </c:pt>
                <c:pt idx="1325">
                  <c:v>2.2997839376330376E-2</c:v>
                </c:pt>
                <c:pt idx="1326">
                  <c:v>2.115783654153347E-2</c:v>
                </c:pt>
                <c:pt idx="1327">
                  <c:v>2.5391792878508568E-2</c:v>
                </c:pt>
                <c:pt idx="1328">
                  <c:v>2.2695548832416534E-2</c:v>
                </c:pt>
                <c:pt idx="1329">
                  <c:v>2.2449586540460587E-2</c:v>
                </c:pt>
                <c:pt idx="1330">
                  <c:v>2.3685615509748459E-2</c:v>
                </c:pt>
                <c:pt idx="1331">
                  <c:v>2.309320867061615E-2</c:v>
                </c:pt>
                <c:pt idx="1332">
                  <c:v>2.7406228706240654E-2</c:v>
                </c:pt>
                <c:pt idx="1333">
                  <c:v>2.5657907128334045E-2</c:v>
                </c:pt>
                <c:pt idx="1334">
                  <c:v>2.0005371421575546E-2</c:v>
                </c:pt>
                <c:pt idx="1335">
                  <c:v>2.400657907128334E-2</c:v>
                </c:pt>
                <c:pt idx="1336">
                  <c:v>2.2530782967805862E-2</c:v>
                </c:pt>
                <c:pt idx="1337">
                  <c:v>2.3329878225922585E-2</c:v>
                </c:pt>
                <c:pt idx="1338">
                  <c:v>2.4557307362556458E-2</c:v>
                </c:pt>
                <c:pt idx="1339">
                  <c:v>2.3665418848395348E-2</c:v>
                </c:pt>
                <c:pt idx="1340">
                  <c:v>2.5493528693914413E-2</c:v>
                </c:pt>
                <c:pt idx="1341">
                  <c:v>2.4239117279648781E-2</c:v>
                </c:pt>
                <c:pt idx="1342">
                  <c:v>2.5328274816274643E-2</c:v>
                </c:pt>
                <c:pt idx="1343">
                  <c:v>2.0549820736050606E-2</c:v>
                </c:pt>
                <c:pt idx="1344">
                  <c:v>2.5169860571622849E-2</c:v>
                </c:pt>
                <c:pt idx="1345">
                  <c:v>2.4309162050485611E-2</c:v>
                </c:pt>
                <c:pt idx="1346">
                  <c:v>2.5625927373766899E-2</c:v>
                </c:pt>
                <c:pt idx="1347">
                  <c:v>2.2080095484852791E-2</c:v>
                </c:pt>
                <c:pt idx="1348">
                  <c:v>2.4361403658986092E-2</c:v>
                </c:pt>
                <c:pt idx="1349">
                  <c:v>2.6993313804268837E-2</c:v>
                </c:pt>
                <c:pt idx="1350">
                  <c:v>2.6598883792757988E-2</c:v>
                </c:pt>
                <c:pt idx="1351">
                  <c:v>1.8467003479599953E-2</c:v>
                </c:pt>
                <c:pt idx="1352">
                  <c:v>2.5910111144185066E-2</c:v>
                </c:pt>
                <c:pt idx="1353">
                  <c:v>2.9441958293318748E-2</c:v>
                </c:pt>
                <c:pt idx="1354">
                  <c:v>2.1417539566755295E-2</c:v>
                </c:pt>
                <c:pt idx="1355">
                  <c:v>2.0932966843247414E-2</c:v>
                </c:pt>
                <c:pt idx="1356">
                  <c:v>2.2590894252061844E-2</c:v>
                </c:pt>
                <c:pt idx="1357">
                  <c:v>2.2050557658076286E-2</c:v>
                </c:pt>
                <c:pt idx="1358">
                  <c:v>2.3832373321056366E-2</c:v>
                </c:pt>
                <c:pt idx="1359">
                  <c:v>2.5919776409864426E-2</c:v>
                </c:pt>
                <c:pt idx="1360">
                  <c:v>2.2261761128902435E-2</c:v>
                </c:pt>
                <c:pt idx="1361">
                  <c:v>1.6909105703234673E-2</c:v>
                </c:pt>
                <c:pt idx="1362">
                  <c:v>2.3532895371317863E-2</c:v>
                </c:pt>
                <c:pt idx="1363">
                  <c:v>2.7864634990692139E-2</c:v>
                </c:pt>
                <c:pt idx="1364">
                  <c:v>2.5118393823504448E-2</c:v>
                </c:pt>
                <c:pt idx="1365">
                  <c:v>2.471245639026165E-2</c:v>
                </c:pt>
                <c:pt idx="1366">
                  <c:v>2.3368416354060173E-2</c:v>
                </c:pt>
                <c:pt idx="1367">
                  <c:v>2.6067793369293213E-2</c:v>
                </c:pt>
                <c:pt idx="1368">
                  <c:v>2.3226840421557426E-2</c:v>
                </c:pt>
                <c:pt idx="1369">
                  <c:v>2.5874018669128418E-2</c:v>
                </c:pt>
                <c:pt idx="1370">
                  <c:v>2.3134315386414528E-2</c:v>
                </c:pt>
                <c:pt idx="1371">
                  <c:v>1.6886895522475243E-2</c:v>
                </c:pt>
                <c:pt idx="1372">
                  <c:v>2.3929579183459282E-2</c:v>
                </c:pt>
                <c:pt idx="1373">
                  <c:v>2.473098412156105E-2</c:v>
                </c:pt>
                <c:pt idx="1374">
                  <c:v>2.3190297186374664E-2</c:v>
                </c:pt>
                <c:pt idx="1375">
                  <c:v>2.2369986400008202E-2</c:v>
                </c:pt>
                <c:pt idx="1376">
                  <c:v>2.5484848767518997E-2</c:v>
                </c:pt>
                <c:pt idx="1377">
                  <c:v>2.3753132671117783E-2</c:v>
                </c:pt>
                <c:pt idx="1378">
                  <c:v>1.9461441785097122E-2</c:v>
                </c:pt>
                <c:pt idx="1379">
                  <c:v>2.1395275369286537E-2</c:v>
                </c:pt>
                <c:pt idx="1380">
                  <c:v>2.1481966599822044E-2</c:v>
                </c:pt>
                <c:pt idx="1381">
                  <c:v>2.867920882999897E-2</c:v>
                </c:pt>
                <c:pt idx="1382">
                  <c:v>2.3717841133475304E-2</c:v>
                </c:pt>
                <c:pt idx="1383">
                  <c:v>2.2844167426228523E-2</c:v>
                </c:pt>
                <c:pt idx="1384">
                  <c:v>2.7544019743800163E-2</c:v>
                </c:pt>
                <c:pt idx="1385">
                  <c:v>2.4056313559412956E-2</c:v>
                </c:pt>
                <c:pt idx="1386">
                  <c:v>2.038491889834404E-2</c:v>
                </c:pt>
                <c:pt idx="1387">
                  <c:v>2.314445748925209E-2</c:v>
                </c:pt>
                <c:pt idx="1388">
                  <c:v>2.7514640241861343E-2</c:v>
                </c:pt>
                <c:pt idx="1389">
                  <c:v>2.7328820899128914E-2</c:v>
                </c:pt>
                <c:pt idx="1390">
                  <c:v>2.4474766105413437E-2</c:v>
                </c:pt>
                <c:pt idx="1391">
                  <c:v>2.1196300163865089E-2</c:v>
                </c:pt>
                <c:pt idx="1392">
                  <c:v>2.5271927937865257E-2</c:v>
                </c:pt>
                <c:pt idx="1393">
                  <c:v>2.5376999750733376E-2</c:v>
                </c:pt>
                <c:pt idx="1394">
                  <c:v>2.484477311372757E-2</c:v>
                </c:pt>
                <c:pt idx="1395">
                  <c:v>2.4302840232849121E-2</c:v>
                </c:pt>
                <c:pt idx="1396">
                  <c:v>2.7799332514405251E-2</c:v>
                </c:pt>
                <c:pt idx="1397">
                  <c:v>2.5810167193412781E-2</c:v>
                </c:pt>
                <c:pt idx="1398">
                  <c:v>3.0417514964938164E-2</c:v>
                </c:pt>
                <c:pt idx="1399">
                  <c:v>2.579040639102459E-2</c:v>
                </c:pt>
                <c:pt idx="1400">
                  <c:v>1.883234828710556E-2</c:v>
                </c:pt>
                <c:pt idx="1401">
                  <c:v>2.531757578253746E-2</c:v>
                </c:pt>
                <c:pt idx="1402">
                  <c:v>2.6333175599575043E-2</c:v>
                </c:pt>
                <c:pt idx="1403">
                  <c:v>2.2017085924744606E-2</c:v>
                </c:pt>
                <c:pt idx="1404">
                  <c:v>1.9497212022542953E-2</c:v>
                </c:pt>
                <c:pt idx="1405">
                  <c:v>2.324080653488636E-2</c:v>
                </c:pt>
                <c:pt idx="1406">
                  <c:v>2.0324945449829102E-2</c:v>
                </c:pt>
                <c:pt idx="1407">
                  <c:v>2.872922271490097E-2</c:v>
                </c:pt>
                <c:pt idx="1408">
                  <c:v>2.0734591409564018E-2</c:v>
                </c:pt>
                <c:pt idx="1409">
                  <c:v>2.0184516906738281E-2</c:v>
                </c:pt>
                <c:pt idx="1410">
                  <c:v>2.2983426228165627E-2</c:v>
                </c:pt>
                <c:pt idx="1411">
                  <c:v>2.5414280593395233E-2</c:v>
                </c:pt>
                <c:pt idx="1412">
                  <c:v>2.670225128531456E-2</c:v>
                </c:pt>
                <c:pt idx="1413">
                  <c:v>2.3143989965319633E-2</c:v>
                </c:pt>
                <c:pt idx="1414">
                  <c:v>2.7971839532256126E-2</c:v>
                </c:pt>
                <c:pt idx="1415">
                  <c:v>2.0531894639134407E-2</c:v>
                </c:pt>
                <c:pt idx="1416">
                  <c:v>1.9876109436154366E-2</c:v>
                </c:pt>
                <c:pt idx="1417">
                  <c:v>2.9699260368943214E-2</c:v>
                </c:pt>
                <c:pt idx="1418">
                  <c:v>2.3012051358819008E-2</c:v>
                </c:pt>
                <c:pt idx="1419">
                  <c:v>2.3503599688410759E-2</c:v>
                </c:pt>
                <c:pt idx="1420">
                  <c:v>1.8025059252977371E-2</c:v>
                </c:pt>
                <c:pt idx="1421">
                  <c:v>2.5711908936500549E-2</c:v>
                </c:pt>
                <c:pt idx="1422">
                  <c:v>2.2852146998047829E-2</c:v>
                </c:pt>
                <c:pt idx="1423">
                  <c:v>2.4988485500216484E-2</c:v>
                </c:pt>
                <c:pt idx="1424">
                  <c:v>2.8346981853246689E-2</c:v>
                </c:pt>
                <c:pt idx="1425">
                  <c:v>2.4849807843565941E-2</c:v>
                </c:pt>
                <c:pt idx="1426">
                  <c:v>2.0745910704135895E-2</c:v>
                </c:pt>
                <c:pt idx="1427">
                  <c:v>2.4678658694028854E-2</c:v>
                </c:pt>
                <c:pt idx="1428">
                  <c:v>2.2479116916656494E-2</c:v>
                </c:pt>
                <c:pt idx="1429">
                  <c:v>2.5526316836476326E-2</c:v>
                </c:pt>
                <c:pt idx="1430">
                  <c:v>2.0940143615007401E-2</c:v>
                </c:pt>
                <c:pt idx="1431">
                  <c:v>2.1905979141592979E-2</c:v>
                </c:pt>
                <c:pt idx="1432">
                  <c:v>2.360459603369236E-2</c:v>
                </c:pt>
                <c:pt idx="1433">
                  <c:v>2.6300268247723579E-2</c:v>
                </c:pt>
                <c:pt idx="1434">
                  <c:v>2.1127639338374138E-2</c:v>
                </c:pt>
                <c:pt idx="1435">
                  <c:v>1.3680640608072281E-2</c:v>
                </c:pt>
                <c:pt idx="1436">
                  <c:v>2.2980483248829842E-2</c:v>
                </c:pt>
                <c:pt idx="1437">
                  <c:v>2.2353528067469597E-2</c:v>
                </c:pt>
                <c:pt idx="1438">
                  <c:v>2.1600443869829178E-2</c:v>
                </c:pt>
                <c:pt idx="1439">
                  <c:v>2.5690382346510887E-2</c:v>
                </c:pt>
                <c:pt idx="1440">
                  <c:v>2.4455830454826355E-2</c:v>
                </c:pt>
                <c:pt idx="1441">
                  <c:v>2.2178063169121742E-2</c:v>
                </c:pt>
                <c:pt idx="1442">
                  <c:v>2.6101335883140564E-2</c:v>
                </c:pt>
                <c:pt idx="1443">
                  <c:v>2.656221017241478E-2</c:v>
                </c:pt>
                <c:pt idx="1444">
                  <c:v>2.9454827308654785E-2</c:v>
                </c:pt>
                <c:pt idx="1445">
                  <c:v>2.3430351167917252E-2</c:v>
                </c:pt>
                <c:pt idx="1446">
                  <c:v>2.8038268908858299E-2</c:v>
                </c:pt>
                <c:pt idx="1447">
                  <c:v>2.6088394224643707E-2</c:v>
                </c:pt>
                <c:pt idx="1448">
                  <c:v>2.4386493489146233E-2</c:v>
                </c:pt>
                <c:pt idx="1449">
                  <c:v>1.9974371418356895E-2</c:v>
                </c:pt>
                <c:pt idx="1450">
                  <c:v>2.3453526198863983E-2</c:v>
                </c:pt>
                <c:pt idx="1451">
                  <c:v>2.5128886103630066E-2</c:v>
                </c:pt>
                <c:pt idx="1452">
                  <c:v>2.5215456262230873E-2</c:v>
                </c:pt>
                <c:pt idx="1453">
                  <c:v>2.066851407289505E-2</c:v>
                </c:pt>
                <c:pt idx="1454">
                  <c:v>2.6667740195989609E-2</c:v>
                </c:pt>
                <c:pt idx="1455">
                  <c:v>2.0126735791563988E-2</c:v>
                </c:pt>
                <c:pt idx="1456">
                  <c:v>2.5152100250124931E-2</c:v>
                </c:pt>
                <c:pt idx="1457">
                  <c:v>2.7761669829487801E-2</c:v>
                </c:pt>
                <c:pt idx="1458">
                  <c:v>1.9708985462784767E-2</c:v>
                </c:pt>
                <c:pt idx="1459">
                  <c:v>1.9373394548892975E-2</c:v>
                </c:pt>
                <c:pt idx="1460">
                  <c:v>1.8997466191649437E-2</c:v>
                </c:pt>
                <c:pt idx="1461">
                  <c:v>2.8515815734863281E-2</c:v>
                </c:pt>
                <c:pt idx="1462">
                  <c:v>2.3574292659759521E-2</c:v>
                </c:pt>
                <c:pt idx="1463">
                  <c:v>2.1134279668331146E-2</c:v>
                </c:pt>
                <c:pt idx="1464">
                  <c:v>2.4622589349746704E-2</c:v>
                </c:pt>
                <c:pt idx="1465">
                  <c:v>2.1250618621706963E-2</c:v>
                </c:pt>
                <c:pt idx="1466">
                  <c:v>2.232414111495018E-2</c:v>
                </c:pt>
                <c:pt idx="1467">
                  <c:v>2.1921543404459953E-2</c:v>
                </c:pt>
                <c:pt idx="1468">
                  <c:v>2.6551187038421631E-2</c:v>
                </c:pt>
                <c:pt idx="1469">
                  <c:v>2.615446038544178E-2</c:v>
                </c:pt>
                <c:pt idx="1470">
                  <c:v>2.014610543847084E-2</c:v>
                </c:pt>
                <c:pt idx="1471">
                  <c:v>2.0851753652095795E-2</c:v>
                </c:pt>
                <c:pt idx="1472">
                  <c:v>2.3364109918475151E-2</c:v>
                </c:pt>
                <c:pt idx="1473">
                  <c:v>2.4244563654065132E-2</c:v>
                </c:pt>
                <c:pt idx="1474">
                  <c:v>2.0916314795613289E-2</c:v>
                </c:pt>
                <c:pt idx="1475">
                  <c:v>2.4920918047428131E-2</c:v>
                </c:pt>
                <c:pt idx="1476">
                  <c:v>2.3186482489109039E-2</c:v>
                </c:pt>
                <c:pt idx="1477">
                  <c:v>2.2418731823563576E-2</c:v>
                </c:pt>
                <c:pt idx="1478">
                  <c:v>1.6344746574759483E-2</c:v>
                </c:pt>
                <c:pt idx="1479">
                  <c:v>2.3682566359639168E-2</c:v>
                </c:pt>
                <c:pt idx="1480">
                  <c:v>2.5307251140475273E-2</c:v>
                </c:pt>
                <c:pt idx="1481">
                  <c:v>2.8095133602619171E-2</c:v>
                </c:pt>
                <c:pt idx="1482">
                  <c:v>2.5666987523436546E-2</c:v>
                </c:pt>
                <c:pt idx="1483">
                  <c:v>2.5754304602742195E-2</c:v>
                </c:pt>
                <c:pt idx="1484">
                  <c:v>2.166035957634449E-2</c:v>
                </c:pt>
                <c:pt idx="1485">
                  <c:v>2.7752965688705444E-2</c:v>
                </c:pt>
                <c:pt idx="1486">
                  <c:v>2.2649252787232399E-2</c:v>
                </c:pt>
                <c:pt idx="1487">
                  <c:v>2.5222105905413628E-2</c:v>
                </c:pt>
                <c:pt idx="1488">
                  <c:v>2.2461859509348869E-2</c:v>
                </c:pt>
                <c:pt idx="1489">
                  <c:v>3.0014600604772568E-2</c:v>
                </c:pt>
                <c:pt idx="1490">
                  <c:v>2.443835511803627E-2</c:v>
                </c:pt>
                <c:pt idx="1491">
                  <c:v>3.1026935204863548E-2</c:v>
                </c:pt>
                <c:pt idx="1492">
                  <c:v>2.4923598393797874E-2</c:v>
                </c:pt>
                <c:pt idx="1493">
                  <c:v>2.7102973312139511E-2</c:v>
                </c:pt>
                <c:pt idx="1494">
                  <c:v>2.5612331926822662E-2</c:v>
                </c:pt>
                <c:pt idx="1495">
                  <c:v>2.3247521370649338E-2</c:v>
                </c:pt>
                <c:pt idx="1496">
                  <c:v>2.4681210517883301E-2</c:v>
                </c:pt>
                <c:pt idx="1497">
                  <c:v>2.1919788792729378E-2</c:v>
                </c:pt>
                <c:pt idx="1498">
                  <c:v>2.1010894328355789E-2</c:v>
                </c:pt>
                <c:pt idx="1499">
                  <c:v>2.5459166616201401E-2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04-44A7-93DD-77D0DB9320A4}"/>
            </c:ext>
          </c:extLst>
        </c:ser>
        <c:ser>
          <c:idx val="1"/>
          <c:order val="1"/>
          <c:tx>
            <c:v>Tangent Line</c:v>
          </c:tx>
          <c:spPr>
            <a:ln w="19050">
              <a:noFill/>
            </a:ln>
          </c:spPr>
          <c:marker>
            <c:symbol val="square"/>
            <c:size val="2"/>
          </c:marker>
          <c:xVal>
            <c:numRef>
              <c:f>'Output Sheet'!$J$5:$J$9999</c:f>
              <c:numCache>
                <c:formatCode>General</c:formatCode>
                <c:ptCount val="9995"/>
                <c:pt idx="0">
                  <c:v>5.6189630180597305E-2</c:v>
                </c:pt>
                <c:pt idx="1">
                  <c:v>6.3849180936813354E-2</c:v>
                </c:pt>
                <c:pt idx="2">
                  <c:v>5.8192644268274307E-2</c:v>
                </c:pt>
                <c:pt idx="3">
                  <c:v>6.196502223610878E-2</c:v>
                </c:pt>
                <c:pt idx="4">
                  <c:v>6.1192955821752548E-2</c:v>
                </c:pt>
                <c:pt idx="5">
                  <c:v>5.9281133115291595E-2</c:v>
                </c:pt>
                <c:pt idx="6">
                  <c:v>5.0909843295812607E-2</c:v>
                </c:pt>
                <c:pt idx="7">
                  <c:v>5.346968024969101E-2</c:v>
                </c:pt>
                <c:pt idx="8">
                  <c:v>5.2486691623926163E-2</c:v>
                </c:pt>
                <c:pt idx="9">
                  <c:v>6.1402477324008942E-2</c:v>
                </c:pt>
                <c:pt idx="10">
                  <c:v>6.3528217375278473E-2</c:v>
                </c:pt>
                <c:pt idx="11">
                  <c:v>4.7589238733053207E-2</c:v>
                </c:pt>
                <c:pt idx="12">
                  <c:v>6.7798309028148651E-2</c:v>
                </c:pt>
                <c:pt idx="13">
                  <c:v>6.6784076392650604E-2</c:v>
                </c:pt>
                <c:pt idx="14">
                  <c:v>4.878610372543335E-2</c:v>
                </c:pt>
                <c:pt idx="15">
                  <c:v>6.2130358070135117E-2</c:v>
                </c:pt>
                <c:pt idx="16">
                  <c:v>6.618015468120575E-2</c:v>
                </c:pt>
                <c:pt idx="17">
                  <c:v>4.404924064874649E-2</c:v>
                </c:pt>
                <c:pt idx="18">
                  <c:v>5.7165153324604034E-2</c:v>
                </c:pt>
                <c:pt idx="19">
                  <c:v>5.0773847848176956E-2</c:v>
                </c:pt>
                <c:pt idx="20">
                  <c:v>6.8916246294975281E-2</c:v>
                </c:pt>
                <c:pt idx="21">
                  <c:v>5.3583864122629166E-2</c:v>
                </c:pt>
                <c:pt idx="22">
                  <c:v>6.003083661198616E-2</c:v>
                </c:pt>
                <c:pt idx="23">
                  <c:v>6.1732862144708633E-2</c:v>
                </c:pt>
                <c:pt idx="24">
                  <c:v>5.3918581455945969E-2</c:v>
                </c:pt>
                <c:pt idx="25">
                  <c:v>6.5533563494682312E-2</c:v>
                </c:pt>
                <c:pt idx="26">
                  <c:v>5.1871675997972488E-2</c:v>
                </c:pt>
                <c:pt idx="27">
                  <c:v>6.0138743370771408E-2</c:v>
                </c:pt>
                <c:pt idx="28">
                  <c:v>6.0640640556812286E-2</c:v>
                </c:pt>
                <c:pt idx="29">
                  <c:v>6.5221711993217468E-2</c:v>
                </c:pt>
                <c:pt idx="30">
                  <c:v>9.6279606223106384E-2</c:v>
                </c:pt>
                <c:pt idx="31">
                  <c:v>5.424836277961731E-2</c:v>
                </c:pt>
                <c:pt idx="32">
                  <c:v>4.7888446599245071E-2</c:v>
                </c:pt>
                <c:pt idx="33">
                  <c:v>6.1700314283370972E-2</c:v>
                </c:pt>
                <c:pt idx="34">
                  <c:v>7.0288777351379395E-2</c:v>
                </c:pt>
                <c:pt idx="35">
                  <c:v>4.5288920402526855E-2</c:v>
                </c:pt>
                <c:pt idx="36">
                  <c:v>5.9098836034536362E-2</c:v>
                </c:pt>
                <c:pt idx="37">
                  <c:v>5.2176874130964279E-2</c:v>
                </c:pt>
                <c:pt idx="38">
                  <c:v>5.1850266754627228E-2</c:v>
                </c:pt>
                <c:pt idx="39">
                  <c:v>4.4218998402357101E-2</c:v>
                </c:pt>
                <c:pt idx="40">
                  <c:v>6.9275498390197754E-2</c:v>
                </c:pt>
                <c:pt idx="41">
                  <c:v>6.3738040626049042E-2</c:v>
                </c:pt>
                <c:pt idx="42">
                  <c:v>5.2739661186933517E-2</c:v>
                </c:pt>
                <c:pt idx="43">
                  <c:v>5.671512708067894E-2</c:v>
                </c:pt>
                <c:pt idx="44">
                  <c:v>4.4888544827699661E-2</c:v>
                </c:pt>
                <c:pt idx="45">
                  <c:v>6.6147699952125549E-2</c:v>
                </c:pt>
                <c:pt idx="46">
                  <c:v>5.1992859691381454E-2</c:v>
                </c:pt>
                <c:pt idx="47">
                  <c:v>5.4454341530799866E-2</c:v>
                </c:pt>
                <c:pt idx="48">
                  <c:v>5.9676721692085266E-2</c:v>
                </c:pt>
                <c:pt idx="49">
                  <c:v>5.0520379096269608E-2</c:v>
                </c:pt>
                <c:pt idx="50">
                  <c:v>5.6429024785757065E-2</c:v>
                </c:pt>
                <c:pt idx="51">
                  <c:v>4.7595325857400894E-2</c:v>
                </c:pt>
                <c:pt idx="52">
                  <c:v>6.9208070635795593E-2</c:v>
                </c:pt>
                <c:pt idx="53">
                  <c:v>4.7752957791090012E-2</c:v>
                </c:pt>
                <c:pt idx="54">
                  <c:v>5.9634760022163391E-2</c:v>
                </c:pt>
                <c:pt idx="55">
                  <c:v>5.1148004829883575E-2</c:v>
                </c:pt>
                <c:pt idx="56">
                  <c:v>4.9796301871538162E-2</c:v>
                </c:pt>
                <c:pt idx="57">
                  <c:v>5.4101672023534775E-2</c:v>
                </c:pt>
                <c:pt idx="58">
                  <c:v>6.7870482802391052E-2</c:v>
                </c:pt>
                <c:pt idx="59">
                  <c:v>7.8343555331230164E-2</c:v>
                </c:pt>
                <c:pt idx="60">
                  <c:v>7.5659863650798798E-2</c:v>
                </c:pt>
                <c:pt idx="61">
                  <c:v>5.0997138023376465E-2</c:v>
                </c:pt>
                <c:pt idx="62">
                  <c:v>5.2196070551872253E-2</c:v>
                </c:pt>
                <c:pt idx="63">
                  <c:v>6.3676699995994568E-2</c:v>
                </c:pt>
                <c:pt idx="64">
                  <c:v>4.9312222748994827E-2</c:v>
                </c:pt>
                <c:pt idx="65">
                  <c:v>6.8038210272789001E-2</c:v>
                </c:pt>
                <c:pt idx="66">
                  <c:v>7.0500925183296204E-2</c:v>
                </c:pt>
                <c:pt idx="67">
                  <c:v>4.0678836405277252E-2</c:v>
                </c:pt>
                <c:pt idx="68">
                  <c:v>6.512896716594696E-2</c:v>
                </c:pt>
                <c:pt idx="69">
                  <c:v>4.6653930097818375E-2</c:v>
                </c:pt>
                <c:pt idx="70">
                  <c:v>6.7812725901603699E-2</c:v>
                </c:pt>
                <c:pt idx="71">
                  <c:v>7.1267373859882355E-2</c:v>
                </c:pt>
                <c:pt idx="72">
                  <c:v>6.5544523298740387E-2</c:v>
                </c:pt>
                <c:pt idx="73">
                  <c:v>6.4303703606128693E-2</c:v>
                </c:pt>
                <c:pt idx="74">
                  <c:v>6.3836261630058289E-2</c:v>
                </c:pt>
                <c:pt idx="75">
                  <c:v>6.9201156497001648E-2</c:v>
                </c:pt>
                <c:pt idx="76">
                  <c:v>6.2957495450973511E-2</c:v>
                </c:pt>
                <c:pt idx="77">
                  <c:v>5.3525425493717194E-2</c:v>
                </c:pt>
                <c:pt idx="78">
                  <c:v>6.7181095480918884E-2</c:v>
                </c:pt>
                <c:pt idx="79">
                  <c:v>4.8710078001022339E-2</c:v>
                </c:pt>
                <c:pt idx="80">
                  <c:v>4.8372495919466019E-2</c:v>
                </c:pt>
                <c:pt idx="81">
                  <c:v>5.8560583740472794E-2</c:v>
                </c:pt>
                <c:pt idx="82">
                  <c:v>5.0263594835996628E-2</c:v>
                </c:pt>
                <c:pt idx="83">
                  <c:v>5.5930595844984055E-2</c:v>
                </c:pt>
                <c:pt idx="84">
                  <c:v>6.702616810798645E-2</c:v>
                </c:pt>
                <c:pt idx="85">
                  <c:v>6.1590984463691711E-2</c:v>
                </c:pt>
                <c:pt idx="86">
                  <c:v>6.1388835310935974E-2</c:v>
                </c:pt>
                <c:pt idx="87">
                  <c:v>5.208885669708252E-2</c:v>
                </c:pt>
                <c:pt idx="88">
                  <c:v>4.7004628926515579E-2</c:v>
                </c:pt>
                <c:pt idx="89">
                  <c:v>5.9410065412521362E-2</c:v>
                </c:pt>
                <c:pt idx="90">
                  <c:v>6.170942634344101E-2</c:v>
                </c:pt>
                <c:pt idx="91">
                  <c:v>5.0543200224637985E-2</c:v>
                </c:pt>
                <c:pt idx="92">
                  <c:v>6.0298088937997818E-2</c:v>
                </c:pt>
                <c:pt idx="93">
                  <c:v>6.397603452205658E-2</c:v>
                </c:pt>
                <c:pt idx="94">
                  <c:v>5.3664140403270721E-2</c:v>
                </c:pt>
                <c:pt idx="95">
                  <c:v>6.2691777944564819E-2</c:v>
                </c:pt>
                <c:pt idx="96">
                  <c:v>4.9123756587505341E-2</c:v>
                </c:pt>
                <c:pt idx="97">
                  <c:v>5.8164287358522415E-2</c:v>
                </c:pt>
                <c:pt idx="98">
                  <c:v>5.5363383144140244E-2</c:v>
                </c:pt>
                <c:pt idx="99">
                  <c:v>6.271979957818985E-2</c:v>
                </c:pt>
                <c:pt idx="100">
                  <c:v>4.6712886542081833E-2</c:v>
                </c:pt>
                <c:pt idx="101">
                  <c:v>5.756436288356781E-2</c:v>
                </c:pt>
                <c:pt idx="102">
                  <c:v>5.0221256911754608E-2</c:v>
                </c:pt>
                <c:pt idx="103">
                  <c:v>6.4221113920211792E-2</c:v>
                </c:pt>
                <c:pt idx="104">
                  <c:v>4.4831208884716034E-2</c:v>
                </c:pt>
                <c:pt idx="105">
                  <c:v>5.8429934084415436E-2</c:v>
                </c:pt>
                <c:pt idx="106">
                  <c:v>5.7474896311759949E-2</c:v>
                </c:pt>
                <c:pt idx="107">
                  <c:v>5.5319428443908691E-2</c:v>
                </c:pt>
                <c:pt idx="108">
                  <c:v>9.9766507744789124E-2</c:v>
                </c:pt>
                <c:pt idx="109">
                  <c:v>4.6893581748008728E-2</c:v>
                </c:pt>
                <c:pt idx="110">
                  <c:v>6.0557842254638672E-2</c:v>
                </c:pt>
                <c:pt idx="111">
                  <c:v>4.8729397356510162E-2</c:v>
                </c:pt>
                <c:pt idx="112">
                  <c:v>7.3888465762138367E-2</c:v>
                </c:pt>
                <c:pt idx="113">
                  <c:v>6.9955587387084961E-2</c:v>
                </c:pt>
                <c:pt idx="114">
                  <c:v>5.6308384984731674E-2</c:v>
                </c:pt>
                <c:pt idx="115">
                  <c:v>5.7480070739984512E-2</c:v>
                </c:pt>
                <c:pt idx="116">
                  <c:v>6.5024293959140778E-2</c:v>
                </c:pt>
                <c:pt idx="117">
                  <c:v>5.6272130459547043E-2</c:v>
                </c:pt>
                <c:pt idx="118">
                  <c:v>6.6747352480888367E-2</c:v>
                </c:pt>
                <c:pt idx="119">
                  <c:v>6.6264152526855469E-2</c:v>
                </c:pt>
                <c:pt idx="120">
                  <c:v>5.0697207450866699E-2</c:v>
                </c:pt>
                <c:pt idx="121">
                  <c:v>8.2227051258087158E-2</c:v>
                </c:pt>
                <c:pt idx="122">
                  <c:v>5.8859724551439285E-2</c:v>
                </c:pt>
                <c:pt idx="123">
                  <c:v>5.7660236954689026E-2</c:v>
                </c:pt>
                <c:pt idx="124">
                  <c:v>5.4899647831916809E-2</c:v>
                </c:pt>
                <c:pt idx="125">
                  <c:v>5.4154630750417709E-2</c:v>
                </c:pt>
                <c:pt idx="126">
                  <c:v>5.2716922014951706E-2</c:v>
                </c:pt>
                <c:pt idx="127">
                  <c:v>6.2383558601140976E-2</c:v>
                </c:pt>
                <c:pt idx="128">
                  <c:v>5.9811249375343323E-2</c:v>
                </c:pt>
                <c:pt idx="129">
                  <c:v>5.6060586124658585E-2</c:v>
                </c:pt>
                <c:pt idx="130">
                  <c:v>5.9800770133733749E-2</c:v>
                </c:pt>
                <c:pt idx="131">
                  <c:v>7.3310106992721558E-2</c:v>
                </c:pt>
                <c:pt idx="132">
                  <c:v>4.9465958029031754E-2</c:v>
                </c:pt>
                <c:pt idx="133">
                  <c:v>5.2964426577091217E-2</c:v>
                </c:pt>
                <c:pt idx="134">
                  <c:v>6.4269423484802246E-2</c:v>
                </c:pt>
                <c:pt idx="135">
                  <c:v>5.0808779895305634E-2</c:v>
                </c:pt>
                <c:pt idx="136">
                  <c:v>5.1319971680641174E-2</c:v>
                </c:pt>
                <c:pt idx="137">
                  <c:v>5.6214507669210434E-2</c:v>
                </c:pt>
                <c:pt idx="138">
                  <c:v>5.4784607142210007E-2</c:v>
                </c:pt>
                <c:pt idx="139">
                  <c:v>6.3266187906265259E-2</c:v>
                </c:pt>
                <c:pt idx="140">
                  <c:v>5.9931959956884384E-2</c:v>
                </c:pt>
                <c:pt idx="141">
                  <c:v>5.6299511343240738E-2</c:v>
                </c:pt>
                <c:pt idx="142">
                  <c:v>5.5209334939718246E-2</c:v>
                </c:pt>
                <c:pt idx="143">
                  <c:v>6.9345720112323761E-2</c:v>
                </c:pt>
                <c:pt idx="144">
                  <c:v>6.7902065813541412E-2</c:v>
                </c:pt>
                <c:pt idx="145">
                  <c:v>5.358833447098732E-2</c:v>
                </c:pt>
                <c:pt idx="146">
                  <c:v>6.3220895826816559E-2</c:v>
                </c:pt>
                <c:pt idx="147">
                  <c:v>4.8842411488294601E-2</c:v>
                </c:pt>
                <c:pt idx="148">
                  <c:v>6.3112914562225342E-2</c:v>
                </c:pt>
                <c:pt idx="149">
                  <c:v>5.3077727556228638E-2</c:v>
                </c:pt>
                <c:pt idx="150">
                  <c:v>5.9868928045034409E-2</c:v>
                </c:pt>
                <c:pt idx="151">
                  <c:v>6.7110054194927216E-2</c:v>
                </c:pt>
                <c:pt idx="152">
                  <c:v>5.2474841475486755E-2</c:v>
                </c:pt>
                <c:pt idx="153">
                  <c:v>6.015627458691597E-2</c:v>
                </c:pt>
                <c:pt idx="154">
                  <c:v>5.5868368595838547E-2</c:v>
                </c:pt>
                <c:pt idx="155">
                  <c:v>5.4523136466741562E-2</c:v>
                </c:pt>
                <c:pt idx="156">
                  <c:v>5.1971152424812317E-2</c:v>
                </c:pt>
                <c:pt idx="157">
                  <c:v>4.7470167279243469E-2</c:v>
                </c:pt>
                <c:pt idx="158">
                  <c:v>5.4624583572149277E-2</c:v>
                </c:pt>
                <c:pt idx="159">
                  <c:v>5.7354111224412918E-2</c:v>
                </c:pt>
                <c:pt idx="160">
                  <c:v>4.8071503639221191E-2</c:v>
                </c:pt>
                <c:pt idx="161">
                  <c:v>5.4169915616512299E-2</c:v>
                </c:pt>
                <c:pt idx="162">
                  <c:v>6.4174018800258636E-2</c:v>
                </c:pt>
                <c:pt idx="163">
                  <c:v>4.432683065533638E-2</c:v>
                </c:pt>
                <c:pt idx="164">
                  <c:v>6.0762222856283188E-2</c:v>
                </c:pt>
                <c:pt idx="165">
                  <c:v>6.7870624363422394E-2</c:v>
                </c:pt>
                <c:pt idx="166">
                  <c:v>6.7890986800193787E-2</c:v>
                </c:pt>
                <c:pt idx="167">
                  <c:v>4.4306207448244095E-2</c:v>
                </c:pt>
                <c:pt idx="168">
                  <c:v>7.3608338832855225E-2</c:v>
                </c:pt>
                <c:pt idx="169">
                  <c:v>5.3735539317131042E-2</c:v>
                </c:pt>
                <c:pt idx="170">
                  <c:v>5.413549393415451E-2</c:v>
                </c:pt>
                <c:pt idx="171">
                  <c:v>6.6592305898666382E-2</c:v>
                </c:pt>
                <c:pt idx="172">
                  <c:v>8.6211018264293671E-2</c:v>
                </c:pt>
                <c:pt idx="173">
                  <c:v>6.0093149542808533E-2</c:v>
                </c:pt>
                <c:pt idx="174">
                  <c:v>5.9864796698093414E-2</c:v>
                </c:pt>
                <c:pt idx="175">
                  <c:v>5.4034929722547531E-2</c:v>
                </c:pt>
                <c:pt idx="176">
                  <c:v>5.5075198411941528E-2</c:v>
                </c:pt>
                <c:pt idx="177">
                  <c:v>4.7971144318580627E-2</c:v>
                </c:pt>
                <c:pt idx="178">
                  <c:v>6.0206525027751923E-2</c:v>
                </c:pt>
                <c:pt idx="179">
                  <c:v>4.92277592420578E-2</c:v>
                </c:pt>
                <c:pt idx="180">
                  <c:v>4.8288952559232712E-2</c:v>
                </c:pt>
                <c:pt idx="181">
                  <c:v>8.1291720271110535E-2</c:v>
                </c:pt>
                <c:pt idx="182">
                  <c:v>6.0590784996747971E-2</c:v>
                </c:pt>
                <c:pt idx="183">
                  <c:v>5.2308142185211182E-2</c:v>
                </c:pt>
                <c:pt idx="184">
                  <c:v>6.5944015979766846E-2</c:v>
                </c:pt>
                <c:pt idx="185">
                  <c:v>6.571313738822937E-2</c:v>
                </c:pt>
                <c:pt idx="186">
                  <c:v>5.1483474671840668E-2</c:v>
                </c:pt>
                <c:pt idx="187">
                  <c:v>5.8341309428215027E-2</c:v>
                </c:pt>
                <c:pt idx="188">
                  <c:v>6.3549421727657318E-2</c:v>
                </c:pt>
                <c:pt idx="189">
                  <c:v>4.3236248195171356E-2</c:v>
                </c:pt>
                <c:pt idx="190">
                  <c:v>4.455726221203804E-2</c:v>
                </c:pt>
                <c:pt idx="191">
                  <c:v>5.0859071314334869E-2</c:v>
                </c:pt>
                <c:pt idx="192">
                  <c:v>6.1087928712368011E-2</c:v>
                </c:pt>
                <c:pt idx="193">
                  <c:v>4.9439441412687302E-2</c:v>
                </c:pt>
                <c:pt idx="194">
                  <c:v>5.0008993595838547E-2</c:v>
                </c:pt>
                <c:pt idx="195">
                  <c:v>7.5389117002487183E-2</c:v>
                </c:pt>
                <c:pt idx="196">
                  <c:v>5.9736091643571854E-2</c:v>
                </c:pt>
                <c:pt idx="197">
                  <c:v>6.0293730348348618E-2</c:v>
                </c:pt>
                <c:pt idx="198">
                  <c:v>9.0351231396198273E-2</c:v>
                </c:pt>
                <c:pt idx="199">
                  <c:v>5.5336117744445801E-2</c:v>
                </c:pt>
                <c:pt idx="200">
                  <c:v>6.8689145147800446E-2</c:v>
                </c:pt>
                <c:pt idx="201">
                  <c:v>5.0680015236139297E-2</c:v>
                </c:pt>
                <c:pt idx="202">
                  <c:v>4.7660630196332932E-2</c:v>
                </c:pt>
                <c:pt idx="203">
                  <c:v>5.5476058274507523E-2</c:v>
                </c:pt>
                <c:pt idx="204">
                  <c:v>4.420163482427597E-2</c:v>
                </c:pt>
                <c:pt idx="205">
                  <c:v>6.7937314510345459E-2</c:v>
                </c:pt>
                <c:pt idx="206">
                  <c:v>5.5900748819112778E-2</c:v>
                </c:pt>
                <c:pt idx="207">
                  <c:v>7.0398487150669098E-2</c:v>
                </c:pt>
                <c:pt idx="208">
                  <c:v>5.2764575928449631E-2</c:v>
                </c:pt>
                <c:pt idx="209">
                  <c:v>4.7077294439077377E-2</c:v>
                </c:pt>
                <c:pt idx="210">
                  <c:v>5.6379165500402451E-2</c:v>
                </c:pt>
                <c:pt idx="211">
                  <c:v>5.9275716543197632E-2</c:v>
                </c:pt>
                <c:pt idx="212">
                  <c:v>5.9384748339653015E-2</c:v>
                </c:pt>
                <c:pt idx="213">
                  <c:v>6.3056357204914093E-2</c:v>
                </c:pt>
                <c:pt idx="214">
                  <c:v>5.5249985307455063E-2</c:v>
                </c:pt>
                <c:pt idx="215">
                  <c:v>6.8207249045372009E-2</c:v>
                </c:pt>
                <c:pt idx="216">
                  <c:v>6.0106068849563599E-2</c:v>
                </c:pt>
                <c:pt idx="217">
                  <c:v>5.1354318857192993E-2</c:v>
                </c:pt>
                <c:pt idx="218">
                  <c:v>6.9367349147796631E-2</c:v>
                </c:pt>
                <c:pt idx="219">
                  <c:v>6.3310116529464722E-2</c:v>
                </c:pt>
                <c:pt idx="220">
                  <c:v>4.8571556806564331E-2</c:v>
                </c:pt>
                <c:pt idx="221">
                  <c:v>6.402132660150528E-2</c:v>
                </c:pt>
                <c:pt idx="222">
                  <c:v>5.3248804062604904E-2</c:v>
                </c:pt>
                <c:pt idx="223">
                  <c:v>7.0435024797916412E-2</c:v>
                </c:pt>
                <c:pt idx="224">
                  <c:v>7.1031428873538971E-2</c:v>
                </c:pt>
                <c:pt idx="225">
                  <c:v>5.3535901010036469E-2</c:v>
                </c:pt>
                <c:pt idx="226">
                  <c:v>6.0626637190580368E-2</c:v>
                </c:pt>
                <c:pt idx="227">
                  <c:v>6.9746442139148712E-2</c:v>
                </c:pt>
                <c:pt idx="228">
                  <c:v>4.1841689497232437E-2</c:v>
                </c:pt>
                <c:pt idx="229">
                  <c:v>8.1801041960716248E-2</c:v>
                </c:pt>
                <c:pt idx="230">
                  <c:v>6.2413949519395828E-2</c:v>
                </c:pt>
                <c:pt idx="231">
                  <c:v>7.1732215583324432E-2</c:v>
                </c:pt>
                <c:pt idx="232">
                  <c:v>5.6923869997262955E-2</c:v>
                </c:pt>
                <c:pt idx="233">
                  <c:v>5.3151875734329224E-2</c:v>
                </c:pt>
                <c:pt idx="234">
                  <c:v>5.0561521202325821E-2</c:v>
                </c:pt>
                <c:pt idx="235">
                  <c:v>6.3159547746181488E-2</c:v>
                </c:pt>
                <c:pt idx="236">
                  <c:v>5.4676767438650131E-2</c:v>
                </c:pt>
                <c:pt idx="237">
                  <c:v>6.3564978539943695E-2</c:v>
                </c:pt>
                <c:pt idx="238">
                  <c:v>5.3748283535242081E-2</c:v>
                </c:pt>
                <c:pt idx="239">
                  <c:v>5.3377486765384674E-2</c:v>
                </c:pt>
                <c:pt idx="240">
                  <c:v>6.4331576228141785E-2</c:v>
                </c:pt>
                <c:pt idx="241">
                  <c:v>5.7487931102514267E-2</c:v>
                </c:pt>
                <c:pt idx="242">
                  <c:v>6.7684784531593323E-2</c:v>
                </c:pt>
                <c:pt idx="243">
                  <c:v>5.6442618370056152E-2</c:v>
                </c:pt>
                <c:pt idx="244">
                  <c:v>5.298960953950882E-2</c:v>
                </c:pt>
                <c:pt idx="245">
                  <c:v>5.1717247813940048E-2</c:v>
                </c:pt>
                <c:pt idx="246">
                  <c:v>6.4883038401603699E-2</c:v>
                </c:pt>
                <c:pt idx="247">
                  <c:v>6.6333696246147156E-2</c:v>
                </c:pt>
                <c:pt idx="248">
                  <c:v>4.1571557521820068E-2</c:v>
                </c:pt>
                <c:pt idx="249">
                  <c:v>5.7359080761671066E-2</c:v>
                </c:pt>
                <c:pt idx="250">
                  <c:v>6.4599782228469849E-2</c:v>
                </c:pt>
                <c:pt idx="251">
                  <c:v>4.3133433908224106E-2</c:v>
                </c:pt>
                <c:pt idx="252">
                  <c:v>6.3721790909767151E-2</c:v>
                </c:pt>
                <c:pt idx="253">
                  <c:v>5.1589373499155045E-2</c:v>
                </c:pt>
                <c:pt idx="254">
                  <c:v>5.108979344367981E-2</c:v>
                </c:pt>
                <c:pt idx="255">
                  <c:v>6.3825339078903198E-2</c:v>
                </c:pt>
                <c:pt idx="256">
                  <c:v>5.1454085856676102E-2</c:v>
                </c:pt>
                <c:pt idx="257">
                  <c:v>6.4641937613487244E-2</c:v>
                </c:pt>
                <c:pt idx="258">
                  <c:v>6.0163687914609909E-2</c:v>
                </c:pt>
                <c:pt idx="259">
                  <c:v>4.6928200870752335E-2</c:v>
                </c:pt>
                <c:pt idx="260">
                  <c:v>7.2911113500595093E-2</c:v>
                </c:pt>
                <c:pt idx="261">
                  <c:v>5.1878616213798523E-2</c:v>
                </c:pt>
                <c:pt idx="262">
                  <c:v>5.5775325745344162E-2</c:v>
                </c:pt>
                <c:pt idx="263">
                  <c:v>5.0107333809137344E-2</c:v>
                </c:pt>
                <c:pt idx="264">
                  <c:v>6.4685344696044922E-2</c:v>
                </c:pt>
                <c:pt idx="265">
                  <c:v>6.2020789831876755E-2</c:v>
                </c:pt>
                <c:pt idx="266">
                  <c:v>4.8162698745727539E-2</c:v>
                </c:pt>
                <c:pt idx="267">
                  <c:v>5.1406946033239365E-2</c:v>
                </c:pt>
                <c:pt idx="268">
                  <c:v>6.0759715735912323E-2</c:v>
                </c:pt>
                <c:pt idx="269">
                  <c:v>4.9230016767978668E-2</c:v>
                </c:pt>
                <c:pt idx="270">
                  <c:v>6.0332726687192917E-2</c:v>
                </c:pt>
                <c:pt idx="271">
                  <c:v>5.6926414370536804E-2</c:v>
                </c:pt>
                <c:pt idx="272">
                  <c:v>5.9715647250413895E-2</c:v>
                </c:pt>
                <c:pt idx="273">
                  <c:v>6.8750366568565369E-2</c:v>
                </c:pt>
                <c:pt idx="274">
                  <c:v>5.0291653722524643E-2</c:v>
                </c:pt>
                <c:pt idx="275">
                  <c:v>6.3842244446277618E-2</c:v>
                </c:pt>
                <c:pt idx="276">
                  <c:v>4.9309533089399338E-2</c:v>
                </c:pt>
                <c:pt idx="277">
                  <c:v>6.4911328256130219E-2</c:v>
                </c:pt>
                <c:pt idx="278">
                  <c:v>5.6023906916379929E-2</c:v>
                </c:pt>
                <c:pt idx="279">
                  <c:v>5.8744020760059357E-2</c:v>
                </c:pt>
                <c:pt idx="280">
                  <c:v>6.8379461765289307E-2</c:v>
                </c:pt>
                <c:pt idx="281">
                  <c:v>4.8304688185453415E-2</c:v>
                </c:pt>
                <c:pt idx="282">
                  <c:v>4.1902158409357071E-2</c:v>
                </c:pt>
                <c:pt idx="283">
                  <c:v>6.2539517879486084E-2</c:v>
                </c:pt>
                <c:pt idx="284">
                  <c:v>7.5650796294212341E-2</c:v>
                </c:pt>
                <c:pt idx="285">
                  <c:v>5.5434271693229675E-2</c:v>
                </c:pt>
                <c:pt idx="286">
                  <c:v>7.5598321855068207E-2</c:v>
                </c:pt>
                <c:pt idx="287">
                  <c:v>8.5130617022514343E-2</c:v>
                </c:pt>
                <c:pt idx="288">
                  <c:v>5.3380481898784637E-2</c:v>
                </c:pt>
                <c:pt idx="289">
                  <c:v>6.1554249376058578E-2</c:v>
                </c:pt>
                <c:pt idx="290">
                  <c:v>6.1568502336740494E-2</c:v>
                </c:pt>
                <c:pt idx="291">
                  <c:v>4.4358290731906891E-2</c:v>
                </c:pt>
                <c:pt idx="292">
                  <c:v>5.9747844934463501E-2</c:v>
                </c:pt>
                <c:pt idx="293">
                  <c:v>5.0707325339317322E-2</c:v>
                </c:pt>
                <c:pt idx="294">
                  <c:v>7.2818301618099213E-2</c:v>
                </c:pt>
                <c:pt idx="295">
                  <c:v>4.2300820350646973E-2</c:v>
                </c:pt>
                <c:pt idx="296">
                  <c:v>6.8769596517086029E-2</c:v>
                </c:pt>
                <c:pt idx="297">
                  <c:v>6.0982722789049149E-2</c:v>
                </c:pt>
                <c:pt idx="298">
                  <c:v>6.3515029847621918E-2</c:v>
                </c:pt>
                <c:pt idx="299">
                  <c:v>5.4093863815069199E-2</c:v>
                </c:pt>
                <c:pt idx="300">
                  <c:v>5.4221801459789276E-2</c:v>
                </c:pt>
                <c:pt idx="301">
                  <c:v>5.1373343914747238E-2</c:v>
                </c:pt>
                <c:pt idx="302">
                  <c:v>5.7889524847269058E-2</c:v>
                </c:pt>
                <c:pt idx="303">
                  <c:v>5.0713915377855301E-2</c:v>
                </c:pt>
                <c:pt idx="304">
                  <c:v>6.2386211007833481E-2</c:v>
                </c:pt>
                <c:pt idx="305">
                  <c:v>5.1517188549041748E-2</c:v>
                </c:pt>
                <c:pt idx="306">
                  <c:v>5.2178431302309036E-2</c:v>
                </c:pt>
                <c:pt idx="307">
                  <c:v>7.7539987862110138E-2</c:v>
                </c:pt>
                <c:pt idx="308">
                  <c:v>6.5138846635818481E-2</c:v>
                </c:pt>
                <c:pt idx="309">
                  <c:v>5.6763660162687302E-2</c:v>
                </c:pt>
                <c:pt idx="310">
                  <c:v>5.7431478053331375E-2</c:v>
                </c:pt>
                <c:pt idx="311">
                  <c:v>5.1234669983386993E-2</c:v>
                </c:pt>
                <c:pt idx="312">
                  <c:v>4.7286387532949448E-2</c:v>
                </c:pt>
                <c:pt idx="313">
                  <c:v>8.4963776171207428E-2</c:v>
                </c:pt>
                <c:pt idx="314">
                  <c:v>6.0085583478212357E-2</c:v>
                </c:pt>
                <c:pt idx="315">
                  <c:v>7.7243223786354065E-2</c:v>
                </c:pt>
                <c:pt idx="316">
                  <c:v>5.6608233600854874E-2</c:v>
                </c:pt>
                <c:pt idx="317">
                  <c:v>6.7466229200363159E-2</c:v>
                </c:pt>
                <c:pt idx="318">
                  <c:v>5.7048812508583069E-2</c:v>
                </c:pt>
                <c:pt idx="319">
                  <c:v>5.8340121060609818E-2</c:v>
                </c:pt>
                <c:pt idx="320">
                  <c:v>6.0845226049423218E-2</c:v>
                </c:pt>
                <c:pt idx="321">
                  <c:v>4.2790681123733521E-2</c:v>
                </c:pt>
                <c:pt idx="322">
                  <c:v>5.7852957397699356E-2</c:v>
                </c:pt>
                <c:pt idx="323">
                  <c:v>6.6239453852176666E-2</c:v>
                </c:pt>
                <c:pt idx="324">
                  <c:v>6.1218328773975372E-2</c:v>
                </c:pt>
                <c:pt idx="325">
                  <c:v>5.4925538599491119E-2</c:v>
                </c:pt>
                <c:pt idx="326">
                  <c:v>5.9024829417467117E-2</c:v>
                </c:pt>
                <c:pt idx="327">
                  <c:v>6.4168691635131836E-2</c:v>
                </c:pt>
                <c:pt idx="328">
                  <c:v>6.4136132597923279E-2</c:v>
                </c:pt>
                <c:pt idx="329">
                  <c:v>5.5381815880537033E-2</c:v>
                </c:pt>
                <c:pt idx="330">
                  <c:v>8.239089697599411E-2</c:v>
                </c:pt>
                <c:pt idx="331">
                  <c:v>5.99946528673172E-2</c:v>
                </c:pt>
                <c:pt idx="332">
                  <c:v>5.0547681748867035E-2</c:v>
                </c:pt>
                <c:pt idx="333">
                  <c:v>5.9617631137371063E-2</c:v>
                </c:pt>
                <c:pt idx="334">
                  <c:v>5.8263737708330154E-2</c:v>
                </c:pt>
                <c:pt idx="335">
                  <c:v>6.9031082093715668E-2</c:v>
                </c:pt>
                <c:pt idx="336">
                  <c:v>5.8986350893974304E-2</c:v>
                </c:pt>
                <c:pt idx="337">
                  <c:v>5.5418573319911957E-2</c:v>
                </c:pt>
                <c:pt idx="338">
                  <c:v>6.1870556324720383E-2</c:v>
                </c:pt>
                <c:pt idx="339">
                  <c:v>7.1591630578041077E-2</c:v>
                </c:pt>
                <c:pt idx="340">
                  <c:v>6.6787682473659515E-2</c:v>
                </c:pt>
                <c:pt idx="341">
                  <c:v>4.3304409831762314E-2</c:v>
                </c:pt>
                <c:pt idx="342">
                  <c:v>6.1497189104557037E-2</c:v>
                </c:pt>
                <c:pt idx="343">
                  <c:v>6.6308505833148956E-2</c:v>
                </c:pt>
                <c:pt idx="344">
                  <c:v>5.3687874227762222E-2</c:v>
                </c:pt>
                <c:pt idx="345">
                  <c:v>5.7573698461055756E-2</c:v>
                </c:pt>
                <c:pt idx="346">
                  <c:v>5.7398192584514618E-2</c:v>
                </c:pt>
                <c:pt idx="347">
                  <c:v>5.3230889141559601E-2</c:v>
                </c:pt>
                <c:pt idx="348">
                  <c:v>5.3057152777910233E-2</c:v>
                </c:pt>
                <c:pt idx="349">
                  <c:v>7.2045989334583282E-2</c:v>
                </c:pt>
                <c:pt idx="350">
                  <c:v>5.9226386249065399E-2</c:v>
                </c:pt>
                <c:pt idx="351">
                  <c:v>6.1718873679637909E-2</c:v>
                </c:pt>
                <c:pt idx="352">
                  <c:v>4.8963919281959534E-2</c:v>
                </c:pt>
                <c:pt idx="353">
                  <c:v>5.2435778081417084E-2</c:v>
                </c:pt>
                <c:pt idx="354">
                  <c:v>5.1178727298974991E-2</c:v>
                </c:pt>
                <c:pt idx="355">
                  <c:v>6.1588414013385773E-2</c:v>
                </c:pt>
                <c:pt idx="356">
                  <c:v>5.8748077601194382E-2</c:v>
                </c:pt>
                <c:pt idx="357">
                  <c:v>5.290631577372551E-2</c:v>
                </c:pt>
                <c:pt idx="358">
                  <c:v>6.7723236978054047E-2</c:v>
                </c:pt>
                <c:pt idx="359">
                  <c:v>6.1793122440576553E-2</c:v>
                </c:pt>
                <c:pt idx="360">
                  <c:v>8.7700381875038147E-2</c:v>
                </c:pt>
                <c:pt idx="361">
                  <c:v>4.9077503383159637E-2</c:v>
                </c:pt>
                <c:pt idx="362">
                  <c:v>6.5417580306529999E-2</c:v>
                </c:pt>
                <c:pt idx="363">
                  <c:v>4.4732414186000824E-2</c:v>
                </c:pt>
                <c:pt idx="364">
                  <c:v>5.4711628705263138E-2</c:v>
                </c:pt>
                <c:pt idx="365">
                  <c:v>4.9467969685792923E-2</c:v>
                </c:pt>
                <c:pt idx="366">
                  <c:v>4.6728901565074921E-2</c:v>
                </c:pt>
                <c:pt idx="367">
                  <c:v>5.524396151304245E-2</c:v>
                </c:pt>
                <c:pt idx="368">
                  <c:v>5.0453078001737595E-2</c:v>
                </c:pt>
                <c:pt idx="369">
                  <c:v>6.2156729400157928E-2</c:v>
                </c:pt>
                <c:pt idx="370">
                  <c:v>4.7528736293315887E-2</c:v>
                </c:pt>
                <c:pt idx="371">
                  <c:v>6.7985430359840393E-2</c:v>
                </c:pt>
                <c:pt idx="372">
                  <c:v>7.1489281952381134E-2</c:v>
                </c:pt>
                <c:pt idx="373">
                  <c:v>6.4097650349140167E-2</c:v>
                </c:pt>
                <c:pt idx="374">
                  <c:v>6.4597293734550476E-2</c:v>
                </c:pt>
                <c:pt idx="375">
                  <c:v>5.8640055358409882E-2</c:v>
                </c:pt>
                <c:pt idx="376">
                  <c:v>5.7414311915636063E-2</c:v>
                </c:pt>
                <c:pt idx="377">
                  <c:v>6.5187364816665649E-2</c:v>
                </c:pt>
                <c:pt idx="378">
                  <c:v>6.2522351741790771E-2</c:v>
                </c:pt>
                <c:pt idx="379">
                  <c:v>6.7552909255027771E-2</c:v>
                </c:pt>
                <c:pt idx="380">
                  <c:v>5.9464685618877411E-2</c:v>
                </c:pt>
                <c:pt idx="381">
                  <c:v>5.5310089141130447E-2</c:v>
                </c:pt>
                <c:pt idx="382">
                  <c:v>6.223655492067337E-2</c:v>
                </c:pt>
                <c:pt idx="383">
                  <c:v>5.3323127329349518E-2</c:v>
                </c:pt>
                <c:pt idx="384">
                  <c:v>4.6560242772102356E-2</c:v>
                </c:pt>
                <c:pt idx="385">
                  <c:v>5.5432181805372238E-2</c:v>
                </c:pt>
                <c:pt idx="386">
                  <c:v>5.3008943796157837E-2</c:v>
                </c:pt>
                <c:pt idx="387">
                  <c:v>6.4808107912540436E-2</c:v>
                </c:pt>
                <c:pt idx="388">
                  <c:v>6.1615761369466782E-2</c:v>
                </c:pt>
                <c:pt idx="389">
                  <c:v>5.6797057390213013E-2</c:v>
                </c:pt>
                <c:pt idx="390">
                  <c:v>6.8360120058059692E-2</c:v>
                </c:pt>
                <c:pt idx="391">
                  <c:v>5.9657365083694458E-2</c:v>
                </c:pt>
                <c:pt idx="392">
                  <c:v>6.9337375462055206E-2</c:v>
                </c:pt>
                <c:pt idx="393">
                  <c:v>5.4126854985952377E-2</c:v>
                </c:pt>
                <c:pt idx="394">
                  <c:v>5.2999071776866913E-2</c:v>
                </c:pt>
                <c:pt idx="395">
                  <c:v>7.0107199251651764E-2</c:v>
                </c:pt>
                <c:pt idx="396">
                  <c:v>5.9146948158740997E-2</c:v>
                </c:pt>
                <c:pt idx="397">
                  <c:v>5.6146726012229919E-2</c:v>
                </c:pt>
                <c:pt idx="398">
                  <c:v>5.6487433612346649E-2</c:v>
                </c:pt>
                <c:pt idx="399">
                  <c:v>6.2767274677753448E-2</c:v>
                </c:pt>
                <c:pt idx="400">
                  <c:v>7.734990119934082E-2</c:v>
                </c:pt>
                <c:pt idx="401">
                  <c:v>5.5221527814865112E-2</c:v>
                </c:pt>
                <c:pt idx="402">
                  <c:v>5.9256356209516525E-2</c:v>
                </c:pt>
                <c:pt idx="403">
                  <c:v>6.1183393001556396E-2</c:v>
                </c:pt>
                <c:pt idx="404">
                  <c:v>5.5984023958444595E-2</c:v>
                </c:pt>
                <c:pt idx="405">
                  <c:v>5.3402278572320938E-2</c:v>
                </c:pt>
                <c:pt idx="406">
                  <c:v>5.7288404554128647E-2</c:v>
                </c:pt>
                <c:pt idx="407">
                  <c:v>5.7320136576890945E-2</c:v>
                </c:pt>
                <c:pt idx="408">
                  <c:v>5.9759777039289474E-2</c:v>
                </c:pt>
                <c:pt idx="409">
                  <c:v>5.2351415157318115E-2</c:v>
                </c:pt>
                <c:pt idx="410">
                  <c:v>6.2139999121427536E-2</c:v>
                </c:pt>
                <c:pt idx="411">
                  <c:v>6.3269540667533875E-2</c:v>
                </c:pt>
                <c:pt idx="412">
                  <c:v>5.7489491999149323E-2</c:v>
                </c:pt>
                <c:pt idx="413">
                  <c:v>4.7079969197511673E-2</c:v>
                </c:pt>
                <c:pt idx="414">
                  <c:v>5.9014070779085159E-2</c:v>
                </c:pt>
                <c:pt idx="415">
                  <c:v>5.4215282201766968E-2</c:v>
                </c:pt>
                <c:pt idx="416">
                  <c:v>4.8498362302780151E-2</c:v>
                </c:pt>
                <c:pt idx="417">
                  <c:v>5.0983238965272903E-2</c:v>
                </c:pt>
                <c:pt idx="418">
                  <c:v>7.2917819023132324E-2</c:v>
                </c:pt>
                <c:pt idx="419">
                  <c:v>6.9755859673023224E-2</c:v>
                </c:pt>
                <c:pt idx="420">
                  <c:v>6.0906410217285156E-2</c:v>
                </c:pt>
                <c:pt idx="421">
                  <c:v>5.021141842007637E-2</c:v>
                </c:pt>
                <c:pt idx="422">
                  <c:v>4.900854080915451E-2</c:v>
                </c:pt>
                <c:pt idx="423">
                  <c:v>7.0709019899368286E-2</c:v>
                </c:pt>
                <c:pt idx="424">
                  <c:v>7.1339108049869537E-2</c:v>
                </c:pt>
                <c:pt idx="425">
                  <c:v>6.6475018858909607E-2</c:v>
                </c:pt>
                <c:pt idx="426">
                  <c:v>5.4730549454689026E-2</c:v>
                </c:pt>
                <c:pt idx="427">
                  <c:v>7.4173517525196075E-2</c:v>
                </c:pt>
                <c:pt idx="428">
                  <c:v>5.5126361548900604E-2</c:v>
                </c:pt>
                <c:pt idx="429">
                  <c:v>7.0567503571510315E-2</c:v>
                </c:pt>
                <c:pt idx="430">
                  <c:v>5.8794442564249039E-2</c:v>
                </c:pt>
                <c:pt idx="431">
                  <c:v>6.0306336730718613E-2</c:v>
                </c:pt>
                <c:pt idx="432">
                  <c:v>5.3093168884515762E-2</c:v>
                </c:pt>
                <c:pt idx="433">
                  <c:v>5.3448017686605453E-2</c:v>
                </c:pt>
                <c:pt idx="434">
                  <c:v>5.210273340344429E-2</c:v>
                </c:pt>
                <c:pt idx="435">
                  <c:v>5.6733425706624985E-2</c:v>
                </c:pt>
                <c:pt idx="436">
                  <c:v>5.7406201958656311E-2</c:v>
                </c:pt>
                <c:pt idx="437">
                  <c:v>6.8645782768726349E-2</c:v>
                </c:pt>
                <c:pt idx="438">
                  <c:v>5.4881393909454346E-2</c:v>
                </c:pt>
                <c:pt idx="439">
                  <c:v>6.4980961382389069E-2</c:v>
                </c:pt>
                <c:pt idx="440">
                  <c:v>4.7227077186107635E-2</c:v>
                </c:pt>
                <c:pt idx="441">
                  <c:v>8.314061164855957E-2</c:v>
                </c:pt>
                <c:pt idx="442">
                  <c:v>6.4241118729114532E-2</c:v>
                </c:pt>
                <c:pt idx="443">
                  <c:v>4.9241267144680023E-2</c:v>
                </c:pt>
                <c:pt idx="444">
                  <c:v>6.1083171516656876E-2</c:v>
                </c:pt>
                <c:pt idx="445">
                  <c:v>6.5052658319473267E-2</c:v>
                </c:pt>
                <c:pt idx="446">
                  <c:v>5.0729867070913315E-2</c:v>
                </c:pt>
                <c:pt idx="447">
                  <c:v>5.9555798768997192E-2</c:v>
                </c:pt>
                <c:pt idx="448">
                  <c:v>5.0167307257652283E-2</c:v>
                </c:pt>
                <c:pt idx="449">
                  <c:v>6.0797553509473801E-2</c:v>
                </c:pt>
                <c:pt idx="450">
                  <c:v>6.6145032644271851E-2</c:v>
                </c:pt>
                <c:pt idx="451">
                  <c:v>5.4494522511959076E-2</c:v>
                </c:pt>
                <c:pt idx="452">
                  <c:v>5.1074903458356857E-2</c:v>
                </c:pt>
                <c:pt idx="453">
                  <c:v>6.7987367510795593E-2</c:v>
                </c:pt>
                <c:pt idx="454">
                  <c:v>7.3901988565921783E-2</c:v>
                </c:pt>
                <c:pt idx="455">
                  <c:v>5.1583733409643173E-2</c:v>
                </c:pt>
                <c:pt idx="456">
                  <c:v>5.7080492377281189E-2</c:v>
                </c:pt>
                <c:pt idx="457">
                  <c:v>5.8636553585529327E-2</c:v>
                </c:pt>
                <c:pt idx="458">
                  <c:v>6.0603678226470947E-2</c:v>
                </c:pt>
                <c:pt idx="459">
                  <c:v>4.5254886150360107E-2</c:v>
                </c:pt>
                <c:pt idx="460">
                  <c:v>5.3910769522190094E-2</c:v>
                </c:pt>
                <c:pt idx="461">
                  <c:v>7.6710514724254608E-2</c:v>
                </c:pt>
                <c:pt idx="462">
                  <c:v>5.5727217346429825E-2</c:v>
                </c:pt>
                <c:pt idx="463">
                  <c:v>7.0053771138191223E-2</c:v>
                </c:pt>
                <c:pt idx="464">
                  <c:v>4.392494261264801E-2</c:v>
                </c:pt>
                <c:pt idx="465">
                  <c:v>5.6261740624904633E-2</c:v>
                </c:pt>
                <c:pt idx="466">
                  <c:v>7.7283039689064026E-2</c:v>
                </c:pt>
                <c:pt idx="467">
                  <c:v>6.3288614153862E-2</c:v>
                </c:pt>
                <c:pt idx="468">
                  <c:v>7.0121079683303833E-2</c:v>
                </c:pt>
                <c:pt idx="469">
                  <c:v>5.3586643189191818E-2</c:v>
                </c:pt>
                <c:pt idx="470">
                  <c:v>4.7970522195100784E-2</c:v>
                </c:pt>
                <c:pt idx="471">
                  <c:v>5.7593218982219696E-2</c:v>
                </c:pt>
                <c:pt idx="472">
                  <c:v>4.9566250294446945E-2</c:v>
                </c:pt>
                <c:pt idx="473">
                  <c:v>5.650705099105835E-2</c:v>
                </c:pt>
                <c:pt idx="474">
                  <c:v>5.4156724363565445E-2</c:v>
                </c:pt>
                <c:pt idx="475">
                  <c:v>4.0831785649061203E-2</c:v>
                </c:pt>
                <c:pt idx="476">
                  <c:v>4.7671709209680557E-2</c:v>
                </c:pt>
                <c:pt idx="477">
                  <c:v>6.4773961901664734E-2</c:v>
                </c:pt>
                <c:pt idx="478">
                  <c:v>4.6704314649105072E-2</c:v>
                </c:pt>
                <c:pt idx="479">
                  <c:v>5.8821246027946472E-2</c:v>
                </c:pt>
                <c:pt idx="480">
                  <c:v>6.1207085847854614E-2</c:v>
                </c:pt>
                <c:pt idx="481">
                  <c:v>6.032930314540863E-2</c:v>
                </c:pt>
                <c:pt idx="482">
                  <c:v>5.855545774102211E-2</c:v>
                </c:pt>
                <c:pt idx="483">
                  <c:v>4.7171950340270996E-2</c:v>
                </c:pt>
                <c:pt idx="484">
                  <c:v>5.3666643798351288E-2</c:v>
                </c:pt>
                <c:pt idx="485">
                  <c:v>5.2269726991653442E-2</c:v>
                </c:pt>
                <c:pt idx="486">
                  <c:v>5.0335679203271866E-2</c:v>
                </c:pt>
                <c:pt idx="487">
                  <c:v>5.066024512052536E-2</c:v>
                </c:pt>
                <c:pt idx="488">
                  <c:v>5.2382778376340866E-2</c:v>
                </c:pt>
                <c:pt idx="489">
                  <c:v>5.7926494628190994E-2</c:v>
                </c:pt>
                <c:pt idx="490">
                  <c:v>6.346999853849411E-2</c:v>
                </c:pt>
                <c:pt idx="491">
                  <c:v>6.6016368567943573E-2</c:v>
                </c:pt>
                <c:pt idx="492">
                  <c:v>5.1573954522609711E-2</c:v>
                </c:pt>
                <c:pt idx="493">
                  <c:v>5.7145867496728897E-2</c:v>
                </c:pt>
                <c:pt idx="494">
                  <c:v>7.7189698815345764E-2</c:v>
                </c:pt>
                <c:pt idx="495">
                  <c:v>5.9153005480766296E-2</c:v>
                </c:pt>
                <c:pt idx="496">
                  <c:v>5.5316172540187836E-2</c:v>
                </c:pt>
                <c:pt idx="497">
                  <c:v>5.9575889259576797E-2</c:v>
                </c:pt>
                <c:pt idx="498">
                  <c:v>5.3841464221477509E-2</c:v>
                </c:pt>
                <c:pt idx="499">
                  <c:v>6.7294389009475708E-2</c:v>
                </c:pt>
                <c:pt idx="500">
                  <c:v>5.8387327939271927E-2</c:v>
                </c:pt>
                <c:pt idx="501">
                  <c:v>5.071721225976944E-2</c:v>
                </c:pt>
                <c:pt idx="502">
                  <c:v>6.3429214060306549E-2</c:v>
                </c:pt>
                <c:pt idx="503">
                  <c:v>6.4713083207607269E-2</c:v>
                </c:pt>
                <c:pt idx="504">
                  <c:v>5.2225571125745773E-2</c:v>
                </c:pt>
                <c:pt idx="505">
                  <c:v>6.0372296720743179E-2</c:v>
                </c:pt>
                <c:pt idx="506">
                  <c:v>5.4598424583673477E-2</c:v>
                </c:pt>
                <c:pt idx="507">
                  <c:v>4.6189837157726288E-2</c:v>
                </c:pt>
                <c:pt idx="508">
                  <c:v>4.6377111226320267E-2</c:v>
                </c:pt>
                <c:pt idx="509">
                  <c:v>6.08786940574646E-2</c:v>
                </c:pt>
                <c:pt idx="510">
                  <c:v>4.7615155577659607E-2</c:v>
                </c:pt>
                <c:pt idx="511">
                  <c:v>8.0530837178230286E-2</c:v>
                </c:pt>
                <c:pt idx="512">
                  <c:v>5.5579580366611481E-2</c:v>
                </c:pt>
                <c:pt idx="513">
                  <c:v>8.8366173207759857E-2</c:v>
                </c:pt>
                <c:pt idx="514">
                  <c:v>5.8425262570381165E-2</c:v>
                </c:pt>
                <c:pt idx="515">
                  <c:v>5.0832502543926239E-2</c:v>
                </c:pt>
                <c:pt idx="516">
                  <c:v>6.3179343938827515E-2</c:v>
                </c:pt>
                <c:pt idx="517">
                  <c:v>6.3216716051101685E-2</c:v>
                </c:pt>
                <c:pt idx="518">
                  <c:v>4.1048698127269745E-2</c:v>
                </c:pt>
                <c:pt idx="519">
                  <c:v>6.4254067838191986E-2</c:v>
                </c:pt>
                <c:pt idx="520">
                  <c:v>5.6125063449144363E-2</c:v>
                </c:pt>
                <c:pt idx="521">
                  <c:v>7.7569872140884399E-2</c:v>
                </c:pt>
                <c:pt idx="522">
                  <c:v>5.5313900113105774E-2</c:v>
                </c:pt>
                <c:pt idx="523">
                  <c:v>4.8626333475112915E-2</c:v>
                </c:pt>
                <c:pt idx="524">
                  <c:v>5.8927427977323532E-2</c:v>
                </c:pt>
                <c:pt idx="525">
                  <c:v>6.1754114925861359E-2</c:v>
                </c:pt>
                <c:pt idx="526">
                  <c:v>5.3394243121147156E-2</c:v>
                </c:pt>
                <c:pt idx="527">
                  <c:v>5.9483882039785385E-2</c:v>
                </c:pt>
                <c:pt idx="528">
                  <c:v>4.7091566026210785E-2</c:v>
                </c:pt>
                <c:pt idx="529">
                  <c:v>4.841386154294014E-2</c:v>
                </c:pt>
                <c:pt idx="530">
                  <c:v>4.8512768000364304E-2</c:v>
                </c:pt>
                <c:pt idx="531">
                  <c:v>5.1481883972883224E-2</c:v>
                </c:pt>
                <c:pt idx="532">
                  <c:v>5.8353256434202194E-2</c:v>
                </c:pt>
                <c:pt idx="533">
                  <c:v>5.6999005377292633E-2</c:v>
                </c:pt>
                <c:pt idx="534">
                  <c:v>4.3577764183282852E-2</c:v>
                </c:pt>
                <c:pt idx="535">
                  <c:v>6.0918353497982025E-2</c:v>
                </c:pt>
                <c:pt idx="536">
                  <c:v>5.3152475506067276E-2</c:v>
                </c:pt>
                <c:pt idx="537">
                  <c:v>7.4391812086105347E-2</c:v>
                </c:pt>
                <c:pt idx="538">
                  <c:v>5.812489241361618E-2</c:v>
                </c:pt>
                <c:pt idx="539">
                  <c:v>6.3223816454410553E-2</c:v>
                </c:pt>
                <c:pt idx="540">
                  <c:v>6.0521360486745834E-2</c:v>
                </c:pt>
                <c:pt idx="541">
                  <c:v>5.2644945681095123E-2</c:v>
                </c:pt>
                <c:pt idx="542">
                  <c:v>7.3016025125980377E-2</c:v>
                </c:pt>
                <c:pt idx="543">
                  <c:v>4.7187786549329758E-2</c:v>
                </c:pt>
                <c:pt idx="544">
                  <c:v>6.2213771045207977E-2</c:v>
                </c:pt>
                <c:pt idx="545">
                  <c:v>6.3931979238986969E-2</c:v>
                </c:pt>
                <c:pt idx="546">
                  <c:v>5.8200456202030182E-2</c:v>
                </c:pt>
                <c:pt idx="547">
                  <c:v>5.8457568287849426E-2</c:v>
                </c:pt>
                <c:pt idx="548">
                  <c:v>7.1137525141239166E-2</c:v>
                </c:pt>
                <c:pt idx="549">
                  <c:v>5.3121183067560196E-2</c:v>
                </c:pt>
                <c:pt idx="550">
                  <c:v>7.2680763900279999E-2</c:v>
                </c:pt>
                <c:pt idx="551">
                  <c:v>5.8024812489748001E-2</c:v>
                </c:pt>
                <c:pt idx="552">
                  <c:v>4.3722130358219147E-2</c:v>
                </c:pt>
                <c:pt idx="553">
                  <c:v>6.2824927270412445E-2</c:v>
                </c:pt>
                <c:pt idx="554">
                  <c:v>4.3477945029735565E-2</c:v>
                </c:pt>
                <c:pt idx="555">
                  <c:v>5.3811892867088318E-2</c:v>
                </c:pt>
                <c:pt idx="556">
                  <c:v>7.4504971504211426E-2</c:v>
                </c:pt>
                <c:pt idx="557">
                  <c:v>7.1158751845359802E-2</c:v>
                </c:pt>
                <c:pt idx="558">
                  <c:v>7.723834365606308E-2</c:v>
                </c:pt>
                <c:pt idx="559">
                  <c:v>5.1601361483335495E-2</c:v>
                </c:pt>
                <c:pt idx="560">
                  <c:v>4.9430593848228455E-2</c:v>
                </c:pt>
                <c:pt idx="561">
                  <c:v>5.2971497178077698E-2</c:v>
                </c:pt>
                <c:pt idx="562">
                  <c:v>6.9428533315658569E-2</c:v>
                </c:pt>
                <c:pt idx="563">
                  <c:v>5.953478068113327E-2</c:v>
                </c:pt>
                <c:pt idx="564">
                  <c:v>5.9019781649112701E-2</c:v>
                </c:pt>
                <c:pt idx="565">
                  <c:v>7.7739953994750977E-2</c:v>
                </c:pt>
                <c:pt idx="566">
                  <c:v>6.5037108957767487E-2</c:v>
                </c:pt>
                <c:pt idx="567">
                  <c:v>4.8124402761459351E-2</c:v>
                </c:pt>
                <c:pt idx="568">
                  <c:v>5.7384401559829712E-2</c:v>
                </c:pt>
                <c:pt idx="569">
                  <c:v>6.6395565867424011E-2</c:v>
                </c:pt>
                <c:pt idx="570">
                  <c:v>6.0579612851142883E-2</c:v>
                </c:pt>
                <c:pt idx="571">
                  <c:v>6.4802654087543488E-2</c:v>
                </c:pt>
                <c:pt idx="572">
                  <c:v>6.4805135130882263E-2</c:v>
                </c:pt>
                <c:pt idx="573">
                  <c:v>6.531350314617157E-2</c:v>
                </c:pt>
                <c:pt idx="574">
                  <c:v>7.0693671703338623E-2</c:v>
                </c:pt>
                <c:pt idx="575">
                  <c:v>5.3443882614374161E-2</c:v>
                </c:pt>
                <c:pt idx="576">
                  <c:v>5.9089023619890213E-2</c:v>
                </c:pt>
                <c:pt idx="577">
                  <c:v>4.2261984199285507E-2</c:v>
                </c:pt>
                <c:pt idx="578">
                  <c:v>5.0131000578403473E-2</c:v>
                </c:pt>
                <c:pt idx="579">
                  <c:v>5.7513449341058731E-2</c:v>
                </c:pt>
                <c:pt idx="580">
                  <c:v>5.9692662209272385E-2</c:v>
                </c:pt>
                <c:pt idx="581">
                  <c:v>6.8572074174880981E-2</c:v>
                </c:pt>
                <c:pt idx="582">
                  <c:v>5.8463346213102341E-2</c:v>
                </c:pt>
                <c:pt idx="583">
                  <c:v>5.2714765071868896E-2</c:v>
                </c:pt>
                <c:pt idx="584">
                  <c:v>5.4301746189594269E-2</c:v>
                </c:pt>
                <c:pt idx="585">
                  <c:v>5.3010668605566025E-2</c:v>
                </c:pt>
                <c:pt idx="586">
                  <c:v>5.6371916085481644E-2</c:v>
                </c:pt>
                <c:pt idx="587">
                  <c:v>5.6457862257957458E-2</c:v>
                </c:pt>
                <c:pt idx="588">
                  <c:v>4.597899317741394E-2</c:v>
                </c:pt>
                <c:pt idx="589">
                  <c:v>6.7182198166847229E-2</c:v>
                </c:pt>
                <c:pt idx="590">
                  <c:v>5.143703892827034E-2</c:v>
                </c:pt>
                <c:pt idx="591">
                  <c:v>5.6235432624816895E-2</c:v>
                </c:pt>
                <c:pt idx="592">
                  <c:v>6.0742471367120743E-2</c:v>
                </c:pt>
                <c:pt idx="593">
                  <c:v>5.5093735456466675E-2</c:v>
                </c:pt>
                <c:pt idx="594">
                  <c:v>4.673970490694046E-2</c:v>
                </c:pt>
                <c:pt idx="595">
                  <c:v>5.1986873149871826E-2</c:v>
                </c:pt>
                <c:pt idx="596">
                  <c:v>4.8801399767398834E-2</c:v>
                </c:pt>
                <c:pt idx="597">
                  <c:v>5.8505024760961533E-2</c:v>
                </c:pt>
                <c:pt idx="598">
                  <c:v>5.4357271641492844E-2</c:v>
                </c:pt>
                <c:pt idx="599">
                  <c:v>4.8986580222845078E-2</c:v>
                </c:pt>
                <c:pt idx="600">
                  <c:v>5.2862983196973801E-2</c:v>
                </c:pt>
                <c:pt idx="601">
                  <c:v>5.3517106920480728E-2</c:v>
                </c:pt>
                <c:pt idx="602">
                  <c:v>4.6728931367397308E-2</c:v>
                </c:pt>
                <c:pt idx="603">
                  <c:v>5.8700881898403168E-2</c:v>
                </c:pt>
                <c:pt idx="604">
                  <c:v>8.3568990230560303E-2</c:v>
                </c:pt>
                <c:pt idx="605">
                  <c:v>5.4497703909873962E-2</c:v>
                </c:pt>
                <c:pt idx="606">
                  <c:v>5.2314843982458115E-2</c:v>
                </c:pt>
                <c:pt idx="607">
                  <c:v>4.8181746155023575E-2</c:v>
                </c:pt>
                <c:pt idx="608">
                  <c:v>5.2511543035507202E-2</c:v>
                </c:pt>
                <c:pt idx="609">
                  <c:v>4.9451205879449844E-2</c:v>
                </c:pt>
                <c:pt idx="610">
                  <c:v>4.0323689579963684E-2</c:v>
                </c:pt>
                <c:pt idx="611">
                  <c:v>6.9838620722293854E-2</c:v>
                </c:pt>
                <c:pt idx="612">
                  <c:v>6.3390418887138367E-2</c:v>
                </c:pt>
                <c:pt idx="613">
                  <c:v>6.6264547407627106E-2</c:v>
                </c:pt>
                <c:pt idx="614">
                  <c:v>5.9201847761869431E-2</c:v>
                </c:pt>
                <c:pt idx="615">
                  <c:v>7.9696670174598694E-2</c:v>
                </c:pt>
                <c:pt idx="616">
                  <c:v>4.7642495483160019E-2</c:v>
                </c:pt>
                <c:pt idx="617">
                  <c:v>5.2454892545938492E-2</c:v>
                </c:pt>
                <c:pt idx="618">
                  <c:v>6.3516929745674133E-2</c:v>
                </c:pt>
                <c:pt idx="619">
                  <c:v>6.2175210565328598E-2</c:v>
                </c:pt>
                <c:pt idx="620">
                  <c:v>4.5347046107053757E-2</c:v>
                </c:pt>
                <c:pt idx="621">
                  <c:v>5.489499494433403E-2</c:v>
                </c:pt>
                <c:pt idx="622">
                  <c:v>5.5870585143566132E-2</c:v>
                </c:pt>
                <c:pt idx="623">
                  <c:v>5.1271297037601471E-2</c:v>
                </c:pt>
                <c:pt idx="624">
                  <c:v>4.878765344619751E-2</c:v>
                </c:pt>
                <c:pt idx="625">
                  <c:v>5.4189391434192657E-2</c:v>
                </c:pt>
                <c:pt idx="626">
                  <c:v>4.9836885184049606E-2</c:v>
                </c:pt>
                <c:pt idx="627">
                  <c:v>7.5353257358074188E-2</c:v>
                </c:pt>
                <c:pt idx="628">
                  <c:v>4.1927702724933624E-2</c:v>
                </c:pt>
                <c:pt idx="629">
                  <c:v>4.4674374163150787E-2</c:v>
                </c:pt>
                <c:pt idx="630">
                  <c:v>5.9694074094295502E-2</c:v>
                </c:pt>
                <c:pt idx="631">
                  <c:v>4.8444926738739014E-2</c:v>
                </c:pt>
                <c:pt idx="632">
                  <c:v>5.1000978797674179E-2</c:v>
                </c:pt>
                <c:pt idx="633">
                  <c:v>5.6240290403366089E-2</c:v>
                </c:pt>
                <c:pt idx="634">
                  <c:v>6.8793430924415588E-2</c:v>
                </c:pt>
                <c:pt idx="635">
                  <c:v>5.8927889913320541E-2</c:v>
                </c:pt>
                <c:pt idx="636">
                  <c:v>7.079741358757019E-2</c:v>
                </c:pt>
                <c:pt idx="637">
                  <c:v>6.6344313323497772E-2</c:v>
                </c:pt>
                <c:pt idx="638">
                  <c:v>4.5001298189163208E-2</c:v>
                </c:pt>
                <c:pt idx="639">
                  <c:v>6.0762867331504822E-2</c:v>
                </c:pt>
                <c:pt idx="640">
                  <c:v>6.8916715681552887E-2</c:v>
                </c:pt>
                <c:pt idx="641">
                  <c:v>5.0550948828458786E-2</c:v>
                </c:pt>
                <c:pt idx="642">
                  <c:v>6.5282717347145081E-2</c:v>
                </c:pt>
                <c:pt idx="643">
                  <c:v>5.3048420697450638E-2</c:v>
                </c:pt>
                <c:pt idx="644">
                  <c:v>5.8870524168014526E-2</c:v>
                </c:pt>
                <c:pt idx="645">
                  <c:v>6.0014251619577408E-2</c:v>
                </c:pt>
                <c:pt idx="646">
                  <c:v>5.5945422500371933E-2</c:v>
                </c:pt>
                <c:pt idx="647">
                  <c:v>7.0077002048492432E-2</c:v>
                </c:pt>
                <c:pt idx="648">
                  <c:v>5.1737487316131592E-2</c:v>
                </c:pt>
                <c:pt idx="649">
                  <c:v>6.1210699379444122E-2</c:v>
                </c:pt>
                <c:pt idx="650">
                  <c:v>6.2931053340435028E-2</c:v>
                </c:pt>
                <c:pt idx="651">
                  <c:v>4.2579442262649536E-2</c:v>
                </c:pt>
                <c:pt idx="652">
                  <c:v>4.6658363193273544E-2</c:v>
                </c:pt>
                <c:pt idx="653">
                  <c:v>5.7545054703950882E-2</c:v>
                </c:pt>
                <c:pt idx="654">
                  <c:v>6.1406645923852921E-2</c:v>
                </c:pt>
                <c:pt idx="655">
                  <c:v>7.8300885856151581E-2</c:v>
                </c:pt>
                <c:pt idx="656">
                  <c:v>4.8421092331409454E-2</c:v>
                </c:pt>
                <c:pt idx="657">
                  <c:v>5.8725487440824509E-2</c:v>
                </c:pt>
                <c:pt idx="658">
                  <c:v>4.4998571276664734E-2</c:v>
                </c:pt>
                <c:pt idx="659">
                  <c:v>4.783061146736145E-2</c:v>
                </c:pt>
                <c:pt idx="660">
                  <c:v>5.3483970463275909E-2</c:v>
                </c:pt>
                <c:pt idx="661">
                  <c:v>5.6417964398860931E-2</c:v>
                </c:pt>
                <c:pt idx="662">
                  <c:v>8.2708574831485748E-2</c:v>
                </c:pt>
                <c:pt idx="663">
                  <c:v>6.3798315823078156E-2</c:v>
                </c:pt>
                <c:pt idx="664">
                  <c:v>5.2884235978126526E-2</c:v>
                </c:pt>
                <c:pt idx="665">
                  <c:v>6.1802923679351807E-2</c:v>
                </c:pt>
                <c:pt idx="666">
                  <c:v>5.3178600966930389E-2</c:v>
                </c:pt>
                <c:pt idx="667">
                  <c:v>5.2858989685773849E-2</c:v>
                </c:pt>
                <c:pt idx="668">
                  <c:v>6.3268415629863739E-2</c:v>
                </c:pt>
                <c:pt idx="669">
                  <c:v>4.5887306332588196E-2</c:v>
                </c:pt>
                <c:pt idx="670">
                  <c:v>6.4891092479228973E-2</c:v>
                </c:pt>
                <c:pt idx="671">
                  <c:v>5.7257786393165588E-2</c:v>
                </c:pt>
                <c:pt idx="672">
                  <c:v>4.599442332983017E-2</c:v>
                </c:pt>
                <c:pt idx="673">
                  <c:v>6.2927424907684326E-2</c:v>
                </c:pt>
                <c:pt idx="674">
                  <c:v>6.1001889407634735E-2</c:v>
                </c:pt>
                <c:pt idx="675">
                  <c:v>5.7939145714044571E-2</c:v>
                </c:pt>
                <c:pt idx="676">
                  <c:v>6.6655747592449188E-2</c:v>
                </c:pt>
                <c:pt idx="677">
                  <c:v>6.7886888980865479E-2</c:v>
                </c:pt>
                <c:pt idx="678">
                  <c:v>6.7883104085922241E-2</c:v>
                </c:pt>
                <c:pt idx="679">
                  <c:v>6.8944424390792847E-2</c:v>
                </c:pt>
                <c:pt idx="680">
                  <c:v>5.4500367492437363E-2</c:v>
                </c:pt>
                <c:pt idx="681">
                  <c:v>6.0042262077331543E-2</c:v>
                </c:pt>
                <c:pt idx="682">
                  <c:v>6.2215272337198257E-2</c:v>
                </c:pt>
                <c:pt idx="683">
                  <c:v>4.031604528427124E-2</c:v>
                </c:pt>
                <c:pt idx="684">
                  <c:v>6.2440790235996246E-2</c:v>
                </c:pt>
                <c:pt idx="685">
                  <c:v>5.8739293366670609E-2</c:v>
                </c:pt>
                <c:pt idx="686">
                  <c:v>6.5322592854499817E-2</c:v>
                </c:pt>
                <c:pt idx="687">
                  <c:v>3.9864242076873779E-2</c:v>
                </c:pt>
                <c:pt idx="688">
                  <c:v>6.9561347365379333E-2</c:v>
                </c:pt>
                <c:pt idx="689">
                  <c:v>6.4127303659915924E-2</c:v>
                </c:pt>
                <c:pt idx="690">
                  <c:v>5.7916373014450073E-2</c:v>
                </c:pt>
                <c:pt idx="691">
                  <c:v>7.6749078929424286E-2</c:v>
                </c:pt>
                <c:pt idx="692">
                  <c:v>5.1634091883897781E-2</c:v>
                </c:pt>
                <c:pt idx="693">
                  <c:v>4.9243133515119553E-2</c:v>
                </c:pt>
                <c:pt idx="694">
                  <c:v>4.4106669723987579E-2</c:v>
                </c:pt>
                <c:pt idx="695">
                  <c:v>7.3785148561000824E-2</c:v>
                </c:pt>
                <c:pt idx="696">
                  <c:v>5.7908840477466583E-2</c:v>
                </c:pt>
                <c:pt idx="697">
                  <c:v>7.0755913853645325E-2</c:v>
                </c:pt>
                <c:pt idx="698">
                  <c:v>6.9178909063339233E-2</c:v>
                </c:pt>
                <c:pt idx="699">
                  <c:v>6.0096610337495804E-2</c:v>
                </c:pt>
                <c:pt idx="700">
                  <c:v>7.0604667067527771E-2</c:v>
                </c:pt>
                <c:pt idx="701">
                  <c:v>7.047155499458313E-2</c:v>
                </c:pt>
                <c:pt idx="702">
                  <c:v>6.6773504018783569E-2</c:v>
                </c:pt>
                <c:pt idx="703">
                  <c:v>4.9436859786510468E-2</c:v>
                </c:pt>
                <c:pt idx="704">
                  <c:v>6.6728651523590088E-2</c:v>
                </c:pt>
                <c:pt idx="705">
                  <c:v>4.8464987426996231E-2</c:v>
                </c:pt>
                <c:pt idx="706">
                  <c:v>7.3471382260322571E-2</c:v>
                </c:pt>
                <c:pt idx="707">
                  <c:v>6.6031947731971741E-2</c:v>
                </c:pt>
                <c:pt idx="708">
                  <c:v>5.790342390537262E-2</c:v>
                </c:pt>
                <c:pt idx="709">
                  <c:v>5.8852445334196091E-2</c:v>
                </c:pt>
                <c:pt idx="710">
                  <c:v>5.7413544505834579E-2</c:v>
                </c:pt>
                <c:pt idx="711">
                  <c:v>7.0735514163970947E-2</c:v>
                </c:pt>
                <c:pt idx="712">
                  <c:v>4.9818318337202072E-2</c:v>
                </c:pt>
                <c:pt idx="713">
                  <c:v>4.7916732728481293E-2</c:v>
                </c:pt>
                <c:pt idx="714">
                  <c:v>5.0304621458053589E-2</c:v>
                </c:pt>
                <c:pt idx="715">
                  <c:v>4.8388835042715073E-2</c:v>
                </c:pt>
                <c:pt idx="716">
                  <c:v>6.8739242851734161E-2</c:v>
                </c:pt>
                <c:pt idx="717">
                  <c:v>6.6182248294353485E-2</c:v>
                </c:pt>
                <c:pt idx="718">
                  <c:v>5.9327464550733566E-2</c:v>
                </c:pt>
                <c:pt idx="719">
                  <c:v>6.7870885133743286E-2</c:v>
                </c:pt>
                <c:pt idx="720">
                  <c:v>5.3318381309509277E-2</c:v>
                </c:pt>
                <c:pt idx="721">
                  <c:v>4.5552652329206467E-2</c:v>
                </c:pt>
                <c:pt idx="722">
                  <c:v>7.3326915502548218E-2</c:v>
                </c:pt>
                <c:pt idx="723">
                  <c:v>4.9497593194246292E-2</c:v>
                </c:pt>
                <c:pt idx="724">
                  <c:v>5.7796847075223923E-2</c:v>
                </c:pt>
                <c:pt idx="725">
                  <c:v>5.7727281004190445E-2</c:v>
                </c:pt>
                <c:pt idx="726">
                  <c:v>5.4744124412536621E-2</c:v>
                </c:pt>
                <c:pt idx="727">
                  <c:v>4.39792200922966E-2</c:v>
                </c:pt>
                <c:pt idx="728">
                  <c:v>4.6947754919528961E-2</c:v>
                </c:pt>
                <c:pt idx="729">
                  <c:v>4.6440329402685165E-2</c:v>
                </c:pt>
                <c:pt idx="730">
                  <c:v>6.4200662076473236E-2</c:v>
                </c:pt>
                <c:pt idx="731">
                  <c:v>8.6999073624610901E-2</c:v>
                </c:pt>
                <c:pt idx="732">
                  <c:v>5.1082771271467209E-2</c:v>
                </c:pt>
                <c:pt idx="733">
                  <c:v>4.5210469514131546E-2</c:v>
                </c:pt>
                <c:pt idx="734">
                  <c:v>6.4807765185832977E-2</c:v>
                </c:pt>
                <c:pt idx="735">
                  <c:v>6.0132373124361038E-2</c:v>
                </c:pt>
                <c:pt idx="736">
                  <c:v>6.0324307531118393E-2</c:v>
                </c:pt>
                <c:pt idx="737">
                  <c:v>6.0565508902072906E-2</c:v>
                </c:pt>
                <c:pt idx="738">
                  <c:v>4.2481228709220886E-2</c:v>
                </c:pt>
                <c:pt idx="739">
                  <c:v>4.6991758048534393E-2</c:v>
                </c:pt>
                <c:pt idx="740">
                  <c:v>6.0121286660432816E-2</c:v>
                </c:pt>
                <c:pt idx="741">
                  <c:v>6.9943785667419434E-2</c:v>
                </c:pt>
                <c:pt idx="742">
                  <c:v>5.5473126471042633E-2</c:v>
                </c:pt>
                <c:pt idx="743">
                  <c:v>5.2616141736507416E-2</c:v>
                </c:pt>
                <c:pt idx="744">
                  <c:v>5.6454740464687347E-2</c:v>
                </c:pt>
                <c:pt idx="745">
                  <c:v>5.7384971529245377E-2</c:v>
                </c:pt>
                <c:pt idx="746">
                  <c:v>5.247173085808754E-2</c:v>
                </c:pt>
                <c:pt idx="747">
                  <c:v>6.5672531723976135E-2</c:v>
                </c:pt>
                <c:pt idx="748">
                  <c:v>5.2181843668222427E-2</c:v>
                </c:pt>
                <c:pt idx="749">
                  <c:v>4.93878573179245E-2</c:v>
                </c:pt>
                <c:pt idx="750">
                  <c:v>6.528010219335556E-2</c:v>
                </c:pt>
                <c:pt idx="751">
                  <c:v>5.6611333042383194E-2</c:v>
                </c:pt>
                <c:pt idx="752">
                  <c:v>5.1364533603191376E-2</c:v>
                </c:pt>
                <c:pt idx="753">
                  <c:v>4.5615267008543015E-2</c:v>
                </c:pt>
                <c:pt idx="754">
                  <c:v>7.5059458613395691E-2</c:v>
                </c:pt>
                <c:pt idx="755">
                  <c:v>6.1782926321029663E-2</c:v>
                </c:pt>
                <c:pt idx="756">
                  <c:v>4.7055888921022415E-2</c:v>
                </c:pt>
                <c:pt idx="757">
                  <c:v>5.8759681880474091E-2</c:v>
                </c:pt>
                <c:pt idx="758">
                  <c:v>6.7437626421451569E-2</c:v>
                </c:pt>
                <c:pt idx="759">
                  <c:v>7.4115313589572906E-2</c:v>
                </c:pt>
                <c:pt idx="760">
                  <c:v>9.0474426746368408E-2</c:v>
                </c:pt>
                <c:pt idx="761">
                  <c:v>6.8079829216003418E-2</c:v>
                </c:pt>
                <c:pt idx="762">
                  <c:v>6.3873842358589172E-2</c:v>
                </c:pt>
                <c:pt idx="763">
                  <c:v>6.6012144088745117E-2</c:v>
                </c:pt>
                <c:pt idx="764">
                  <c:v>6.1565954238176346E-2</c:v>
                </c:pt>
                <c:pt idx="765">
                  <c:v>5.9064436703920364E-2</c:v>
                </c:pt>
                <c:pt idx="766">
                  <c:v>6.578671932220459E-2</c:v>
                </c:pt>
                <c:pt idx="767">
                  <c:v>5.0576034933328629E-2</c:v>
                </c:pt>
                <c:pt idx="768">
                  <c:v>4.8916410654783249E-2</c:v>
                </c:pt>
                <c:pt idx="769">
                  <c:v>5.1636829972267151E-2</c:v>
                </c:pt>
                <c:pt idx="770">
                  <c:v>4.8757486045360565E-2</c:v>
                </c:pt>
                <c:pt idx="771">
                  <c:v>5.1518231630325317E-2</c:v>
                </c:pt>
                <c:pt idx="772">
                  <c:v>7.3322750627994537E-2</c:v>
                </c:pt>
                <c:pt idx="773">
                  <c:v>7.3287896811962128E-2</c:v>
                </c:pt>
                <c:pt idx="774">
                  <c:v>6.2922105193138123E-2</c:v>
                </c:pt>
                <c:pt idx="775">
                  <c:v>5.4847542196512222E-2</c:v>
                </c:pt>
                <c:pt idx="776">
                  <c:v>5.8682814240455627E-2</c:v>
                </c:pt>
                <c:pt idx="777">
                  <c:v>5.2448049187660217E-2</c:v>
                </c:pt>
                <c:pt idx="778">
                  <c:v>4.7747243195772171E-2</c:v>
                </c:pt>
                <c:pt idx="779">
                  <c:v>7.706865668296814E-2</c:v>
                </c:pt>
                <c:pt idx="780">
                  <c:v>5.0039447844028473E-2</c:v>
                </c:pt>
                <c:pt idx="781">
                  <c:v>5.9210155159235001E-2</c:v>
                </c:pt>
                <c:pt idx="782">
                  <c:v>6.3501812517642975E-2</c:v>
                </c:pt>
                <c:pt idx="783">
                  <c:v>4.7877170145511627E-2</c:v>
                </c:pt>
                <c:pt idx="784">
                  <c:v>4.3119113892316818E-2</c:v>
                </c:pt>
                <c:pt idx="785">
                  <c:v>7.6872698962688446E-2</c:v>
                </c:pt>
                <c:pt idx="786">
                  <c:v>5.2195291966199875E-2</c:v>
                </c:pt>
                <c:pt idx="787">
                  <c:v>8.8124409317970276E-2</c:v>
                </c:pt>
                <c:pt idx="788">
                  <c:v>6.2861226499080658E-2</c:v>
                </c:pt>
                <c:pt idx="789">
                  <c:v>6.6825248301029205E-2</c:v>
                </c:pt>
                <c:pt idx="790">
                  <c:v>4.7701742500066757E-2</c:v>
                </c:pt>
                <c:pt idx="791">
                  <c:v>6.0519486665725708E-2</c:v>
                </c:pt>
                <c:pt idx="792">
                  <c:v>4.8240702599287033E-2</c:v>
                </c:pt>
                <c:pt idx="793">
                  <c:v>7.4109122157096863E-2</c:v>
                </c:pt>
                <c:pt idx="794">
                  <c:v>5.9342525899410248E-2</c:v>
                </c:pt>
                <c:pt idx="795">
                  <c:v>4.0355190634727478E-2</c:v>
                </c:pt>
                <c:pt idx="796">
                  <c:v>5.9365168213844299E-2</c:v>
                </c:pt>
                <c:pt idx="797">
                  <c:v>5.7959705591201782E-2</c:v>
                </c:pt>
                <c:pt idx="798">
                  <c:v>5.8956526219844818E-2</c:v>
                </c:pt>
                <c:pt idx="799">
                  <c:v>6.8829089403152466E-2</c:v>
                </c:pt>
                <c:pt idx="800">
                  <c:v>4.8012878745794296E-2</c:v>
                </c:pt>
                <c:pt idx="801">
                  <c:v>7.1763746440410614E-2</c:v>
                </c:pt>
                <c:pt idx="802">
                  <c:v>4.8589278012514114E-2</c:v>
                </c:pt>
                <c:pt idx="803">
                  <c:v>5.7868871837854385E-2</c:v>
                </c:pt>
                <c:pt idx="804">
                  <c:v>5.0627775490283966E-2</c:v>
                </c:pt>
                <c:pt idx="805">
                  <c:v>6.3820727169513702E-2</c:v>
                </c:pt>
                <c:pt idx="806">
                  <c:v>5.6840173900127411E-2</c:v>
                </c:pt>
                <c:pt idx="807">
                  <c:v>6.327415257692337E-2</c:v>
                </c:pt>
                <c:pt idx="808">
                  <c:v>6.5741531550884247E-2</c:v>
                </c:pt>
                <c:pt idx="809">
                  <c:v>6.4323164522647858E-2</c:v>
                </c:pt>
                <c:pt idx="810">
                  <c:v>6.3831239938735962E-2</c:v>
                </c:pt>
                <c:pt idx="811">
                  <c:v>5.2015684545040131E-2</c:v>
                </c:pt>
                <c:pt idx="812">
                  <c:v>5.8009784668684006E-2</c:v>
                </c:pt>
                <c:pt idx="813">
                  <c:v>5.606682226061821E-2</c:v>
                </c:pt>
                <c:pt idx="814">
                  <c:v>6.1640214174985886E-2</c:v>
                </c:pt>
                <c:pt idx="815">
                  <c:v>5.4517213255167007E-2</c:v>
                </c:pt>
                <c:pt idx="816">
                  <c:v>5.9242621064186096E-2</c:v>
                </c:pt>
                <c:pt idx="817">
                  <c:v>7.316957414150238E-2</c:v>
                </c:pt>
                <c:pt idx="818">
                  <c:v>4.9542680382728577E-2</c:v>
                </c:pt>
                <c:pt idx="819">
                  <c:v>6.7095741629600525E-2</c:v>
                </c:pt>
                <c:pt idx="820">
                  <c:v>6.5626800060272217E-2</c:v>
                </c:pt>
                <c:pt idx="821">
                  <c:v>5.9058152139186859E-2</c:v>
                </c:pt>
                <c:pt idx="822">
                  <c:v>6.889411062002182E-2</c:v>
                </c:pt>
                <c:pt idx="823">
                  <c:v>4.9707408994436264E-2</c:v>
                </c:pt>
                <c:pt idx="824">
                  <c:v>5.210721492767334E-2</c:v>
                </c:pt>
                <c:pt idx="825">
                  <c:v>5.1567871123552322E-2</c:v>
                </c:pt>
                <c:pt idx="826">
                  <c:v>6.6695593297481537E-2</c:v>
                </c:pt>
                <c:pt idx="827">
                  <c:v>5.8713801205158234E-2</c:v>
                </c:pt>
                <c:pt idx="828">
                  <c:v>6.3368640840053558E-2</c:v>
                </c:pt>
                <c:pt idx="829">
                  <c:v>6.8026751279830933E-2</c:v>
                </c:pt>
                <c:pt idx="830">
                  <c:v>5.7777814567089081E-2</c:v>
                </c:pt>
                <c:pt idx="831">
                  <c:v>4.327581450343132E-2</c:v>
                </c:pt>
                <c:pt idx="832">
                  <c:v>6.4328014850616455E-2</c:v>
                </c:pt>
                <c:pt idx="833">
                  <c:v>5.443057045340538E-2</c:v>
                </c:pt>
                <c:pt idx="834">
                  <c:v>6.9608762860298157E-2</c:v>
                </c:pt>
                <c:pt idx="835">
                  <c:v>5.5826790630817413E-2</c:v>
                </c:pt>
                <c:pt idx="836">
                  <c:v>7.0163436233997345E-2</c:v>
                </c:pt>
                <c:pt idx="837">
                  <c:v>5.3934212774038315E-2</c:v>
                </c:pt>
                <c:pt idx="838">
                  <c:v>6.7808479070663452E-2</c:v>
                </c:pt>
                <c:pt idx="839">
                  <c:v>5.4877046495676041E-2</c:v>
                </c:pt>
                <c:pt idx="840">
                  <c:v>7.0769272744655609E-2</c:v>
                </c:pt>
                <c:pt idx="841">
                  <c:v>5.6234367191791534E-2</c:v>
                </c:pt>
                <c:pt idx="842">
                  <c:v>4.3255403637886047E-2</c:v>
                </c:pt>
                <c:pt idx="843">
                  <c:v>5.575118213891983E-2</c:v>
                </c:pt>
                <c:pt idx="844">
                  <c:v>5.8743167668581009E-2</c:v>
                </c:pt>
                <c:pt idx="845">
                  <c:v>5.474785715341568E-2</c:v>
                </c:pt>
                <c:pt idx="846">
                  <c:v>6.1961788684129715E-2</c:v>
                </c:pt>
                <c:pt idx="847">
                  <c:v>7.8239262104034424E-2</c:v>
                </c:pt>
                <c:pt idx="848">
                  <c:v>6.6146306693553925E-2</c:v>
                </c:pt>
                <c:pt idx="849">
                  <c:v>6.5394192934036255E-2</c:v>
                </c:pt>
                <c:pt idx="850">
                  <c:v>7.9013168811798096E-2</c:v>
                </c:pt>
                <c:pt idx="851">
                  <c:v>6.8543195724487305E-2</c:v>
                </c:pt>
                <c:pt idx="852">
                  <c:v>7.4021533131599426E-2</c:v>
                </c:pt>
                <c:pt idx="853">
                  <c:v>3.999260812997818E-2</c:v>
                </c:pt>
                <c:pt idx="854">
                  <c:v>5.3612496703863144E-2</c:v>
                </c:pt>
                <c:pt idx="855">
                  <c:v>6.0844320803880692E-2</c:v>
                </c:pt>
                <c:pt idx="856">
                  <c:v>5.2508991211652756E-2</c:v>
                </c:pt>
                <c:pt idx="857">
                  <c:v>5.7435799390077591E-2</c:v>
                </c:pt>
                <c:pt idx="858">
                  <c:v>4.4571582227945328E-2</c:v>
                </c:pt>
                <c:pt idx="859">
                  <c:v>4.3321497738361359E-2</c:v>
                </c:pt>
                <c:pt idx="860">
                  <c:v>6.3828207552433014E-2</c:v>
                </c:pt>
                <c:pt idx="861">
                  <c:v>6.3096582889556885E-2</c:v>
                </c:pt>
                <c:pt idx="862">
                  <c:v>6.1863470822572708E-2</c:v>
                </c:pt>
                <c:pt idx="863">
                  <c:v>6.7917577922344208E-2</c:v>
                </c:pt>
                <c:pt idx="864">
                  <c:v>8.6406193673610687E-2</c:v>
                </c:pt>
                <c:pt idx="865">
                  <c:v>5.2689474076032639E-2</c:v>
                </c:pt>
                <c:pt idx="866">
                  <c:v>5.174076184630394E-2</c:v>
                </c:pt>
                <c:pt idx="867">
                  <c:v>4.8657920211553574E-2</c:v>
                </c:pt>
                <c:pt idx="868">
                  <c:v>5.6595157831907272E-2</c:v>
                </c:pt>
                <c:pt idx="869">
                  <c:v>4.1182395070791245E-2</c:v>
                </c:pt>
                <c:pt idx="870">
                  <c:v>5.7391118258237839E-2</c:v>
                </c:pt>
                <c:pt idx="871">
                  <c:v>4.6932552009820938E-2</c:v>
                </c:pt>
                <c:pt idx="872">
                  <c:v>6.4168035984039307E-2</c:v>
                </c:pt>
                <c:pt idx="873">
                  <c:v>4.6147618442773819E-2</c:v>
                </c:pt>
                <c:pt idx="874">
                  <c:v>4.3759092688560486E-2</c:v>
                </c:pt>
                <c:pt idx="875">
                  <c:v>4.7043215483427048E-2</c:v>
                </c:pt>
                <c:pt idx="876">
                  <c:v>5.1431052386760712E-2</c:v>
                </c:pt>
                <c:pt idx="877">
                  <c:v>4.2332589626312256E-2</c:v>
                </c:pt>
                <c:pt idx="878">
                  <c:v>6.4055740833282471E-2</c:v>
                </c:pt>
                <c:pt idx="879">
                  <c:v>6.5610483288764954E-2</c:v>
                </c:pt>
                <c:pt idx="880">
                  <c:v>5.4639037698507309E-2</c:v>
                </c:pt>
                <c:pt idx="881">
                  <c:v>5.3719401359558105E-2</c:v>
                </c:pt>
                <c:pt idx="882">
                  <c:v>5.3830560296773911E-2</c:v>
                </c:pt>
                <c:pt idx="883">
                  <c:v>5.4520536214113235E-2</c:v>
                </c:pt>
                <c:pt idx="884">
                  <c:v>8.4146834909915924E-2</c:v>
                </c:pt>
                <c:pt idx="885">
                  <c:v>4.4051911681890488E-2</c:v>
                </c:pt>
                <c:pt idx="886">
                  <c:v>6.3545882701873779E-2</c:v>
                </c:pt>
                <c:pt idx="887">
                  <c:v>4.1802059859037399E-2</c:v>
                </c:pt>
                <c:pt idx="888">
                  <c:v>6.2311731278896332E-2</c:v>
                </c:pt>
                <c:pt idx="889">
                  <c:v>5.24875707924366E-2</c:v>
                </c:pt>
                <c:pt idx="890">
                  <c:v>6.1062797904014587E-2</c:v>
                </c:pt>
                <c:pt idx="891">
                  <c:v>5.3186692297458649E-2</c:v>
                </c:pt>
                <c:pt idx="892">
                  <c:v>7.1042247116565704E-2</c:v>
                </c:pt>
                <c:pt idx="893">
                  <c:v>6.3842505216598511E-2</c:v>
                </c:pt>
                <c:pt idx="894">
                  <c:v>7.3019750416278839E-2</c:v>
                </c:pt>
                <c:pt idx="895">
                  <c:v>5.3238086402416229E-2</c:v>
                </c:pt>
                <c:pt idx="896">
                  <c:v>6.3198074698448181E-2</c:v>
                </c:pt>
                <c:pt idx="897">
                  <c:v>5.9325631707906723E-2</c:v>
                </c:pt>
                <c:pt idx="898">
                  <c:v>5.4508805274963379E-2</c:v>
                </c:pt>
                <c:pt idx="899">
                  <c:v>6.1904281377792358E-2</c:v>
                </c:pt>
                <c:pt idx="900">
                  <c:v>5.4180625826120377E-2</c:v>
                </c:pt>
                <c:pt idx="901">
                  <c:v>4.7074269503355026E-2</c:v>
                </c:pt>
                <c:pt idx="902">
                  <c:v>7.1074791252613068E-2</c:v>
                </c:pt>
                <c:pt idx="903">
                  <c:v>7.0234701037406921E-2</c:v>
                </c:pt>
                <c:pt idx="904">
                  <c:v>5.9490371495485306E-2</c:v>
                </c:pt>
                <c:pt idx="905">
                  <c:v>5.36375492811203E-2</c:v>
                </c:pt>
                <c:pt idx="906">
                  <c:v>5.307532474398613E-2</c:v>
                </c:pt>
                <c:pt idx="907">
                  <c:v>5.4095525294542313E-2</c:v>
                </c:pt>
                <c:pt idx="908">
                  <c:v>4.822218045592308E-2</c:v>
                </c:pt>
                <c:pt idx="909">
                  <c:v>6.055213138461113E-2</c:v>
                </c:pt>
                <c:pt idx="910">
                  <c:v>6.3190385699272156E-2</c:v>
                </c:pt>
                <c:pt idx="911">
                  <c:v>6.2703236937522888E-2</c:v>
                </c:pt>
                <c:pt idx="912">
                  <c:v>6.6283434629440308E-2</c:v>
                </c:pt>
                <c:pt idx="913">
                  <c:v>6.8468153476715088E-2</c:v>
                </c:pt>
                <c:pt idx="914">
                  <c:v>7.3552772402763367E-2</c:v>
                </c:pt>
                <c:pt idx="915">
                  <c:v>5.7649876922369003E-2</c:v>
                </c:pt>
                <c:pt idx="916">
                  <c:v>6.4723946154117584E-2</c:v>
                </c:pt>
                <c:pt idx="917">
                  <c:v>6.6994637250900269E-2</c:v>
                </c:pt>
                <c:pt idx="918">
                  <c:v>6.4259253442287445E-2</c:v>
                </c:pt>
                <c:pt idx="919">
                  <c:v>5.382591113448143E-2</c:v>
                </c:pt>
                <c:pt idx="920">
                  <c:v>6.369464099407196E-2</c:v>
                </c:pt>
                <c:pt idx="921">
                  <c:v>5.3177922964096069E-2</c:v>
                </c:pt>
                <c:pt idx="922">
                  <c:v>6.4411439001560211E-2</c:v>
                </c:pt>
                <c:pt idx="923">
                  <c:v>5.943569540977478E-2</c:v>
                </c:pt>
                <c:pt idx="924">
                  <c:v>6.9050870835781097E-2</c:v>
                </c:pt>
                <c:pt idx="925">
                  <c:v>6.6006593406200409E-2</c:v>
                </c:pt>
                <c:pt idx="926">
                  <c:v>6.0669466853141785E-2</c:v>
                </c:pt>
                <c:pt idx="927">
                  <c:v>4.3377146124839783E-2</c:v>
                </c:pt>
                <c:pt idx="928">
                  <c:v>7.0148713886737823E-2</c:v>
                </c:pt>
                <c:pt idx="929">
                  <c:v>8.40291827917099E-2</c:v>
                </c:pt>
                <c:pt idx="930">
                  <c:v>5.5459942668676376E-2</c:v>
                </c:pt>
                <c:pt idx="931">
                  <c:v>6.8377360701560974E-2</c:v>
                </c:pt>
                <c:pt idx="932">
                  <c:v>6.0451280325651169E-2</c:v>
                </c:pt>
                <c:pt idx="933">
                  <c:v>5.8159608393907547E-2</c:v>
                </c:pt>
                <c:pt idx="934">
                  <c:v>6.5025106072425842E-2</c:v>
                </c:pt>
                <c:pt idx="935">
                  <c:v>6.9935351610183716E-2</c:v>
                </c:pt>
                <c:pt idx="936">
                  <c:v>6.2939949333667755E-2</c:v>
                </c:pt>
                <c:pt idx="937">
                  <c:v>7.1735486388206482E-2</c:v>
                </c:pt>
                <c:pt idx="938">
                  <c:v>6.0415111482143402E-2</c:v>
                </c:pt>
                <c:pt idx="939">
                  <c:v>5.0912916660308838E-2</c:v>
                </c:pt>
                <c:pt idx="940">
                  <c:v>6.5107502043247223E-2</c:v>
                </c:pt>
                <c:pt idx="941">
                  <c:v>5.9579029679298401E-2</c:v>
                </c:pt>
                <c:pt idx="942">
                  <c:v>7.2778820991516113E-2</c:v>
                </c:pt>
                <c:pt idx="943">
                  <c:v>6.8600691854953766E-2</c:v>
                </c:pt>
                <c:pt idx="944">
                  <c:v>6.8592049181461334E-2</c:v>
                </c:pt>
                <c:pt idx="945">
                  <c:v>5.4313361644744873E-2</c:v>
                </c:pt>
                <c:pt idx="946">
                  <c:v>4.3385684490203857E-2</c:v>
                </c:pt>
                <c:pt idx="947">
                  <c:v>4.8774015158414841E-2</c:v>
                </c:pt>
                <c:pt idx="948">
                  <c:v>7.0779487490653992E-2</c:v>
                </c:pt>
                <c:pt idx="949">
                  <c:v>5.0508253276348114E-2</c:v>
                </c:pt>
                <c:pt idx="950">
                  <c:v>5.6056119501590729E-2</c:v>
                </c:pt>
                <c:pt idx="951">
                  <c:v>5.5192321538925171E-2</c:v>
                </c:pt>
                <c:pt idx="952">
                  <c:v>7.2301939129829407E-2</c:v>
                </c:pt>
                <c:pt idx="953">
                  <c:v>5.5097527801990509E-2</c:v>
                </c:pt>
                <c:pt idx="954">
                  <c:v>6.0263857245445251E-2</c:v>
                </c:pt>
                <c:pt idx="955">
                  <c:v>5.9215057641267776E-2</c:v>
                </c:pt>
                <c:pt idx="956">
                  <c:v>6.233493983745575E-2</c:v>
                </c:pt>
                <c:pt idx="957">
                  <c:v>4.7430731356143951E-2</c:v>
                </c:pt>
                <c:pt idx="958">
                  <c:v>5.1783852279186249E-2</c:v>
                </c:pt>
                <c:pt idx="959">
                  <c:v>5.73931485414505E-2</c:v>
                </c:pt>
                <c:pt idx="960">
                  <c:v>6.3029967248439789E-2</c:v>
                </c:pt>
                <c:pt idx="961">
                  <c:v>5.7228613644838333E-2</c:v>
                </c:pt>
                <c:pt idx="962">
                  <c:v>5.8171369135379791E-2</c:v>
                </c:pt>
                <c:pt idx="963">
                  <c:v>4.9849376082420349E-2</c:v>
                </c:pt>
                <c:pt idx="964">
                  <c:v>7.4357055127620697E-2</c:v>
                </c:pt>
                <c:pt idx="965">
                  <c:v>4.0788285434246063E-2</c:v>
                </c:pt>
                <c:pt idx="966">
                  <c:v>6.4653873443603516E-2</c:v>
                </c:pt>
                <c:pt idx="967">
                  <c:v>8.1207312643527985E-2</c:v>
                </c:pt>
                <c:pt idx="968">
                  <c:v>7.6550789177417755E-2</c:v>
                </c:pt>
                <c:pt idx="969">
                  <c:v>5.9303969144821167E-2</c:v>
                </c:pt>
                <c:pt idx="970">
                  <c:v>6.5553277730941772E-2</c:v>
                </c:pt>
                <c:pt idx="971">
                  <c:v>5.4712157696485519E-2</c:v>
                </c:pt>
                <c:pt idx="972">
                  <c:v>7.7372580766677856E-2</c:v>
                </c:pt>
                <c:pt idx="973">
                  <c:v>6.1631865799427032E-2</c:v>
                </c:pt>
                <c:pt idx="974">
                  <c:v>5.3194120526313782E-2</c:v>
                </c:pt>
                <c:pt idx="975">
                  <c:v>5.5161751806735992E-2</c:v>
                </c:pt>
                <c:pt idx="976">
                  <c:v>5.4980557411909103E-2</c:v>
                </c:pt>
                <c:pt idx="977">
                  <c:v>5.2550818771123886E-2</c:v>
                </c:pt>
                <c:pt idx="978">
                  <c:v>5.1502592861652374E-2</c:v>
                </c:pt>
                <c:pt idx="979">
                  <c:v>5.7467766106128693E-2</c:v>
                </c:pt>
                <c:pt idx="980">
                  <c:v>8.1524930894374847E-2</c:v>
                </c:pt>
                <c:pt idx="981">
                  <c:v>5.2439082413911819E-2</c:v>
                </c:pt>
                <c:pt idx="982">
                  <c:v>6.4774312078952789E-2</c:v>
                </c:pt>
                <c:pt idx="983">
                  <c:v>6.5221138298511505E-2</c:v>
                </c:pt>
                <c:pt idx="984">
                  <c:v>6.0005418956279755E-2</c:v>
                </c:pt>
                <c:pt idx="985">
                  <c:v>5.2735723555088043E-2</c:v>
                </c:pt>
                <c:pt idx="986">
                  <c:v>4.865940660238266E-2</c:v>
                </c:pt>
                <c:pt idx="987">
                  <c:v>4.9863241612911224E-2</c:v>
                </c:pt>
                <c:pt idx="988">
                  <c:v>5.4057244211435318E-2</c:v>
                </c:pt>
                <c:pt idx="989">
                  <c:v>4.9759626388549805E-2</c:v>
                </c:pt>
                <c:pt idx="990">
                  <c:v>6.4218088984489441E-2</c:v>
                </c:pt>
                <c:pt idx="991">
                  <c:v>7.9133249819278717E-2</c:v>
                </c:pt>
                <c:pt idx="992">
                  <c:v>4.8346325755119324E-2</c:v>
                </c:pt>
                <c:pt idx="993">
                  <c:v>5.2898585796356201E-2</c:v>
                </c:pt>
                <c:pt idx="994">
                  <c:v>6.7014403641223907E-2</c:v>
                </c:pt>
                <c:pt idx="995">
                  <c:v>5.3653482347726822E-2</c:v>
                </c:pt>
                <c:pt idx="996">
                  <c:v>4.4600877910852432E-2</c:v>
                </c:pt>
                <c:pt idx="997">
                  <c:v>4.5131560415029526E-2</c:v>
                </c:pt>
                <c:pt idx="998">
                  <c:v>5.9137318283319473E-2</c:v>
                </c:pt>
                <c:pt idx="999">
                  <c:v>5.1826205104589462E-2</c:v>
                </c:pt>
                <c:pt idx="1000">
                  <c:v>6.2973842024803162E-2</c:v>
                </c:pt>
                <c:pt idx="1001">
                  <c:v>4.260857030749321E-2</c:v>
                </c:pt>
                <c:pt idx="1002">
                  <c:v>6.6226914525032043E-2</c:v>
                </c:pt>
                <c:pt idx="1003">
                  <c:v>4.6996120363473892E-2</c:v>
                </c:pt>
                <c:pt idx="1004">
                  <c:v>6.1513103544712067E-2</c:v>
                </c:pt>
                <c:pt idx="1005">
                  <c:v>7.8238368034362793E-2</c:v>
                </c:pt>
                <c:pt idx="1006">
                  <c:v>6.1307094991207123E-2</c:v>
                </c:pt>
                <c:pt idx="1007">
                  <c:v>5.7353638112545013E-2</c:v>
                </c:pt>
                <c:pt idx="1008">
                  <c:v>5.6616984307765961E-2</c:v>
                </c:pt>
                <c:pt idx="1009">
                  <c:v>7.8916586935520172E-2</c:v>
                </c:pt>
                <c:pt idx="1010">
                  <c:v>7.6249241828918457E-2</c:v>
                </c:pt>
                <c:pt idx="1011">
                  <c:v>6.525120884180069E-2</c:v>
                </c:pt>
                <c:pt idx="1012">
                  <c:v>5.8766491711139679E-2</c:v>
                </c:pt>
                <c:pt idx="1013">
                  <c:v>6.2574587762355804E-2</c:v>
                </c:pt>
                <c:pt idx="1014">
                  <c:v>5.1670964807271957E-2</c:v>
                </c:pt>
                <c:pt idx="1015">
                  <c:v>4.6480569988489151E-2</c:v>
                </c:pt>
                <c:pt idx="1016">
                  <c:v>4.8213563859462738E-2</c:v>
                </c:pt>
                <c:pt idx="1017">
                  <c:v>5.6730642914772034E-2</c:v>
                </c:pt>
                <c:pt idx="1018">
                  <c:v>5.7449940592050552E-2</c:v>
                </c:pt>
                <c:pt idx="1019">
                  <c:v>5.2046298980712891E-2</c:v>
                </c:pt>
                <c:pt idx="1020">
                  <c:v>6.7113481462001801E-2</c:v>
                </c:pt>
                <c:pt idx="1021">
                  <c:v>8.8697567582130432E-2</c:v>
                </c:pt>
                <c:pt idx="1022">
                  <c:v>6.3716471195220947E-2</c:v>
                </c:pt>
                <c:pt idx="1023">
                  <c:v>5.8342192322015762E-2</c:v>
                </c:pt>
                <c:pt idx="1024">
                  <c:v>6.5403707325458527E-2</c:v>
                </c:pt>
                <c:pt idx="1025">
                  <c:v>4.1645944118499756E-2</c:v>
                </c:pt>
                <c:pt idx="1026">
                  <c:v>7.5747467577457428E-2</c:v>
                </c:pt>
                <c:pt idx="1027">
                  <c:v>6.6000312566757202E-2</c:v>
                </c:pt>
                <c:pt idx="1028">
                  <c:v>4.3482072651386261E-2</c:v>
                </c:pt>
                <c:pt idx="1029">
                  <c:v>5.2197650074958801E-2</c:v>
                </c:pt>
                <c:pt idx="1030">
                  <c:v>6.8115115165710449E-2</c:v>
                </c:pt>
                <c:pt idx="1031">
                  <c:v>4.8975035548210144E-2</c:v>
                </c:pt>
                <c:pt idx="1032">
                  <c:v>5.9185631573200226E-2</c:v>
                </c:pt>
                <c:pt idx="1033">
                  <c:v>5.4816160351037979E-2</c:v>
                </c:pt>
                <c:pt idx="1034">
                  <c:v>6.1080086976289749E-2</c:v>
                </c:pt>
                <c:pt idx="1035">
                  <c:v>4.298795759677887E-2</c:v>
                </c:pt>
                <c:pt idx="1036">
                  <c:v>6.6528700292110443E-2</c:v>
                </c:pt>
                <c:pt idx="1037">
                  <c:v>6.1939653009176254E-2</c:v>
                </c:pt>
                <c:pt idx="1038">
                  <c:v>5.0105929374694824E-2</c:v>
                </c:pt>
                <c:pt idx="1039">
                  <c:v>5.7346086949110031E-2</c:v>
                </c:pt>
                <c:pt idx="1040">
                  <c:v>5.074043944478035E-2</c:v>
                </c:pt>
                <c:pt idx="1041">
                  <c:v>5.4521579295396805E-2</c:v>
                </c:pt>
                <c:pt idx="1042">
                  <c:v>5.5092204362154007E-2</c:v>
                </c:pt>
                <c:pt idx="1043">
                  <c:v>6.9535739719867706E-2</c:v>
                </c:pt>
                <c:pt idx="1044">
                  <c:v>5.1927380263805389E-2</c:v>
                </c:pt>
                <c:pt idx="1045">
                  <c:v>7.1363426744937897E-2</c:v>
                </c:pt>
                <c:pt idx="1046">
                  <c:v>5.3157776594161987E-2</c:v>
                </c:pt>
                <c:pt idx="1047">
                  <c:v>5.9897765517234802E-2</c:v>
                </c:pt>
                <c:pt idx="1048">
                  <c:v>4.8053927719593048E-2</c:v>
                </c:pt>
                <c:pt idx="1049">
                  <c:v>5.6144431233406067E-2</c:v>
                </c:pt>
                <c:pt idx="1050">
                  <c:v>7.1484774351119995E-2</c:v>
                </c:pt>
                <c:pt idx="1051">
                  <c:v>5.7427149266004562E-2</c:v>
                </c:pt>
                <c:pt idx="1052">
                  <c:v>5.1793478429317474E-2</c:v>
                </c:pt>
                <c:pt idx="1053">
                  <c:v>6.8411417305469513E-2</c:v>
                </c:pt>
                <c:pt idx="1054">
                  <c:v>6.5246574580669403E-2</c:v>
                </c:pt>
                <c:pt idx="1055">
                  <c:v>4.3996330350637436E-2</c:v>
                </c:pt>
                <c:pt idx="1056">
                  <c:v>4.9165915697813034E-2</c:v>
                </c:pt>
                <c:pt idx="1057">
                  <c:v>6.8491362035274506E-2</c:v>
                </c:pt>
                <c:pt idx="1058">
                  <c:v>5.6710816919803619E-2</c:v>
                </c:pt>
                <c:pt idx="1059">
                  <c:v>5.6565653532743454E-2</c:v>
                </c:pt>
                <c:pt idx="1060">
                  <c:v>6.5326012670993805E-2</c:v>
                </c:pt>
                <c:pt idx="1061">
                  <c:v>6.0198072344064713E-2</c:v>
                </c:pt>
                <c:pt idx="1062">
                  <c:v>5.7425733655691147E-2</c:v>
                </c:pt>
                <c:pt idx="1063">
                  <c:v>5.5974103510379791E-2</c:v>
                </c:pt>
                <c:pt idx="1064">
                  <c:v>6.3564807176589966E-2</c:v>
                </c:pt>
                <c:pt idx="1065">
                  <c:v>6.2738075852394104E-2</c:v>
                </c:pt>
                <c:pt idx="1066">
                  <c:v>4.2107090353965759E-2</c:v>
                </c:pt>
                <c:pt idx="1067">
                  <c:v>4.8851966857910156E-2</c:v>
                </c:pt>
                <c:pt idx="1068">
                  <c:v>5.3417302668094635E-2</c:v>
                </c:pt>
                <c:pt idx="1069">
                  <c:v>5.0581824034452438E-2</c:v>
                </c:pt>
                <c:pt idx="1070">
                  <c:v>5.6636415421962738E-2</c:v>
                </c:pt>
                <c:pt idx="1071">
                  <c:v>4.9083638936281204E-2</c:v>
                </c:pt>
                <c:pt idx="1072">
                  <c:v>5.0754722207784653E-2</c:v>
                </c:pt>
                <c:pt idx="1073">
                  <c:v>5.0862796604633331E-2</c:v>
                </c:pt>
                <c:pt idx="1074">
                  <c:v>6.2653034925460815E-2</c:v>
                </c:pt>
                <c:pt idx="1075">
                  <c:v>5.9908688068389893E-2</c:v>
                </c:pt>
                <c:pt idx="1076">
                  <c:v>4.8408694565296173E-2</c:v>
                </c:pt>
                <c:pt idx="1077">
                  <c:v>5.154867097735405E-2</c:v>
                </c:pt>
                <c:pt idx="1078">
                  <c:v>4.9981512129306793E-2</c:v>
                </c:pt>
                <c:pt idx="1079">
                  <c:v>5.8001719415187836E-2</c:v>
                </c:pt>
                <c:pt idx="1080">
                  <c:v>5.8975443243980408E-2</c:v>
                </c:pt>
                <c:pt idx="1081">
                  <c:v>7.1559801697731018E-2</c:v>
                </c:pt>
                <c:pt idx="1082">
                  <c:v>9.1105721890926361E-2</c:v>
                </c:pt>
                <c:pt idx="1083">
                  <c:v>5.7521186769008636E-2</c:v>
                </c:pt>
                <c:pt idx="1084">
                  <c:v>8.9900650084018707E-2</c:v>
                </c:pt>
                <c:pt idx="1085">
                  <c:v>5.3943444043397903E-2</c:v>
                </c:pt>
                <c:pt idx="1086">
                  <c:v>8.0239534378051758E-2</c:v>
                </c:pt>
                <c:pt idx="1087">
                  <c:v>4.3761711567640305E-2</c:v>
                </c:pt>
                <c:pt idx="1088">
                  <c:v>5.0478145480155945E-2</c:v>
                </c:pt>
                <c:pt idx="1089">
                  <c:v>6.1140522360801697E-2</c:v>
                </c:pt>
                <c:pt idx="1090">
                  <c:v>6.2295056879520416E-2</c:v>
                </c:pt>
                <c:pt idx="1091">
                  <c:v>5.3473412990570068E-2</c:v>
                </c:pt>
                <c:pt idx="1092">
                  <c:v>5.8560937643051147E-2</c:v>
                </c:pt>
                <c:pt idx="1093">
                  <c:v>4.0906574577093124E-2</c:v>
                </c:pt>
                <c:pt idx="1094">
                  <c:v>4.8870880156755447E-2</c:v>
                </c:pt>
                <c:pt idx="1095">
                  <c:v>4.9600772559642792E-2</c:v>
                </c:pt>
                <c:pt idx="1096">
                  <c:v>4.2968925088644028E-2</c:v>
                </c:pt>
                <c:pt idx="1097">
                  <c:v>7.0582836866378784E-2</c:v>
                </c:pt>
                <c:pt idx="1098">
                  <c:v>4.323321208357811E-2</c:v>
                </c:pt>
                <c:pt idx="1099">
                  <c:v>7.642018049955368E-2</c:v>
                </c:pt>
                <c:pt idx="1100">
                  <c:v>6.0124412178993225E-2</c:v>
                </c:pt>
                <c:pt idx="1101">
                  <c:v>4.9849551171064377E-2</c:v>
                </c:pt>
                <c:pt idx="1102">
                  <c:v>5.1133833825588226E-2</c:v>
                </c:pt>
                <c:pt idx="1103">
                  <c:v>4.4594783335924149E-2</c:v>
                </c:pt>
                <c:pt idx="1104">
                  <c:v>5.1441308110952377E-2</c:v>
                </c:pt>
                <c:pt idx="1105">
                  <c:v>5.151984840631485E-2</c:v>
                </c:pt>
                <c:pt idx="1106">
                  <c:v>4.2638178914785385E-2</c:v>
                </c:pt>
                <c:pt idx="1107">
                  <c:v>5.6277181953191757E-2</c:v>
                </c:pt>
                <c:pt idx="1108">
                  <c:v>6.3150800764560699E-2</c:v>
                </c:pt>
                <c:pt idx="1109">
                  <c:v>5.5236920714378357E-2</c:v>
                </c:pt>
                <c:pt idx="1110">
                  <c:v>5.4280262440443039E-2</c:v>
                </c:pt>
                <c:pt idx="1111">
                  <c:v>4.9724891781806946E-2</c:v>
                </c:pt>
                <c:pt idx="1112">
                  <c:v>5.7075649499893188E-2</c:v>
                </c:pt>
                <c:pt idx="1113">
                  <c:v>4.962669312953949E-2</c:v>
                </c:pt>
                <c:pt idx="1114">
                  <c:v>5.45525923371315E-2</c:v>
                </c:pt>
                <c:pt idx="1115">
                  <c:v>4.9263674765825272E-2</c:v>
                </c:pt>
                <c:pt idx="1116">
                  <c:v>8.3355531096458435E-2</c:v>
                </c:pt>
                <c:pt idx="1117">
                  <c:v>5.4699201136827469E-2</c:v>
                </c:pt>
                <c:pt idx="1118">
                  <c:v>6.7246124148368835E-2</c:v>
                </c:pt>
                <c:pt idx="1119">
                  <c:v>6.6549457609653473E-2</c:v>
                </c:pt>
                <c:pt idx="1120">
                  <c:v>6.2499411404132843E-2</c:v>
                </c:pt>
                <c:pt idx="1121">
                  <c:v>7.4802525341510773E-2</c:v>
                </c:pt>
                <c:pt idx="1122">
                  <c:v>5.2371501922607422E-2</c:v>
                </c:pt>
                <c:pt idx="1123">
                  <c:v>6.1787866055965424E-2</c:v>
                </c:pt>
                <c:pt idx="1124">
                  <c:v>5.417681485414505E-2</c:v>
                </c:pt>
                <c:pt idx="1125">
                  <c:v>4.7382738441228867E-2</c:v>
                </c:pt>
                <c:pt idx="1126">
                  <c:v>6.0856454074382782E-2</c:v>
                </c:pt>
                <c:pt idx="1127">
                  <c:v>6.0604721307754517E-2</c:v>
                </c:pt>
                <c:pt idx="1128">
                  <c:v>7.330680638551712E-2</c:v>
                </c:pt>
                <c:pt idx="1129">
                  <c:v>6.6995054483413696E-2</c:v>
                </c:pt>
                <c:pt idx="1130">
                  <c:v>6.3121959567070007E-2</c:v>
                </c:pt>
                <c:pt idx="1131">
                  <c:v>6.0424830764532089E-2</c:v>
                </c:pt>
                <c:pt idx="1132">
                  <c:v>5.7649329304695129E-2</c:v>
                </c:pt>
                <c:pt idx="1133">
                  <c:v>6.2505252659320831E-2</c:v>
                </c:pt>
                <c:pt idx="1134">
                  <c:v>7.9023741185665131E-2</c:v>
                </c:pt>
                <c:pt idx="1135">
                  <c:v>7.6973892748355865E-2</c:v>
                </c:pt>
                <c:pt idx="1136">
                  <c:v>6.2436673790216446E-2</c:v>
                </c:pt>
                <c:pt idx="1137">
                  <c:v>6.8902723491191864E-2</c:v>
                </c:pt>
                <c:pt idx="1138">
                  <c:v>4.768439382314682E-2</c:v>
                </c:pt>
                <c:pt idx="1139">
                  <c:v>4.6860817819833755E-2</c:v>
                </c:pt>
                <c:pt idx="1140">
                  <c:v>5.1316343247890472E-2</c:v>
                </c:pt>
                <c:pt idx="1141">
                  <c:v>5.8249779045581818E-2</c:v>
                </c:pt>
                <c:pt idx="1142">
                  <c:v>6.3749104738235474E-2</c:v>
                </c:pt>
                <c:pt idx="1143">
                  <c:v>4.7862190753221512E-2</c:v>
                </c:pt>
                <c:pt idx="1144">
                  <c:v>7.7268742024898529E-2</c:v>
                </c:pt>
                <c:pt idx="1145">
                  <c:v>6.6757626831531525E-2</c:v>
                </c:pt>
                <c:pt idx="1146">
                  <c:v>6.8409532308578491E-2</c:v>
                </c:pt>
                <c:pt idx="1147">
                  <c:v>6.0879044234752655E-2</c:v>
                </c:pt>
                <c:pt idx="1148">
                  <c:v>5.5888604372739792E-2</c:v>
                </c:pt>
                <c:pt idx="1149">
                  <c:v>4.8385482281446457E-2</c:v>
                </c:pt>
                <c:pt idx="1150">
                  <c:v>6.4935147762298584E-2</c:v>
                </c:pt>
                <c:pt idx="1151">
                  <c:v>6.1971239745616913E-2</c:v>
                </c:pt>
                <c:pt idx="1152">
                  <c:v>6.7798472940921783E-2</c:v>
                </c:pt>
                <c:pt idx="1153">
                  <c:v>5.5461667478084564E-2</c:v>
                </c:pt>
                <c:pt idx="1154">
                  <c:v>4.3987501412630081E-2</c:v>
                </c:pt>
                <c:pt idx="1155">
                  <c:v>5.7579640299081802E-2</c:v>
                </c:pt>
                <c:pt idx="1156">
                  <c:v>5.3717777132987976E-2</c:v>
                </c:pt>
                <c:pt idx="1157">
                  <c:v>5.3824860602617264E-2</c:v>
                </c:pt>
                <c:pt idx="1158">
                  <c:v>7.0883922278881073E-2</c:v>
                </c:pt>
                <c:pt idx="1159">
                  <c:v>5.2736923098564148E-2</c:v>
                </c:pt>
                <c:pt idx="1160">
                  <c:v>6.8324372172355652E-2</c:v>
                </c:pt>
                <c:pt idx="1161">
                  <c:v>6.6626235842704773E-2</c:v>
                </c:pt>
                <c:pt idx="1162">
                  <c:v>5.284770205616951E-2</c:v>
                </c:pt>
                <c:pt idx="1163">
                  <c:v>4.683341458439827E-2</c:v>
                </c:pt>
                <c:pt idx="1164">
                  <c:v>5.4196577519178391E-2</c:v>
                </c:pt>
                <c:pt idx="1165">
                  <c:v>6.2846094369888306E-2</c:v>
                </c:pt>
                <c:pt idx="1166">
                  <c:v>5.9723574668169022E-2</c:v>
                </c:pt>
                <c:pt idx="1167">
                  <c:v>4.8274099826812744E-2</c:v>
                </c:pt>
                <c:pt idx="1168">
                  <c:v>5.0540570169687271E-2</c:v>
                </c:pt>
                <c:pt idx="1169">
                  <c:v>4.5943204313516617E-2</c:v>
                </c:pt>
                <c:pt idx="1170">
                  <c:v>7.1343280375003815E-2</c:v>
                </c:pt>
                <c:pt idx="1171">
                  <c:v>8.0046266317367554E-2</c:v>
                </c:pt>
                <c:pt idx="1172">
                  <c:v>5.7976484298706055E-2</c:v>
                </c:pt>
                <c:pt idx="1173">
                  <c:v>6.1067529022693634E-2</c:v>
                </c:pt>
                <c:pt idx="1174">
                  <c:v>5.3675491362810135E-2</c:v>
                </c:pt>
                <c:pt idx="1175">
                  <c:v>4.8911377787590027E-2</c:v>
                </c:pt>
                <c:pt idx="1176">
                  <c:v>5.3651329129934311E-2</c:v>
                </c:pt>
                <c:pt idx="1177">
                  <c:v>6.4277194440364838E-2</c:v>
                </c:pt>
                <c:pt idx="1178">
                  <c:v>6.172359362244606E-2</c:v>
                </c:pt>
                <c:pt idx="1179">
                  <c:v>5.5070657283067703E-2</c:v>
                </c:pt>
                <c:pt idx="1180">
                  <c:v>5.2137065678834915E-2</c:v>
                </c:pt>
                <c:pt idx="1181">
                  <c:v>4.6031124889850616E-2</c:v>
                </c:pt>
                <c:pt idx="1182">
                  <c:v>6.8139024078845978E-2</c:v>
                </c:pt>
                <c:pt idx="1183">
                  <c:v>5.745663121342659E-2</c:v>
                </c:pt>
                <c:pt idx="1184">
                  <c:v>5.9801604598760605E-2</c:v>
                </c:pt>
                <c:pt idx="1185">
                  <c:v>4.8631805926561356E-2</c:v>
                </c:pt>
                <c:pt idx="1186">
                  <c:v>5.6477956473827362E-2</c:v>
                </c:pt>
                <c:pt idx="1187">
                  <c:v>5.8942794799804688E-2</c:v>
                </c:pt>
                <c:pt idx="1188">
                  <c:v>5.1650471985340118E-2</c:v>
                </c:pt>
                <c:pt idx="1189">
                  <c:v>6.820264458656311E-2</c:v>
                </c:pt>
                <c:pt idx="1190">
                  <c:v>5.9252787381410599E-2</c:v>
                </c:pt>
                <c:pt idx="1191">
                  <c:v>5.6591112166643143E-2</c:v>
                </c:pt>
                <c:pt idx="1192">
                  <c:v>5.1875658333301544E-2</c:v>
                </c:pt>
                <c:pt idx="1193">
                  <c:v>5.9587724506855011E-2</c:v>
                </c:pt>
                <c:pt idx="1194">
                  <c:v>4.2018167674541473E-2</c:v>
                </c:pt>
                <c:pt idx="1195">
                  <c:v>4.4023014605045319E-2</c:v>
                </c:pt>
                <c:pt idx="1196">
                  <c:v>6.9889701902866364E-2</c:v>
                </c:pt>
                <c:pt idx="1197">
                  <c:v>6.8997867405414581E-2</c:v>
                </c:pt>
                <c:pt idx="1198">
                  <c:v>4.5747764408588409E-2</c:v>
                </c:pt>
                <c:pt idx="1199">
                  <c:v>4.1012130677700043E-2</c:v>
                </c:pt>
                <c:pt idx="1200">
                  <c:v>4.8415955156087875E-2</c:v>
                </c:pt>
                <c:pt idx="1201">
                  <c:v>7.1434423327445984E-2</c:v>
                </c:pt>
                <c:pt idx="1202">
                  <c:v>5.386868491768837E-2</c:v>
                </c:pt>
                <c:pt idx="1203">
                  <c:v>4.4828947633504868E-2</c:v>
                </c:pt>
                <c:pt idx="1204">
                  <c:v>7.8272730112075806E-2</c:v>
                </c:pt>
                <c:pt idx="1205">
                  <c:v>4.9679126590490341E-2</c:v>
                </c:pt>
                <c:pt idx="1206">
                  <c:v>5.3560175001621246E-2</c:v>
                </c:pt>
                <c:pt idx="1207">
                  <c:v>4.8033285886049271E-2</c:v>
                </c:pt>
                <c:pt idx="1208">
                  <c:v>5.4937560111284256E-2</c:v>
                </c:pt>
                <c:pt idx="1209">
                  <c:v>5.9650581330060959E-2</c:v>
                </c:pt>
                <c:pt idx="1210">
                  <c:v>5.7711087167263031E-2</c:v>
                </c:pt>
                <c:pt idx="1211">
                  <c:v>6.5909981727600098E-2</c:v>
                </c:pt>
                <c:pt idx="1212">
                  <c:v>6.3393928110599518E-2</c:v>
                </c:pt>
                <c:pt idx="1213">
                  <c:v>6.9157347083091736E-2</c:v>
                </c:pt>
                <c:pt idx="1214">
                  <c:v>5.0651580095291138E-2</c:v>
                </c:pt>
                <c:pt idx="1215">
                  <c:v>5.8891363441944122E-2</c:v>
                </c:pt>
                <c:pt idx="1216">
                  <c:v>5.6067083030939102E-2</c:v>
                </c:pt>
                <c:pt idx="1217">
                  <c:v>4.8377316445112228E-2</c:v>
                </c:pt>
                <c:pt idx="1218">
                  <c:v>7.1831226348876953E-2</c:v>
                </c:pt>
                <c:pt idx="1219">
                  <c:v>5.6251812726259232E-2</c:v>
                </c:pt>
                <c:pt idx="1220">
                  <c:v>6.2842339277267456E-2</c:v>
                </c:pt>
                <c:pt idx="1221">
                  <c:v>5.4331142455339432E-2</c:v>
                </c:pt>
                <c:pt idx="1222">
                  <c:v>5.3953651338815689E-2</c:v>
                </c:pt>
                <c:pt idx="1223">
                  <c:v>5.4583411663770676E-2</c:v>
                </c:pt>
                <c:pt idx="1224">
                  <c:v>5.5826477706432343E-2</c:v>
                </c:pt>
                <c:pt idx="1225">
                  <c:v>6.182778999209404E-2</c:v>
                </c:pt>
                <c:pt idx="1226">
                  <c:v>6.2777794897556305E-2</c:v>
                </c:pt>
                <c:pt idx="1227">
                  <c:v>4.2236689478158951E-2</c:v>
                </c:pt>
                <c:pt idx="1228">
                  <c:v>6.4010314643383026E-2</c:v>
                </c:pt>
                <c:pt idx="1229">
                  <c:v>6.4885728061199188E-2</c:v>
                </c:pt>
                <c:pt idx="1230">
                  <c:v>5.5054314434528351E-2</c:v>
                </c:pt>
                <c:pt idx="1231">
                  <c:v>5.9018287807703018E-2</c:v>
                </c:pt>
                <c:pt idx="1232">
                  <c:v>4.739721491932869E-2</c:v>
                </c:pt>
                <c:pt idx="1233">
                  <c:v>6.442541629076004E-2</c:v>
                </c:pt>
                <c:pt idx="1234">
                  <c:v>5.7164814323186874E-2</c:v>
                </c:pt>
                <c:pt idx="1235">
                  <c:v>6.5141208469867706E-2</c:v>
                </c:pt>
                <c:pt idx="1236">
                  <c:v>5.3644072264432907E-2</c:v>
                </c:pt>
                <c:pt idx="1237">
                  <c:v>5.2799329161643982E-2</c:v>
                </c:pt>
                <c:pt idx="1238">
                  <c:v>5.512373149394989E-2</c:v>
                </c:pt>
                <c:pt idx="1239">
                  <c:v>5.3188756108283997E-2</c:v>
                </c:pt>
                <c:pt idx="1240">
                  <c:v>5.7606007903814316E-2</c:v>
                </c:pt>
                <c:pt idx="1241">
                  <c:v>4.1108708828687668E-2</c:v>
                </c:pt>
                <c:pt idx="1242">
                  <c:v>5.845705047249794E-2</c:v>
                </c:pt>
                <c:pt idx="1243">
                  <c:v>6.2085568904876709E-2</c:v>
                </c:pt>
                <c:pt idx="1244">
                  <c:v>6.732504814863205E-2</c:v>
                </c:pt>
                <c:pt idx="1245">
                  <c:v>6.9346621632575989E-2</c:v>
                </c:pt>
                <c:pt idx="1246">
                  <c:v>4.6724665910005569E-2</c:v>
                </c:pt>
                <c:pt idx="1247">
                  <c:v>4.8413168638944626E-2</c:v>
                </c:pt>
                <c:pt idx="1248">
                  <c:v>5.8506403118371964E-2</c:v>
                </c:pt>
                <c:pt idx="1249">
                  <c:v>5.590507760643959E-2</c:v>
                </c:pt>
                <c:pt idx="1250">
                  <c:v>7.3887430131435394E-2</c:v>
                </c:pt>
                <c:pt idx="1251">
                  <c:v>5.923740565776825E-2</c:v>
                </c:pt>
                <c:pt idx="1252">
                  <c:v>5.7371325790882111E-2</c:v>
                </c:pt>
                <c:pt idx="1253">
                  <c:v>5.8669105172157288E-2</c:v>
                </c:pt>
                <c:pt idx="1254">
                  <c:v>5.2155584096908569E-2</c:v>
                </c:pt>
                <c:pt idx="1255">
                  <c:v>5.7947751134634018E-2</c:v>
                </c:pt>
                <c:pt idx="1256">
                  <c:v>6.2420349568128586E-2</c:v>
                </c:pt>
                <c:pt idx="1257">
                  <c:v>4.7263536602258682E-2</c:v>
                </c:pt>
                <c:pt idx="1258">
                  <c:v>6.0495994985103607E-2</c:v>
                </c:pt>
                <c:pt idx="1259">
                  <c:v>5.4145358502864838E-2</c:v>
                </c:pt>
                <c:pt idx="1260">
                  <c:v>4.684453085064888E-2</c:v>
                </c:pt>
                <c:pt idx="1261">
                  <c:v>5.8514904230833054E-2</c:v>
                </c:pt>
                <c:pt idx="1262">
                  <c:v>5.9800338000059128E-2</c:v>
                </c:pt>
                <c:pt idx="1263">
                  <c:v>6.6585004329681396E-2</c:v>
                </c:pt>
                <c:pt idx="1264">
                  <c:v>4.7607254236936569E-2</c:v>
                </c:pt>
                <c:pt idx="1265">
                  <c:v>5.576556921005249E-2</c:v>
                </c:pt>
                <c:pt idx="1266">
                  <c:v>5.2571889013051987E-2</c:v>
                </c:pt>
                <c:pt idx="1267">
                  <c:v>4.9098793417215347E-2</c:v>
                </c:pt>
                <c:pt idx="1268">
                  <c:v>5.8407817035913467E-2</c:v>
                </c:pt>
                <c:pt idx="1269">
                  <c:v>5.0363887101411819E-2</c:v>
                </c:pt>
                <c:pt idx="1270">
                  <c:v>5.668611079454422E-2</c:v>
                </c:pt>
                <c:pt idx="1271">
                  <c:v>6.6280744969844818E-2</c:v>
                </c:pt>
                <c:pt idx="1272">
                  <c:v>5.305805429816246E-2</c:v>
                </c:pt>
                <c:pt idx="1273">
                  <c:v>5.8974429965019226E-2</c:v>
                </c:pt>
                <c:pt idx="1274">
                  <c:v>4.0731858462095261E-2</c:v>
                </c:pt>
                <c:pt idx="1275">
                  <c:v>5.4321397095918655E-2</c:v>
                </c:pt>
                <c:pt idx="1276">
                  <c:v>5.3792867809534073E-2</c:v>
                </c:pt>
                <c:pt idx="1277">
                  <c:v>4.5229930430650711E-2</c:v>
                </c:pt>
                <c:pt idx="1278">
                  <c:v>5.9880666434764862E-2</c:v>
                </c:pt>
                <c:pt idx="1279">
                  <c:v>5.0042122602462769E-2</c:v>
                </c:pt>
                <c:pt idx="1280">
                  <c:v>8.5878513753414154E-2</c:v>
                </c:pt>
                <c:pt idx="1281">
                  <c:v>4.6690735965967178E-2</c:v>
                </c:pt>
                <c:pt idx="1282">
                  <c:v>7.5014814734458923E-2</c:v>
                </c:pt>
                <c:pt idx="1283">
                  <c:v>4.6920109540224075E-2</c:v>
                </c:pt>
                <c:pt idx="1284">
                  <c:v>5.3466085344552994E-2</c:v>
                </c:pt>
                <c:pt idx="1285">
                  <c:v>7.0520117878913879E-2</c:v>
                </c:pt>
                <c:pt idx="1286">
                  <c:v>6.6210083663463593E-2</c:v>
                </c:pt>
                <c:pt idx="1287">
                  <c:v>5.4862603545188904E-2</c:v>
                </c:pt>
                <c:pt idx="1288">
                  <c:v>5.6089013814926147E-2</c:v>
                </c:pt>
                <c:pt idx="1289">
                  <c:v>6.8724647164344788E-2</c:v>
                </c:pt>
                <c:pt idx="1290">
                  <c:v>7.6415151357650757E-2</c:v>
                </c:pt>
                <c:pt idx="1291">
                  <c:v>5.9427578002214432E-2</c:v>
                </c:pt>
                <c:pt idx="1292">
                  <c:v>6.020750105381012E-2</c:v>
                </c:pt>
                <c:pt idx="1293">
                  <c:v>5.6887350976467133E-2</c:v>
                </c:pt>
                <c:pt idx="1294">
                  <c:v>5.5951666086912155E-2</c:v>
                </c:pt>
                <c:pt idx="1295">
                  <c:v>6.2073245644569397E-2</c:v>
                </c:pt>
                <c:pt idx="1296">
                  <c:v>6.7352227866649628E-2</c:v>
                </c:pt>
                <c:pt idx="1297">
                  <c:v>5.5098988115787506E-2</c:v>
                </c:pt>
                <c:pt idx="1298">
                  <c:v>5.0029803067445755E-2</c:v>
                </c:pt>
                <c:pt idx="1299">
                  <c:v>4.9516934901475906E-2</c:v>
                </c:pt>
                <c:pt idx="1300">
                  <c:v>6.7142561078071594E-2</c:v>
                </c:pt>
                <c:pt idx="1301">
                  <c:v>5.1733255386352539E-2</c:v>
                </c:pt>
                <c:pt idx="1302">
                  <c:v>7.3375597596168518E-2</c:v>
                </c:pt>
                <c:pt idx="1303">
                  <c:v>5.6926470249891281E-2</c:v>
                </c:pt>
                <c:pt idx="1304">
                  <c:v>7.281455397605896E-2</c:v>
                </c:pt>
                <c:pt idx="1305">
                  <c:v>5.4304394870996475E-2</c:v>
                </c:pt>
                <c:pt idx="1306">
                  <c:v>5.6695189327001572E-2</c:v>
                </c:pt>
                <c:pt idx="1307">
                  <c:v>5.8826226741075516E-2</c:v>
                </c:pt>
                <c:pt idx="1308">
                  <c:v>6.0717713087797165E-2</c:v>
                </c:pt>
                <c:pt idx="1309">
                  <c:v>7.3795795440673828E-2</c:v>
                </c:pt>
                <c:pt idx="1310">
                  <c:v>5.9327393770217896E-2</c:v>
                </c:pt>
                <c:pt idx="1311">
                  <c:v>6.5617874264717102E-2</c:v>
                </c:pt>
                <c:pt idx="1312">
                  <c:v>6.8319380283355713E-2</c:v>
                </c:pt>
                <c:pt idx="1313">
                  <c:v>5.6429360061883926E-2</c:v>
                </c:pt>
                <c:pt idx="1314">
                  <c:v>5.4326210170984268E-2</c:v>
                </c:pt>
                <c:pt idx="1315">
                  <c:v>5.6129120290279388E-2</c:v>
                </c:pt>
                <c:pt idx="1316">
                  <c:v>7.8900881111621857E-2</c:v>
                </c:pt>
                <c:pt idx="1317">
                  <c:v>7.5115077197551727E-2</c:v>
                </c:pt>
                <c:pt idx="1318">
                  <c:v>4.5603260397911072E-2</c:v>
                </c:pt>
                <c:pt idx="1319">
                  <c:v>5.5562719702720642E-2</c:v>
                </c:pt>
                <c:pt idx="1320">
                  <c:v>6.066909059882164E-2</c:v>
                </c:pt>
                <c:pt idx="1321">
                  <c:v>5.2699718624353409E-2</c:v>
                </c:pt>
                <c:pt idx="1322">
                  <c:v>6.9048836827278137E-2</c:v>
                </c:pt>
                <c:pt idx="1323">
                  <c:v>6.9670110940933228E-2</c:v>
                </c:pt>
                <c:pt idx="1324">
                  <c:v>6.1247680336236954E-2</c:v>
                </c:pt>
                <c:pt idx="1325">
                  <c:v>5.4083898663520813E-2</c:v>
                </c:pt>
                <c:pt idx="1326">
                  <c:v>4.9747578799724579E-2</c:v>
                </c:pt>
                <c:pt idx="1327">
                  <c:v>6.7467138171195984E-2</c:v>
                </c:pt>
                <c:pt idx="1328">
                  <c:v>5.8801088482141495E-2</c:v>
                </c:pt>
                <c:pt idx="1329">
                  <c:v>5.4480221122503281E-2</c:v>
                </c:pt>
                <c:pt idx="1330">
                  <c:v>6.0093715786933899E-2</c:v>
                </c:pt>
                <c:pt idx="1331">
                  <c:v>5.4061591625213623E-2</c:v>
                </c:pt>
                <c:pt idx="1332">
                  <c:v>7.3248535394668579E-2</c:v>
                </c:pt>
                <c:pt idx="1333">
                  <c:v>6.3760094344615936E-2</c:v>
                </c:pt>
                <c:pt idx="1334">
                  <c:v>4.6363309025764465E-2</c:v>
                </c:pt>
                <c:pt idx="1335">
                  <c:v>5.9589114040136337E-2</c:v>
                </c:pt>
                <c:pt idx="1336">
                  <c:v>5.5427201092243195E-2</c:v>
                </c:pt>
                <c:pt idx="1337">
                  <c:v>5.7575859129428864E-2</c:v>
                </c:pt>
                <c:pt idx="1338">
                  <c:v>6.4587168395519257E-2</c:v>
                </c:pt>
                <c:pt idx="1339">
                  <c:v>5.7848598808050156E-2</c:v>
                </c:pt>
                <c:pt idx="1340">
                  <c:v>6.4767152070999146E-2</c:v>
                </c:pt>
                <c:pt idx="1341">
                  <c:v>5.7675693184137344E-2</c:v>
                </c:pt>
                <c:pt idx="1342">
                  <c:v>5.9963688254356384E-2</c:v>
                </c:pt>
                <c:pt idx="1343">
                  <c:v>5.0749164074659348E-2</c:v>
                </c:pt>
                <c:pt idx="1344">
                  <c:v>6.1221804469823837E-2</c:v>
                </c:pt>
                <c:pt idx="1345">
                  <c:v>6.0101483017206192E-2</c:v>
                </c:pt>
                <c:pt idx="1346">
                  <c:v>6.2634259462356567E-2</c:v>
                </c:pt>
                <c:pt idx="1347">
                  <c:v>5.1377125084400177E-2</c:v>
                </c:pt>
                <c:pt idx="1348">
                  <c:v>5.8219116181135178E-2</c:v>
                </c:pt>
                <c:pt idx="1349">
                  <c:v>6.7359723150730133E-2</c:v>
                </c:pt>
                <c:pt idx="1350">
                  <c:v>6.3870355486869812E-2</c:v>
                </c:pt>
                <c:pt idx="1351">
                  <c:v>4.4746354222297668E-2</c:v>
                </c:pt>
                <c:pt idx="1352">
                  <c:v>6.6410407423973083E-2</c:v>
                </c:pt>
                <c:pt idx="1353">
                  <c:v>8.4329627454280853E-2</c:v>
                </c:pt>
                <c:pt idx="1354">
                  <c:v>5.0524987280368805E-2</c:v>
                </c:pt>
                <c:pt idx="1355">
                  <c:v>4.8998534679412842E-2</c:v>
                </c:pt>
                <c:pt idx="1356">
                  <c:v>5.3035508841276169E-2</c:v>
                </c:pt>
                <c:pt idx="1357">
                  <c:v>5.1568109542131424E-2</c:v>
                </c:pt>
                <c:pt idx="1358">
                  <c:v>5.6337747722864151E-2</c:v>
                </c:pt>
                <c:pt idx="1359">
                  <c:v>6.7268267273902893E-2</c:v>
                </c:pt>
                <c:pt idx="1360">
                  <c:v>5.5449206382036209E-2</c:v>
                </c:pt>
                <c:pt idx="1361">
                  <c:v>4.1274566203355789E-2</c:v>
                </c:pt>
                <c:pt idx="1362">
                  <c:v>5.9361487627029419E-2</c:v>
                </c:pt>
                <c:pt idx="1363">
                  <c:v>6.9997511804103851E-2</c:v>
                </c:pt>
                <c:pt idx="1364">
                  <c:v>6.2881939113140106E-2</c:v>
                </c:pt>
                <c:pt idx="1365">
                  <c:v>5.9839490801095963E-2</c:v>
                </c:pt>
                <c:pt idx="1366">
                  <c:v>5.5398959666490555E-2</c:v>
                </c:pt>
                <c:pt idx="1367">
                  <c:v>6.4139418303966522E-2</c:v>
                </c:pt>
                <c:pt idx="1368">
                  <c:v>5.4835200309753418E-2</c:v>
                </c:pt>
                <c:pt idx="1369">
                  <c:v>6.327027827501297E-2</c:v>
                </c:pt>
                <c:pt idx="1370">
                  <c:v>5.5065717548131943E-2</c:v>
                </c:pt>
                <c:pt idx="1371">
                  <c:v>4.1566707193851471E-2</c:v>
                </c:pt>
                <c:pt idx="1372">
                  <c:v>5.6681085377931595E-2</c:v>
                </c:pt>
                <c:pt idx="1373">
                  <c:v>6.2307093292474747E-2</c:v>
                </c:pt>
                <c:pt idx="1374">
                  <c:v>5.442316085100174E-2</c:v>
                </c:pt>
                <c:pt idx="1375">
                  <c:v>5.5472012609243393E-2</c:v>
                </c:pt>
                <c:pt idx="1376">
                  <c:v>6.2450237572193146E-2</c:v>
                </c:pt>
                <c:pt idx="1377">
                  <c:v>5.812063068151474E-2</c:v>
                </c:pt>
                <c:pt idx="1378">
                  <c:v>4.6308428049087524E-2</c:v>
                </c:pt>
                <c:pt idx="1379">
                  <c:v>5.2924543619155884E-2</c:v>
                </c:pt>
                <c:pt idx="1380">
                  <c:v>5.081171914935112E-2</c:v>
                </c:pt>
                <c:pt idx="1381">
                  <c:v>8.1468008458614349E-2</c:v>
                </c:pt>
                <c:pt idx="1382">
                  <c:v>5.5357292294502258E-2</c:v>
                </c:pt>
                <c:pt idx="1383">
                  <c:v>5.8810427784919739E-2</c:v>
                </c:pt>
                <c:pt idx="1384">
                  <c:v>7.1510441601276398E-2</c:v>
                </c:pt>
                <c:pt idx="1385">
                  <c:v>6.062190979719162E-2</c:v>
                </c:pt>
                <c:pt idx="1386">
                  <c:v>4.7367237508296967E-2</c:v>
                </c:pt>
                <c:pt idx="1387">
                  <c:v>5.6967608630657196E-2</c:v>
                </c:pt>
                <c:pt idx="1388">
                  <c:v>6.8880803883075714E-2</c:v>
                </c:pt>
                <c:pt idx="1389">
                  <c:v>6.7810356616973877E-2</c:v>
                </c:pt>
                <c:pt idx="1390">
                  <c:v>7.1332827210426331E-2</c:v>
                </c:pt>
                <c:pt idx="1391">
                  <c:v>4.9225900322198868E-2</c:v>
                </c:pt>
                <c:pt idx="1392">
                  <c:v>6.3752561807632446E-2</c:v>
                </c:pt>
                <c:pt idx="1393">
                  <c:v>6.4702898263931274E-2</c:v>
                </c:pt>
                <c:pt idx="1394">
                  <c:v>6.993287056684494E-2</c:v>
                </c:pt>
                <c:pt idx="1395">
                  <c:v>5.8291774243116379E-2</c:v>
                </c:pt>
                <c:pt idx="1396">
                  <c:v>6.985839456319809E-2</c:v>
                </c:pt>
                <c:pt idx="1397">
                  <c:v>7.1163415908813477E-2</c:v>
                </c:pt>
                <c:pt idx="1398">
                  <c:v>8.1020727753639221E-2</c:v>
                </c:pt>
                <c:pt idx="1399">
                  <c:v>6.2884598970413208E-2</c:v>
                </c:pt>
                <c:pt idx="1400">
                  <c:v>4.5825373381376266E-2</c:v>
                </c:pt>
                <c:pt idx="1401">
                  <c:v>5.9947974979877472E-2</c:v>
                </c:pt>
                <c:pt idx="1402">
                  <c:v>6.645704060792923E-2</c:v>
                </c:pt>
                <c:pt idx="1403">
                  <c:v>5.6407742202281952E-2</c:v>
                </c:pt>
                <c:pt idx="1404">
                  <c:v>4.6543281525373459E-2</c:v>
                </c:pt>
                <c:pt idx="1405">
                  <c:v>5.4940566420555115E-2</c:v>
                </c:pt>
                <c:pt idx="1406">
                  <c:v>4.7159310430288315E-2</c:v>
                </c:pt>
                <c:pt idx="1407">
                  <c:v>7.7532760798931122E-2</c:v>
                </c:pt>
                <c:pt idx="1408">
                  <c:v>4.8379924148321152E-2</c:v>
                </c:pt>
                <c:pt idx="1409">
                  <c:v>4.6754911541938782E-2</c:v>
                </c:pt>
                <c:pt idx="1410">
                  <c:v>5.5759046226739883E-2</c:v>
                </c:pt>
                <c:pt idx="1411">
                  <c:v>6.0982279479503632E-2</c:v>
                </c:pt>
                <c:pt idx="1412">
                  <c:v>6.5734393894672394E-2</c:v>
                </c:pt>
                <c:pt idx="1413">
                  <c:v>5.877908319234848E-2</c:v>
                </c:pt>
                <c:pt idx="1414">
                  <c:v>6.9934271275997162E-2</c:v>
                </c:pt>
                <c:pt idx="1415">
                  <c:v>4.7653477638959885E-2</c:v>
                </c:pt>
                <c:pt idx="1416">
                  <c:v>4.8593852669000626E-2</c:v>
                </c:pt>
                <c:pt idx="1417">
                  <c:v>7.574944943189621E-2</c:v>
                </c:pt>
                <c:pt idx="1418">
                  <c:v>5.3837437182664871E-2</c:v>
                </c:pt>
                <c:pt idx="1419">
                  <c:v>5.4985970258712769E-2</c:v>
                </c:pt>
                <c:pt idx="1420">
                  <c:v>4.3579816818237305E-2</c:v>
                </c:pt>
                <c:pt idx="1421">
                  <c:v>6.3097864389419556E-2</c:v>
                </c:pt>
                <c:pt idx="1422">
                  <c:v>5.7363279163837433E-2</c:v>
                </c:pt>
                <c:pt idx="1423">
                  <c:v>6.4258642494678497E-2</c:v>
                </c:pt>
                <c:pt idx="1424">
                  <c:v>7.2142340242862701E-2</c:v>
                </c:pt>
                <c:pt idx="1425">
                  <c:v>6.1727575957775116E-2</c:v>
                </c:pt>
                <c:pt idx="1426">
                  <c:v>4.9994491040706635E-2</c:v>
                </c:pt>
                <c:pt idx="1427">
                  <c:v>5.9682581573724747E-2</c:v>
                </c:pt>
                <c:pt idx="1428">
                  <c:v>5.6484401226043701E-2</c:v>
                </c:pt>
                <c:pt idx="1429">
                  <c:v>6.3699007034301758E-2</c:v>
                </c:pt>
                <c:pt idx="1430">
                  <c:v>4.9763418734073639E-2</c:v>
                </c:pt>
                <c:pt idx="1431">
                  <c:v>5.1196318119764328E-2</c:v>
                </c:pt>
                <c:pt idx="1432">
                  <c:v>5.7183001190423965E-2</c:v>
                </c:pt>
                <c:pt idx="1433">
                  <c:v>6.5992556512355804E-2</c:v>
                </c:pt>
                <c:pt idx="1434">
                  <c:v>5.1212333142757416E-2</c:v>
                </c:pt>
                <c:pt idx="1435">
                  <c:v>4.2113788425922394E-2</c:v>
                </c:pt>
                <c:pt idx="1436">
                  <c:v>5.4394125938415527E-2</c:v>
                </c:pt>
                <c:pt idx="1437">
                  <c:v>5.4968349635601044E-2</c:v>
                </c:pt>
                <c:pt idx="1438">
                  <c:v>5.1836553961038589E-2</c:v>
                </c:pt>
                <c:pt idx="1439">
                  <c:v>6.1658333986997604E-2</c:v>
                </c:pt>
                <c:pt idx="1440">
                  <c:v>5.9989489614963531E-2</c:v>
                </c:pt>
                <c:pt idx="1441">
                  <c:v>5.9082213789224625E-2</c:v>
                </c:pt>
                <c:pt idx="1442">
                  <c:v>6.4420796930789948E-2</c:v>
                </c:pt>
                <c:pt idx="1443">
                  <c:v>6.7441083490848541E-2</c:v>
                </c:pt>
                <c:pt idx="1444">
                  <c:v>7.5088508427143097E-2</c:v>
                </c:pt>
                <c:pt idx="1445">
                  <c:v>5.5262580513954163E-2</c:v>
                </c:pt>
                <c:pt idx="1446">
                  <c:v>7.5286053121089935E-2</c:v>
                </c:pt>
                <c:pt idx="1447">
                  <c:v>6.3736379146575928E-2</c:v>
                </c:pt>
                <c:pt idx="1448">
                  <c:v>5.8225996792316437E-2</c:v>
                </c:pt>
                <c:pt idx="1449">
                  <c:v>5.0736632198095322E-2</c:v>
                </c:pt>
                <c:pt idx="1450">
                  <c:v>5.6550972163677216E-2</c:v>
                </c:pt>
                <c:pt idx="1451">
                  <c:v>6.4953722059726715E-2</c:v>
                </c:pt>
                <c:pt idx="1452">
                  <c:v>6.8375438451766968E-2</c:v>
                </c:pt>
                <c:pt idx="1453">
                  <c:v>4.7842670232057571E-2</c:v>
                </c:pt>
                <c:pt idx="1454">
                  <c:v>7.1292899549007416E-2</c:v>
                </c:pt>
                <c:pt idx="1455">
                  <c:v>4.8967856913805008E-2</c:v>
                </c:pt>
                <c:pt idx="1456">
                  <c:v>5.9820357710123062E-2</c:v>
                </c:pt>
                <c:pt idx="1457">
                  <c:v>7.2599224746227264E-2</c:v>
                </c:pt>
                <c:pt idx="1458">
                  <c:v>4.6891938894987106E-2</c:v>
                </c:pt>
                <c:pt idx="1459">
                  <c:v>4.5430529862642288E-2</c:v>
                </c:pt>
                <c:pt idx="1460">
                  <c:v>4.5748729258775711E-2</c:v>
                </c:pt>
                <c:pt idx="1461">
                  <c:v>7.5045548379421234E-2</c:v>
                </c:pt>
                <c:pt idx="1462">
                  <c:v>5.9877175837755203E-2</c:v>
                </c:pt>
                <c:pt idx="1463">
                  <c:v>4.9189422279596329E-2</c:v>
                </c:pt>
                <c:pt idx="1464">
                  <c:v>6.0428332537412643E-2</c:v>
                </c:pt>
                <c:pt idx="1465">
                  <c:v>4.96172234416008E-2</c:v>
                </c:pt>
                <c:pt idx="1466">
                  <c:v>5.2139312028884888E-2</c:v>
                </c:pt>
                <c:pt idx="1467">
                  <c:v>5.2129480987787247E-2</c:v>
                </c:pt>
                <c:pt idx="1468">
                  <c:v>6.3718222081661224E-2</c:v>
                </c:pt>
                <c:pt idx="1469">
                  <c:v>6.2636449933052063E-2</c:v>
                </c:pt>
                <c:pt idx="1470">
                  <c:v>4.7944840043783188E-2</c:v>
                </c:pt>
                <c:pt idx="1471">
                  <c:v>5.2696771919727325E-2</c:v>
                </c:pt>
                <c:pt idx="1472">
                  <c:v>5.6805379688739777E-2</c:v>
                </c:pt>
                <c:pt idx="1473">
                  <c:v>6.0028456151485443E-2</c:v>
                </c:pt>
                <c:pt idx="1474">
                  <c:v>5.1396910101175308E-2</c:v>
                </c:pt>
                <c:pt idx="1475">
                  <c:v>6.0784682631492615E-2</c:v>
                </c:pt>
                <c:pt idx="1476">
                  <c:v>5.4607212543487549E-2</c:v>
                </c:pt>
                <c:pt idx="1477">
                  <c:v>5.2931908518075943E-2</c:v>
                </c:pt>
                <c:pt idx="1478">
                  <c:v>4.1249971836805344E-2</c:v>
                </c:pt>
                <c:pt idx="1479">
                  <c:v>6.0559775680303574E-2</c:v>
                </c:pt>
                <c:pt idx="1480">
                  <c:v>6.1009008437395096E-2</c:v>
                </c:pt>
                <c:pt idx="1481">
                  <c:v>6.9951631128787994E-2</c:v>
                </c:pt>
                <c:pt idx="1482">
                  <c:v>6.2605902552604675E-2</c:v>
                </c:pt>
                <c:pt idx="1483">
                  <c:v>6.2688060104846954E-2</c:v>
                </c:pt>
                <c:pt idx="1484">
                  <c:v>5.3258024156093597E-2</c:v>
                </c:pt>
                <c:pt idx="1485">
                  <c:v>6.9378182291984558E-2</c:v>
                </c:pt>
                <c:pt idx="1486">
                  <c:v>5.6010201573371887E-2</c:v>
                </c:pt>
                <c:pt idx="1487">
                  <c:v>6.1791256070137024E-2</c:v>
                </c:pt>
                <c:pt idx="1488">
                  <c:v>6.0046903789043427E-2</c:v>
                </c:pt>
                <c:pt idx="1489">
                  <c:v>8.2799166440963745E-2</c:v>
                </c:pt>
                <c:pt idx="1490">
                  <c:v>5.9388097375631332E-2</c:v>
                </c:pt>
                <c:pt idx="1491">
                  <c:v>8.3771310746669769E-2</c:v>
                </c:pt>
                <c:pt idx="1492">
                  <c:v>6.2645368278026581E-2</c:v>
                </c:pt>
                <c:pt idx="1493">
                  <c:v>6.6504277288913727E-2</c:v>
                </c:pt>
                <c:pt idx="1494">
                  <c:v>6.1627838760614395E-2</c:v>
                </c:pt>
                <c:pt idx="1495">
                  <c:v>5.5207818746566772E-2</c:v>
                </c:pt>
                <c:pt idx="1496">
                  <c:v>6.3226699829101563E-2</c:v>
                </c:pt>
                <c:pt idx="1497">
                  <c:v>5.1201149821281433E-2</c:v>
                </c:pt>
                <c:pt idx="1498">
                  <c:v>4.8606038093566895E-2</c:v>
                </c:pt>
                <c:pt idx="1499">
                  <c:v>6.1313193291425705E-2</c:v>
                </c:pt>
              </c:numCache>
            </c:numRef>
          </c:xVal>
          <c:yVal>
            <c:numRef>
              <c:f>'Output Sheet'!$M$5:$M$9999</c:f>
              <c:numCache>
                <c:formatCode>General</c:formatCode>
                <c:ptCount val="9995"/>
                <c:pt idx="0">
                  <c:v>2.4040417939973469E-2</c:v>
                </c:pt>
                <c:pt idx="1">
                  <c:v>2.6908565468716894E-2</c:v>
                </c:pt>
                <c:pt idx="2">
                  <c:v>2.4790454082882607E-2</c:v>
                </c:pt>
                <c:pt idx="3">
                  <c:v>2.6203035171551536E-2</c:v>
                </c:pt>
                <c:pt idx="4">
                  <c:v>2.5913932004950735E-2</c:v>
                </c:pt>
                <c:pt idx="5">
                  <c:v>2.5198042817000443E-2</c:v>
                </c:pt>
                <c:pt idx="6">
                  <c:v>2.2063381924695702E-2</c:v>
                </c:pt>
                <c:pt idx="7">
                  <c:v>2.3021922479739887E-2</c:v>
                </c:pt>
                <c:pt idx="8">
                  <c:v>2.2653838699436935E-2</c:v>
                </c:pt>
                <c:pt idx="9">
                  <c:v>2.5992388117853649E-2</c:v>
                </c:pt>
                <c:pt idx="10">
                  <c:v>2.6788379458449141E-2</c:v>
                </c:pt>
                <c:pt idx="11">
                  <c:v>2.0819969083167966E-2</c:v>
                </c:pt>
                <c:pt idx="12">
                  <c:v>2.8387331304515095E-2</c:v>
                </c:pt>
                <c:pt idx="13">
                  <c:v>2.8007548087501499E-2</c:v>
                </c:pt>
                <c:pt idx="14">
                  <c:v>2.1268139671677844E-2</c:v>
                </c:pt>
                <c:pt idx="15">
                  <c:v>2.6264945795146599E-2</c:v>
                </c:pt>
                <c:pt idx="16">
                  <c:v>2.7781407335992103E-2</c:v>
                </c:pt>
                <c:pt idx="17">
                  <c:v>1.9494403514061842E-2</c:v>
                </c:pt>
                <c:pt idx="18">
                  <c:v>2.4405706242612402E-2</c:v>
                </c:pt>
                <c:pt idx="19">
                  <c:v>2.2012457918905937E-2</c:v>
                </c:pt>
                <c:pt idx="20">
                  <c:v>2.8805947109957319E-2</c:v>
                </c:pt>
                <c:pt idx="21">
                  <c:v>2.3064679059520254E-2</c:v>
                </c:pt>
                <c:pt idx="22">
                  <c:v>2.5478772105149594E-2</c:v>
                </c:pt>
                <c:pt idx="23">
                  <c:v>2.6116101953975845E-2</c:v>
                </c:pt>
                <c:pt idx="24">
                  <c:v>2.3190015221252858E-2</c:v>
                </c:pt>
                <c:pt idx="25">
                  <c:v>2.7539288839391052E-2</c:v>
                </c:pt>
                <c:pt idx="26">
                  <c:v>2.2423543790001665E-2</c:v>
                </c:pt>
                <c:pt idx="27">
                  <c:v>2.5519178195975933E-2</c:v>
                </c:pt>
                <c:pt idx="28">
                  <c:v>2.5707115481025999E-2</c:v>
                </c:pt>
                <c:pt idx="29">
                  <c:v>2.7422514874216208E-2</c:v>
                </c:pt>
                <c:pt idx="30">
                  <c:v>3.9052259936110278E-2</c:v>
                </c:pt>
                <c:pt idx="31">
                  <c:v>2.3313503075647724E-2</c:v>
                </c:pt>
                <c:pt idx="32">
                  <c:v>2.0932008591660334E-2</c:v>
                </c:pt>
                <c:pt idx="33">
                  <c:v>2.6103914285138252E-2</c:v>
                </c:pt>
                <c:pt idx="34">
                  <c:v>2.9319896515456634E-2</c:v>
                </c:pt>
                <c:pt idx="35">
                  <c:v>1.9958606250671806E-2</c:v>
                </c:pt>
                <c:pt idx="36">
                  <c:v>2.5129780990908235E-2</c:v>
                </c:pt>
                <c:pt idx="37">
                  <c:v>2.2537826376380132E-2</c:v>
                </c:pt>
                <c:pt idx="38">
                  <c:v>2.2415527018477155E-2</c:v>
                </c:pt>
                <c:pt idx="39">
                  <c:v>1.9557969942041731E-2</c:v>
                </c:pt>
                <c:pt idx="40">
                  <c:v>2.8940470405370178E-2</c:v>
                </c:pt>
                <c:pt idx="41">
                  <c:v>2.686694856221572E-2</c:v>
                </c:pt>
                <c:pt idx="42">
                  <c:v>2.2748564101758739E-2</c:v>
                </c:pt>
                <c:pt idx="43">
                  <c:v>2.423719222652132E-2</c:v>
                </c:pt>
                <c:pt idx="44">
                  <c:v>1.9808684113974961E-2</c:v>
                </c:pt>
                <c:pt idx="45">
                  <c:v>2.7769254540877863E-2</c:v>
                </c:pt>
                <c:pt idx="46">
                  <c:v>2.2468921478829285E-2</c:v>
                </c:pt>
                <c:pt idx="47">
                  <c:v>2.3390632592114269E-2</c:v>
                </c:pt>
                <c:pt idx="48">
                  <c:v>2.5346172444316917E-2</c:v>
                </c:pt>
                <c:pt idx="49">
                  <c:v>2.1917545593426957E-2</c:v>
                </c:pt>
                <c:pt idx="50">
                  <c:v>2.4130060148379262E-2</c:v>
                </c:pt>
                <c:pt idx="51">
                  <c:v>2.0822248429726353E-2</c:v>
                </c:pt>
                <c:pt idx="52">
                  <c:v>2.8915221829662219E-2</c:v>
                </c:pt>
                <c:pt idx="53">
                  <c:v>2.0881274298925612E-2</c:v>
                </c:pt>
                <c:pt idx="54">
                  <c:v>2.5330459739522748E-2</c:v>
                </c:pt>
                <c:pt idx="55">
                  <c:v>2.2152562405004295E-2</c:v>
                </c:pt>
                <c:pt idx="56">
                  <c:v>2.1646412158995765E-2</c:v>
                </c:pt>
                <c:pt idx="57">
                  <c:v>2.3258574171468038E-2</c:v>
                </c:pt>
                <c:pt idx="58">
                  <c:v>2.8414357045165151E-2</c:v>
                </c:pt>
                <c:pt idx="59">
                  <c:v>3.2336038361469921E-2</c:v>
                </c:pt>
                <c:pt idx="60">
                  <c:v>3.1331119939212337E-2</c:v>
                </c:pt>
                <c:pt idx="61">
                  <c:v>2.2096069763069437E-2</c:v>
                </c:pt>
                <c:pt idx="62">
                  <c:v>2.2545014548237763E-2</c:v>
                </c:pt>
                <c:pt idx="63">
                  <c:v>2.6843979333066148E-2</c:v>
                </c:pt>
                <c:pt idx="64">
                  <c:v>2.1465146914697697E-2</c:v>
                </c:pt>
                <c:pt idx="65">
                  <c:v>2.8477163225975932E-2</c:v>
                </c:pt>
                <c:pt idx="66">
                  <c:v>2.9399336067358117E-2</c:v>
                </c:pt>
                <c:pt idx="67">
                  <c:v>1.8232342995182504E-2</c:v>
                </c:pt>
                <c:pt idx="68">
                  <c:v>2.7387786225551825E-2</c:v>
                </c:pt>
                <c:pt idx="69">
                  <c:v>2.0469739254273089E-2</c:v>
                </c:pt>
                <c:pt idx="70">
                  <c:v>2.8392729756890223E-2</c:v>
                </c:pt>
                <c:pt idx="71">
                  <c:v>2.9686335650966234E-2</c:v>
                </c:pt>
                <c:pt idx="72">
                  <c:v>2.7543392779155296E-2</c:v>
                </c:pt>
                <c:pt idx="73">
                  <c:v>2.7078763188171484E-2</c:v>
                </c:pt>
                <c:pt idx="74">
                  <c:v>2.6903727785813292E-2</c:v>
                </c:pt>
                <c:pt idx="75">
                  <c:v>2.8912632804440452E-2</c:v>
                </c:pt>
                <c:pt idx="76">
                  <c:v>2.6574670491840813E-2</c:v>
                </c:pt>
                <c:pt idx="77">
                  <c:v>2.3042796495590379E-2</c:v>
                </c:pt>
                <c:pt idx="78">
                  <c:v>2.8156213375208683E-2</c:v>
                </c:pt>
                <c:pt idx="79">
                  <c:v>2.1239671553829886E-2</c:v>
                </c:pt>
                <c:pt idx="80">
                  <c:v>2.1113262676366928E-2</c:v>
                </c:pt>
                <c:pt idx="81">
                  <c:v>2.4928230399209883E-2</c:v>
                </c:pt>
                <c:pt idx="82">
                  <c:v>2.1821391763396591E-2</c:v>
                </c:pt>
                <c:pt idx="83">
                  <c:v>2.3943421560786882E-2</c:v>
                </c:pt>
                <c:pt idx="84">
                  <c:v>2.8098200238935611E-2</c:v>
                </c:pt>
                <c:pt idx="85">
                  <c:v>2.6062975323819071E-2</c:v>
                </c:pt>
                <c:pt idx="86">
                  <c:v>2.5987279814856823E-2</c:v>
                </c:pt>
                <c:pt idx="87">
                  <c:v>2.2504867917913174E-2</c:v>
                </c:pt>
                <c:pt idx="88">
                  <c:v>2.0601059746933159E-2</c:v>
                </c:pt>
                <c:pt idx="89">
                  <c:v>2.5246321999611077E-2</c:v>
                </c:pt>
                <c:pt idx="90">
                  <c:v>2.6107326330231162E-2</c:v>
                </c:pt>
                <c:pt idx="91">
                  <c:v>2.1926091050597507E-2</c:v>
                </c:pt>
                <c:pt idx="92">
                  <c:v>2.5578845741684897E-2</c:v>
                </c:pt>
                <c:pt idx="93">
                  <c:v>2.6956066269822276E-2</c:v>
                </c:pt>
                <c:pt idx="94">
                  <c:v>2.3094738814102067E-2</c:v>
                </c:pt>
                <c:pt idx="95">
                  <c:v>2.6475171574266376E-2</c:v>
                </c:pt>
                <c:pt idx="96">
                  <c:v>2.139457505317055E-2</c:v>
                </c:pt>
                <c:pt idx="97">
                  <c:v>2.4779835731595923E-2</c:v>
                </c:pt>
                <c:pt idx="98">
                  <c:v>2.3731026636074515E-2</c:v>
                </c:pt>
                <c:pt idx="99">
                  <c:v>2.6485664380148988E-2</c:v>
                </c:pt>
                <c:pt idx="100">
                  <c:v>2.0491815716104811E-2</c:v>
                </c:pt>
                <c:pt idx="101">
                  <c:v>2.455519176029286E-2</c:v>
                </c:pt>
                <c:pt idx="102">
                  <c:v>2.1805538168760075E-2</c:v>
                </c:pt>
                <c:pt idx="103">
                  <c:v>2.704783717030157E-2</c:v>
                </c:pt>
                <c:pt idx="104">
                  <c:v>1.9787214454929591E-2</c:v>
                </c:pt>
                <c:pt idx="105">
                  <c:v>2.4879308145140611E-2</c:v>
                </c:pt>
                <c:pt idx="106">
                  <c:v>2.4521690666690521E-2</c:v>
                </c:pt>
                <c:pt idx="107">
                  <c:v>2.3714567633600581E-2</c:v>
                </c:pt>
                <c:pt idx="108">
                  <c:v>4.0357943298058085E-2</c:v>
                </c:pt>
                <c:pt idx="109">
                  <c:v>2.0559477714155339E-2</c:v>
                </c:pt>
                <c:pt idx="110">
                  <c:v>2.5676111346015773E-2</c:v>
                </c:pt>
                <c:pt idx="111">
                  <c:v>2.1246905759002344E-2</c:v>
                </c:pt>
                <c:pt idx="112">
                  <c:v>3.0667813351334505E-2</c:v>
                </c:pt>
                <c:pt idx="113">
                  <c:v>2.9195132282787029E-2</c:v>
                </c:pt>
                <c:pt idx="114">
                  <c:v>2.4084886122096028E-2</c:v>
                </c:pt>
                <c:pt idx="115">
                  <c:v>2.4523628250760043E-2</c:v>
                </c:pt>
                <c:pt idx="116">
                  <c:v>2.734859095040032E-2</c:v>
                </c:pt>
                <c:pt idx="117">
                  <c:v>2.4071310479068964E-2</c:v>
                </c:pt>
                <c:pt idx="118">
                  <c:v>2.7993796680908734E-2</c:v>
                </c:pt>
                <c:pt idx="119">
                  <c:v>2.7812860644559123E-2</c:v>
                </c:pt>
                <c:pt idx="120">
                  <c:v>2.1983759634483846E-2</c:v>
                </c:pt>
                <c:pt idx="121">
                  <c:v>3.3790227986946419E-2</c:v>
                </c:pt>
                <c:pt idx="122">
                  <c:v>2.5040244798621436E-2</c:v>
                </c:pt>
                <c:pt idx="123">
                  <c:v>2.4591092166061923E-2</c:v>
                </c:pt>
                <c:pt idx="124">
                  <c:v>2.3557379207905793E-2</c:v>
                </c:pt>
                <c:pt idx="125">
                  <c:v>2.3278404765515792E-2</c:v>
                </c:pt>
                <c:pt idx="126">
                  <c:v>2.274004933346474E-2</c:v>
                </c:pt>
                <c:pt idx="127">
                  <c:v>2.6359757684302321E-2</c:v>
                </c:pt>
                <c:pt idx="128">
                  <c:v>2.539654684022663E-2</c:v>
                </c:pt>
                <c:pt idx="129">
                  <c:v>2.3992096908894811E-2</c:v>
                </c:pt>
                <c:pt idx="130">
                  <c:v>2.5392622848874891E-2</c:v>
                </c:pt>
                <c:pt idx="131">
                  <c:v>3.0451244739411187E-2</c:v>
                </c:pt>
                <c:pt idx="132">
                  <c:v>2.1522713667311844E-2</c:v>
                </c:pt>
                <c:pt idx="133">
                  <c:v>2.283272834570016E-2</c:v>
                </c:pt>
                <c:pt idx="134">
                  <c:v>2.7065926868079515E-2</c:v>
                </c:pt>
                <c:pt idx="135">
                  <c:v>2.202553835506138E-2</c:v>
                </c:pt>
                <c:pt idx="136">
                  <c:v>2.2216956037702129E-2</c:v>
                </c:pt>
                <c:pt idx="137">
                  <c:v>2.4049733408955665E-2</c:v>
                </c:pt>
                <c:pt idx="138">
                  <c:v>2.3514301789870573E-2</c:v>
                </c:pt>
                <c:pt idx="139">
                  <c:v>2.6690261540319504E-2</c:v>
                </c:pt>
                <c:pt idx="140">
                  <c:v>2.5441747370539614E-2</c:v>
                </c:pt>
                <c:pt idx="141">
                  <c:v>2.4081563353734903E-2</c:v>
                </c:pt>
                <c:pt idx="142">
                  <c:v>2.36733427077499E-2</c:v>
                </c:pt>
                <c:pt idx="143">
                  <c:v>2.8966765192778743E-2</c:v>
                </c:pt>
                <c:pt idx="144">
                  <c:v>2.8426183422228801E-2</c:v>
                </c:pt>
                <c:pt idx="145">
                  <c:v>2.3066352998241224E-2</c:v>
                </c:pt>
                <c:pt idx="146">
                  <c:v>2.6673301751178213E-2</c:v>
                </c:pt>
                <c:pt idx="147">
                  <c:v>2.1289224324817391E-2</c:v>
                </c:pt>
                <c:pt idx="148">
                  <c:v>2.6632867761373191E-2</c:v>
                </c:pt>
                <c:pt idx="149">
                  <c:v>2.2875154322583136E-2</c:v>
                </c:pt>
                <c:pt idx="150">
                  <c:v>2.5418144834573941E-2</c:v>
                </c:pt>
                <c:pt idx="151">
                  <c:v>2.8129611699034607E-2</c:v>
                </c:pt>
                <c:pt idx="152">
                  <c:v>2.2649401366877431E-2</c:v>
                </c:pt>
                <c:pt idx="153">
                  <c:v>2.5525742825660003E-2</c:v>
                </c:pt>
                <c:pt idx="154">
                  <c:v>2.3920120333790984E-2</c:v>
                </c:pt>
                <c:pt idx="155">
                  <c:v>2.3416393114081058E-2</c:v>
                </c:pt>
                <c:pt idx="156">
                  <c:v>2.2460793111390043E-2</c:v>
                </c:pt>
                <c:pt idx="157">
                  <c:v>2.0775382330386005E-2</c:v>
                </c:pt>
                <c:pt idx="158">
                  <c:v>2.3454380363455596E-2</c:v>
                </c:pt>
                <c:pt idx="159">
                  <c:v>2.4476462237398855E-2</c:v>
                </c:pt>
                <c:pt idx="160">
                  <c:v>2.1000554987335107E-2</c:v>
                </c:pt>
                <c:pt idx="161">
                  <c:v>2.3284128240992574E-2</c:v>
                </c:pt>
                <c:pt idx="162">
                  <c:v>2.7030202225876154E-2</c:v>
                </c:pt>
                <c:pt idx="163">
                  <c:v>1.9598348133889387E-2</c:v>
                </c:pt>
                <c:pt idx="164">
                  <c:v>2.5752642429389572E-2</c:v>
                </c:pt>
                <c:pt idx="165">
                  <c:v>2.8414410053224648E-2</c:v>
                </c:pt>
                <c:pt idx="166">
                  <c:v>2.8422034844098665E-2</c:v>
                </c:pt>
                <c:pt idx="167">
                  <c:v>1.9590625696589981E-2</c:v>
                </c:pt>
                <c:pt idx="168">
                  <c:v>3.056291877128281E-2</c:v>
                </c:pt>
                <c:pt idx="169">
                  <c:v>2.3121474405373821E-2</c:v>
                </c:pt>
                <c:pt idx="170">
                  <c:v>2.3271238912841108E-2</c:v>
                </c:pt>
                <c:pt idx="171">
                  <c:v>2.7935738906269769E-2</c:v>
                </c:pt>
                <c:pt idx="172">
                  <c:v>3.5282039385176711E-2</c:v>
                </c:pt>
                <c:pt idx="173">
                  <c:v>2.5502105415970977E-2</c:v>
                </c:pt>
                <c:pt idx="174">
                  <c:v>2.5416597836205979E-2</c:v>
                </c:pt>
                <c:pt idx="175">
                  <c:v>2.3233582266363961E-2</c:v>
                </c:pt>
                <c:pt idx="176">
                  <c:v>2.3623114781478272E-2</c:v>
                </c:pt>
                <c:pt idx="177">
                  <c:v>2.0962975063049338E-2</c:v>
                </c:pt>
                <c:pt idx="178">
                  <c:v>2.5544559291832636E-2</c:v>
                </c:pt>
                <c:pt idx="179">
                  <c:v>2.1433519237513909E-2</c:v>
                </c:pt>
                <c:pt idx="180">
                  <c:v>2.1081979551569874E-2</c:v>
                </c:pt>
                <c:pt idx="181">
                  <c:v>3.3439989788357938E-2</c:v>
                </c:pt>
                <c:pt idx="182">
                  <c:v>2.5688446879440385E-2</c:v>
                </c:pt>
                <c:pt idx="183">
                  <c:v>2.2586980191972472E-2</c:v>
                </c:pt>
                <c:pt idx="184">
                  <c:v>2.7692984312954749E-2</c:v>
                </c:pt>
                <c:pt idx="185">
                  <c:v>2.7606530957812403E-2</c:v>
                </c:pt>
                <c:pt idx="186">
                  <c:v>2.2278180346421594E-2</c:v>
                </c:pt>
                <c:pt idx="187">
                  <c:v>2.4846122309997387E-2</c:v>
                </c:pt>
                <c:pt idx="188">
                  <c:v>2.6796319507782274E-2</c:v>
                </c:pt>
                <c:pt idx="189">
                  <c:v>1.9189975438470563E-2</c:v>
                </c:pt>
                <c:pt idx="190">
                  <c:v>1.9684634095159637E-2</c:v>
                </c:pt>
                <c:pt idx="191">
                  <c:v>2.2044370165672289E-2</c:v>
                </c:pt>
                <c:pt idx="192">
                  <c:v>2.5874604209650487E-2</c:v>
                </c:pt>
                <c:pt idx="193">
                  <c:v>2.1512784420798625E-2</c:v>
                </c:pt>
                <c:pt idx="194">
                  <c:v>2.1726055373441633E-2</c:v>
                </c:pt>
                <c:pt idx="195">
                  <c:v>3.122973784057681E-2</c:v>
                </c:pt>
                <c:pt idx="196">
                  <c:v>2.5368403745480328E-2</c:v>
                </c:pt>
                <c:pt idx="197">
                  <c:v>2.5577213651431951E-2</c:v>
                </c:pt>
                <c:pt idx="198">
                  <c:v>3.6832357731602761E-2</c:v>
                </c:pt>
                <c:pt idx="199">
                  <c:v>2.3720817004825534E-2</c:v>
                </c:pt>
                <c:pt idx="200">
                  <c:v>2.8720908233034192E-2</c:v>
                </c:pt>
                <c:pt idx="201">
                  <c:v>2.1977321945152783E-2</c:v>
                </c:pt>
                <c:pt idx="202">
                  <c:v>2.0846701884541852E-2</c:v>
                </c:pt>
                <c:pt idx="203">
                  <c:v>2.3773218261536555E-2</c:v>
                </c:pt>
                <c:pt idx="204">
                  <c:v>1.9551468085059698E-2</c:v>
                </c:pt>
                <c:pt idx="205">
                  <c:v>2.8439382429043647E-2</c:v>
                </c:pt>
                <c:pt idx="206">
                  <c:v>2.3932245229926541E-2</c:v>
                </c:pt>
                <c:pt idx="207">
                  <c:v>2.9360977761567097E-2</c:v>
                </c:pt>
                <c:pt idx="208">
                  <c:v>2.2757893520230277E-2</c:v>
                </c:pt>
                <c:pt idx="209">
                  <c:v>2.0628269620842521E-2</c:v>
                </c:pt>
                <c:pt idx="210">
                  <c:v>2.4111390151844714E-2</c:v>
                </c:pt>
                <c:pt idx="211">
                  <c:v>2.5196014561250202E-2</c:v>
                </c:pt>
                <c:pt idx="212">
                  <c:v>2.5236841926654652E-2</c:v>
                </c:pt>
                <c:pt idx="213">
                  <c:v>2.6611689646655057E-2</c:v>
                </c:pt>
                <c:pt idx="214">
                  <c:v>2.3688564390519251E-2</c:v>
                </c:pt>
                <c:pt idx="215">
                  <c:v>2.8540460428811532E-2</c:v>
                </c:pt>
                <c:pt idx="216">
                  <c:v>2.5506943098874579E-2</c:v>
                </c:pt>
                <c:pt idx="217">
                  <c:v>2.2229817466874913E-2</c:v>
                </c:pt>
                <c:pt idx="218">
                  <c:v>2.8974864266290368E-2</c:v>
                </c:pt>
                <c:pt idx="219">
                  <c:v>2.6706710778150899E-2</c:v>
                </c:pt>
                <c:pt idx="220">
                  <c:v>2.1187801772662773E-2</c:v>
                </c:pt>
                <c:pt idx="221">
                  <c:v>2.6973026058963567E-2</c:v>
                </c:pt>
                <c:pt idx="222">
                  <c:v>2.293921456248571E-2</c:v>
                </c:pt>
                <c:pt idx="223">
                  <c:v>2.9374659420713156E-2</c:v>
                </c:pt>
                <c:pt idx="224">
                  <c:v>2.9597985165273455E-2</c:v>
                </c:pt>
                <c:pt idx="225">
                  <c:v>2.3046719091993184E-2</c:v>
                </c:pt>
                <c:pt idx="226">
                  <c:v>2.5701871867982562E-2</c:v>
                </c:pt>
                <c:pt idx="227">
                  <c:v>2.9116817059726463E-2</c:v>
                </c:pt>
                <c:pt idx="228">
                  <c:v>1.8667777699923671E-2</c:v>
                </c:pt>
                <c:pt idx="229">
                  <c:v>3.3630707206633748E-2</c:v>
                </c:pt>
                <c:pt idx="230">
                  <c:v>2.6371137677707046E-2</c:v>
                </c:pt>
                <c:pt idx="231">
                  <c:v>2.9860397378968395E-2</c:v>
                </c:pt>
                <c:pt idx="232">
                  <c:v>2.4315356795096998E-2</c:v>
                </c:pt>
                <c:pt idx="233">
                  <c:v>2.2902919386168286E-2</c:v>
                </c:pt>
                <c:pt idx="234">
                  <c:v>2.1932951409455614E-2</c:v>
                </c:pt>
                <c:pt idx="235">
                  <c:v>2.6650329732130773E-2</c:v>
                </c:pt>
                <c:pt idx="236">
                  <c:v>2.3473920808125048E-2</c:v>
                </c:pt>
                <c:pt idx="237">
                  <c:v>2.6802144814531248E-2</c:v>
                </c:pt>
                <c:pt idx="238">
                  <c:v>2.3126246525677518E-2</c:v>
                </c:pt>
                <c:pt idx="239">
                  <c:v>2.2987400283517756E-2</c:v>
                </c:pt>
                <c:pt idx="240">
                  <c:v>2.708920019609673E-2</c:v>
                </c:pt>
                <c:pt idx="241">
                  <c:v>2.4526571593011082E-2</c:v>
                </c:pt>
                <c:pt idx="242">
                  <c:v>2.8344821630696071E-2</c:v>
                </c:pt>
                <c:pt idx="243">
                  <c:v>2.4135150317039944E-2</c:v>
                </c:pt>
                <c:pt idx="244">
                  <c:v>2.2842158200494955E-2</c:v>
                </c:pt>
                <c:pt idx="245">
                  <c:v>2.2365717576885769E-2</c:v>
                </c:pt>
                <c:pt idx="246">
                  <c:v>2.7295697276715547E-2</c:v>
                </c:pt>
                <c:pt idx="247">
                  <c:v>2.7838901551261674E-2</c:v>
                </c:pt>
                <c:pt idx="248">
                  <c:v>1.8566625767862277E-2</c:v>
                </c:pt>
                <c:pt idx="249">
                  <c:v>2.4478323099277E-2</c:v>
                </c:pt>
                <c:pt idx="250">
                  <c:v>2.7189630939559173E-2</c:v>
                </c:pt>
                <c:pt idx="251">
                  <c:v>1.9151476242837195E-2</c:v>
                </c:pt>
                <c:pt idx="252">
                  <c:v>2.6860863794964995E-2</c:v>
                </c:pt>
                <c:pt idx="253">
                  <c:v>2.2317834559772431E-2</c:v>
                </c:pt>
                <c:pt idx="254">
                  <c:v>2.2130764932959401E-2</c:v>
                </c:pt>
                <c:pt idx="255">
                  <c:v>2.6899637795538389E-2</c:v>
                </c:pt>
                <c:pt idx="256">
                  <c:v>2.2267175594280153E-2</c:v>
                </c:pt>
                <c:pt idx="257">
                  <c:v>2.7205416181697917E-2</c:v>
                </c:pt>
                <c:pt idx="258">
                  <c:v>2.5528518774038944E-2</c:v>
                </c:pt>
                <c:pt idx="259">
                  <c:v>2.0572440974600315E-2</c:v>
                </c:pt>
                <c:pt idx="260">
                  <c:v>3.0301840128768909E-2</c:v>
                </c:pt>
                <c:pt idx="261">
                  <c:v>2.2426142579865971E-2</c:v>
                </c:pt>
                <c:pt idx="262">
                  <c:v>2.3885280089211869E-2</c:v>
                </c:pt>
                <c:pt idx="263">
                  <c:v>2.1762879235405097E-2</c:v>
                </c:pt>
                <c:pt idx="264">
                  <c:v>2.7221670126678532E-2</c:v>
                </c:pt>
                <c:pt idx="265">
                  <c:v>2.6223917557095633E-2</c:v>
                </c:pt>
                <c:pt idx="266">
                  <c:v>2.1034703337242888E-2</c:v>
                </c:pt>
                <c:pt idx="267">
                  <c:v>2.2249523910467528E-2</c:v>
                </c:pt>
                <c:pt idx="268">
                  <c:v>2.5751703628756895E-2</c:v>
                </c:pt>
                <c:pt idx="269">
                  <c:v>2.1434364576567999E-2</c:v>
                </c:pt>
                <c:pt idx="270">
                  <c:v>2.5591815976874543E-2</c:v>
                </c:pt>
                <c:pt idx="271">
                  <c:v>2.4316309545219017E-2</c:v>
                </c:pt>
                <c:pt idx="272">
                  <c:v>2.536074826572976E-2</c:v>
                </c:pt>
                <c:pt idx="273">
                  <c:v>2.8743832823817872E-2</c:v>
                </c:pt>
                <c:pt idx="274">
                  <c:v>2.1831898518768544E-2</c:v>
                </c:pt>
                <c:pt idx="275">
                  <c:v>2.6905968073801523E-2</c:v>
                </c:pt>
                <c:pt idx="276">
                  <c:v>2.1464139761567247E-2</c:v>
                </c:pt>
                <c:pt idx="277">
                  <c:v>2.7306290518921417E-2</c:v>
                </c:pt>
                <c:pt idx="278">
                  <c:v>2.3978362241689255E-2</c:v>
                </c:pt>
                <c:pt idx="279">
                  <c:v>2.4996919079675939E-2</c:v>
                </c:pt>
                <c:pt idx="280">
                  <c:v>2.8604946128139019E-2</c:v>
                </c:pt>
                <c:pt idx="281">
                  <c:v>2.1087871815867687E-2</c:v>
                </c:pt>
                <c:pt idx="282">
                  <c:v>1.8690420511022654E-2</c:v>
                </c:pt>
                <c:pt idx="283">
                  <c:v>2.641815722143015E-2</c:v>
                </c:pt>
                <c:pt idx="284">
                  <c:v>3.1327724633506637E-2</c:v>
                </c:pt>
                <c:pt idx="285">
                  <c:v>2.3757571119342291E-2</c:v>
                </c:pt>
                <c:pt idx="286">
                  <c:v>3.1308075382820322E-2</c:v>
                </c:pt>
                <c:pt idx="287">
                  <c:v>3.4877479085194896E-2</c:v>
                </c:pt>
                <c:pt idx="288">
                  <c:v>2.2988521822460806E-2</c:v>
                </c:pt>
                <c:pt idx="289">
                  <c:v>2.6049219732379503E-2</c:v>
                </c:pt>
                <c:pt idx="290">
                  <c:v>2.6054556807001528E-2</c:v>
                </c:pt>
                <c:pt idx="291">
                  <c:v>1.9610128477638211E-2</c:v>
                </c:pt>
                <c:pt idx="292">
                  <c:v>2.5372804809367544E-2</c:v>
                </c:pt>
                <c:pt idx="293">
                  <c:v>2.1987548315788974E-2</c:v>
                </c:pt>
                <c:pt idx="294">
                  <c:v>3.026708637102371E-2</c:v>
                </c:pt>
                <c:pt idx="295">
                  <c:v>1.8839700971209794E-2</c:v>
                </c:pt>
                <c:pt idx="296">
                  <c:v>2.875103355021591E-2</c:v>
                </c:pt>
                <c:pt idx="297">
                  <c:v>2.58352094568014E-2</c:v>
                </c:pt>
                <c:pt idx="298">
                  <c:v>2.678344133922228E-2</c:v>
                </c:pt>
                <c:pt idx="299">
                  <c:v>2.3255650358502078E-2</c:v>
                </c:pt>
                <c:pt idx="300">
                  <c:v>2.3303557089747295E-2</c:v>
                </c:pt>
                <c:pt idx="301">
                  <c:v>2.2236941471081573E-2</c:v>
                </c:pt>
                <c:pt idx="302">
                  <c:v>2.4676949878009391E-2</c:v>
                </c:pt>
                <c:pt idx="303">
                  <c:v>2.199001598045347E-2</c:v>
                </c:pt>
                <c:pt idx="304">
                  <c:v>2.6360750887943429E-2</c:v>
                </c:pt>
                <c:pt idx="305">
                  <c:v>2.2290804634275574E-2</c:v>
                </c:pt>
                <c:pt idx="306">
                  <c:v>2.2538409465034603E-2</c:v>
                </c:pt>
                <c:pt idx="307">
                  <c:v>3.203513950668202E-2</c:v>
                </c:pt>
                <c:pt idx="308">
                  <c:v>2.7391485630125167E-2</c:v>
                </c:pt>
                <c:pt idx="309">
                  <c:v>2.4255365621235314E-2</c:v>
                </c:pt>
                <c:pt idx="310">
                  <c:v>2.4505432536863103E-2</c:v>
                </c:pt>
                <c:pt idx="311">
                  <c:v>2.218501449700816E-2</c:v>
                </c:pt>
                <c:pt idx="312">
                  <c:v>2.0706565314618008E-2</c:v>
                </c:pt>
                <c:pt idx="313">
                  <c:v>3.481500490223044E-2</c:v>
                </c:pt>
                <c:pt idx="314">
                  <c:v>2.5499272274685736E-2</c:v>
                </c:pt>
                <c:pt idx="315">
                  <c:v>3.1924015084690449E-2</c:v>
                </c:pt>
                <c:pt idx="316">
                  <c:v>2.4197165561805067E-2</c:v>
                </c:pt>
                <c:pt idx="317">
                  <c:v>2.8262982766627864E-2</c:v>
                </c:pt>
                <c:pt idx="318">
                  <c:v>2.4362141987399166E-2</c:v>
                </c:pt>
                <c:pt idx="319">
                  <c:v>2.4845677321287396E-2</c:v>
                </c:pt>
                <c:pt idx="320">
                  <c:v>2.5783723286591176E-2</c:v>
                </c:pt>
                <c:pt idx="321">
                  <c:v>1.9023131176253649E-2</c:v>
                </c:pt>
                <c:pt idx="322">
                  <c:v>2.4663257059271859E-2</c:v>
                </c:pt>
                <c:pt idx="323">
                  <c:v>2.7803612133125766E-2</c:v>
                </c:pt>
                <c:pt idx="324">
                  <c:v>2.5923433002141172E-2</c:v>
                </c:pt>
                <c:pt idx="325">
                  <c:v>2.3567074102998076E-2</c:v>
                </c:pt>
                <c:pt idx="326">
                  <c:v>2.5102068935382582E-2</c:v>
                </c:pt>
                <c:pt idx="327">
                  <c:v>2.7028207448900332E-2</c:v>
                </c:pt>
                <c:pt idx="328">
                  <c:v>2.7016015595215936E-2</c:v>
                </c:pt>
                <c:pt idx="329">
                  <c:v>2.3737928843400646E-2</c:v>
                </c:pt>
                <c:pt idx="330">
                  <c:v>3.3851580630967826E-2</c:v>
                </c:pt>
                <c:pt idx="331">
                  <c:v>2.5465222966152279E-2</c:v>
                </c:pt>
                <c:pt idx="332">
                  <c:v>2.1927769174165279E-2</c:v>
                </c:pt>
                <c:pt idx="333">
                  <c:v>2.5324045764323566E-2</c:v>
                </c:pt>
                <c:pt idx="334">
                  <c:v>2.4817075288341761E-2</c:v>
                </c:pt>
                <c:pt idx="335">
                  <c:v>2.8848947805801162E-2</c:v>
                </c:pt>
                <c:pt idx="336">
                  <c:v>2.5087660507841836E-2</c:v>
                </c:pt>
                <c:pt idx="337">
                  <c:v>2.3751692804533819E-2</c:v>
                </c:pt>
                <c:pt idx="338">
                  <c:v>2.6167662056479579E-2</c:v>
                </c:pt>
                <c:pt idx="339">
                  <c:v>2.9807754796091768E-2</c:v>
                </c:pt>
                <c:pt idx="340">
                  <c:v>2.8008898398069748E-2</c:v>
                </c:pt>
                <c:pt idx="341">
                  <c:v>1.9215498819118548E-2</c:v>
                </c:pt>
                <c:pt idx="342">
                  <c:v>2.6027853299555259E-2</c:v>
                </c:pt>
                <c:pt idx="343">
                  <c:v>2.782946890656901E-2</c:v>
                </c:pt>
                <c:pt idx="344">
                  <c:v>2.3103626033761482E-2</c:v>
                </c:pt>
                <c:pt idx="345">
                  <c:v>2.4558687502321819E-2</c:v>
                </c:pt>
                <c:pt idx="346">
                  <c:v>2.449296866813655E-2</c:v>
                </c:pt>
                <c:pt idx="347">
                  <c:v>2.2932506253061424E-2</c:v>
                </c:pt>
                <c:pt idx="348">
                  <c:v>2.2867450019619873E-2</c:v>
                </c:pt>
                <c:pt idx="349">
                  <c:v>2.9977891137793256E-2</c:v>
                </c:pt>
                <c:pt idx="350">
                  <c:v>2.5177542647464302E-2</c:v>
                </c:pt>
                <c:pt idx="351">
                  <c:v>2.6110863920728145E-2</c:v>
                </c:pt>
                <c:pt idx="352">
                  <c:v>2.133472337420228E-2</c:v>
                </c:pt>
                <c:pt idx="353">
                  <c:v>2.2634773932354024E-2</c:v>
                </c:pt>
                <c:pt idx="354">
                  <c:v>2.2164066548864159E-2</c:v>
                </c:pt>
                <c:pt idx="355">
                  <c:v>2.6062012809054513E-2</c:v>
                </c:pt>
                <c:pt idx="356">
                  <c:v>2.4998438179065219E-2</c:v>
                </c:pt>
                <c:pt idx="357">
                  <c:v>2.2810968537276488E-2</c:v>
                </c:pt>
                <c:pt idx="358">
                  <c:v>2.8359220293594278E-2</c:v>
                </c:pt>
                <c:pt idx="359">
                  <c:v>2.6138666647934516E-2</c:v>
                </c:pt>
                <c:pt idx="360">
                  <c:v>3.5839737179148567E-2</c:v>
                </c:pt>
                <c:pt idx="361">
                  <c:v>2.1377255367204251E-2</c:v>
                </c:pt>
                <c:pt idx="362">
                  <c:v>2.7495858499275494E-2</c:v>
                </c:pt>
                <c:pt idx="363">
                  <c:v>1.9750220409196162E-2</c:v>
                </c:pt>
                <c:pt idx="364">
                  <c:v>2.3486974740250743E-2</c:v>
                </c:pt>
                <c:pt idx="365">
                  <c:v>2.152346693973628E-2</c:v>
                </c:pt>
                <c:pt idx="366">
                  <c:v>2.0497812601572685E-2</c:v>
                </c:pt>
                <c:pt idx="367">
                  <c:v>2.3686308758092744E-2</c:v>
                </c:pt>
                <c:pt idx="368">
                  <c:v>2.1892344445982759E-2</c:v>
                </c:pt>
                <c:pt idx="369">
                  <c:v>2.6274820638651386E-2</c:v>
                </c:pt>
                <c:pt idx="370">
                  <c:v>2.0797313717528576E-2</c:v>
                </c:pt>
                <c:pt idx="371">
                  <c:v>2.8457399589477017E-2</c:v>
                </c:pt>
                <c:pt idx="372">
                  <c:v>2.9769429969075167E-2</c:v>
                </c:pt>
                <c:pt idx="373">
                  <c:v>2.7001605772726256E-2</c:v>
                </c:pt>
                <c:pt idx="374">
                  <c:v>2.7188699113671166E-2</c:v>
                </c:pt>
                <c:pt idx="375">
                  <c:v>2.4957988844821921E-2</c:v>
                </c:pt>
                <c:pt idx="376">
                  <c:v>2.449900461217458E-2</c:v>
                </c:pt>
                <c:pt idx="377">
                  <c:v>2.7409653445043425E-2</c:v>
                </c:pt>
                <c:pt idx="378">
                  <c:v>2.6411729296741626E-2</c:v>
                </c:pt>
                <c:pt idx="379">
                  <c:v>2.8295440438427466E-2</c:v>
                </c:pt>
                <c:pt idx="380">
                  <c:v>2.5266774740883458E-2</c:v>
                </c:pt>
                <c:pt idx="381">
                  <c:v>2.3711070496622688E-2</c:v>
                </c:pt>
                <c:pt idx="382">
                  <c:v>2.6304711604412168E-2</c:v>
                </c:pt>
                <c:pt idx="383">
                  <c:v>2.2967045188670765E-2</c:v>
                </c:pt>
                <c:pt idx="384">
                  <c:v>2.0434657683528368E-2</c:v>
                </c:pt>
                <c:pt idx="385">
                  <c:v>2.3756788552990238E-2</c:v>
                </c:pt>
                <c:pt idx="386">
                  <c:v>2.2849397985463149E-2</c:v>
                </c:pt>
                <c:pt idx="387">
                  <c:v>2.7267639273854227E-2</c:v>
                </c:pt>
                <c:pt idx="388">
                  <c:v>2.6072253129180045E-2</c:v>
                </c:pt>
                <c:pt idx="389">
                  <c:v>2.4267871338429892E-2</c:v>
                </c:pt>
                <c:pt idx="390">
                  <c:v>2.8597703553272957E-2</c:v>
                </c:pt>
                <c:pt idx="391">
                  <c:v>2.5338924289655118E-2</c:v>
                </c:pt>
                <c:pt idx="392">
                  <c:v>2.8963640507166266E-2</c:v>
                </c:pt>
                <c:pt idx="393">
                  <c:v>2.3268004026262834E-2</c:v>
                </c:pt>
                <c:pt idx="394">
                  <c:v>2.2845701370787674E-2</c:v>
                </c:pt>
                <c:pt idx="395">
                  <c:v>2.9251903914508715E-2</c:v>
                </c:pt>
                <c:pt idx="396">
                  <c:v>2.5147796756392671E-2</c:v>
                </c:pt>
                <c:pt idx="397">
                  <c:v>2.4024352313098962E-2</c:v>
                </c:pt>
                <c:pt idx="398">
                  <c:v>2.4151931552717665E-2</c:v>
                </c:pt>
                <c:pt idx="399">
                  <c:v>2.6503441609365685E-2</c:v>
                </c:pt>
                <c:pt idx="400">
                  <c:v>3.1963960842368522E-2</c:v>
                </c:pt>
                <c:pt idx="401">
                  <c:v>2.3677908375611345E-2</c:v>
                </c:pt>
                <c:pt idx="402">
                  <c:v>2.5188765011639469E-2</c:v>
                </c:pt>
                <c:pt idx="403">
                  <c:v>2.5910351171036794E-2</c:v>
                </c:pt>
                <c:pt idx="404">
                  <c:v>2.3963427918400337E-2</c:v>
                </c:pt>
                <c:pt idx="405">
                  <c:v>2.2996683668674467E-2</c:v>
                </c:pt>
                <c:pt idx="406">
                  <c:v>2.4451858128098469E-2</c:v>
                </c:pt>
                <c:pt idx="407">
                  <c:v>2.4463740303119486E-2</c:v>
                </c:pt>
                <c:pt idx="408">
                  <c:v>2.5377272830803599E-2</c:v>
                </c:pt>
                <c:pt idx="409">
                  <c:v>2.2603183918791458E-2</c:v>
                </c:pt>
                <c:pt idx="410">
                  <c:v>2.6268555922988157E-2</c:v>
                </c:pt>
                <c:pt idx="411">
                  <c:v>2.6691516994360232E-2</c:v>
                </c:pt>
                <c:pt idx="412">
                  <c:v>2.4527156076614487E-2</c:v>
                </c:pt>
                <c:pt idx="413">
                  <c:v>2.0629271194177234E-2</c:v>
                </c:pt>
                <c:pt idx="414">
                  <c:v>2.5098040322860782E-2</c:v>
                </c:pt>
                <c:pt idx="415">
                  <c:v>2.3301115929112548E-2</c:v>
                </c:pt>
                <c:pt idx="416">
                  <c:v>2.1160393816004763E-2</c:v>
                </c:pt>
                <c:pt idx="417">
                  <c:v>2.2090865208596155E-2</c:v>
                </c:pt>
                <c:pt idx="418">
                  <c:v>3.0304351036850363E-2</c:v>
                </c:pt>
                <c:pt idx="419">
                  <c:v>2.9120343490631972E-2</c:v>
                </c:pt>
                <c:pt idx="420">
                  <c:v>2.5806633927885514E-2</c:v>
                </c:pt>
                <c:pt idx="421">
                  <c:v>2.1801854108625007E-2</c:v>
                </c:pt>
                <c:pt idx="422">
                  <c:v>2.1351432072535426E-2</c:v>
                </c:pt>
                <c:pt idx="423">
                  <c:v>2.9477257914819255E-2</c:v>
                </c:pt>
                <c:pt idx="424">
                  <c:v>2.971319678764206E-2</c:v>
                </c:pt>
                <c:pt idx="425">
                  <c:v>2.7891820334027262E-2</c:v>
                </c:pt>
                <c:pt idx="426">
                  <c:v>2.3494059685887247E-2</c:v>
                </c:pt>
                <c:pt idx="427">
                  <c:v>3.0774552053877136E-2</c:v>
                </c:pt>
                <c:pt idx="428">
                  <c:v>2.3642273010139769E-2</c:v>
                </c:pt>
                <c:pt idx="429">
                  <c:v>2.9424266594709092E-2</c:v>
                </c:pt>
                <c:pt idx="430">
                  <c:v>2.5015799713499542E-2</c:v>
                </c:pt>
                <c:pt idx="431">
                  <c:v>2.5581934158625086E-2</c:v>
                </c:pt>
                <c:pt idx="432">
                  <c:v>2.2880936385915152E-2</c:v>
                </c:pt>
                <c:pt idx="433">
                  <c:v>2.3013810851687855E-2</c:v>
                </c:pt>
                <c:pt idx="434">
                  <c:v>2.2510064102692851E-2</c:v>
                </c:pt>
                <c:pt idx="435">
                  <c:v>2.4244044215685823E-2</c:v>
                </c:pt>
                <c:pt idx="436">
                  <c:v>2.4495967808344954E-2</c:v>
                </c:pt>
                <c:pt idx="437">
                  <c:v>2.8704671027440787E-2</c:v>
                </c:pt>
                <c:pt idx="438">
                  <c:v>2.35505439581285E-2</c:v>
                </c:pt>
                <c:pt idx="439">
                  <c:v>2.7332364904398387E-2</c:v>
                </c:pt>
                <c:pt idx="440">
                  <c:v>2.0684356332637543E-2</c:v>
                </c:pt>
                <c:pt idx="441">
                  <c:v>3.4132314103963779E-2</c:v>
                </c:pt>
                <c:pt idx="442">
                  <c:v>2.7055328046077909E-2</c:v>
                </c:pt>
                <c:pt idx="443">
                  <c:v>2.1438577322349106E-2</c:v>
                </c:pt>
                <c:pt idx="444">
                  <c:v>2.5872822859861588E-2</c:v>
                </c:pt>
                <c:pt idx="445">
                  <c:v>2.7359212091584872E-2</c:v>
                </c:pt>
                <c:pt idx="446">
                  <c:v>2.1995989151789463E-2</c:v>
                </c:pt>
                <c:pt idx="447">
                  <c:v>2.5300892401914687E-2</c:v>
                </c:pt>
                <c:pt idx="448">
                  <c:v>2.1785336518295839E-2</c:v>
                </c:pt>
                <c:pt idx="449">
                  <c:v>2.5765872125080969E-2</c:v>
                </c:pt>
                <c:pt idx="450">
                  <c:v>2.7768255757441018E-2</c:v>
                </c:pt>
                <c:pt idx="451">
                  <c:v>2.3405678511317918E-2</c:v>
                </c:pt>
                <c:pt idx="452">
                  <c:v>2.2125189322069638E-2</c:v>
                </c:pt>
                <c:pt idx="453">
                  <c:v>2.8458124962922771E-2</c:v>
                </c:pt>
                <c:pt idx="454">
                  <c:v>3.0672877015965438E-2</c:v>
                </c:pt>
                <c:pt idx="455">
                  <c:v>2.2315722607086141E-2</c:v>
                </c:pt>
                <c:pt idx="456">
                  <c:v>2.4374004633135105E-2</c:v>
                </c:pt>
                <c:pt idx="457">
                  <c:v>2.4956677592823828E-2</c:v>
                </c:pt>
                <c:pt idx="458">
                  <c:v>2.5693274797701449E-2</c:v>
                </c:pt>
                <c:pt idx="459">
                  <c:v>1.9945861997209491E-2</c:v>
                </c:pt>
                <c:pt idx="460">
                  <c:v>2.3187090013337963E-2</c:v>
                </c:pt>
                <c:pt idx="461">
                  <c:v>3.17245401770061E-2</c:v>
                </c:pt>
                <c:pt idx="462">
                  <c:v>2.3867265718676367E-2</c:v>
                </c:pt>
                <c:pt idx="463">
                  <c:v>2.9231897556895259E-2</c:v>
                </c:pt>
                <c:pt idx="464">
                  <c:v>1.9447859647925281E-2</c:v>
                </c:pt>
                <c:pt idx="465">
                  <c:v>2.4067419966491643E-2</c:v>
                </c:pt>
                <c:pt idx="466">
                  <c:v>3.1938924298898552E-2</c:v>
                </c:pt>
                <c:pt idx="467">
                  <c:v>2.6698659132903035E-2</c:v>
                </c:pt>
                <c:pt idx="468">
                  <c:v>2.9257101494237325E-2</c:v>
                </c:pt>
                <c:pt idx="469">
                  <c:v>2.3065719691425124E-2</c:v>
                </c:pt>
                <c:pt idx="470">
                  <c:v>2.0962742106577337E-2</c:v>
                </c:pt>
                <c:pt idx="471">
                  <c:v>2.456599703473672E-2</c:v>
                </c:pt>
                <c:pt idx="472">
                  <c:v>2.1560268482516798E-2</c:v>
                </c:pt>
                <c:pt idx="473">
                  <c:v>2.4159277353804853E-2</c:v>
                </c:pt>
                <c:pt idx="474">
                  <c:v>2.327918872681678E-2</c:v>
                </c:pt>
                <c:pt idx="475">
                  <c:v>1.8289615413571547E-2</c:v>
                </c:pt>
                <c:pt idx="476">
                  <c:v>2.0850850462671988E-2</c:v>
                </c:pt>
                <c:pt idx="477">
                  <c:v>2.7254853171923887E-2</c:v>
                </c:pt>
                <c:pt idx="478">
                  <c:v>2.0488605938607352E-2</c:v>
                </c:pt>
                <c:pt idx="479">
                  <c:v>2.502583637108069E-2</c:v>
                </c:pt>
                <c:pt idx="480">
                  <c:v>2.5919223046257933E-2</c:v>
                </c:pt>
                <c:pt idx="481">
                  <c:v>2.5590534018804068E-2</c:v>
                </c:pt>
                <c:pt idx="482">
                  <c:v>2.4926310949476504E-2</c:v>
                </c:pt>
                <c:pt idx="483">
                  <c:v>2.0663713878310119E-2</c:v>
                </c:pt>
                <c:pt idx="484">
                  <c:v>2.309567621978581E-2</c:v>
                </c:pt>
                <c:pt idx="485">
                  <c:v>2.2572595478563606E-2</c:v>
                </c:pt>
                <c:pt idx="486">
                  <c:v>2.1848384025272227E-2</c:v>
                </c:pt>
                <c:pt idx="487">
                  <c:v>2.1969918951159295E-2</c:v>
                </c:pt>
                <c:pt idx="488">
                  <c:v>2.2614927993867995E-2</c:v>
                </c:pt>
                <c:pt idx="489">
                  <c:v>2.469079335123181E-2</c:v>
                </c:pt>
                <c:pt idx="490">
                  <c:v>2.6766579196506379E-2</c:v>
                </c:pt>
                <c:pt idx="491">
                  <c:v>2.7720077011153643E-2</c:v>
                </c:pt>
                <c:pt idx="492">
                  <c:v>2.231206086613402E-2</c:v>
                </c:pt>
                <c:pt idx="493">
                  <c:v>2.4398484591980352E-2</c:v>
                </c:pt>
                <c:pt idx="494">
                  <c:v>3.1903972458404706E-2</c:v>
                </c:pt>
                <c:pt idx="495">
                  <c:v>2.5150064943359585E-2</c:v>
                </c:pt>
                <c:pt idx="496">
                  <c:v>2.3713348448232141E-2</c:v>
                </c:pt>
                <c:pt idx="497">
                  <c:v>2.5308415361516512E-2</c:v>
                </c:pt>
                <c:pt idx="498">
                  <c:v>2.3161138383367197E-2</c:v>
                </c:pt>
                <c:pt idx="499">
                  <c:v>2.8198636562193791E-2</c:v>
                </c:pt>
                <c:pt idx="500">
                  <c:v>2.4863354114180836E-2</c:v>
                </c:pt>
                <c:pt idx="501">
                  <c:v>2.1991250510260185E-2</c:v>
                </c:pt>
                <c:pt idx="502">
                  <c:v>2.6751307295575399E-2</c:v>
                </c:pt>
                <c:pt idx="503">
                  <c:v>2.7232056916442149E-2</c:v>
                </c:pt>
                <c:pt idx="504">
                  <c:v>2.2556061148847228E-2</c:v>
                </c:pt>
                <c:pt idx="505">
                  <c:v>2.5606633124452993E-2</c:v>
                </c:pt>
                <c:pt idx="506">
                  <c:v>2.3444585032040055E-2</c:v>
                </c:pt>
                <c:pt idx="507">
                  <c:v>2.029595791100669E-2</c:v>
                </c:pt>
                <c:pt idx="508">
                  <c:v>2.0366083388874912E-2</c:v>
                </c:pt>
                <c:pt idx="509">
                  <c:v>2.5796255507815502E-2</c:v>
                </c:pt>
                <c:pt idx="510">
                  <c:v>2.0829673742902788E-2</c:v>
                </c:pt>
                <c:pt idx="511">
                  <c:v>3.3155074258457429E-2</c:v>
                </c:pt>
                <c:pt idx="512">
                  <c:v>2.381198249746741E-2</c:v>
                </c:pt>
                <c:pt idx="513">
                  <c:v>3.6089045242556184E-2</c:v>
                </c:pt>
                <c:pt idx="514">
                  <c:v>2.4877558879177197E-2</c:v>
                </c:pt>
                <c:pt idx="515">
                  <c:v>2.2034421389873993E-2</c:v>
                </c:pt>
                <c:pt idx="516">
                  <c:v>2.66577424907668E-2</c:v>
                </c:pt>
                <c:pt idx="517">
                  <c:v>2.6671736618474107E-2</c:v>
                </c:pt>
                <c:pt idx="518">
                  <c:v>1.8370839105159797E-2</c:v>
                </c:pt>
                <c:pt idx="519">
                  <c:v>2.7060176888572984E-2</c:v>
                </c:pt>
                <c:pt idx="520">
                  <c:v>2.401624068504693E-2</c:v>
                </c:pt>
                <c:pt idx="521">
                  <c:v>3.2046329787031702E-2</c:v>
                </c:pt>
                <c:pt idx="522">
                  <c:v>2.3712497529382315E-2</c:v>
                </c:pt>
                <c:pt idx="523">
                  <c:v>2.1208313101790388E-2</c:v>
                </c:pt>
                <c:pt idx="524">
                  <c:v>2.5065596600550522E-2</c:v>
                </c:pt>
                <c:pt idx="525">
                  <c:v>2.6124060137645122E-2</c:v>
                </c:pt>
                <c:pt idx="526">
                  <c:v>2.2993674763823524E-2</c:v>
                </c:pt>
                <c:pt idx="527">
                  <c:v>2.5273962912741088E-2</c:v>
                </c:pt>
                <c:pt idx="528">
                  <c:v>2.0633613670209217E-2</c:v>
                </c:pt>
                <c:pt idx="529">
                  <c:v>2.1128752189331634E-2</c:v>
                </c:pt>
                <c:pt idx="530">
                  <c:v>2.1165788083533088E-2</c:v>
                </c:pt>
                <c:pt idx="531">
                  <c:v>2.2277584703226716E-2</c:v>
                </c:pt>
                <c:pt idx="532">
                  <c:v>2.4850595911229179E-2</c:v>
                </c:pt>
                <c:pt idx="533">
                  <c:v>2.4343491520149696E-2</c:v>
                </c:pt>
                <c:pt idx="534">
                  <c:v>1.9317857382007975E-2</c:v>
                </c:pt>
                <c:pt idx="535">
                  <c:v>2.5811106134168371E-2</c:v>
                </c:pt>
                <c:pt idx="536">
                  <c:v>2.2903143972946682E-2</c:v>
                </c:pt>
                <c:pt idx="537">
                  <c:v>3.0856293271519952E-2</c:v>
                </c:pt>
                <c:pt idx="538">
                  <c:v>2.4765084146617378E-2</c:v>
                </c:pt>
                <c:pt idx="539">
                  <c:v>2.667439539114258E-2</c:v>
                </c:pt>
                <c:pt idx="540">
                  <c:v>2.5662450611103726E-2</c:v>
                </c:pt>
                <c:pt idx="541">
                  <c:v>2.2713097525108195E-2</c:v>
                </c:pt>
                <c:pt idx="542">
                  <c:v>3.0341124680652198E-2</c:v>
                </c:pt>
                <c:pt idx="543">
                  <c:v>2.0669643806229154E-2</c:v>
                </c:pt>
                <c:pt idx="544">
                  <c:v>2.6296180096730959E-2</c:v>
                </c:pt>
                <c:pt idx="545">
                  <c:v>2.693956960372712E-2</c:v>
                </c:pt>
                <c:pt idx="546">
                  <c:v>2.4793379290797501E-2</c:v>
                </c:pt>
                <c:pt idx="547">
                  <c:v>2.4889655876334071E-2</c:v>
                </c:pt>
                <c:pt idx="548">
                  <c:v>2.9637713310917801E-2</c:v>
                </c:pt>
                <c:pt idx="549">
                  <c:v>2.2891426401899895E-2</c:v>
                </c:pt>
                <c:pt idx="550">
                  <c:v>3.0215584856375211E-2</c:v>
                </c:pt>
                <c:pt idx="551">
                  <c:v>2.4727608843501669E-2</c:v>
                </c:pt>
                <c:pt idx="552">
                  <c:v>1.9371915838052756E-2</c:v>
                </c:pt>
                <c:pt idx="553">
                  <c:v>2.6525029839070458E-2</c:v>
                </c:pt>
                <c:pt idx="554">
                  <c:v>1.9280479725317656E-2</c:v>
                </c:pt>
                <c:pt idx="555">
                  <c:v>2.3150065278727983E-2</c:v>
                </c:pt>
                <c:pt idx="556">
                  <c:v>3.0898666240343431E-2</c:v>
                </c:pt>
                <c:pt idx="557">
                  <c:v>2.9645661729944539E-2</c:v>
                </c:pt>
                <c:pt idx="558">
                  <c:v>3.1922187701586724E-2</c:v>
                </c:pt>
                <c:pt idx="559">
                  <c:v>2.2322323505442498E-2</c:v>
                </c:pt>
                <c:pt idx="560">
                  <c:v>2.1509471417080039E-2</c:v>
                </c:pt>
                <c:pt idx="561">
                  <c:v>2.283537595877716E-2</c:v>
                </c:pt>
                <c:pt idx="562">
                  <c:v>2.8997774907584706E-2</c:v>
                </c:pt>
                <c:pt idx="563">
                  <c:v>2.5293022100028262E-2</c:v>
                </c:pt>
                <c:pt idx="564">
                  <c:v>2.5100178779576821E-2</c:v>
                </c:pt>
                <c:pt idx="565">
                  <c:v>3.2110017575568861E-2</c:v>
                </c:pt>
                <c:pt idx="566">
                  <c:v>2.7353389574733766E-2</c:v>
                </c:pt>
                <c:pt idx="567">
                  <c:v>2.1020363262199915E-2</c:v>
                </c:pt>
                <c:pt idx="568">
                  <c:v>2.4487804567182359E-2</c:v>
                </c:pt>
                <c:pt idx="569">
                  <c:v>2.7862068863159895E-2</c:v>
                </c:pt>
                <c:pt idx="570">
                  <c:v>2.5684263427586895E-2</c:v>
                </c:pt>
                <c:pt idx="571">
                  <c:v>2.7265597068614644E-2</c:v>
                </c:pt>
                <c:pt idx="572">
                  <c:v>2.7266526104604782E-2</c:v>
                </c:pt>
                <c:pt idx="573">
                  <c:v>2.7456886415953452E-2</c:v>
                </c:pt>
                <c:pt idx="574">
                  <c:v>2.9471510725210592E-2</c:v>
                </c:pt>
                <c:pt idx="575">
                  <c:v>2.3012262458370958E-2</c:v>
                </c:pt>
                <c:pt idx="576">
                  <c:v>2.5126106695415706E-2</c:v>
                </c:pt>
                <c:pt idx="577">
                  <c:v>1.882515862857137E-2</c:v>
                </c:pt>
                <c:pt idx="578">
                  <c:v>2.1771741345983697E-2</c:v>
                </c:pt>
                <c:pt idx="579">
                  <c:v>2.453612699320995E-2</c:v>
                </c:pt>
                <c:pt idx="580">
                  <c:v>2.5352141430806108E-2</c:v>
                </c:pt>
                <c:pt idx="581">
                  <c:v>2.8677070567829865E-2</c:v>
                </c:pt>
                <c:pt idx="582">
                  <c:v>2.4891819442130925E-2</c:v>
                </c:pt>
                <c:pt idx="583">
                  <c:v>2.2739241658031872E-2</c:v>
                </c:pt>
                <c:pt idx="584">
                  <c:v>2.333349269387397E-2</c:v>
                </c:pt>
                <c:pt idx="585">
                  <c:v>2.2850043846819657E-2</c:v>
                </c:pt>
                <c:pt idx="586">
                  <c:v>2.4108675581218875E-2</c:v>
                </c:pt>
                <c:pt idx="587">
                  <c:v>2.414085844807845E-2</c:v>
                </c:pt>
                <c:pt idx="588">
                  <c:v>2.0217006591232156E-2</c:v>
                </c:pt>
                <c:pt idx="589">
                  <c:v>2.8156626280093189E-2</c:v>
                </c:pt>
                <c:pt idx="590">
                  <c:v>2.2260792307957522E-2</c:v>
                </c:pt>
                <c:pt idx="591">
                  <c:v>2.4057568837118737E-2</c:v>
                </c:pt>
                <c:pt idx="592">
                  <c:v>2.5745246410140754E-2</c:v>
                </c:pt>
                <c:pt idx="593">
                  <c:v>2.3630056047374559E-2</c:v>
                </c:pt>
                <c:pt idx="594">
                  <c:v>2.0501857953481695E-2</c:v>
                </c:pt>
                <c:pt idx="595">
                  <c:v>2.2466679795892119E-2</c:v>
                </c:pt>
                <c:pt idx="596">
                  <c:v>2.1273867332001428E-2</c:v>
                </c:pt>
                <c:pt idx="597">
                  <c:v>2.4907426130806098E-2</c:v>
                </c:pt>
                <c:pt idx="598">
                  <c:v>2.3354284407737347E-2</c:v>
                </c:pt>
                <c:pt idx="599">
                  <c:v>2.1343208848568662E-2</c:v>
                </c:pt>
                <c:pt idx="600">
                  <c:v>2.2794742491274556E-2</c:v>
                </c:pt>
                <c:pt idx="601">
                  <c:v>2.3039681574620441E-2</c:v>
                </c:pt>
                <c:pt idx="602">
                  <c:v>2.0497823761164158E-2</c:v>
                </c:pt>
                <c:pt idx="603">
                  <c:v>2.4980765571018582E-2</c:v>
                </c:pt>
                <c:pt idx="604">
                  <c:v>3.4292722071798565E-2</c:v>
                </c:pt>
                <c:pt idx="605">
                  <c:v>2.3406869797707675E-2</c:v>
                </c:pt>
                <c:pt idx="606">
                  <c:v>2.2589489705104993E-2</c:v>
                </c:pt>
                <c:pt idx="607">
                  <c:v>2.1041835711143153E-2</c:v>
                </c:pt>
                <c:pt idx="608">
                  <c:v>2.2663144403776592E-2</c:v>
                </c:pt>
                <c:pt idx="609">
                  <c:v>2.1517189669532644E-2</c:v>
                </c:pt>
                <c:pt idx="610">
                  <c:v>1.809935693349507E-2</c:v>
                </c:pt>
                <c:pt idx="611">
                  <c:v>2.9151333676152857E-2</c:v>
                </c:pt>
                <c:pt idx="612">
                  <c:v>2.6736780297375251E-2</c:v>
                </c:pt>
                <c:pt idx="613">
                  <c:v>2.7813008509146142E-2</c:v>
                </c:pt>
                <c:pt idx="614">
                  <c:v>2.5168354118835112E-2</c:v>
                </c:pt>
                <c:pt idx="615">
                  <c:v>3.284271729312449E-2</c:v>
                </c:pt>
                <c:pt idx="616">
                  <c:v>2.0839911273130451E-2</c:v>
                </c:pt>
                <c:pt idx="617">
                  <c:v>2.2641931415335104E-2</c:v>
                </c:pt>
                <c:pt idx="618">
                  <c:v>2.6784152763178692E-2</c:v>
                </c:pt>
                <c:pt idx="619">
                  <c:v>2.6281740980313661E-2</c:v>
                </c:pt>
                <c:pt idx="620">
                  <c:v>1.9980371638891214E-2</c:v>
                </c:pt>
                <c:pt idx="621">
                  <c:v>2.3555636916687051E-2</c:v>
                </c:pt>
                <c:pt idx="622">
                  <c:v>2.3920950328406798E-2</c:v>
                </c:pt>
                <c:pt idx="623">
                  <c:v>2.2198729634928638E-2</c:v>
                </c:pt>
                <c:pt idx="624">
                  <c:v>2.1268719970434447E-2</c:v>
                </c:pt>
                <c:pt idx="625">
                  <c:v>2.3291421034020265E-2</c:v>
                </c:pt>
                <c:pt idx="626">
                  <c:v>2.1661608732684301E-2</c:v>
                </c:pt>
                <c:pt idx="627">
                  <c:v>3.1216310062136765E-2</c:v>
                </c:pt>
                <c:pt idx="628">
                  <c:v>1.8699985675864061E-2</c:v>
                </c:pt>
                <c:pt idx="629">
                  <c:v>1.9728487104802239E-2</c:v>
                </c:pt>
                <c:pt idx="630">
                  <c:v>2.5352670116452147E-2</c:v>
                </c:pt>
                <c:pt idx="631">
                  <c:v>2.1140384668493439E-2</c:v>
                </c:pt>
                <c:pt idx="632">
                  <c:v>2.2097507955420537E-2</c:v>
                </c:pt>
                <c:pt idx="633">
                  <c:v>2.4059387850528857E-2</c:v>
                </c:pt>
                <c:pt idx="634">
                  <c:v>2.8759958433496546E-2</c:v>
                </c:pt>
                <c:pt idx="635">
                  <c:v>2.5065769574218355E-2</c:v>
                </c:pt>
                <c:pt idx="636">
                  <c:v>2.9510357263128562E-2</c:v>
                </c:pt>
                <c:pt idx="637">
                  <c:v>2.7842877155723977E-2</c:v>
                </c:pt>
                <c:pt idx="638">
                  <c:v>1.9850905033364619E-2</c:v>
                </c:pt>
                <c:pt idx="639">
                  <c:v>2.5752883755555178E-2</c:v>
                </c:pt>
                <c:pt idx="640">
                  <c:v>2.8806122873523021E-2</c:v>
                </c:pt>
                <c:pt idx="641">
                  <c:v>2.1928992544380521E-2</c:v>
                </c:pt>
                <c:pt idx="642">
                  <c:v>2.7445358557961708E-2</c:v>
                </c:pt>
                <c:pt idx="643">
                  <c:v>2.2864180259318245E-2</c:v>
                </c:pt>
                <c:pt idx="644">
                  <c:v>2.5044288755581512E-2</c:v>
                </c:pt>
                <c:pt idx="645">
                  <c:v>2.5472561792494797E-2</c:v>
                </c:pt>
                <c:pt idx="646">
                  <c:v>2.3948973457544764E-2</c:v>
                </c:pt>
                <c:pt idx="647">
                  <c:v>2.9240596458448564E-2</c:v>
                </c:pt>
                <c:pt idx="648">
                  <c:v>2.2373296334444959E-2</c:v>
                </c:pt>
                <c:pt idx="649">
                  <c:v>2.592057614672405E-2</c:v>
                </c:pt>
                <c:pt idx="650">
                  <c:v>2.6564769144306277E-2</c:v>
                </c:pt>
                <c:pt idx="651">
                  <c:v>1.8944031991892096E-2</c:v>
                </c:pt>
                <c:pt idx="652">
                  <c:v>2.0471399243504718E-2</c:v>
                </c:pt>
                <c:pt idx="653">
                  <c:v>2.4547961739967206E-2</c:v>
                </c:pt>
                <c:pt idx="654">
                  <c:v>2.5993949065710953E-2</c:v>
                </c:pt>
                <c:pt idx="655">
                  <c:v>3.2320060616378266E-2</c:v>
                </c:pt>
                <c:pt idx="656">
                  <c:v>2.1131459785212803E-2</c:v>
                </c:pt>
                <c:pt idx="657">
                  <c:v>2.4989979208728585E-2</c:v>
                </c:pt>
                <c:pt idx="658">
                  <c:v>1.9849883930744827E-2</c:v>
                </c:pt>
                <c:pt idx="659">
                  <c:v>2.0910352009457789E-2</c:v>
                </c:pt>
                <c:pt idx="660">
                  <c:v>2.3027273503851253E-2</c:v>
                </c:pt>
                <c:pt idx="661">
                  <c:v>2.4125918544993796E-2</c:v>
                </c:pt>
                <c:pt idx="662">
                  <c:v>3.3970536296275666E-2</c:v>
                </c:pt>
                <c:pt idx="663">
                  <c:v>2.6889518835970128E-2</c:v>
                </c:pt>
                <c:pt idx="664">
                  <c:v>2.2802700674943832E-2</c:v>
                </c:pt>
                <c:pt idx="665">
                  <c:v>2.6142336758580242E-2</c:v>
                </c:pt>
                <c:pt idx="666">
                  <c:v>2.2912926749821816E-2</c:v>
                </c:pt>
                <c:pt idx="667">
                  <c:v>2.2793247106017156E-2</c:v>
                </c:pt>
                <c:pt idx="668">
                  <c:v>2.6691095719782121E-2</c:v>
                </c:pt>
                <c:pt idx="669">
                  <c:v>2.0182674108065068E-2</c:v>
                </c:pt>
                <c:pt idx="670">
                  <c:v>2.7298713156311161E-2</c:v>
                </c:pt>
                <c:pt idx="671">
                  <c:v>2.4440393042808761E-2</c:v>
                </c:pt>
                <c:pt idx="672">
                  <c:v>2.022278446971737E-2</c:v>
                </c:pt>
                <c:pt idx="673">
                  <c:v>2.6563410464044424E-2</c:v>
                </c:pt>
                <c:pt idx="674">
                  <c:v>2.5842386469067558E-2</c:v>
                </c:pt>
                <c:pt idx="675">
                  <c:v>2.4695530597812154E-2</c:v>
                </c:pt>
                <c:pt idx="676">
                  <c:v>2.7959494886618197E-2</c:v>
                </c:pt>
                <c:pt idx="677">
                  <c:v>2.8420500400271109E-2</c:v>
                </c:pt>
                <c:pt idx="678">
                  <c:v>2.8419083132154022E-2</c:v>
                </c:pt>
                <c:pt idx="679">
                  <c:v>2.8816498503695165E-2</c:v>
                </c:pt>
                <c:pt idx="680">
                  <c:v>2.3407867186195586E-2</c:v>
                </c:pt>
                <c:pt idx="681">
                  <c:v>2.5483050413530606E-2</c:v>
                </c:pt>
                <c:pt idx="682">
                  <c:v>2.6296742261151418E-2</c:v>
                </c:pt>
                <c:pt idx="683">
                  <c:v>1.8096494498282212E-2</c:v>
                </c:pt>
                <c:pt idx="684">
                  <c:v>2.6381188284777535E-2</c:v>
                </c:pt>
                <c:pt idx="685">
                  <c:v>2.4995148889478513E-2</c:v>
                </c:pt>
                <c:pt idx="686">
                  <c:v>2.7460290091352757E-2</c:v>
                </c:pt>
                <c:pt idx="687">
                  <c:v>1.7927315091549545E-2</c:v>
                </c:pt>
                <c:pt idx="688">
                  <c:v>2.9047507626984714E-2</c:v>
                </c:pt>
                <c:pt idx="689">
                  <c:v>2.7012709566242021E-2</c:v>
                </c:pt>
                <c:pt idx="690">
                  <c:v>2.4687003274977748E-2</c:v>
                </c:pt>
                <c:pt idx="691">
                  <c:v>3.1738980688372331E-2</c:v>
                </c:pt>
                <c:pt idx="692">
                  <c:v>2.2334579526777865E-2</c:v>
                </c:pt>
                <c:pt idx="693">
                  <c:v>2.1439276191765111E-2</c:v>
                </c:pt>
                <c:pt idx="694">
                  <c:v>1.9515908046830566E-2</c:v>
                </c:pt>
                <c:pt idx="695">
                  <c:v>3.0629125837595028E-2</c:v>
                </c:pt>
                <c:pt idx="696">
                  <c:v>2.4684182688232914E-2</c:v>
                </c:pt>
                <c:pt idx="697">
                  <c:v>2.9494817532002227E-2</c:v>
                </c:pt>
                <c:pt idx="698">
                  <c:v>2.890430216940576E-2</c:v>
                </c:pt>
                <c:pt idx="699">
                  <c:v>2.5503401323530794E-2</c:v>
                </c:pt>
                <c:pt idx="700">
                  <c:v>2.9438182605276086E-2</c:v>
                </c:pt>
                <c:pt idx="701">
                  <c:v>2.9388338289961347E-2</c:v>
                </c:pt>
                <c:pt idx="702">
                  <c:v>2.8003589222426406E-2</c:v>
                </c:pt>
                <c:pt idx="703">
                  <c:v>2.1511817721187265E-2</c:v>
                </c:pt>
                <c:pt idx="704">
                  <c:v>2.7986794037259344E-2</c:v>
                </c:pt>
                <c:pt idx="705">
                  <c:v>2.1147896468503791E-2</c:v>
                </c:pt>
                <c:pt idx="706">
                  <c:v>3.0511634868668036E-2</c:v>
                </c:pt>
                <c:pt idx="707">
                  <c:v>2.7725910687596222E-2</c:v>
                </c:pt>
                <c:pt idx="708">
                  <c:v>2.4682154432482672E-2</c:v>
                </c:pt>
                <c:pt idx="709">
                  <c:v>2.5037519068404124E-2</c:v>
                </c:pt>
                <c:pt idx="710">
                  <c:v>2.4498717252694147E-2</c:v>
                </c:pt>
                <c:pt idx="711">
                  <c:v>2.9487178791638868E-2</c:v>
                </c:pt>
                <c:pt idx="712">
                  <c:v>2.165465630719654E-2</c:v>
                </c:pt>
                <c:pt idx="713">
                  <c:v>2.0942600438917269E-2</c:v>
                </c:pt>
                <c:pt idx="714">
                  <c:v>2.1836754336008291E-2</c:v>
                </c:pt>
                <c:pt idx="715">
                  <c:v>2.1119380922392073E-2</c:v>
                </c:pt>
                <c:pt idx="716">
                  <c:v>2.8739667506300526E-2</c:v>
                </c:pt>
                <c:pt idx="717">
                  <c:v>2.7782191297293091E-2</c:v>
                </c:pt>
                <c:pt idx="718">
                  <c:v>2.521539179689436E-2</c:v>
                </c:pt>
                <c:pt idx="719">
                  <c:v>2.8414507699650038E-2</c:v>
                </c:pt>
                <c:pt idx="720">
                  <c:v>2.2965268023728669E-2</c:v>
                </c:pt>
                <c:pt idx="721">
                  <c:v>2.0057361660464346E-2</c:v>
                </c:pt>
                <c:pt idx="722">
                  <c:v>3.0457538749002033E-2</c:v>
                </c:pt>
                <c:pt idx="723">
                  <c:v>2.1534559573660572E-2</c:v>
                </c:pt>
                <c:pt idx="724">
                  <c:v>2.4642246338425822E-2</c:v>
                </c:pt>
                <c:pt idx="725">
                  <c:v>2.4616197062029666E-2</c:v>
                </c:pt>
                <c:pt idx="726">
                  <c:v>2.3499142879803259E-2</c:v>
                </c:pt>
                <c:pt idx="727">
                  <c:v>1.9468184053895721E-2</c:v>
                </c:pt>
                <c:pt idx="728">
                  <c:v>2.0579763061555623E-2</c:v>
                </c:pt>
                <c:pt idx="729">
                  <c:v>2.0389755672287291E-2</c:v>
                </c:pt>
                <c:pt idx="730">
                  <c:v>2.7040178900653133E-2</c:v>
                </c:pt>
                <c:pt idx="731">
                  <c:v>3.5577129672602847E-2</c:v>
                </c:pt>
                <c:pt idx="732">
                  <c:v>2.2128135454218545E-2</c:v>
                </c:pt>
                <c:pt idx="733">
                  <c:v>1.9929230021067723E-2</c:v>
                </c:pt>
                <c:pt idx="734">
                  <c:v>2.7267510938552286E-2</c:v>
                </c:pt>
                <c:pt idx="735">
                  <c:v>2.5516792833298552E-2</c:v>
                </c:pt>
                <c:pt idx="736">
                  <c:v>2.5588663392283384E-2</c:v>
                </c:pt>
                <c:pt idx="737">
                  <c:v>2.5678982150922236E-2</c:v>
                </c:pt>
                <c:pt idx="738">
                  <c:v>1.8907255558192393E-2</c:v>
                </c:pt>
                <c:pt idx="739">
                  <c:v>2.0596240198365701E-2</c:v>
                </c:pt>
                <c:pt idx="740">
                  <c:v>2.5512641465270547E-2</c:v>
                </c:pt>
                <c:pt idx="741">
                  <c:v>2.9190713084563669E-2</c:v>
                </c:pt>
                <c:pt idx="742">
                  <c:v>2.3772120436725386E-2</c:v>
                </c:pt>
                <c:pt idx="743">
                  <c:v>2.2702311779949413E-2</c:v>
                </c:pt>
                <c:pt idx="744">
                  <c:v>2.413968948087164E-2</c:v>
                </c:pt>
                <c:pt idx="745">
                  <c:v>2.4488017994369282E-2</c:v>
                </c:pt>
                <c:pt idx="746">
                  <c:v>2.2648236584517423E-2</c:v>
                </c:pt>
                <c:pt idx="747">
                  <c:v>2.7591326014430262E-2</c:v>
                </c:pt>
                <c:pt idx="748">
                  <c:v>2.2539687238258277E-2</c:v>
                </c:pt>
                <c:pt idx="749">
                  <c:v>2.1493468562907569E-2</c:v>
                </c:pt>
                <c:pt idx="750">
                  <c:v>2.744437930380994E-2</c:v>
                </c:pt>
                <c:pt idx="751">
                  <c:v>2.4198326159318273E-2</c:v>
                </c:pt>
                <c:pt idx="752">
                  <c:v>2.2233642416852328E-2</c:v>
                </c:pt>
                <c:pt idx="753">
                  <c:v>2.0080807962149394E-2</c:v>
                </c:pt>
                <c:pt idx="754">
                  <c:v>3.1106296019496771E-2</c:v>
                </c:pt>
                <c:pt idx="755">
                  <c:v>2.6134848672701771E-2</c:v>
                </c:pt>
                <c:pt idx="756">
                  <c:v>2.0620254244266945E-2</c:v>
                </c:pt>
                <c:pt idx="757">
                  <c:v>2.5002783444995069E-2</c:v>
                </c:pt>
                <c:pt idx="758">
                  <c:v>2.8252272348711527E-2</c:v>
                </c:pt>
                <c:pt idx="759">
                  <c:v>3.0752757371730111E-2</c:v>
                </c:pt>
                <c:pt idx="760">
                  <c:v>3.6878488692854816E-2</c:v>
                </c:pt>
                <c:pt idx="761">
                  <c:v>2.849274759546816E-2</c:v>
                </c:pt>
                <c:pt idx="762">
                  <c:v>2.691780003066091E-2</c:v>
                </c:pt>
                <c:pt idx="763">
                  <c:v>2.7718495139062327E-2</c:v>
                </c:pt>
                <c:pt idx="764">
                  <c:v>2.6053602661930575E-2</c:v>
                </c:pt>
                <c:pt idx="765">
                  <c:v>2.5116900032450373E-2</c:v>
                </c:pt>
                <c:pt idx="766">
                  <c:v>2.7634083989159564E-2</c:v>
                </c:pt>
                <c:pt idx="767">
                  <c:v>2.1938386130503029E-2</c:v>
                </c:pt>
                <c:pt idx="768">
                  <c:v>2.1316933590445175E-2</c:v>
                </c:pt>
                <c:pt idx="769">
                  <c:v>2.2335604814244459E-2</c:v>
                </c:pt>
                <c:pt idx="770">
                  <c:v>2.125742367396577E-2</c:v>
                </c:pt>
                <c:pt idx="771">
                  <c:v>2.2291195219977133E-2</c:v>
                </c:pt>
                <c:pt idx="772">
                  <c:v>3.0455979196093663E-2</c:v>
                </c:pt>
                <c:pt idx="773">
                  <c:v>3.0442928053865836E-2</c:v>
                </c:pt>
                <c:pt idx="774">
                  <c:v>2.656141847696647E-2</c:v>
                </c:pt>
                <c:pt idx="775">
                  <c:v>2.3537868057163958E-2</c:v>
                </c:pt>
                <c:pt idx="776">
                  <c:v>2.4974000068687996E-2</c:v>
                </c:pt>
                <c:pt idx="777">
                  <c:v>2.2639368894143086E-2</c:v>
                </c:pt>
                <c:pt idx="778">
                  <c:v>2.0879134447260639E-2</c:v>
                </c:pt>
                <c:pt idx="779">
                  <c:v>3.1858647777636584E-2</c:v>
                </c:pt>
                <c:pt idx="780">
                  <c:v>2.1737459080978239E-2</c:v>
                </c:pt>
                <c:pt idx="781">
                  <c:v>2.5171464854958248E-2</c:v>
                </c:pt>
                <c:pt idx="782">
                  <c:v>2.6778492060403947E-2</c:v>
                </c:pt>
                <c:pt idx="783">
                  <c:v>2.0927786081236688E-2</c:v>
                </c:pt>
                <c:pt idx="784">
                  <c:v>1.9146114059134356E-2</c:v>
                </c:pt>
                <c:pt idx="785">
                  <c:v>3.1785270673802879E-2</c:v>
                </c:pt>
                <c:pt idx="786">
                  <c:v>2.2544723003910527E-2</c:v>
                </c:pt>
                <c:pt idx="787">
                  <c:v>3.5998515846628276E-2</c:v>
                </c:pt>
                <c:pt idx="788">
                  <c:v>2.6538622221484731E-2</c:v>
                </c:pt>
                <c:pt idx="789">
                  <c:v>2.802296506312163E-2</c:v>
                </c:pt>
                <c:pt idx="790">
                  <c:v>2.0862096540979036E-2</c:v>
                </c:pt>
                <c:pt idx="791">
                  <c:v>2.5661748951789853E-2</c:v>
                </c:pt>
                <c:pt idx="792">
                  <c:v>2.1063912172974875E-2</c:v>
                </c:pt>
                <c:pt idx="793">
                  <c:v>3.0750438966601568E-2</c:v>
                </c:pt>
                <c:pt idx="794">
                  <c:v>2.5221031575435093E-2</c:v>
                </c:pt>
                <c:pt idx="795">
                  <c:v>1.8111152621682169E-2</c:v>
                </c:pt>
                <c:pt idx="796">
                  <c:v>2.5229510075056805E-2</c:v>
                </c:pt>
                <c:pt idx="797">
                  <c:v>2.470322932097968E-2</c:v>
                </c:pt>
                <c:pt idx="798">
                  <c:v>2.50764925466751E-2</c:v>
                </c:pt>
                <c:pt idx="799">
                  <c:v>2.8773310884694148E-2</c:v>
                </c:pt>
                <c:pt idx="800">
                  <c:v>2.0978602675958524E-2</c:v>
                </c:pt>
                <c:pt idx="801">
                  <c:v>2.9872204226746968E-2</c:v>
                </c:pt>
                <c:pt idx="802">
                  <c:v>2.1194437544742484E-2</c:v>
                </c:pt>
                <c:pt idx="803">
                  <c:v>2.4669216281118511E-2</c:v>
                </c:pt>
                <c:pt idx="804">
                  <c:v>2.1957760576249319E-2</c:v>
                </c:pt>
                <c:pt idx="805">
                  <c:v>2.6897910848757922E-2</c:v>
                </c:pt>
                <c:pt idx="806">
                  <c:v>2.4284016477393644E-2</c:v>
                </c:pt>
                <c:pt idx="807">
                  <c:v>2.6693243941140699E-2</c:v>
                </c:pt>
                <c:pt idx="808">
                  <c:v>2.7617163258588429E-2</c:v>
                </c:pt>
                <c:pt idx="809">
                  <c:v>2.7086050401403439E-2</c:v>
                </c:pt>
                <c:pt idx="810">
                  <c:v>2.6901847394650069E-2</c:v>
                </c:pt>
                <c:pt idx="811">
                  <c:v>2.2477468330948769E-2</c:v>
                </c:pt>
                <c:pt idx="812">
                  <c:v>2.4721981619501343E-2</c:v>
                </c:pt>
                <c:pt idx="813">
                  <c:v>2.3994432053410564E-2</c:v>
                </c:pt>
                <c:pt idx="814">
                  <c:v>2.6081409573983749E-2</c:v>
                </c:pt>
                <c:pt idx="815">
                  <c:v>2.3414175145275773E-2</c:v>
                </c:pt>
                <c:pt idx="816">
                  <c:v>2.518362183491929E-2</c:v>
                </c:pt>
                <c:pt idx="817">
                  <c:v>3.0398621685819638E-2</c:v>
                </c:pt>
                <c:pt idx="818">
                  <c:v>2.1551442640610485E-2</c:v>
                </c:pt>
                <c:pt idx="819">
                  <c:v>2.8124252305229636E-2</c:v>
                </c:pt>
                <c:pt idx="820">
                  <c:v>2.7574201621314742E-2</c:v>
                </c:pt>
                <c:pt idx="821">
                  <c:v>2.5114546753598477E-2</c:v>
                </c:pt>
                <c:pt idx="822">
                  <c:v>2.8797658323390651E-2</c:v>
                </c:pt>
                <c:pt idx="823">
                  <c:v>2.1613125887529283E-2</c:v>
                </c:pt>
                <c:pt idx="824">
                  <c:v>2.2511742226260623E-2</c:v>
                </c:pt>
                <c:pt idx="825">
                  <c:v>2.2309782914524567E-2</c:v>
                </c:pt>
                <c:pt idx="826">
                  <c:v>2.7974415260417773E-2</c:v>
                </c:pt>
                <c:pt idx="827">
                  <c:v>2.4985603253922184E-2</c:v>
                </c:pt>
                <c:pt idx="828">
                  <c:v>2.6728625425906261E-2</c:v>
                </c:pt>
                <c:pt idx="829">
                  <c:v>2.8472872363054513E-2</c:v>
                </c:pt>
                <c:pt idx="830">
                  <c:v>2.4635119544321293E-2</c:v>
                </c:pt>
                <c:pt idx="831">
                  <c:v>1.9204791191100079E-2</c:v>
                </c:pt>
                <c:pt idx="832">
                  <c:v>2.7087866624915691E-2</c:v>
                </c:pt>
                <c:pt idx="833">
                  <c:v>2.3381731422965513E-2</c:v>
                </c:pt>
                <c:pt idx="834">
                  <c:v>2.9065262537018466E-2</c:v>
                </c:pt>
                <c:pt idx="835">
                  <c:v>2.3904551308737032E-2</c:v>
                </c:pt>
                <c:pt idx="836">
                  <c:v>2.9272962063618513E-2</c:v>
                </c:pt>
                <c:pt idx="837">
                  <c:v>2.3195868426980515E-2</c:v>
                </c:pt>
                <c:pt idx="838">
                  <c:v>2.8391139515105301E-2</c:v>
                </c:pt>
                <c:pt idx="839">
                  <c:v>2.3548916052722357E-2</c:v>
                </c:pt>
                <c:pt idx="840">
                  <c:v>2.9499819818880058E-2</c:v>
                </c:pt>
                <c:pt idx="841">
                  <c:v>2.4057169881723572E-2</c:v>
                </c:pt>
                <c:pt idx="842">
                  <c:v>1.9197148265889918E-2</c:v>
                </c:pt>
                <c:pt idx="843">
                  <c:v>2.3876239425169699E-2</c:v>
                </c:pt>
                <c:pt idx="844">
                  <c:v>2.499659963637002E-2</c:v>
                </c:pt>
                <c:pt idx="845">
                  <c:v>2.3500540618635268E-2</c:v>
                </c:pt>
                <c:pt idx="846">
                  <c:v>2.6201824355876702E-2</c:v>
                </c:pt>
                <c:pt idx="847">
                  <c:v>3.2296985371109699E-2</c:v>
                </c:pt>
                <c:pt idx="848">
                  <c:v>2.7768732829976495E-2</c:v>
                </c:pt>
                <c:pt idx="849">
                  <c:v>2.7487101009866954E-2</c:v>
                </c:pt>
                <c:pt idx="850">
                  <c:v>3.2586777642483966E-2</c:v>
                </c:pt>
                <c:pt idx="851">
                  <c:v>2.8666256923692401E-2</c:v>
                </c:pt>
                <c:pt idx="852">
                  <c:v>3.0717640927262035E-2</c:v>
                </c:pt>
                <c:pt idx="853">
                  <c:v>1.7975382241922189E-2</c:v>
                </c:pt>
                <c:pt idx="854">
                  <c:v>2.3075400637028065E-2</c:v>
                </c:pt>
                <c:pt idx="855">
                  <c:v>2.5783384314000179E-2</c:v>
                </c:pt>
                <c:pt idx="856">
                  <c:v>2.2662188863756705E-2</c:v>
                </c:pt>
                <c:pt idx="857">
                  <c:v>2.4507050677626707E-2</c:v>
                </c:pt>
                <c:pt idx="858">
                  <c:v>1.9689996278862476E-2</c:v>
                </c:pt>
                <c:pt idx="859">
                  <c:v>1.9221897449879455E-2</c:v>
                </c:pt>
                <c:pt idx="860">
                  <c:v>2.6900711906217678E-2</c:v>
                </c:pt>
                <c:pt idx="861">
                  <c:v>2.6626752305245915E-2</c:v>
                </c:pt>
                <c:pt idx="862">
                  <c:v>2.6165008863606842E-2</c:v>
                </c:pt>
                <c:pt idx="863">
                  <c:v>2.8431991989590566E-2</c:v>
                </c:pt>
                <c:pt idx="864">
                  <c:v>3.5355123549734246E-2</c:v>
                </c:pt>
                <c:pt idx="865">
                  <c:v>2.2729771349717987E-2</c:v>
                </c:pt>
                <c:pt idx="866">
                  <c:v>2.2374522494558069E-2</c:v>
                </c:pt>
                <c:pt idx="867">
                  <c:v>2.1220140873802973E-2</c:v>
                </c:pt>
                <c:pt idx="868">
                  <c:v>2.4192269291046231E-2</c:v>
                </c:pt>
                <c:pt idx="869">
                  <c:v>1.8420902427457198E-2</c:v>
                </c:pt>
                <c:pt idx="870">
                  <c:v>2.4490319660110615E-2</c:v>
                </c:pt>
                <c:pt idx="871">
                  <c:v>2.0574070274955392E-2</c:v>
                </c:pt>
                <c:pt idx="872">
                  <c:v>2.7027961937887923E-2</c:v>
                </c:pt>
                <c:pt idx="873">
                  <c:v>2.0280148954736066E-2</c:v>
                </c:pt>
                <c:pt idx="874">
                  <c:v>1.9385756521377306E-2</c:v>
                </c:pt>
                <c:pt idx="875">
                  <c:v>2.0615508627992996E-2</c:v>
                </c:pt>
                <c:pt idx="876">
                  <c:v>2.2258550625020357E-2</c:v>
                </c:pt>
                <c:pt idx="877">
                  <c:v>1.8851597095720152E-2</c:v>
                </c:pt>
                <c:pt idx="878">
                  <c:v>2.6985912597217165E-2</c:v>
                </c:pt>
                <c:pt idx="879">
                  <c:v>2.7568091744983203E-2</c:v>
                </c:pt>
                <c:pt idx="880">
                  <c:v>2.3459792765320064E-2</c:v>
                </c:pt>
                <c:pt idx="881">
                  <c:v>2.311543148659112E-2</c:v>
                </c:pt>
                <c:pt idx="882">
                  <c:v>2.3157055367836965E-2</c:v>
                </c:pt>
                <c:pt idx="883">
                  <c:v>2.3415419439725027E-2</c:v>
                </c:pt>
                <c:pt idx="884">
                  <c:v>3.4509098180768971E-2</c:v>
                </c:pt>
                <c:pt idx="885">
                  <c:v>1.9495403692447622E-2</c:v>
                </c:pt>
                <c:pt idx="886">
                  <c:v>2.6794994306294839E-2</c:v>
                </c:pt>
                <c:pt idx="887">
                  <c:v>1.8652938233162275E-2</c:v>
                </c:pt>
                <c:pt idx="888">
                  <c:v>2.6332861673903141E-2</c:v>
                </c:pt>
                <c:pt idx="889">
                  <c:v>2.2654167907385392E-2</c:v>
                </c:pt>
                <c:pt idx="890">
                  <c:v>2.5865193884140769E-2</c:v>
                </c:pt>
                <c:pt idx="891">
                  <c:v>2.2915956578906771E-2</c:v>
                </c:pt>
                <c:pt idx="892">
                  <c:v>2.9602036096978201E-2</c:v>
                </c:pt>
                <c:pt idx="893">
                  <c:v>2.6906065720226913E-2</c:v>
                </c:pt>
                <c:pt idx="894">
                  <c:v>3.034251962958634E-2</c:v>
                </c:pt>
                <c:pt idx="895">
                  <c:v>2.2935201294402185E-2</c:v>
                </c:pt>
                <c:pt idx="896">
                  <c:v>2.6664756294007663E-2</c:v>
                </c:pt>
                <c:pt idx="897">
                  <c:v>2.5214705482018762E-2</c:v>
                </c:pt>
                <c:pt idx="898">
                  <c:v>2.3411026745531416E-2</c:v>
                </c:pt>
                <c:pt idx="899">
                  <c:v>2.6180290529180361E-2</c:v>
                </c:pt>
                <c:pt idx="900">
                  <c:v>2.3288138719178231E-2</c:v>
                </c:pt>
                <c:pt idx="901">
                  <c:v>2.0627136922307998E-2</c:v>
                </c:pt>
                <c:pt idx="902">
                  <c:v>2.9614222370866861E-2</c:v>
                </c:pt>
                <c:pt idx="903">
                  <c:v>2.9299647436728637E-2</c:v>
                </c:pt>
                <c:pt idx="904">
                  <c:v>2.5276392913784362E-2</c:v>
                </c:pt>
                <c:pt idx="905">
                  <c:v>2.3084781668610166E-2</c:v>
                </c:pt>
                <c:pt idx="906">
                  <c:v>2.2874254580520614E-2</c:v>
                </c:pt>
                <c:pt idx="907">
                  <c:v>2.3256272505726705E-2</c:v>
                </c:pt>
                <c:pt idx="908">
                  <c:v>2.1056976486874324E-2</c:v>
                </c:pt>
                <c:pt idx="909">
                  <c:v>2.5673972889299734E-2</c:v>
                </c:pt>
                <c:pt idx="910">
                  <c:v>2.6661877119407595E-2</c:v>
                </c:pt>
                <c:pt idx="911">
                  <c:v>2.6479462437187795E-2</c:v>
                </c:pt>
                <c:pt idx="912">
                  <c:v>2.7820080900242239E-2</c:v>
                </c:pt>
                <c:pt idx="913">
                  <c:v>2.8638157072363057E-2</c:v>
                </c:pt>
                <c:pt idx="914">
                  <c:v>3.0542111712981157E-2</c:v>
                </c:pt>
                <c:pt idx="915">
                  <c:v>2.4587212813076076E-2</c:v>
                </c:pt>
                <c:pt idx="916">
                  <c:v>2.7236124587534105E-2</c:v>
                </c:pt>
                <c:pt idx="917">
                  <c:v>2.8086393391157038E-2</c:v>
                </c:pt>
                <c:pt idx="918">
                  <c:v>2.7062118657489309E-2</c:v>
                </c:pt>
                <c:pt idx="919">
                  <c:v>2.3155314471567157E-2</c:v>
                </c:pt>
                <c:pt idx="920">
                  <c:v>2.6850697407132973E-2</c:v>
                </c:pt>
                <c:pt idx="921">
                  <c:v>2.2912672869115802E-2</c:v>
                </c:pt>
                <c:pt idx="922">
                  <c:v>2.7119105111346853E-2</c:v>
                </c:pt>
                <c:pt idx="923">
                  <c:v>2.5255919248277969E-2</c:v>
                </c:pt>
                <c:pt idx="924">
                  <c:v>2.8856357774539321E-2</c:v>
                </c:pt>
                <c:pt idx="925">
                  <c:v>2.7716416665150456E-2</c:v>
                </c:pt>
                <c:pt idx="926">
                  <c:v>2.5717909595878385E-2</c:v>
                </c:pt>
                <c:pt idx="927">
                  <c:v>1.9242735197057659E-2</c:v>
                </c:pt>
                <c:pt idx="928">
                  <c:v>2.9267449225430786E-2</c:v>
                </c:pt>
                <c:pt idx="929">
                  <c:v>3.4465042903530918E-2</c:v>
                </c:pt>
                <c:pt idx="930">
                  <c:v>2.3767183712447459E-2</c:v>
                </c:pt>
                <c:pt idx="931">
                  <c:v>2.8604159376940164E-2</c:v>
                </c:pt>
                <c:pt idx="932">
                  <c:v>2.5636208831754659E-2</c:v>
                </c:pt>
                <c:pt idx="933">
                  <c:v>2.4778083675734641E-2</c:v>
                </c:pt>
                <c:pt idx="934">
                  <c:v>2.7348895049267963E-2</c:v>
                </c:pt>
                <c:pt idx="935">
                  <c:v>2.9187554920176773E-2</c:v>
                </c:pt>
                <c:pt idx="936">
                  <c:v>2.6568100282361007E-2</c:v>
                </c:pt>
                <c:pt idx="937">
                  <c:v>2.9861622144132571E-2</c:v>
                </c:pt>
                <c:pt idx="938">
                  <c:v>2.562266527255308E-2</c:v>
                </c:pt>
                <c:pt idx="939">
                  <c:v>2.2064532757566369E-2</c:v>
                </c:pt>
                <c:pt idx="940">
                  <c:v>2.7379748529793302E-2</c:v>
                </c:pt>
                <c:pt idx="941">
                  <c:v>2.5309591303467993E-2</c:v>
                </c:pt>
                <c:pt idx="942">
                  <c:v>3.025230270221968E-2</c:v>
                </c:pt>
                <c:pt idx="943">
                  <c:v>2.868778656554194E-2</c:v>
                </c:pt>
                <c:pt idx="944">
                  <c:v>2.8684550284014732E-2</c:v>
                </c:pt>
                <c:pt idx="945">
                  <c:v>2.3337842144650622E-2</c:v>
                </c:pt>
                <c:pt idx="946">
                  <c:v>1.9245932420014711E-2</c:v>
                </c:pt>
                <c:pt idx="947">
                  <c:v>2.1263613062386555E-2</c:v>
                </c:pt>
                <c:pt idx="948">
                  <c:v>2.9503644768857473E-2</c:v>
                </c:pt>
                <c:pt idx="949">
                  <c:v>2.1913005034646327E-2</c:v>
                </c:pt>
                <c:pt idx="950">
                  <c:v>2.3990424365122776E-2</c:v>
                </c:pt>
                <c:pt idx="951">
                  <c:v>2.3666971975967677E-2</c:v>
                </c:pt>
                <c:pt idx="952">
                  <c:v>3.0073732499262373E-2</c:v>
                </c:pt>
                <c:pt idx="953">
                  <c:v>2.3631476105389515E-2</c:v>
                </c:pt>
                <c:pt idx="954">
                  <c:v>2.5566027555929072E-2</c:v>
                </c:pt>
                <c:pt idx="955">
                  <c:v>2.5173300607755578E-2</c:v>
                </c:pt>
                <c:pt idx="956">
                  <c:v>2.6341552205762842E-2</c:v>
                </c:pt>
                <c:pt idx="957">
                  <c:v>2.0760615400969185E-2</c:v>
                </c:pt>
                <c:pt idx="958">
                  <c:v>2.2390657868879282E-2</c:v>
                </c:pt>
                <c:pt idx="959">
                  <c:v>2.4491079907279723E-2</c:v>
                </c:pt>
                <c:pt idx="960">
                  <c:v>2.6601807828405599E-2</c:v>
                </c:pt>
                <c:pt idx="961">
                  <c:v>2.44294691977055E-2</c:v>
                </c:pt>
                <c:pt idx="962">
                  <c:v>2.4782487529519726E-2</c:v>
                </c:pt>
                <c:pt idx="963">
                  <c:v>2.1666285996460477E-2</c:v>
                </c:pt>
                <c:pt idx="964">
                  <c:v>3.0843278397964413E-2</c:v>
                </c:pt>
                <c:pt idx="965">
                  <c:v>1.8273326594867578E-2</c:v>
                </c:pt>
                <c:pt idx="966">
                  <c:v>2.7209885598082906E-2</c:v>
                </c:pt>
                <c:pt idx="967">
                  <c:v>3.3408383035408162E-2</c:v>
                </c:pt>
                <c:pt idx="968">
                  <c:v>3.1664730346505854E-2</c:v>
                </c:pt>
                <c:pt idx="969">
                  <c:v>2.520659385396673E-2</c:v>
                </c:pt>
                <c:pt idx="970">
                  <c:v>2.7546670909150528E-2</c:v>
                </c:pt>
                <c:pt idx="971">
                  <c:v>2.3487172822999391E-2</c:v>
                </c:pt>
                <c:pt idx="972">
                  <c:v>3.1972453291479574E-2</c:v>
                </c:pt>
                <c:pt idx="973">
                  <c:v>2.6078283493422338E-2</c:v>
                </c:pt>
                <c:pt idx="974">
                  <c:v>2.2918738107081449E-2</c:v>
                </c:pt>
                <c:pt idx="975">
                  <c:v>2.3655525025014112E-2</c:v>
                </c:pt>
                <c:pt idx="976">
                  <c:v>2.358767610380641E-2</c:v>
                </c:pt>
                <c:pt idx="977">
                  <c:v>2.2677851350389244E-2</c:v>
                </c:pt>
                <c:pt idx="978">
                  <c:v>2.2285339224351608E-2</c:v>
                </c:pt>
                <c:pt idx="979">
                  <c:v>2.4519020734430574E-2</c:v>
                </c:pt>
                <c:pt idx="980">
                  <c:v>3.3527316381533057E-2</c:v>
                </c:pt>
                <c:pt idx="981">
                  <c:v>2.2636011252058608E-2</c:v>
                </c:pt>
                <c:pt idx="982">
                  <c:v>2.7254984297123697E-2</c:v>
                </c:pt>
                <c:pt idx="983">
                  <c:v>2.7422300052080351E-2</c:v>
                </c:pt>
                <c:pt idx="984">
                  <c:v>2.5469254368571947E-2</c:v>
                </c:pt>
                <c:pt idx="985">
                  <c:v>2.2747089640735352E-2</c:v>
                </c:pt>
                <c:pt idx="986">
                  <c:v>2.1220697458427695E-2</c:v>
                </c:pt>
                <c:pt idx="987">
                  <c:v>2.1671477996393351E-2</c:v>
                </c:pt>
                <c:pt idx="988">
                  <c:v>2.3241938010479468E-2</c:v>
                </c:pt>
                <c:pt idx="989">
                  <c:v>2.1632678886739143E-2</c:v>
                </c:pt>
                <c:pt idx="990">
                  <c:v>2.7046704471767047E-2</c:v>
                </c:pt>
                <c:pt idx="991">
                  <c:v>3.2631742426427079E-2</c:v>
                </c:pt>
                <c:pt idx="992">
                  <c:v>2.1103463160104585E-2</c:v>
                </c:pt>
                <c:pt idx="993">
                  <c:v>2.2808074018238145E-2</c:v>
                </c:pt>
                <c:pt idx="994">
                  <c:v>2.8093794990201593E-2</c:v>
                </c:pt>
                <c:pt idx="995">
                  <c:v>2.3090747865201489E-2</c:v>
                </c:pt>
                <c:pt idx="996">
                  <c:v>1.9700966157280564E-2</c:v>
                </c:pt>
                <c:pt idx="997">
                  <c:v>1.989968221274474E-2</c:v>
                </c:pt>
                <c:pt idx="998">
                  <c:v>2.5144190813397915E-2</c:v>
                </c:pt>
                <c:pt idx="999">
                  <c:v>2.2406517043311536E-2</c:v>
                </c:pt>
                <c:pt idx="1000">
                  <c:v>2.6580791527763825E-2</c:v>
                </c:pt>
                <c:pt idx="1001">
                  <c:v>1.8954939097608148E-2</c:v>
                </c:pt>
                <c:pt idx="1002">
                  <c:v>2.7798916735013446E-2</c:v>
                </c:pt>
                <c:pt idx="1003">
                  <c:v>2.059787368356758E-2</c:v>
                </c:pt>
                <c:pt idx="1004">
                  <c:v>2.6033812521401911E-2</c:v>
                </c:pt>
                <c:pt idx="1005">
                  <c:v>3.2296650583365505E-2</c:v>
                </c:pt>
                <c:pt idx="1006">
                  <c:v>2.5956671845343893E-2</c:v>
                </c:pt>
                <c:pt idx="1007">
                  <c:v>2.4476285078884219E-2</c:v>
                </c:pt>
                <c:pt idx="1008">
                  <c:v>2.4200442296851365E-2</c:v>
                </c:pt>
                <c:pt idx="1009">
                  <c:v>3.2550612196417417E-2</c:v>
                </c:pt>
                <c:pt idx="1010">
                  <c:v>3.1551814810082845E-2</c:v>
                </c:pt>
                <c:pt idx="1011">
                  <c:v>2.743356007987674E-2</c:v>
                </c:pt>
                <c:pt idx="1012">
                  <c:v>2.500533341164668E-2</c:v>
                </c:pt>
                <c:pt idx="1013">
                  <c:v>2.6431289270696157E-2</c:v>
                </c:pt>
                <c:pt idx="1014">
                  <c:v>2.2348386731327996E-2</c:v>
                </c:pt>
                <c:pt idx="1015">
                  <c:v>2.0404823910673886E-2</c:v>
                </c:pt>
                <c:pt idx="1016">
                  <c:v>2.1053749969989655E-2</c:v>
                </c:pt>
                <c:pt idx="1017">
                  <c:v>2.4243002188832019E-2</c:v>
                </c:pt>
                <c:pt idx="1018">
                  <c:v>2.4512345903780708E-2</c:v>
                </c:pt>
                <c:pt idx="1019">
                  <c:v>2.2488932021289543E-2</c:v>
                </c:pt>
                <c:pt idx="1020">
                  <c:v>2.8130895052054017E-2</c:v>
                </c:pt>
                <c:pt idx="1021">
                  <c:v>3.6213137109839533E-2</c:v>
                </c:pt>
                <c:pt idx="1022">
                  <c:v>2.6858871807887041E-2</c:v>
                </c:pt>
                <c:pt idx="1023">
                  <c:v>2.4846452912894779E-2</c:v>
                </c:pt>
                <c:pt idx="1024">
                  <c:v>2.7490663709444751E-2</c:v>
                </c:pt>
                <c:pt idx="1025">
                  <c:v>1.8594480108179212E-2</c:v>
                </c:pt>
                <c:pt idx="1026">
                  <c:v>3.1363923558347606E-2</c:v>
                </c:pt>
                <c:pt idx="1027">
                  <c:v>2.7714064781247494E-2</c:v>
                </c:pt>
                <c:pt idx="1028">
                  <c:v>1.9282025328736685E-2</c:v>
                </c:pt>
                <c:pt idx="1029">
                  <c:v>2.2545606006585839E-2</c:v>
                </c:pt>
                <c:pt idx="1030">
                  <c:v>2.8505960551772347E-2</c:v>
                </c:pt>
                <c:pt idx="1031">
                  <c:v>2.1338885901821758E-2</c:v>
                </c:pt>
                <c:pt idx="1032">
                  <c:v>2.5162281906124795E-2</c:v>
                </c:pt>
                <c:pt idx="1033">
                  <c:v>2.3526117007342751E-2</c:v>
                </c:pt>
                <c:pt idx="1034">
                  <c:v>2.5871667842144119E-2</c:v>
                </c:pt>
                <c:pt idx="1035">
                  <c:v>1.909700209201004E-2</c:v>
                </c:pt>
                <c:pt idx="1036">
                  <c:v>2.7911921548168239E-2</c:v>
                </c:pt>
                <c:pt idx="1037">
                  <c:v>2.6193535569310034E-2</c:v>
                </c:pt>
                <c:pt idx="1038">
                  <c:v>2.1762353339656926E-2</c:v>
                </c:pt>
                <c:pt idx="1039">
                  <c:v>2.4473457517394714E-2</c:v>
                </c:pt>
                <c:pt idx="1040">
                  <c:v>2.1999948016864557E-2</c:v>
                </c:pt>
                <c:pt idx="1041">
                  <c:v>2.3415810025426587E-2</c:v>
                </c:pt>
                <c:pt idx="1042">
                  <c:v>2.3629482723362627E-2</c:v>
                </c:pt>
                <c:pt idx="1043">
                  <c:v>2.9037918748011426E-2</c:v>
                </c:pt>
                <c:pt idx="1044">
                  <c:v>2.2444402461413882E-2</c:v>
                </c:pt>
                <c:pt idx="1045">
                  <c:v>2.9722303014284135E-2</c:v>
                </c:pt>
                <c:pt idx="1046">
                  <c:v>2.2905128985279966E-2</c:v>
                </c:pt>
                <c:pt idx="1047">
                  <c:v>2.542894313427313E-2</c:v>
                </c:pt>
                <c:pt idx="1048">
                  <c:v>2.0993973618263828E-2</c:v>
                </c:pt>
                <c:pt idx="1049">
                  <c:v>2.4023493024555531E-2</c:v>
                </c:pt>
                <c:pt idx="1050">
                  <c:v>2.9767742080864856E-2</c:v>
                </c:pt>
                <c:pt idx="1051">
                  <c:v>2.4503811606201631E-2</c:v>
                </c:pt>
                <c:pt idx="1052">
                  <c:v>2.2394262416925104E-2</c:v>
                </c:pt>
                <c:pt idx="1053">
                  <c:v>2.8616912000096084E-2</c:v>
                </c:pt>
                <c:pt idx="1054">
                  <c:v>2.7431824763402668E-2</c:v>
                </c:pt>
                <c:pt idx="1055">
                  <c:v>1.9474591054350232E-2</c:v>
                </c:pt>
                <c:pt idx="1056">
                  <c:v>2.1410361690258228E-2</c:v>
                </c:pt>
                <c:pt idx="1057">
                  <c:v>2.8646847604222758E-2</c:v>
                </c:pt>
                <c:pt idx="1058">
                  <c:v>2.4235578270604519E-2</c:v>
                </c:pt>
                <c:pt idx="1059">
                  <c:v>2.4181221295487831E-2</c:v>
                </c:pt>
                <c:pt idx="1060">
                  <c:v>2.7461570654474299E-2</c:v>
                </c:pt>
                <c:pt idx="1061">
                  <c:v>2.5541394152701069E-2</c:v>
                </c:pt>
                <c:pt idx="1062">
                  <c:v>2.4503281525606657E-2</c:v>
                </c:pt>
                <c:pt idx="1063">
                  <c:v>2.3959713169388719E-2</c:v>
                </c:pt>
                <c:pt idx="1064">
                  <c:v>2.6802080646880277E-2</c:v>
                </c:pt>
                <c:pt idx="1065">
                  <c:v>2.6492507999619885E-2</c:v>
                </c:pt>
                <c:pt idx="1066">
                  <c:v>1.8767158046838706E-2</c:v>
                </c:pt>
                <c:pt idx="1067">
                  <c:v>2.1292802368833463E-2</c:v>
                </c:pt>
                <c:pt idx="1068">
                  <c:v>2.3002309497725859E-2</c:v>
                </c:pt>
                <c:pt idx="1069">
                  <c:v>2.1940553881146685E-2</c:v>
                </c:pt>
                <c:pt idx="1070">
                  <c:v>2.4207718350491847E-2</c:v>
                </c:pt>
                <c:pt idx="1071">
                  <c:v>2.1379552848098782E-2</c:v>
                </c:pt>
                <c:pt idx="1072">
                  <c:v>2.2005296251078055E-2</c:v>
                </c:pt>
                <c:pt idx="1073">
                  <c:v>2.204576511460643E-2</c:v>
                </c:pt>
                <c:pt idx="1074">
                  <c:v>2.6460664105351306E-2</c:v>
                </c:pt>
                <c:pt idx="1075">
                  <c:v>2.5433033124548032E-2</c:v>
                </c:pt>
                <c:pt idx="1076">
                  <c:v>2.112681739515998E-2</c:v>
                </c:pt>
                <c:pt idx="1077">
                  <c:v>2.2302593347718003E-2</c:v>
                </c:pt>
                <c:pt idx="1078">
                  <c:v>2.1715764835154472E-2</c:v>
                </c:pt>
                <c:pt idx="1079">
                  <c:v>2.4718961555058927E-2</c:v>
                </c:pt>
                <c:pt idx="1080">
                  <c:v>2.508357609736267E-2</c:v>
                </c:pt>
                <c:pt idx="1081">
                  <c:v>2.9795836352398464E-2</c:v>
                </c:pt>
                <c:pt idx="1082">
                  <c:v>3.7114879529132283E-2</c:v>
                </c:pt>
                <c:pt idx="1083">
                  <c:v>2.4539024302146162E-2</c:v>
                </c:pt>
                <c:pt idx="1084">
                  <c:v>3.6663635868120492E-2</c:v>
                </c:pt>
                <c:pt idx="1085">
                  <c:v>2.3199325110439317E-2</c:v>
                </c:pt>
                <c:pt idx="1086">
                  <c:v>3.3045994831603309E-2</c:v>
                </c:pt>
                <c:pt idx="1087">
                  <c:v>1.9386737170478008E-2</c:v>
                </c:pt>
                <c:pt idx="1088">
                  <c:v>2.1901731057360596E-2</c:v>
                </c:pt>
                <c:pt idx="1089">
                  <c:v>2.5894298098702695E-2</c:v>
                </c:pt>
                <c:pt idx="1090">
                  <c:v>2.6326617882473924E-2</c:v>
                </c:pt>
                <c:pt idx="1091">
                  <c:v>2.3023320218571897E-2</c:v>
                </c:pt>
                <c:pt idx="1092">
                  <c:v>2.4928362919358626E-2</c:v>
                </c:pt>
                <c:pt idx="1093">
                  <c:v>1.831762040837337E-2</c:v>
                </c:pt>
                <c:pt idx="1094">
                  <c:v>2.1299884524572099E-2</c:v>
                </c:pt>
                <c:pt idx="1095">
                  <c:v>2.1573195474289486E-2</c:v>
                </c:pt>
                <c:pt idx="1096">
                  <c:v>1.9089875297905512E-2</c:v>
                </c:pt>
                <c:pt idx="1097">
                  <c:v>2.9430008204522018E-2</c:v>
                </c:pt>
                <c:pt idx="1098">
                  <c:v>1.9188838555089238E-2</c:v>
                </c:pt>
                <c:pt idx="1099">
                  <c:v>3.1615823436874857E-2</c:v>
                </c:pt>
                <c:pt idx="1100">
                  <c:v>2.5513811827426292E-2</c:v>
                </c:pt>
                <c:pt idx="1101">
                  <c:v>2.1666351559060382E-2</c:v>
                </c:pt>
                <c:pt idx="1102">
                  <c:v>2.2147256019258821E-2</c:v>
                </c:pt>
                <c:pt idx="1103">
                  <c:v>1.9698684020824309E-2</c:v>
                </c:pt>
                <c:pt idx="1104">
                  <c:v>2.2262390919436048E-2</c:v>
                </c:pt>
                <c:pt idx="1105">
                  <c:v>2.2291800627814551E-2</c:v>
                </c:pt>
                <c:pt idx="1106">
                  <c:v>1.8966026151736703E-2</c:v>
                </c:pt>
                <c:pt idx="1107">
                  <c:v>2.4073202029823659E-2</c:v>
                </c:pt>
                <c:pt idx="1108">
                  <c:v>2.6647054392033409E-2</c:v>
                </c:pt>
                <c:pt idx="1109">
                  <c:v>2.3683672304607217E-2</c:v>
                </c:pt>
                <c:pt idx="1110">
                  <c:v>2.3325448023370776E-2</c:v>
                </c:pt>
                <c:pt idx="1111">
                  <c:v>2.1619672382877209E-2</c:v>
                </c:pt>
                <c:pt idx="1112">
                  <c:v>2.4372191199520721E-2</c:v>
                </c:pt>
                <c:pt idx="1113">
                  <c:v>2.1582901528973242E-2</c:v>
                </c:pt>
                <c:pt idx="1114">
                  <c:v>2.3427422975303314E-2</c:v>
                </c:pt>
                <c:pt idx="1115">
                  <c:v>2.1446967940187966E-2</c:v>
                </c:pt>
                <c:pt idx="1116">
                  <c:v>3.4212791497872264E-2</c:v>
                </c:pt>
                <c:pt idx="1117">
                  <c:v>2.3482321190606448E-2</c:v>
                </c:pt>
                <c:pt idx="1118">
                  <c:v>2.8180563603803055E-2</c:v>
                </c:pt>
                <c:pt idx="1119">
                  <c:v>2.7919694203629275E-2</c:v>
                </c:pt>
                <c:pt idx="1120">
                  <c:v>2.6403139201205184E-2</c:v>
                </c:pt>
                <c:pt idx="1121">
                  <c:v>3.101008639150904E-2</c:v>
                </c:pt>
                <c:pt idx="1122">
                  <c:v>2.2610705483444349E-2</c:v>
                </c:pt>
                <c:pt idx="1123">
                  <c:v>2.6136698374988443E-2</c:v>
                </c:pt>
                <c:pt idx="1124">
                  <c:v>2.3286711686418604E-2</c:v>
                </c:pt>
                <c:pt idx="1125">
                  <c:v>2.0742644273850641E-2</c:v>
                </c:pt>
                <c:pt idx="1126">
                  <c:v>2.5787927662678678E-2</c:v>
                </c:pt>
                <c:pt idx="1127">
                  <c:v>2.5693665383403008E-2</c:v>
                </c:pt>
                <c:pt idx="1128">
                  <c:v>3.0450008814655538E-2</c:v>
                </c:pt>
                <c:pt idx="1129">
                  <c:v>2.8086549625437662E-2</c:v>
                </c:pt>
                <c:pt idx="1130">
                  <c:v>2.6636254697385287E-2</c:v>
                </c:pt>
                <c:pt idx="1131">
                  <c:v>2.5626304694322255E-2</c:v>
                </c:pt>
                <c:pt idx="1132">
                  <c:v>2.4587007755582757E-2</c:v>
                </c:pt>
                <c:pt idx="1133">
                  <c:v>2.6405326481133917E-2</c:v>
                </c:pt>
                <c:pt idx="1134">
                  <c:v>3.2590736507559059E-2</c:v>
                </c:pt>
                <c:pt idx="1135">
                  <c:v>3.1823163066649895E-2</c:v>
                </c:pt>
                <c:pt idx="1136">
                  <c:v>2.6379646866205309E-2</c:v>
                </c:pt>
                <c:pt idx="1137">
                  <c:v>2.8800883445326386E-2</c:v>
                </c:pt>
                <c:pt idx="1138">
                  <c:v>2.085560026379274E-2</c:v>
                </c:pt>
                <c:pt idx="1139">
                  <c:v>2.0547209138279565E-2</c:v>
                </c:pt>
                <c:pt idx="1140">
                  <c:v>2.2215597357440275E-2</c:v>
                </c:pt>
                <c:pt idx="1141">
                  <c:v>2.4811848414685533E-2</c:v>
                </c:pt>
                <c:pt idx="1142">
                  <c:v>2.687109156055012E-2</c:v>
                </c:pt>
                <c:pt idx="1143">
                  <c:v>2.0922176991572505E-2</c:v>
                </c:pt>
                <c:pt idx="1144">
                  <c:v>3.1933570484889318E-2</c:v>
                </c:pt>
                <c:pt idx="1145">
                  <c:v>2.7997643950069095E-2</c:v>
                </c:pt>
                <c:pt idx="1146">
                  <c:v>2.8616206155935409E-2</c:v>
                </c:pt>
                <c:pt idx="1147">
                  <c:v>2.5796386633015311E-2</c:v>
                </c:pt>
                <c:pt idx="1148">
                  <c:v>2.392769769640124E-2</c:v>
                </c:pt>
                <c:pt idx="1149">
                  <c:v>2.1118125468351345E-2</c:v>
                </c:pt>
                <c:pt idx="1150">
                  <c:v>2.7315209822406317E-2</c:v>
                </c:pt>
                <c:pt idx="1151">
                  <c:v>2.6205363341322618E-2</c:v>
                </c:pt>
                <c:pt idx="1152">
                  <c:v>2.8387392682268198E-2</c:v>
                </c:pt>
                <c:pt idx="1153">
                  <c:v>2.3767829573803967E-2</c:v>
                </c:pt>
                <c:pt idx="1154">
                  <c:v>1.9471285025376317E-2</c:v>
                </c:pt>
                <c:pt idx="1155">
                  <c:v>2.4560912445871774E-2</c:v>
                </c:pt>
                <c:pt idx="1156">
                  <c:v>2.3114823288855835E-2</c:v>
                </c:pt>
                <c:pt idx="1157">
                  <c:v>2.3154921095967729E-2</c:v>
                </c:pt>
                <c:pt idx="1158">
                  <c:v>2.9542750767277193E-2</c:v>
                </c:pt>
                <c:pt idx="1159">
                  <c:v>2.2747538814292145E-2</c:v>
                </c:pt>
                <c:pt idx="1160">
                  <c:v>2.8584317623300937E-2</c:v>
                </c:pt>
                <c:pt idx="1161">
                  <c:v>2.7948444101161929E-2</c:v>
                </c:pt>
                <c:pt idx="1162">
                  <c:v>2.2789020410746708E-2</c:v>
                </c:pt>
                <c:pt idx="1163">
                  <c:v>2.0536947893920021E-2</c:v>
                </c:pt>
                <c:pt idx="1164">
                  <c:v>2.3294111890514224E-2</c:v>
                </c:pt>
                <c:pt idx="1165">
                  <c:v>2.6532955938914249E-2</c:v>
                </c:pt>
                <c:pt idx="1166">
                  <c:v>2.5363716717061613E-2</c:v>
                </c:pt>
                <c:pt idx="1167">
                  <c:v>2.1076417890169452E-2</c:v>
                </c:pt>
                <c:pt idx="1168">
                  <c:v>2.1925106216650003E-2</c:v>
                </c:pt>
                <c:pt idx="1169">
                  <c:v>2.020360531682186E-2</c:v>
                </c:pt>
                <c:pt idx="1170">
                  <c:v>2.9714759130448298E-2</c:v>
                </c:pt>
                <c:pt idx="1171">
                  <c:v>3.2973624880900054E-2</c:v>
                </c:pt>
                <c:pt idx="1172">
                  <c:v>2.4709512170979053E-2</c:v>
                </c:pt>
                <c:pt idx="1173">
                  <c:v>2.5866965469287129E-2</c:v>
                </c:pt>
                <c:pt idx="1174">
                  <c:v>2.3098989223504396E-2</c:v>
                </c:pt>
                <c:pt idx="1175">
                  <c:v>2.131504901443515E-2</c:v>
                </c:pt>
                <c:pt idx="1176">
                  <c:v>2.3089941584717555E-2</c:v>
                </c:pt>
                <c:pt idx="1177">
                  <c:v>2.7068836731556134E-2</c:v>
                </c:pt>
                <c:pt idx="1178">
                  <c:v>2.6112631321027702E-2</c:v>
                </c:pt>
                <c:pt idx="1179">
                  <c:v>2.3621414338727553E-2</c:v>
                </c:pt>
                <c:pt idx="1180">
                  <c:v>2.2522919952069897E-2</c:v>
                </c:pt>
                <c:pt idx="1181">
                  <c:v>2.0236527506616531E-2</c:v>
                </c:pt>
                <c:pt idx="1182">
                  <c:v>2.8514913334031666E-2</c:v>
                </c:pt>
                <c:pt idx="1183">
                  <c:v>2.4514851232066426E-2</c:v>
                </c:pt>
                <c:pt idx="1184">
                  <c:v>2.5392935317436138E-2</c:v>
                </c:pt>
                <c:pt idx="1185">
                  <c:v>2.1210362281774642E-2</c:v>
                </c:pt>
                <c:pt idx="1186">
                  <c:v>2.4148382802629209E-2</c:v>
                </c:pt>
                <c:pt idx="1187">
                  <c:v>2.5071350764903855E-2</c:v>
                </c:pt>
                <c:pt idx="1188">
                  <c:v>2.2340713117241284E-2</c:v>
                </c:pt>
                <c:pt idx="1189">
                  <c:v>2.8538736271928933E-2</c:v>
                </c:pt>
                <c:pt idx="1190">
                  <c:v>2.5187428650560562E-2</c:v>
                </c:pt>
                <c:pt idx="1191">
                  <c:v>2.4190754376503754E-2</c:v>
                </c:pt>
                <c:pt idx="1192">
                  <c:v>2.2425034990412263E-2</c:v>
                </c:pt>
                <c:pt idx="1193">
                  <c:v>2.5312847114280279E-2</c:v>
                </c:pt>
                <c:pt idx="1194">
                  <c:v>1.8733860615780751E-2</c:v>
                </c:pt>
                <c:pt idx="1195">
                  <c:v>1.9484583073565487E-2</c:v>
                </c:pt>
                <c:pt idx="1196">
                  <c:v>2.9170461215937804E-2</c:v>
                </c:pt>
                <c:pt idx="1197">
                  <c:v>2.8836510441104357E-2</c:v>
                </c:pt>
                <c:pt idx="1198">
                  <c:v>2.0130422110890001E-2</c:v>
                </c:pt>
                <c:pt idx="1199">
                  <c:v>1.8357146286422266E-2</c:v>
                </c:pt>
                <c:pt idx="1200">
                  <c:v>2.1129536150632622E-2</c:v>
                </c:pt>
                <c:pt idx="1201">
                  <c:v>2.9748887951071001E-2</c:v>
                </c:pt>
                <c:pt idx="1202">
                  <c:v>2.3171331275228968E-2</c:v>
                </c:pt>
                <c:pt idx="1203">
                  <c:v>1.9786367720926568E-2</c:v>
                </c:pt>
                <c:pt idx="1204">
                  <c:v>3.2309517592334025E-2</c:v>
                </c:pt>
                <c:pt idx="1205">
                  <c:v>2.1602535435221282E-2</c:v>
                </c:pt>
                <c:pt idx="1206">
                  <c:v>2.3055808579248049E-2</c:v>
                </c:pt>
                <c:pt idx="1207">
                  <c:v>2.0986244206219751E-2</c:v>
                </c:pt>
                <c:pt idx="1208">
                  <c:v>2.357157560320855E-2</c:v>
                </c:pt>
                <c:pt idx="1209">
                  <c:v>2.5336384087646047E-2</c:v>
                </c:pt>
                <c:pt idx="1210">
                  <c:v>2.4610133219012953E-2</c:v>
                </c:pt>
                <c:pt idx="1211">
                  <c:v>2.7680240059492434E-2</c:v>
                </c:pt>
                <c:pt idx="1212">
                  <c:v>2.6738094339271212E-2</c:v>
                </c:pt>
                <c:pt idx="1213">
                  <c:v>2.889622820497495E-2</c:v>
                </c:pt>
                <c:pt idx="1214">
                  <c:v>2.1966674299938482E-2</c:v>
                </c:pt>
                <c:pt idx="1215">
                  <c:v>2.5052092099919099E-2</c:v>
                </c:pt>
                <c:pt idx="1216">
                  <c:v>2.3994529699835954E-2</c:v>
                </c:pt>
                <c:pt idx="1217">
                  <c:v>2.1115067740287707E-2</c:v>
                </c:pt>
                <c:pt idx="1218">
                  <c:v>2.9897472331740005E-2</c:v>
                </c:pt>
                <c:pt idx="1219">
                  <c:v>2.4063702427582156E-2</c:v>
                </c:pt>
                <c:pt idx="1220">
                  <c:v>2.6531549830388634E-2</c:v>
                </c:pt>
                <c:pt idx="1221">
                  <c:v>2.3344500235913279E-2</c:v>
                </c:pt>
                <c:pt idx="1222">
                  <c:v>2.3203147270518865E-2</c:v>
                </c:pt>
                <c:pt idx="1223">
                  <c:v>2.3438963387835465E-2</c:v>
                </c:pt>
                <c:pt idx="1224">
                  <c:v>2.3904434133026564E-2</c:v>
                </c:pt>
                <c:pt idx="1225">
                  <c:v>2.6151648042715636E-2</c:v>
                </c:pt>
                <c:pt idx="1226">
                  <c:v>2.6507380945155701E-2</c:v>
                </c:pt>
                <c:pt idx="1227">
                  <c:v>1.881568692530855E-2</c:v>
                </c:pt>
                <c:pt idx="1228">
                  <c:v>2.6968902589914245E-2</c:v>
                </c:pt>
                <c:pt idx="1229">
                  <c:v>2.7296704429845997E-2</c:v>
                </c:pt>
                <c:pt idx="1230">
                  <c:v>2.3615294697753475E-2</c:v>
                </c:pt>
                <c:pt idx="1231">
                  <c:v>2.509961940505423E-2</c:v>
                </c:pt>
                <c:pt idx="1232">
                  <c:v>2.0748065045408715E-2</c:v>
                </c:pt>
                <c:pt idx="1233">
                  <c:v>2.7124338959747751E-2</c:v>
                </c:pt>
                <c:pt idx="1234">
                  <c:v>2.4405579302259395E-2</c:v>
                </c:pt>
                <c:pt idx="1235">
                  <c:v>2.7392370027749413E-2</c:v>
                </c:pt>
                <c:pt idx="1236">
                  <c:v>2.3087224224193847E-2</c:v>
                </c:pt>
                <c:pt idx="1237">
                  <c:v>2.2770906998836882E-2</c:v>
                </c:pt>
                <c:pt idx="1238">
                  <c:v>2.3641288176192266E-2</c:v>
                </c:pt>
                <c:pt idx="1239">
                  <c:v>2.2916729380616285E-2</c:v>
                </c:pt>
                <c:pt idx="1240">
                  <c:v>2.4570785894427627E-2</c:v>
                </c:pt>
                <c:pt idx="1241">
                  <c:v>1.8393310337539881E-2</c:v>
                </c:pt>
                <c:pt idx="1242">
                  <c:v>2.4889461978432226E-2</c:v>
                </c:pt>
                <c:pt idx="1243">
                  <c:v>2.6248174324111417E-2</c:v>
                </c:pt>
                <c:pt idx="1244">
                  <c:v>2.8210116991921774E-2</c:v>
                </c:pt>
                <c:pt idx="1245">
                  <c:v>2.8967102770420805E-2</c:v>
                </c:pt>
                <c:pt idx="1246">
                  <c:v>2.0496226544634566E-2</c:v>
                </c:pt>
                <c:pt idx="1247">
                  <c:v>2.1128492728829884E-2</c:v>
                </c:pt>
                <c:pt idx="1248">
                  <c:v>2.4907942261911731E-2</c:v>
                </c:pt>
                <c:pt idx="1249">
                  <c:v>2.3933866160588013E-2</c:v>
                </c:pt>
                <c:pt idx="1250">
                  <c:v>3.0667425555530814E-2</c:v>
                </c:pt>
                <c:pt idx="1251">
                  <c:v>2.5181668906411492E-2</c:v>
                </c:pt>
                <c:pt idx="1252">
                  <c:v>2.4482908296423522E-2</c:v>
                </c:pt>
                <c:pt idx="1253">
                  <c:v>2.4968866656610356E-2</c:v>
                </c:pt>
                <c:pt idx="1254">
                  <c:v>2.2529854243221514E-2</c:v>
                </c:pt>
                <c:pt idx="1255">
                  <c:v>2.4698752929850021E-2</c:v>
                </c:pt>
                <c:pt idx="1256">
                  <c:v>2.6373534199975901E-2</c:v>
                </c:pt>
                <c:pt idx="1257">
                  <c:v>2.0698008697855985E-2</c:v>
                </c:pt>
                <c:pt idx="1258">
                  <c:v>2.5652952403811158E-2</c:v>
                </c:pt>
                <c:pt idx="1259">
                  <c:v>2.3274932737618714E-2</c:v>
                </c:pt>
                <c:pt idx="1260">
                  <c:v>2.0541110421539499E-2</c:v>
                </c:pt>
                <c:pt idx="1261">
                  <c:v>2.4911125535379441E-2</c:v>
                </c:pt>
                <c:pt idx="1262">
                  <c:v>2.539246103479853E-2</c:v>
                </c:pt>
                <c:pt idx="1263">
                  <c:v>2.7933004806358852E-2</c:v>
                </c:pt>
                <c:pt idx="1264">
                  <c:v>2.0826715056213474E-2</c:v>
                </c:pt>
                <c:pt idx="1265">
                  <c:v>2.3881626717953353E-2</c:v>
                </c:pt>
                <c:pt idx="1266">
                  <c:v>2.2685741181560748E-2</c:v>
                </c:pt>
                <c:pt idx="1267">
                  <c:v>2.1385227500362869E-2</c:v>
                </c:pt>
                <c:pt idx="1268">
                  <c:v>2.4871026333318613E-2</c:v>
                </c:pt>
                <c:pt idx="1269">
                  <c:v>2.1858946578601546E-2</c:v>
                </c:pt>
                <c:pt idx="1270">
                  <c:v>2.4226326969273293E-2</c:v>
                </c:pt>
                <c:pt idx="1271">
                  <c:v>2.7819073747111789E-2</c:v>
                </c:pt>
                <c:pt idx="1272">
                  <c:v>2.2867787597261935E-2</c:v>
                </c:pt>
                <c:pt idx="1273">
                  <c:v>2.5083196671252583E-2</c:v>
                </c:pt>
                <c:pt idx="1274">
                  <c:v>1.8252197303362139E-2</c:v>
                </c:pt>
                <c:pt idx="1275">
                  <c:v>2.3340851049501565E-2</c:v>
                </c:pt>
                <c:pt idx="1276">
                  <c:v>2.3142941274521323E-2</c:v>
                </c:pt>
                <c:pt idx="1277">
                  <c:v>1.9936517234299678E-2</c:v>
                </c:pt>
                <c:pt idx="1278">
                  <c:v>2.5422540318665421E-2</c:v>
                </c:pt>
                <c:pt idx="1279">
                  <c:v>2.1738460654312952E-2</c:v>
                </c:pt>
                <c:pt idx="1280">
                  <c:v>3.5157531823110988E-2</c:v>
                </c:pt>
                <c:pt idx="1281">
                  <c:v>2.0483521349742406E-2</c:v>
                </c:pt>
                <c:pt idx="1282">
                  <c:v>3.108957895147002E-2</c:v>
                </c:pt>
                <c:pt idx="1283">
                  <c:v>2.0569411145515359E-2</c:v>
                </c:pt>
                <c:pt idx="1284">
                  <c:v>2.302057635401844E-2</c:v>
                </c:pt>
                <c:pt idx="1285">
                  <c:v>2.9406522844266814E-2</c:v>
                </c:pt>
                <c:pt idx="1286">
                  <c:v>2.7792614355728995E-2</c:v>
                </c:pt>
                <c:pt idx="1287">
                  <c:v>2.3543507835704691E-2</c:v>
                </c:pt>
                <c:pt idx="1288">
                  <c:v>2.4002741764211244E-2</c:v>
                </c:pt>
                <c:pt idx="1289">
                  <c:v>2.873420209637656E-2</c:v>
                </c:pt>
                <c:pt idx="1290">
                  <c:v>3.1613940255813766E-2</c:v>
                </c:pt>
                <c:pt idx="1291">
                  <c:v>2.5252879654550475E-2</c:v>
                </c:pt>
                <c:pt idx="1292">
                  <c:v>2.5544924768453381E-2</c:v>
                </c:pt>
                <c:pt idx="1293">
                  <c:v>2.430168211069561E-2</c:v>
                </c:pt>
                <c:pt idx="1294">
                  <c:v>2.3951311391958385E-2</c:v>
                </c:pt>
                <c:pt idx="1295">
                  <c:v>2.6243559833037278E-2</c:v>
                </c:pt>
                <c:pt idx="1296">
                  <c:v>2.822029453934527E-2</c:v>
                </c:pt>
                <c:pt idx="1297">
                  <c:v>2.3632022925371698E-2</c:v>
                </c:pt>
                <c:pt idx="1298">
                  <c:v>2.1733847558187747E-2</c:v>
                </c:pt>
                <c:pt idx="1299">
                  <c:v>2.1541802148526634E-2</c:v>
                </c:pt>
                <c:pt idx="1300">
                  <c:v>2.8141784023433924E-2</c:v>
                </c:pt>
                <c:pt idx="1301">
                  <c:v>2.2371711672455774E-2</c:v>
                </c:pt>
                <c:pt idx="1302">
                  <c:v>3.0475767941673393E-2</c:v>
                </c:pt>
                <c:pt idx="1303">
                  <c:v>2.4316330469453029E-2</c:v>
                </c:pt>
                <c:pt idx="1304">
                  <c:v>3.0265683052395964E-2</c:v>
                </c:pt>
                <c:pt idx="1305">
                  <c:v>2.3334484502566144E-2</c:v>
                </c:pt>
                <c:pt idx="1306">
                  <c:v>2.4229726459825796E-2</c:v>
                </c:pt>
                <c:pt idx="1307">
                  <c:v>2.5027701417805637E-2</c:v>
                </c:pt>
                <c:pt idx="1308">
                  <c:v>2.573597557952445E-2</c:v>
                </c:pt>
                <c:pt idx="1309">
                  <c:v>3.0633112601648804E-2</c:v>
                </c:pt>
                <c:pt idx="1310">
                  <c:v>2.5215365292864611E-2</c:v>
                </c:pt>
                <c:pt idx="1311">
                  <c:v>2.757085932366854E-2</c:v>
                </c:pt>
                <c:pt idx="1312">
                  <c:v>2.8582448391729187E-2</c:v>
                </c:pt>
                <c:pt idx="1313">
                  <c:v>2.4130185693783335E-2</c:v>
                </c:pt>
                <c:pt idx="1314">
                  <c:v>2.3342653323524476E-2</c:v>
                </c:pt>
                <c:pt idx="1315">
                  <c:v>2.401775978443621E-2</c:v>
                </c:pt>
                <c:pt idx="1316">
                  <c:v>3.2544731091711077E-2</c:v>
                </c:pt>
                <c:pt idx="1317">
                  <c:v>3.1127122607083502E-2</c:v>
                </c:pt>
                <c:pt idx="1318">
                  <c:v>2.0076312041734656E-2</c:v>
                </c:pt>
                <c:pt idx="1319">
                  <c:v>2.3805668958591486E-2</c:v>
                </c:pt>
                <c:pt idx="1320">
                  <c:v>2.5717768706036037E-2</c:v>
                </c:pt>
                <c:pt idx="1321">
                  <c:v>2.2733607459286875E-2</c:v>
                </c:pt>
                <c:pt idx="1322">
                  <c:v>2.885559613242128E-2</c:v>
                </c:pt>
                <c:pt idx="1323">
                  <c:v>2.9088234556065906E-2</c:v>
                </c:pt>
                <c:pt idx="1324">
                  <c:v>2.5934423804793272E-2</c:v>
                </c:pt>
                <c:pt idx="1325">
                  <c:v>2.325191887010325E-2</c:v>
                </c:pt>
                <c:pt idx="1326">
                  <c:v>2.162816762188613E-2</c:v>
                </c:pt>
                <c:pt idx="1327">
                  <c:v>2.8263323134167795E-2</c:v>
                </c:pt>
                <c:pt idx="1328">
                  <c:v>2.5018288302398051E-2</c:v>
                </c:pt>
                <c:pt idx="1329">
                  <c:v>2.3400323302359749E-2</c:v>
                </c:pt>
                <c:pt idx="1330">
                  <c:v>2.5502317448208967E-2</c:v>
                </c:pt>
                <c:pt idx="1331">
                  <c:v>2.3243565915885611E-2</c:v>
                </c:pt>
                <c:pt idx="1332">
                  <c:v>3.0428189023427699E-2</c:v>
                </c:pt>
                <c:pt idx="1333">
                  <c:v>2.6875206659905837E-2</c:v>
                </c:pt>
                <c:pt idx="1334">
                  <c:v>2.0360915103073918E-2</c:v>
                </c:pt>
                <c:pt idx="1335">
                  <c:v>2.5313367430232714E-2</c:v>
                </c:pt>
                <c:pt idx="1336">
                  <c:v>2.3754923506265291E-2</c:v>
                </c:pt>
                <c:pt idx="1337">
                  <c:v>2.4559496572703621E-2</c:v>
                </c:pt>
                <c:pt idx="1338">
                  <c:v>2.718490764246817E-2</c:v>
                </c:pt>
                <c:pt idx="1339">
                  <c:v>2.4661624969018914E-2</c:v>
                </c:pt>
                <c:pt idx="1340">
                  <c:v>2.7252303205272277E-2</c:v>
                </c:pt>
                <c:pt idx="1341">
                  <c:v>2.4596879809189676E-2</c:v>
                </c:pt>
                <c:pt idx="1342">
                  <c:v>2.5453628150611696E-2</c:v>
                </c:pt>
                <c:pt idx="1343">
                  <c:v>2.2003214987268316E-2</c:v>
                </c:pt>
                <c:pt idx="1344">
                  <c:v>2.5924734489496726E-2</c:v>
                </c:pt>
                <c:pt idx="1345">
                  <c:v>2.5505225916736651E-2</c:v>
                </c:pt>
                <c:pt idx="1346">
                  <c:v>2.6453633562723233E-2</c:v>
                </c:pt>
                <c:pt idx="1347">
                  <c:v>2.2238357344249726E-2</c:v>
                </c:pt>
                <c:pt idx="1348">
                  <c:v>2.4800366590008616E-2</c:v>
                </c:pt>
                <c:pt idx="1349">
                  <c:v>2.8223101176600762E-2</c:v>
                </c:pt>
                <c:pt idx="1350">
                  <c:v>2.6916494358458554E-2</c:v>
                </c:pt>
                <c:pt idx="1351">
                  <c:v>1.9755440308107719E-2</c:v>
                </c:pt>
                <c:pt idx="1352">
                  <c:v>2.7867626339713514E-2</c:v>
                </c:pt>
                <c:pt idx="1353">
                  <c:v>3.4577545535069421E-2</c:v>
                </c:pt>
                <c:pt idx="1354">
                  <c:v>2.191927114525849E-2</c:v>
                </c:pt>
                <c:pt idx="1355">
                  <c:v>2.1347685239698322E-2</c:v>
                </c:pt>
                <c:pt idx="1356">
                  <c:v>2.2859345366312511E-2</c:v>
                </c:pt>
                <c:pt idx="1357">
                  <c:v>2.2309872191256352E-2</c:v>
                </c:pt>
                <c:pt idx="1358">
                  <c:v>2.409588110959493E-2</c:v>
                </c:pt>
                <c:pt idx="1359">
                  <c:v>2.8188855180267591E-2</c:v>
                </c:pt>
                <c:pt idx="1360">
                  <c:v>2.3763163469619264E-2</c:v>
                </c:pt>
                <c:pt idx="1361">
                  <c:v>1.8455416253985724E-2</c:v>
                </c:pt>
                <c:pt idx="1362">
                  <c:v>2.5228131865509873E-2</c:v>
                </c:pt>
                <c:pt idx="1363">
                  <c:v>2.9210831038091856E-2</c:v>
                </c:pt>
                <c:pt idx="1364">
                  <c:v>2.6546378137558557E-2</c:v>
                </c:pt>
                <c:pt idx="1365">
                  <c:v>2.5407121948096356E-2</c:v>
                </c:pt>
                <c:pt idx="1366">
                  <c:v>2.3744348398395565E-2</c:v>
                </c:pt>
                <c:pt idx="1367">
                  <c:v>2.7017245940175849E-2</c:v>
                </c:pt>
                <c:pt idx="1368">
                  <c:v>2.3533246591345147E-2</c:v>
                </c:pt>
                <c:pt idx="1369">
                  <c:v>2.6691793194249192E-2</c:v>
                </c:pt>
                <c:pt idx="1370">
                  <c:v>2.3619564636440882E-2</c:v>
                </c:pt>
                <c:pt idx="1371">
                  <c:v>1.8564809544350025E-2</c:v>
                </c:pt>
                <c:pt idx="1372">
                  <c:v>2.4224445183161136E-2</c:v>
                </c:pt>
                <c:pt idx="1373">
                  <c:v>2.6331124962480135E-2</c:v>
                </c:pt>
                <c:pt idx="1374">
                  <c:v>2.3378956869535505E-2</c:v>
                </c:pt>
                <c:pt idx="1375">
                  <c:v>2.3771703346994077E-2</c:v>
                </c:pt>
                <c:pt idx="1376">
                  <c:v>2.6384725875274517E-2</c:v>
                </c:pt>
                <c:pt idx="1377">
                  <c:v>2.476348832503672E-2</c:v>
                </c:pt>
                <c:pt idx="1378">
                  <c:v>2.0340364715376147E-2</c:v>
                </c:pt>
                <c:pt idx="1379">
                  <c:v>2.2817794022411242E-2</c:v>
                </c:pt>
                <c:pt idx="1380">
                  <c:v>2.2026638969770418E-2</c:v>
                </c:pt>
                <c:pt idx="1381">
                  <c:v>3.3506001561819376E-2</c:v>
                </c:pt>
                <c:pt idx="1382">
                  <c:v>2.3728745894567194E-2</c:v>
                </c:pt>
                <c:pt idx="1383">
                  <c:v>2.5021785439375943E-2</c:v>
                </c:pt>
                <c:pt idx="1384">
                  <c:v>2.977735327902109E-2</c:v>
                </c:pt>
                <c:pt idx="1385">
                  <c:v>2.5700101677785137E-2</c:v>
                </c:pt>
                <c:pt idx="1386">
                  <c:v>2.0736839891335679E-2</c:v>
                </c:pt>
                <c:pt idx="1387">
                  <c:v>2.4331734890532752E-2</c:v>
                </c:pt>
                <c:pt idx="1388">
                  <c:v>2.8792675565797898E-2</c:v>
                </c:pt>
                <c:pt idx="1389">
                  <c:v>2.8391842569368109E-2</c:v>
                </c:pt>
                <c:pt idx="1390">
                  <c:v>2.9710844903739098E-2</c:v>
                </c:pt>
                <c:pt idx="1391">
                  <c:v>2.1432823157995773E-2</c:v>
                </c:pt>
                <c:pt idx="1392">
                  <c:v>2.6872386073161003E-2</c:v>
                </c:pt>
                <c:pt idx="1393">
                  <c:v>2.7228243126056206E-2</c:v>
                </c:pt>
                <c:pt idx="1394">
                  <c:v>2.9186625884186634E-2</c:v>
                </c:pt>
                <c:pt idx="1395">
                  <c:v>2.4827573674020109E-2</c:v>
                </c:pt>
                <c:pt idx="1396">
                  <c:v>2.915873806509528E-2</c:v>
                </c:pt>
                <c:pt idx="1397">
                  <c:v>2.9647408206010084E-2</c:v>
                </c:pt>
                <c:pt idx="1398">
                  <c:v>3.3338515623092757E-2</c:v>
                </c:pt>
                <c:pt idx="1399">
                  <c:v>2.6547374131097534E-2</c:v>
                </c:pt>
                <c:pt idx="1400">
                  <c:v>2.0159483082034968E-2</c:v>
                </c:pt>
                <c:pt idx="1401">
                  <c:v>2.5447744256007487E-2</c:v>
                </c:pt>
                <c:pt idx="1402">
                  <c:v>2.7885088310471096E-2</c:v>
                </c:pt>
                <c:pt idx="1403">
                  <c:v>2.4122090805118512E-2</c:v>
                </c:pt>
                <c:pt idx="1404">
                  <c:v>2.0428306481031222E-2</c:v>
                </c:pt>
                <c:pt idx="1405">
                  <c:v>2.3572701326998402E-2</c:v>
                </c:pt>
                <c:pt idx="1406">
                  <c:v>2.0658980816576578E-2</c:v>
                </c:pt>
                <c:pt idx="1407">
                  <c:v>3.2032433305749786E-2</c:v>
                </c:pt>
                <c:pt idx="1408">
                  <c:v>2.1116044204541606E-2</c:v>
                </c:pt>
                <c:pt idx="1409">
                  <c:v>2.050755213503086E-2</c:v>
                </c:pt>
                <c:pt idx="1410">
                  <c:v>2.3879184162369671E-2</c:v>
                </c:pt>
                <c:pt idx="1411">
                  <c:v>2.5835043457878237E-2</c:v>
                </c:pt>
                <c:pt idx="1412">
                  <c:v>2.7614490536430614E-2</c:v>
                </c:pt>
                <c:pt idx="1413">
                  <c:v>2.5010048339044078E-2</c:v>
                </c:pt>
                <c:pt idx="1414">
                  <c:v>2.9187150384985872E-2</c:v>
                </c:pt>
                <c:pt idx="1415">
                  <c:v>2.08440235825883E-2</c:v>
                </c:pt>
                <c:pt idx="1416">
                  <c:v>2.1196150542033609E-2</c:v>
                </c:pt>
                <c:pt idx="1417">
                  <c:v>3.1364665671180569E-2</c:v>
                </c:pt>
                <c:pt idx="1418">
                  <c:v>2.315963044356939E-2</c:v>
                </c:pt>
                <c:pt idx="1419">
                  <c:v>2.3589702964607717E-2</c:v>
                </c:pt>
                <c:pt idx="1420">
                  <c:v>1.9318625998870687E-2</c:v>
                </c:pt>
                <c:pt idx="1421">
                  <c:v>2.662723216767926E-2</c:v>
                </c:pt>
                <c:pt idx="1422">
                  <c:v>2.4479895206725777E-2</c:v>
                </c:pt>
                <c:pt idx="1423">
                  <c:v>2.706188988586411E-2</c:v>
                </c:pt>
                <c:pt idx="1424">
                  <c:v>3.0013970097025888E-2</c:v>
                </c:pt>
                <c:pt idx="1425">
                  <c:v>2.6114122521438299E-2</c:v>
                </c:pt>
                <c:pt idx="1426">
                  <c:v>2.172062483724102E-2</c:v>
                </c:pt>
                <c:pt idx="1427">
                  <c:v>2.5348366698990321E-2</c:v>
                </c:pt>
                <c:pt idx="1428">
                  <c:v>2.4150796064285274E-2</c:v>
                </c:pt>
                <c:pt idx="1429">
                  <c:v>2.6852332287283787E-2</c:v>
                </c:pt>
                <c:pt idx="1430">
                  <c:v>2.1634098944754099E-2</c:v>
                </c:pt>
                <c:pt idx="1431">
                  <c:v>2.2170653497731174E-2</c:v>
                </c:pt>
                <c:pt idx="1432">
                  <c:v>2.4412389442955873E-2</c:v>
                </c:pt>
                <c:pt idx="1433">
                  <c:v>2.7711160497566611E-2</c:v>
                </c:pt>
                <c:pt idx="1434">
                  <c:v>2.2176650383199048E-2</c:v>
                </c:pt>
                <c:pt idx="1435">
                  <c:v>1.8769666165022292E-2</c:v>
                </c:pt>
                <c:pt idx="1436">
                  <c:v>2.3368084637542808E-2</c:v>
                </c:pt>
                <c:pt idx="1437">
                  <c:v>2.3583104856149228E-2</c:v>
                </c:pt>
                <c:pt idx="1438">
                  <c:v>2.241039221145058E-2</c:v>
                </c:pt>
                <c:pt idx="1439">
                  <c:v>2.6088194605599413E-2</c:v>
                </c:pt>
                <c:pt idx="1440">
                  <c:v>2.5463289566929559E-2</c:v>
                </c:pt>
                <c:pt idx="1441">
                  <c:v>2.5123556728764096E-2</c:v>
                </c:pt>
                <c:pt idx="1442">
                  <c:v>2.7122609223069416E-2</c:v>
                </c:pt>
                <c:pt idx="1443">
                  <c:v>2.825356686132241E-2</c:v>
                </c:pt>
                <c:pt idx="1444">
                  <c:v>3.1117173831285205E-2</c:v>
                </c:pt>
                <c:pt idx="1445">
                  <c:v>2.3693280712865583E-2</c:v>
                </c:pt>
                <c:pt idx="1446">
                  <c:v>3.1191145183364855E-2</c:v>
                </c:pt>
                <c:pt idx="1447">
                  <c:v>2.6866326414991093E-2</c:v>
                </c:pt>
                <c:pt idx="1448">
                  <c:v>2.4802943060689975E-2</c:v>
                </c:pt>
                <c:pt idx="1449">
                  <c:v>2.1998522379053864E-2</c:v>
                </c:pt>
                <c:pt idx="1450">
                  <c:v>2.417572380173838E-2</c:v>
                </c:pt>
                <c:pt idx="1451">
                  <c:v>2.7322165037791946E-2</c:v>
                </c:pt>
                <c:pt idx="1452">
                  <c:v>2.8603439583290147E-2</c:v>
                </c:pt>
                <c:pt idx="1453">
                  <c:v>2.0914867459157604E-2</c:v>
                </c:pt>
                <c:pt idx="1454">
                  <c:v>2.969589384106297E-2</c:v>
                </c:pt>
                <c:pt idx="1455">
                  <c:v>2.1336197835225668E-2</c:v>
                </c:pt>
                <c:pt idx="1456">
                  <c:v>2.5399957490370606E-2</c:v>
                </c:pt>
                <c:pt idx="1457">
                  <c:v>3.0185052214104724E-2</c:v>
                </c:pt>
                <c:pt idx="1458">
                  <c:v>2.0558862541675382E-2</c:v>
                </c:pt>
                <c:pt idx="1459">
                  <c:v>2.0011632444505323E-2</c:v>
                </c:pt>
                <c:pt idx="1460">
                  <c:v>2.0130783402663943E-2</c:v>
                </c:pt>
                <c:pt idx="1461">
                  <c:v>3.1101087280176687E-2</c:v>
                </c:pt>
                <c:pt idx="1462">
                  <c:v>2.542123325151413E-2</c:v>
                </c:pt>
                <c:pt idx="1463">
                  <c:v>2.141916381803266E-2</c:v>
                </c:pt>
                <c:pt idx="1464">
                  <c:v>2.5627615946320348E-2</c:v>
                </c:pt>
                <c:pt idx="1465">
                  <c:v>2.1579355568782654E-2</c:v>
                </c:pt>
                <c:pt idx="1466">
                  <c:v>2.2523761106277185E-2</c:v>
                </c:pt>
                <c:pt idx="1467">
                  <c:v>2.2520079836039986E-2</c:v>
                </c:pt>
                <c:pt idx="1468">
                  <c:v>2.6859527433886088E-2</c:v>
                </c:pt>
                <c:pt idx="1469">
                  <c:v>2.6454453792696508E-2</c:v>
                </c:pt>
                <c:pt idx="1470">
                  <c:v>2.0953125328625366E-2</c:v>
                </c:pt>
                <c:pt idx="1471">
                  <c:v>2.2732504054679969E-2</c:v>
                </c:pt>
                <c:pt idx="1472">
                  <c:v>2.4270987654348763E-2</c:v>
                </c:pt>
                <c:pt idx="1473">
                  <c:v>2.5477880732780678E-2</c:v>
                </c:pt>
                <c:pt idx="1474">
                  <c:v>2.2245765918038951E-2</c:v>
                </c:pt>
                <c:pt idx="1475">
                  <c:v>2.576105257651351E-2</c:v>
                </c:pt>
                <c:pt idx="1476">
                  <c:v>2.3447875716575695E-2</c:v>
                </c:pt>
                <c:pt idx="1477">
                  <c:v>2.2820551836454039E-2</c:v>
                </c:pt>
                <c:pt idx="1478">
                  <c:v>1.8446206801122522E-2</c:v>
                </c:pt>
                <c:pt idx="1479">
                  <c:v>2.5676835324512592E-2</c:v>
                </c:pt>
                <c:pt idx="1480">
                  <c:v>2.5845052216480702E-2</c:v>
                </c:pt>
                <c:pt idx="1481">
                  <c:v>2.919365084701897E-2</c:v>
                </c:pt>
                <c:pt idx="1482">
                  <c:v>2.6443015211436549E-2</c:v>
                </c:pt>
                <c:pt idx="1483">
                  <c:v>2.6473779415230103E-2</c:v>
                </c:pt>
                <c:pt idx="1484">
                  <c:v>2.294266706109771E-2</c:v>
                </c:pt>
                <c:pt idx="1485">
                  <c:v>2.8978920777790851E-2</c:v>
                </c:pt>
                <c:pt idx="1486">
                  <c:v>2.3973230224560549E-2</c:v>
                </c:pt>
                <c:pt idx="1487">
                  <c:v>2.6137967778518512E-2</c:v>
                </c:pt>
                <c:pt idx="1488">
                  <c:v>2.5484788519902546E-2</c:v>
                </c:pt>
                <c:pt idx="1489">
                  <c:v>3.4004458664456116E-2</c:v>
                </c:pt>
                <c:pt idx="1490">
                  <c:v>2.5238095985746445E-2</c:v>
                </c:pt>
                <c:pt idx="1491">
                  <c:v>3.4368481748411783E-2</c:v>
                </c:pt>
                <c:pt idx="1492">
                  <c:v>2.6457793300444843E-2</c:v>
                </c:pt>
                <c:pt idx="1493">
                  <c:v>2.7902776262956008E-2</c:v>
                </c:pt>
                <c:pt idx="1494">
                  <c:v>2.6076775553624532E-2</c:v>
                </c:pt>
                <c:pt idx="1495">
                  <c:v>2.3672774963533705E-2</c:v>
                </c:pt>
                <c:pt idx="1496">
                  <c:v>2.6675475081617606E-2</c:v>
                </c:pt>
                <c:pt idx="1497">
                  <c:v>2.2172462746498756E-2</c:v>
                </c:pt>
                <c:pt idx="1498">
                  <c:v>2.1200713419997186E-2</c:v>
                </c:pt>
                <c:pt idx="1499">
                  <c:v>2.5958955376749082E-2</c:v>
                </c:pt>
                <c:pt idx="1500">
                  <c:v>2.5189999570365829E-2</c:v>
                </c:pt>
                <c:pt idx="1501">
                  <c:v>2.9520446253490151E-2</c:v>
                </c:pt>
                <c:pt idx="1502">
                  <c:v>2.5132055469530123E-2</c:v>
                </c:pt>
                <c:pt idx="1503">
                  <c:v>2.3525190820981701E-2</c:v>
                </c:pt>
                <c:pt idx="1504">
                  <c:v>2.6247451504577746E-2</c:v>
                </c:pt>
                <c:pt idx="1505">
                  <c:v>3.0896027040296481E-2</c:v>
                </c:pt>
                <c:pt idx="1506">
                  <c:v>2.309155747476177E-2</c:v>
                </c:pt>
                <c:pt idx="1507">
                  <c:v>2.394024990717647E-2</c:v>
                </c:pt>
                <c:pt idx="1508">
                  <c:v>2.395525777532781E-2</c:v>
                </c:pt>
                <c:pt idx="1509">
                  <c:v>2.9897769397498886E-2</c:v>
                </c:pt>
                <c:pt idx="1510">
                  <c:v>2.658625175608087E-2</c:v>
                </c:pt>
                <c:pt idx="1511">
                  <c:v>2.5100243979572667E-2</c:v>
                </c:pt>
                <c:pt idx="1512">
                  <c:v>2.4723018506702887E-2</c:v>
                </c:pt>
                <c:pt idx="1513">
                  <c:v>2.6435760065179892E-2</c:v>
                </c:pt>
                <c:pt idx="1514">
                  <c:v>2.1941154708210897E-2</c:v>
                </c:pt>
                <c:pt idx="1515">
                  <c:v>2.3489639921704275E-2</c:v>
                </c:pt>
                <c:pt idx="1516">
                  <c:v>2.5461198835994625E-2</c:v>
                </c:pt>
                <c:pt idx="1517">
                  <c:v>1.9999472000024721E-2</c:v>
                </c:pt>
                <c:pt idx="1518">
                  <c:v>1.9366985796101521E-2</c:v>
                </c:pt>
                <c:pt idx="1519">
                  <c:v>2.0795049471774019E-2</c:v>
                </c:pt>
                <c:pt idx="1520">
                  <c:v>2.493542811849303E-2</c:v>
                </c:pt>
                <c:pt idx="1521">
                  <c:v>2.7720928073958095E-2</c:v>
                </c:pt>
                <c:pt idx="1522">
                  <c:v>2.3220145715101226E-2</c:v>
                </c:pt>
                <c:pt idx="1523">
                  <c:v>2.9837121201416128E-2</c:v>
                </c:pt>
                <c:pt idx="1524">
                  <c:v>2.5883185596545233E-2</c:v>
                </c:pt>
                <c:pt idx="1525">
                  <c:v>2.5543115620235701E-2</c:v>
                </c:pt>
                <c:pt idx="1526">
                  <c:v>2.5695017961443578E-2</c:v>
                </c:pt>
                <c:pt idx="1527">
                  <c:v>2.4757581532174888E-2</c:v>
                </c:pt>
                <c:pt idx="1528">
                  <c:v>2.3219342021157829E-2</c:v>
                </c:pt>
                <c:pt idx="1529">
                  <c:v>2.7879035323093548E-2</c:v>
                </c:pt>
                <c:pt idx="1530">
                  <c:v>2.0094408347088422E-2</c:v>
                </c:pt>
                <c:pt idx="1531">
                  <c:v>2.1478108396145834E-2</c:v>
                </c:pt>
                <c:pt idx="1532">
                  <c:v>2.6619956670832057E-2</c:v>
                </c:pt>
                <c:pt idx="1533">
                  <c:v>2.5874086832300636E-2</c:v>
                </c:pt>
                <c:pt idx="1534">
                  <c:v>1.9870243316074121E-2</c:v>
                </c:pt>
                <c:pt idx="1535">
                  <c:v>2.6988079193551284E-2</c:v>
                </c:pt>
                <c:pt idx="1536">
                  <c:v>2.7045534938692217E-2</c:v>
                </c:pt>
                <c:pt idx="1537">
                  <c:v>2.7318838319714489E-2</c:v>
                </c:pt>
                <c:pt idx="1538">
                  <c:v>2.6987297824439649E-2</c:v>
                </c:pt>
                <c:pt idx="1539">
                  <c:v>2.7937635215862233E-2</c:v>
                </c:pt>
                <c:pt idx="1540">
                  <c:v>2.2755318997703222E-2</c:v>
                </c:pt>
                <c:pt idx="1541">
                  <c:v>2.4123288412181032E-2</c:v>
                </c:pt>
                <c:pt idx="1542">
                  <c:v>2.1645735790725373E-2</c:v>
                </c:pt>
                <c:pt idx="1543">
                  <c:v>2.9081810749653769E-2</c:v>
                </c:pt>
                <c:pt idx="1544">
                  <c:v>3.1306363029271811E-2</c:v>
                </c:pt>
                <c:pt idx="1545">
                  <c:v>1.8216463033579933E-2</c:v>
                </c:pt>
                <c:pt idx="1546">
                  <c:v>2.0854718165863262E-2</c:v>
                </c:pt>
                <c:pt idx="1547">
                  <c:v>2.1893456309851511E-2</c:v>
                </c:pt>
                <c:pt idx="1548">
                  <c:v>2.0772406511160413E-2</c:v>
                </c:pt>
                <c:pt idx="1549">
                  <c:v>2.4028907395307386E-2</c:v>
                </c:pt>
                <c:pt idx="1550">
                  <c:v>2.1973811751171302E-2</c:v>
                </c:pt>
                <c:pt idx="1551">
                  <c:v>2.282767098683669E-2</c:v>
                </c:pt>
                <c:pt idx="1552">
                  <c:v>2.6242538646288338E-2</c:v>
                </c:pt>
                <c:pt idx="1553">
                  <c:v>2.0850201573337612E-2</c:v>
                </c:pt>
                <c:pt idx="1554">
                  <c:v>2.5003986281529111E-2</c:v>
                </c:pt>
                <c:pt idx="1555">
                  <c:v>2.7315525872801949E-2</c:v>
                </c:pt>
                <c:pt idx="1556">
                  <c:v>2.1823250295171071E-2</c:v>
                </c:pt>
                <c:pt idx="1557">
                  <c:v>2.4546681637132584E-2</c:v>
                </c:pt>
                <c:pt idx="1558">
                  <c:v>2.2923504513076787E-2</c:v>
                </c:pt>
                <c:pt idx="1559">
                  <c:v>2.4513649257938197E-2</c:v>
                </c:pt>
                <c:pt idx="1560">
                  <c:v>2.1859204436722179E-2</c:v>
                </c:pt>
                <c:pt idx="1561">
                  <c:v>2.4384483362576925E-2</c:v>
                </c:pt>
                <c:pt idx="1562">
                  <c:v>2.1593473359572846E-2</c:v>
                </c:pt>
                <c:pt idx="1563">
                  <c:v>2.6499053753826329E-2</c:v>
                </c:pt>
                <c:pt idx="1564">
                  <c:v>2.3867677460329362E-2</c:v>
                </c:pt>
                <c:pt idx="1565">
                  <c:v>2.3662117385983894E-2</c:v>
                </c:pt>
                <c:pt idx="1566">
                  <c:v>2.8195414466998692E-2</c:v>
                </c:pt>
                <c:pt idx="1567">
                  <c:v>2.9319374865630632E-2</c:v>
                </c:pt>
                <c:pt idx="1568">
                  <c:v>2.6157663821838928E-2</c:v>
                </c:pt>
                <c:pt idx="1569">
                  <c:v>3.2413278418854219E-2</c:v>
                </c:pt>
                <c:pt idx="1570">
                  <c:v>2.8108685286211132E-2</c:v>
                </c:pt>
                <c:pt idx="1571">
                  <c:v>2.5427632056139959E-2</c:v>
                </c:pt>
                <c:pt idx="1572">
                  <c:v>2.4867947128589418E-2</c:v>
                </c:pt>
                <c:pt idx="1573">
                  <c:v>2.5689703256182472E-2</c:v>
                </c:pt>
                <c:pt idx="1574">
                  <c:v>2.4801694004432662E-2</c:v>
                </c:pt>
                <c:pt idx="1575">
                  <c:v>2.2106781239743856E-2</c:v>
                </c:pt>
                <c:pt idx="1576">
                  <c:v>2.262261461650783E-2</c:v>
                </c:pt>
                <c:pt idx="1577">
                  <c:v>2.5535848887497492E-2</c:v>
                </c:pt>
                <c:pt idx="1578">
                  <c:v>3.5537167011736814E-2</c:v>
                </c:pt>
                <c:pt idx="1579">
                  <c:v>2.7841872850023375E-2</c:v>
                </c:pt>
                <c:pt idx="1580">
                  <c:v>2.543901911564006E-2</c:v>
                </c:pt>
                <c:pt idx="1581">
                  <c:v>1.8701255127082206E-2</c:v>
                </c:pt>
                <c:pt idx="1582">
                  <c:v>2.7455591867270535E-2</c:v>
                </c:pt>
                <c:pt idx="1583">
                  <c:v>2.4725475633498584E-2</c:v>
                </c:pt>
                <c:pt idx="1584">
                  <c:v>3.1468968732007108E-2</c:v>
                </c:pt>
                <c:pt idx="1585">
                  <c:v>2.0687676798117449E-2</c:v>
                </c:pt>
                <c:pt idx="1586">
                  <c:v>2.3049750041383321E-2</c:v>
                </c:pt>
                <c:pt idx="1587">
                  <c:v>2.3503899907991621E-2</c:v>
                </c:pt>
                <c:pt idx="1588">
                  <c:v>3.3972740473064089E-2</c:v>
                </c:pt>
                <c:pt idx="1589">
                  <c:v>2.338766985733387E-2</c:v>
                </c:pt>
                <c:pt idx="1590">
                  <c:v>2.3912346658079175E-2</c:v>
                </c:pt>
                <c:pt idx="1591">
                  <c:v>2.1941054246467973E-2</c:v>
                </c:pt>
                <c:pt idx="1592">
                  <c:v>2.1045225722393868E-2</c:v>
                </c:pt>
                <c:pt idx="1593">
                  <c:v>2.9807108255717418E-2</c:v>
                </c:pt>
                <c:pt idx="1594">
                  <c:v>2.9426243835270594E-2</c:v>
                </c:pt>
                <c:pt idx="1595">
                  <c:v>2.1228133069011834E-2</c:v>
                </c:pt>
                <c:pt idx="1596">
                  <c:v>2.3474159046179999E-2</c:v>
                </c:pt>
                <c:pt idx="1597">
                  <c:v>3.3040324340337657E-2</c:v>
                </c:pt>
                <c:pt idx="1598">
                  <c:v>2.82335731856862E-2</c:v>
                </c:pt>
                <c:pt idx="1599">
                  <c:v>2.7508663573574399E-2</c:v>
                </c:pt>
                <c:pt idx="1600">
                  <c:v>2.7185252107664537E-2</c:v>
                </c:pt>
                <c:pt idx="1601">
                  <c:v>3.1485371902143511E-2</c:v>
                </c:pt>
                <c:pt idx="1602">
                  <c:v>2.5605519106215668E-2</c:v>
                </c:pt>
                <c:pt idx="1603">
                  <c:v>1.8151468471813703E-2</c:v>
                </c:pt>
                <c:pt idx="1604">
                  <c:v>2.6222242583613609E-2</c:v>
                </c:pt>
                <c:pt idx="1605">
                  <c:v>3.3640982310679579E-2</c:v>
                </c:pt>
                <c:pt idx="1606">
                  <c:v>2.7284285061356384E-2</c:v>
                </c:pt>
                <c:pt idx="1607">
                  <c:v>2.5003751870795621E-2</c:v>
                </c:pt>
                <c:pt idx="1608">
                  <c:v>1.9761190698827535E-2</c:v>
                </c:pt>
                <c:pt idx="1609">
                  <c:v>2.0715288429099865E-2</c:v>
                </c:pt>
                <c:pt idx="1610">
                  <c:v>2.2601033480704857E-2</c:v>
                </c:pt>
                <c:pt idx="1611">
                  <c:v>2.2522814246724199E-2</c:v>
                </c:pt>
                <c:pt idx="1612">
                  <c:v>2.2685761798445836E-2</c:v>
                </c:pt>
                <c:pt idx="1613">
                  <c:v>2.3751228347259956E-2</c:v>
                </c:pt>
                <c:pt idx="1614">
                  <c:v>2.8368892362801601E-2</c:v>
                </c:pt>
                <c:pt idx="1615">
                  <c:v>2.4560963948251691E-2</c:v>
                </c:pt>
                <c:pt idx="1616">
                  <c:v>2.5509629767896169E-2</c:v>
                </c:pt>
                <c:pt idx="1617">
                  <c:v>2.4528902699238908E-2</c:v>
                </c:pt>
                <c:pt idx="1618">
                  <c:v>2.9707785079212679E-2</c:v>
                </c:pt>
                <c:pt idx="1619">
                  <c:v>1.8416741889911936E-2</c:v>
                </c:pt>
                <c:pt idx="1620">
                  <c:v>2.5986297017939419E-2</c:v>
                </c:pt>
                <c:pt idx="1621">
                  <c:v>2.2165205324462423E-2</c:v>
                </c:pt>
                <c:pt idx="1622">
                  <c:v>3.174140423519467E-2</c:v>
                </c:pt>
                <c:pt idx="1623">
                  <c:v>1.9221603701069845E-2</c:v>
                </c:pt>
                <c:pt idx="1624">
                  <c:v>2.0952205124955658E-2</c:v>
                </c:pt>
                <c:pt idx="1625">
                  <c:v>2.2510446289928598E-2</c:v>
                </c:pt>
                <c:pt idx="1626">
                  <c:v>2.2454338406505236E-2</c:v>
                </c:pt>
                <c:pt idx="1627">
                  <c:v>1.913529450617979E-2</c:v>
                </c:pt>
                <c:pt idx="1628">
                  <c:v>2.2381006915378254E-2</c:v>
                </c:pt>
                <c:pt idx="1629">
                  <c:v>2.7595283920807123E-2</c:v>
                </c:pt>
                <c:pt idx="1630">
                  <c:v>2.4448298894165776E-2</c:v>
                </c:pt>
                <c:pt idx="1631">
                  <c:v>2.3296334784693618E-2</c:v>
                </c:pt>
                <c:pt idx="1632">
                  <c:v>2.083801500580007E-2</c:v>
                </c:pt>
                <c:pt idx="1633">
                  <c:v>2.2636898322928922E-2</c:v>
                </c:pt>
                <c:pt idx="1634">
                  <c:v>2.7230300827554288E-2</c:v>
                </c:pt>
                <c:pt idx="1635">
                  <c:v>1.8673847210189609E-2</c:v>
                </c:pt>
                <c:pt idx="1636">
                  <c:v>2.219826840030048E-2</c:v>
                </c:pt>
                <c:pt idx="1637">
                  <c:v>1.9195589690860326E-2</c:v>
                </c:pt>
                <c:pt idx="1638">
                  <c:v>2.1781575415481202E-2</c:v>
                </c:pt>
                <c:pt idx="1639">
                  <c:v>2.3178742919298445E-2</c:v>
                </c:pt>
                <c:pt idx="1640">
                  <c:v>2.802188913092829E-2</c:v>
                </c:pt>
                <c:pt idx="1641">
                  <c:v>2.2969644359118857E-2</c:v>
                </c:pt>
                <c:pt idx="1642">
                  <c:v>2.6458405816397468E-2</c:v>
                </c:pt>
                <c:pt idx="1643">
                  <c:v>2.4754404429554899E-2</c:v>
                </c:pt>
                <c:pt idx="1644">
                  <c:v>3.1011873382908339E-2</c:v>
                </c:pt>
                <c:pt idx="1645">
                  <c:v>2.7681622417038865E-2</c:v>
                </c:pt>
                <c:pt idx="1646">
                  <c:v>2.7438295703863691E-2</c:v>
                </c:pt>
                <c:pt idx="1647">
                  <c:v>2.8227676639497323E-2</c:v>
                </c:pt>
                <c:pt idx="1648">
                  <c:v>2.6763753702808701E-2</c:v>
                </c:pt>
                <c:pt idx="1649">
                  <c:v>2.4570931985632982E-2</c:v>
                </c:pt>
                <c:pt idx="1650">
                  <c:v>2.3397233257139494E-2</c:v>
                </c:pt>
                <c:pt idx="1651">
                  <c:v>1.9935959248966628E-2</c:v>
                </c:pt>
                <c:pt idx="1652">
                  <c:v>2.6558083399606414E-2</c:v>
                </c:pt>
                <c:pt idx="1653">
                  <c:v>2.3911361574877721E-2</c:v>
                </c:pt>
                <c:pt idx="1654">
                  <c:v>2.5416254763753754E-2</c:v>
                </c:pt>
                <c:pt idx="1655">
                  <c:v>2.143927574659954E-2</c:v>
                </c:pt>
                <c:pt idx="1656">
                  <c:v>2.0545668543285656E-2</c:v>
                </c:pt>
                <c:pt idx="1657">
                  <c:v>2.0856477641666427E-2</c:v>
                </c:pt>
                <c:pt idx="1658">
                  <c:v>2.0584723045847575E-2</c:v>
                </c:pt>
                <c:pt idx="1659">
                  <c:v>3.0004540695999893E-2</c:v>
                </c:pt>
                <c:pt idx="1660">
                  <c:v>2.7097147159119706E-2</c:v>
                </c:pt>
                <c:pt idx="1661">
                  <c:v>2.5511672490002302E-2</c:v>
                </c:pt>
                <c:pt idx="1662">
                  <c:v>2.4274248924548991E-2</c:v>
                </c:pt>
                <c:pt idx="1663">
                  <c:v>2.8362007942807299E-2</c:v>
                </c:pt>
                <c:pt idx="1664">
                  <c:v>2.4500905964908615E-2</c:v>
                </c:pt>
                <c:pt idx="1665">
                  <c:v>2.1788646805941503E-2</c:v>
                </c:pt>
                <c:pt idx="1666">
                  <c:v>2.459450700797261E-2</c:v>
                </c:pt>
                <c:pt idx="1667">
                  <c:v>3.7721721564651034E-2</c:v>
                </c:pt>
                <c:pt idx="1668">
                  <c:v>2.5161949814560103E-2</c:v>
                </c:pt>
                <c:pt idx="1669">
                  <c:v>2.7921924115510421E-2</c:v>
                </c:pt>
                <c:pt idx="1670">
                  <c:v>2.5877767638937232E-2</c:v>
                </c:pt>
                <c:pt idx="1671">
                  <c:v>2.2798444991457556E-2</c:v>
                </c:pt>
                <c:pt idx="1672">
                  <c:v>3.8420522286018333E-2</c:v>
                </c:pt>
                <c:pt idx="1673">
                  <c:v>2.3688989506914226E-2</c:v>
                </c:pt>
                <c:pt idx="1674">
                  <c:v>3.0459663088091782E-2</c:v>
                </c:pt>
                <c:pt idx="1675">
                  <c:v>2.7998336433420423E-2</c:v>
                </c:pt>
                <c:pt idx="1676">
                  <c:v>2.7236548989843401E-2</c:v>
                </c:pt>
                <c:pt idx="1677">
                  <c:v>1.9989837439817859E-2</c:v>
                </c:pt>
                <c:pt idx="1678">
                  <c:v>3.3816497347380681E-2</c:v>
                </c:pt>
                <c:pt idx="1679">
                  <c:v>2.502041038119529E-2</c:v>
                </c:pt>
                <c:pt idx="1680">
                  <c:v>2.6689607355322442E-2</c:v>
                </c:pt>
                <c:pt idx="1681">
                  <c:v>2.7492296681289607E-2</c:v>
                </c:pt>
                <c:pt idx="1682">
                  <c:v>2.5396448452075782E-2</c:v>
                </c:pt>
                <c:pt idx="1683">
                  <c:v>2.1844055643070348E-2</c:v>
                </c:pt>
                <c:pt idx="1684">
                  <c:v>3.0501577959723081E-2</c:v>
                </c:pt>
                <c:pt idx="1685">
                  <c:v>2.4231739654272055E-2</c:v>
                </c:pt>
                <c:pt idx="1686">
                  <c:v>2.6746384983698634E-2</c:v>
                </c:pt>
                <c:pt idx="1687">
                  <c:v>2.6125542574840788E-2</c:v>
                </c:pt>
                <c:pt idx="1688">
                  <c:v>2.3775445208512713E-2</c:v>
                </c:pt>
                <c:pt idx="1689">
                  <c:v>2.0581227814374992E-2</c:v>
                </c:pt>
                <c:pt idx="1690">
                  <c:v>3.1426886424137601E-2</c:v>
                </c:pt>
                <c:pt idx="1691">
                  <c:v>2.3281709229286185E-2</c:v>
                </c:pt>
                <c:pt idx="1692">
                  <c:v>3.5591179151578611E-2</c:v>
                </c:pt>
                <c:pt idx="1693">
                  <c:v>2.578733393137933E-2</c:v>
                </c:pt>
                <c:pt idx="1694">
                  <c:v>2.3641235296475438E-2</c:v>
                </c:pt>
                <c:pt idx="1695">
                  <c:v>2.8743187701502748E-2</c:v>
                </c:pt>
                <c:pt idx="1696">
                  <c:v>2.0043830045431865E-2</c:v>
                </c:pt>
                <c:pt idx="1697">
                  <c:v>2.0822924814831612E-2</c:v>
                </c:pt>
                <c:pt idx="1698">
                  <c:v>2.3327103984068231E-2</c:v>
                </c:pt>
                <c:pt idx="1699">
                  <c:v>2.5314051683951844E-2</c:v>
                </c:pt>
                <c:pt idx="1700">
                  <c:v>2.9143084041025835E-2</c:v>
                </c:pt>
                <c:pt idx="1701">
                  <c:v>2.507348348280114E-2</c:v>
                </c:pt>
                <c:pt idx="1702">
                  <c:v>2.3973321354826438E-2</c:v>
                </c:pt>
                <c:pt idx="1703">
                  <c:v>2.2269572517643166E-2</c:v>
                </c:pt>
                <c:pt idx="1704">
                  <c:v>2.5585669540176159E-2</c:v>
                </c:pt>
                <c:pt idx="1705">
                  <c:v>2.2310135341650938E-2</c:v>
                </c:pt>
                <c:pt idx="1706">
                  <c:v>2.7445905680890226E-2</c:v>
                </c:pt>
                <c:pt idx="1707">
                  <c:v>2.1916203918113997E-2</c:v>
                </c:pt>
                <c:pt idx="1708">
                  <c:v>2.6011413848972542E-2</c:v>
                </c:pt>
                <c:pt idx="1709">
                  <c:v>2.6361211870721935E-2</c:v>
                </c:pt>
                <c:pt idx="1710">
                  <c:v>2.4763687373661525E-2</c:v>
                </c:pt>
                <c:pt idx="1711">
                  <c:v>2.3824184502152956E-2</c:v>
                </c:pt>
                <c:pt idx="1712">
                  <c:v>2.9023249925340666E-2</c:v>
                </c:pt>
                <c:pt idx="1713">
                  <c:v>2.5939088370576791E-2</c:v>
                </c:pt>
                <c:pt idx="1714">
                  <c:v>2.5090873131440983E-2</c:v>
                </c:pt>
                <c:pt idx="1715">
                  <c:v>1.9392946784835607E-2</c:v>
                </c:pt>
                <c:pt idx="1716">
                  <c:v>2.2755296672871461E-2</c:v>
                </c:pt>
                <c:pt idx="1717">
                  <c:v>2.5522794442125241E-2</c:v>
                </c:pt>
                <c:pt idx="1718">
                  <c:v>2.5028260350163256E-2</c:v>
                </c:pt>
                <c:pt idx="1719">
                  <c:v>2.9943872965689344E-2</c:v>
                </c:pt>
                <c:pt idx="1720">
                  <c:v>2.7060620943754721E-2</c:v>
                </c:pt>
                <c:pt idx="1721">
                  <c:v>2.3336515295957483E-2</c:v>
                </c:pt>
                <c:pt idx="1722">
                  <c:v>3.1212339209706341E-2</c:v>
                </c:pt>
                <c:pt idx="1723">
                  <c:v>2.4748389282697292E-2</c:v>
                </c:pt>
                <c:pt idx="1724">
                  <c:v>2.3350095770178103E-2</c:v>
                </c:pt>
                <c:pt idx="1725">
                  <c:v>2.5291172917302762E-2</c:v>
                </c:pt>
                <c:pt idx="1726">
                  <c:v>2.1029677872374308E-2</c:v>
                </c:pt>
                <c:pt idx="1727">
                  <c:v>2.7605997049448439E-2</c:v>
                </c:pt>
                <c:pt idx="1728">
                  <c:v>2.5768613164645737E-2</c:v>
                </c:pt>
                <c:pt idx="1729">
                  <c:v>2.678821613721083E-2</c:v>
                </c:pt>
                <c:pt idx="1730">
                  <c:v>2.5135577211740423E-2</c:v>
                </c:pt>
                <c:pt idx="1731">
                  <c:v>2.2954131391648924E-2</c:v>
                </c:pt>
                <c:pt idx="1732">
                  <c:v>2.7597812208004058E-2</c:v>
                </c:pt>
                <c:pt idx="1733">
                  <c:v>2.4140163194388387E-2</c:v>
                </c:pt>
                <c:pt idx="1734">
                  <c:v>3.1774972410351321E-2</c:v>
                </c:pt>
                <c:pt idx="1735">
                  <c:v>2.708930277135968E-2</c:v>
                </c:pt>
                <c:pt idx="1736">
                  <c:v>2.4474572430544517E-2</c:v>
                </c:pt>
                <c:pt idx="1737">
                  <c:v>2.2492349223182329E-2</c:v>
                </c:pt>
                <c:pt idx="1738">
                  <c:v>3.1019148487458459E-2</c:v>
                </c:pt>
                <c:pt idx="1739">
                  <c:v>2.3405969242867974E-2</c:v>
                </c:pt>
                <c:pt idx="1740">
                  <c:v>2.4240043096385167E-2</c:v>
                </c:pt>
                <c:pt idx="1741">
                  <c:v>2.5869461406220151E-2</c:v>
                </c:pt>
                <c:pt idx="1742">
                  <c:v>2.0030507702078482E-2</c:v>
                </c:pt>
                <c:pt idx="1743">
                  <c:v>2.7242311587041712E-2</c:v>
                </c:pt>
                <c:pt idx="1744">
                  <c:v>2.8786620661693796E-2</c:v>
                </c:pt>
                <c:pt idx="1745">
                  <c:v>2.8051123498119335E-2</c:v>
                </c:pt>
                <c:pt idx="1746">
                  <c:v>1.9989381176068743E-2</c:v>
                </c:pt>
                <c:pt idx="1747">
                  <c:v>1.8904127849804442E-2</c:v>
                </c:pt>
                <c:pt idx="1748">
                  <c:v>2.3904018100530333E-2</c:v>
                </c:pt>
                <c:pt idx="1749">
                  <c:v>2.5128279782358542E-2</c:v>
                </c:pt>
                <c:pt idx="1750">
                  <c:v>2.8198595755524636E-2</c:v>
                </c:pt>
                <c:pt idx="1751">
                  <c:v>1.9610879001882631E-2</c:v>
                </c:pt>
                <c:pt idx="1752">
                  <c:v>2.4816761870569359E-2</c:v>
                </c:pt>
                <c:pt idx="1753">
                  <c:v>2.0846663087503492E-2</c:v>
                </c:pt>
                <c:pt idx="1754">
                  <c:v>2.6302882666538352E-2</c:v>
                </c:pt>
                <c:pt idx="1755">
                  <c:v>2.8802638728482322E-2</c:v>
                </c:pt>
                <c:pt idx="1756">
                  <c:v>2.1675733388102247E-2</c:v>
                </c:pt>
                <c:pt idx="1757">
                  <c:v>2.346490819401903E-2</c:v>
                </c:pt>
                <c:pt idx="1758">
                  <c:v>2.6833103002070313E-2</c:v>
                </c:pt>
                <c:pt idx="1759">
                  <c:v>3.436785650798635E-2</c:v>
                </c:pt>
                <c:pt idx="1760">
                  <c:v>2.5493815415197463E-2</c:v>
                </c:pt>
                <c:pt idx="1761">
                  <c:v>2.4695803141484229E-2</c:v>
                </c:pt>
                <c:pt idx="1762">
                  <c:v>2.2900558771932422E-2</c:v>
                </c:pt>
                <c:pt idx="1763">
                  <c:v>3.2296134445396252E-2</c:v>
                </c:pt>
                <c:pt idx="1764">
                  <c:v>2.123190736088143E-2</c:v>
                </c:pt>
                <c:pt idx="1765">
                  <c:v>1.9664806028303339E-2</c:v>
                </c:pt>
                <c:pt idx="1766">
                  <c:v>2.2483158369006717E-2</c:v>
                </c:pt>
                <c:pt idx="1767">
                  <c:v>2.5062268045445202E-2</c:v>
                </c:pt>
                <c:pt idx="1768">
                  <c:v>2.1020570736317801E-2</c:v>
                </c:pt>
                <c:pt idx="1769">
                  <c:v>2.6042488619481885E-2</c:v>
                </c:pt>
                <c:pt idx="1770">
                  <c:v>2.3158350580786746E-2</c:v>
                </c:pt>
                <c:pt idx="1771">
                  <c:v>2.7153849441188704E-2</c:v>
                </c:pt>
                <c:pt idx="1772">
                  <c:v>2.6092913437920084E-2</c:v>
                </c:pt>
                <c:pt idx="1773">
                  <c:v>2.0692018977894966E-2</c:v>
                </c:pt>
                <c:pt idx="1774">
                  <c:v>2.182886917626492E-2</c:v>
                </c:pt>
                <c:pt idx="1775">
                  <c:v>1.9568792508107169E-2</c:v>
                </c:pt>
                <c:pt idx="1776">
                  <c:v>3.3220628053451495E-2</c:v>
                </c:pt>
                <c:pt idx="1777">
                  <c:v>2.4066978209969836E-2</c:v>
                </c:pt>
                <c:pt idx="1778">
                  <c:v>2.151023941025787E-2</c:v>
                </c:pt>
                <c:pt idx="1779">
                  <c:v>2.3728190516184577E-2</c:v>
                </c:pt>
                <c:pt idx="1780">
                  <c:v>2.6978326032675692E-2</c:v>
                </c:pt>
                <c:pt idx="1781">
                  <c:v>2.0167572401977196E-2</c:v>
                </c:pt>
                <c:pt idx="1782">
                  <c:v>3.2287277068395071E-2</c:v>
                </c:pt>
                <c:pt idx="1783">
                  <c:v>2.8184712500773257E-2</c:v>
                </c:pt>
                <c:pt idx="1784">
                  <c:v>3.228239909265529E-2</c:v>
                </c:pt>
                <c:pt idx="1785">
                  <c:v>1.9718200049365753E-2</c:v>
                </c:pt>
                <c:pt idx="1786">
                  <c:v>2.4895508528700372E-2</c:v>
                </c:pt>
                <c:pt idx="1787">
                  <c:v>2.4314366647223529E-2</c:v>
                </c:pt>
                <c:pt idx="1788">
                  <c:v>2.6621538943283118E-2</c:v>
                </c:pt>
                <c:pt idx="1789">
                  <c:v>2.6059829432552251E-2</c:v>
                </c:pt>
                <c:pt idx="1790">
                  <c:v>2.4878884900850329E-2</c:v>
                </c:pt>
                <c:pt idx="1791">
                  <c:v>2.8801963402321551E-2</c:v>
                </c:pt>
                <c:pt idx="1792">
                  <c:v>2.6743703213283343E-2</c:v>
                </c:pt>
                <c:pt idx="1793">
                  <c:v>2.7782555772034367E-2</c:v>
                </c:pt>
                <c:pt idx="1794">
                  <c:v>2.5678567351039683E-2</c:v>
                </c:pt>
                <c:pt idx="1795">
                  <c:v>2.8824584038103396E-2</c:v>
                </c:pt>
                <c:pt idx="1796">
                  <c:v>2.1825203717950159E-2</c:v>
                </c:pt>
                <c:pt idx="1797">
                  <c:v>2.563203542513981E-2</c:v>
                </c:pt>
                <c:pt idx="1798">
                  <c:v>2.1382509280639228E-2</c:v>
                </c:pt>
                <c:pt idx="1799">
                  <c:v>2.1707807194832895E-2</c:v>
                </c:pt>
                <c:pt idx="1800">
                  <c:v>2.5691476685005488E-2</c:v>
                </c:pt>
                <c:pt idx="1801">
                  <c:v>2.5135930223142644E-2</c:v>
                </c:pt>
                <c:pt idx="1802">
                  <c:v>2.6617233041357213E-2</c:v>
                </c:pt>
                <c:pt idx="1803">
                  <c:v>2.3470566143568461E-2</c:v>
                </c:pt>
                <c:pt idx="1804">
                  <c:v>2.4282654223707012E-2</c:v>
                </c:pt>
                <c:pt idx="1805">
                  <c:v>2.2438791951787662E-2</c:v>
                </c:pt>
                <c:pt idx="1806">
                  <c:v>2.0589313589378433E-2</c:v>
                </c:pt>
                <c:pt idx="1807">
                  <c:v>2.5912627863732052E-2</c:v>
                </c:pt>
                <c:pt idx="1808">
                  <c:v>2.0571389540078311E-2</c:v>
                </c:pt>
                <c:pt idx="1809">
                  <c:v>2.4419050573954881E-2</c:v>
                </c:pt>
                <c:pt idx="1810">
                  <c:v>2.6355076727893612E-2</c:v>
                </c:pt>
                <c:pt idx="1811">
                  <c:v>2.3205686200630016E-2</c:v>
                </c:pt>
                <c:pt idx="1812">
                  <c:v>2.4986052465115094E-2</c:v>
                </c:pt>
                <c:pt idx="1813">
                  <c:v>2.1170748484272139E-2</c:v>
                </c:pt>
                <c:pt idx="1814">
                  <c:v>2.7581163464718284E-2</c:v>
                </c:pt>
                <c:pt idx="1815">
                  <c:v>2.7958037321487827E-2</c:v>
                </c:pt>
                <c:pt idx="1816">
                  <c:v>2.0188801921679933E-2</c:v>
                </c:pt>
                <c:pt idx="1817">
                  <c:v>2.0542280750065922E-2</c:v>
                </c:pt>
                <c:pt idx="1818">
                  <c:v>2.0467168853605999E-2</c:v>
                </c:pt>
                <c:pt idx="1819">
                  <c:v>2.6036013022969207E-2</c:v>
                </c:pt>
                <c:pt idx="1820">
                  <c:v>2.2129115838618763E-2</c:v>
                </c:pt>
                <c:pt idx="1821">
                  <c:v>2.538571439390469E-2</c:v>
                </c:pt>
                <c:pt idx="1822">
                  <c:v>2.6474725268414767E-2</c:v>
                </c:pt>
                <c:pt idx="1823">
                  <c:v>2.3302820148320191E-2</c:v>
                </c:pt>
                <c:pt idx="1824">
                  <c:v>2.6853192560051253E-2</c:v>
                </c:pt>
                <c:pt idx="1825">
                  <c:v>2.518242447588892E-2</c:v>
                </c:pt>
                <c:pt idx="1826">
                  <c:v>2.5183366304728838E-2</c:v>
                </c:pt>
                <c:pt idx="1827">
                  <c:v>2.4337856556142068E-2</c:v>
                </c:pt>
                <c:pt idx="1828">
                  <c:v>2.4094162878544823E-2</c:v>
                </c:pt>
                <c:pt idx="1829">
                  <c:v>2.5664946413061496E-2</c:v>
                </c:pt>
                <c:pt idx="1830">
                  <c:v>2.0797233119380643E-2</c:v>
                </c:pt>
                <c:pt idx="1831">
                  <c:v>3.0740157855545069E-2</c:v>
                </c:pt>
                <c:pt idx="1832">
                  <c:v>2.7533003221401842E-2</c:v>
                </c:pt>
                <c:pt idx="1833">
                  <c:v>2.8256040338249688E-2</c:v>
                </c:pt>
                <c:pt idx="1834">
                  <c:v>2.6466537636366416E-2</c:v>
                </c:pt>
                <c:pt idx="1835">
                  <c:v>2.3019180370192571E-2</c:v>
                </c:pt>
                <c:pt idx="1836">
                  <c:v>2.9747648856925935E-2</c:v>
                </c:pt>
                <c:pt idx="1837">
                  <c:v>2.058108967947847E-2</c:v>
                </c:pt>
                <c:pt idx="1838">
                  <c:v>2.2415779236148015E-2</c:v>
                </c:pt>
                <c:pt idx="1839">
                  <c:v>2.0925374863084878E-2</c:v>
                </c:pt>
                <c:pt idx="1840">
                  <c:v>2.8159719851616805E-2</c:v>
                </c:pt>
                <c:pt idx="1841">
                  <c:v>2.6785269259418376E-2</c:v>
                </c:pt>
                <c:pt idx="1842">
                  <c:v>2.3778293019864227E-2</c:v>
                </c:pt>
                <c:pt idx="1843">
                  <c:v>1.8028743290415483E-2</c:v>
                </c:pt>
                <c:pt idx="1844">
                  <c:v>2.5277346869932771E-2</c:v>
                </c:pt>
                <c:pt idx="1845">
                  <c:v>2.1720196081158272E-2</c:v>
                </c:pt>
                <c:pt idx="1846">
                  <c:v>1.9819867333205399E-2</c:v>
                </c:pt>
                <c:pt idx="1847">
                  <c:v>2.6149827805890813E-2</c:v>
                </c:pt>
                <c:pt idx="1848">
                  <c:v>1.9819212936574404E-2</c:v>
                </c:pt>
                <c:pt idx="1849">
                  <c:v>2.8878961747065279E-2</c:v>
                </c:pt>
                <c:pt idx="1850">
                  <c:v>2.444430414458254E-2</c:v>
                </c:pt>
                <c:pt idx="1851">
                  <c:v>2.4119189014948916E-2</c:v>
                </c:pt>
                <c:pt idx="1852">
                  <c:v>2.7251908474094977E-2</c:v>
                </c:pt>
                <c:pt idx="1853">
                  <c:v>1.9413826083740093E-2</c:v>
                </c:pt>
                <c:pt idx="1854">
                  <c:v>2.0438140991108744E-2</c:v>
                </c:pt>
                <c:pt idx="1855">
                  <c:v>2.5881063342225952E-2</c:v>
                </c:pt>
                <c:pt idx="1856">
                  <c:v>1.9537840524172512E-2</c:v>
                </c:pt>
                <c:pt idx="1857">
                  <c:v>2.394268052323445E-2</c:v>
                </c:pt>
                <c:pt idx="1858">
                  <c:v>2.3018143660817669E-2</c:v>
                </c:pt>
                <c:pt idx="1859">
                  <c:v>2.7430166674498713E-2</c:v>
                </c:pt>
                <c:pt idx="1860">
                  <c:v>2.6397719947161113E-2</c:v>
                </c:pt>
                <c:pt idx="1861">
                  <c:v>2.2460590754700305E-2</c:v>
                </c:pt>
                <c:pt idx="1862">
                  <c:v>2.6015627660967433E-2</c:v>
                </c:pt>
                <c:pt idx="1863">
                  <c:v>2.4302667040078774E-2</c:v>
                </c:pt>
                <c:pt idx="1864">
                  <c:v>2.7888328034314069E-2</c:v>
                </c:pt>
                <c:pt idx="1865">
                  <c:v>1.9415785087727122E-2</c:v>
                </c:pt>
                <c:pt idx="1866">
                  <c:v>2.6467106919576322E-2</c:v>
                </c:pt>
                <c:pt idx="1867">
                  <c:v>2.1385325000045086E-2</c:v>
                </c:pt>
                <c:pt idx="1868">
                  <c:v>3.0089489471454511E-2</c:v>
                </c:pt>
                <c:pt idx="1869">
                  <c:v>2.6989376824397393E-2</c:v>
                </c:pt>
                <c:pt idx="1870">
                  <c:v>2.3296052933692635E-2</c:v>
                </c:pt>
                <c:pt idx="1871">
                  <c:v>2.5768049462643772E-2</c:v>
                </c:pt>
                <c:pt idx="1872">
                  <c:v>2.5233929258063559E-2</c:v>
                </c:pt>
                <c:pt idx="1873">
                  <c:v>2.6660618561280769E-2</c:v>
                </c:pt>
                <c:pt idx="1874">
                  <c:v>2.4042319037987814E-2</c:v>
                </c:pt>
                <c:pt idx="1875">
                  <c:v>2.1151805864522921E-2</c:v>
                </c:pt>
                <c:pt idx="1876">
                  <c:v>2.5316761360406836E-2</c:v>
                </c:pt>
                <c:pt idx="1877">
                  <c:v>2.2132763158007718E-2</c:v>
                </c:pt>
                <c:pt idx="1878">
                  <c:v>2.6713712592416394E-2</c:v>
                </c:pt>
                <c:pt idx="1879">
                  <c:v>2.6589237702328905E-2</c:v>
                </c:pt>
                <c:pt idx="1880">
                  <c:v>2.99186179997597E-2</c:v>
                </c:pt>
                <c:pt idx="1881">
                  <c:v>2.2626105662074458E-2</c:v>
                </c:pt>
                <c:pt idx="1882">
                  <c:v>2.0653849096791577E-2</c:v>
                </c:pt>
                <c:pt idx="1883">
                  <c:v>2.6395116313656986E-2</c:v>
                </c:pt>
                <c:pt idx="1884">
                  <c:v>2.8683987828880486E-2</c:v>
                </c:pt>
                <c:pt idx="1885">
                  <c:v>3.2866623196217137E-2</c:v>
                </c:pt>
                <c:pt idx="1886">
                  <c:v>2.6204414810150456E-2</c:v>
                </c:pt>
                <c:pt idx="1887">
                  <c:v>2.7591307310149693E-2</c:v>
                </c:pt>
                <c:pt idx="1888">
                  <c:v>2.5341088450516414E-2</c:v>
                </c:pt>
                <c:pt idx="1889">
                  <c:v>2.0019830851288778E-2</c:v>
                </c:pt>
                <c:pt idx="1890">
                  <c:v>2.6447402464943259E-2</c:v>
                </c:pt>
                <c:pt idx="1891">
                  <c:v>2.9575351386602389E-2</c:v>
                </c:pt>
                <c:pt idx="1892">
                  <c:v>3.4247849374855033E-2</c:v>
                </c:pt>
                <c:pt idx="1893">
                  <c:v>2.134691094109431E-2</c:v>
                </c:pt>
                <c:pt idx="1894">
                  <c:v>2.5020540144279901E-2</c:v>
                </c:pt>
                <c:pt idx="1895">
                  <c:v>2.5742956351744395E-2</c:v>
                </c:pt>
                <c:pt idx="1896">
                  <c:v>2.8202198425250069E-2</c:v>
                </c:pt>
                <c:pt idx="1897">
                  <c:v>2.4857780958326248E-2</c:v>
                </c:pt>
                <c:pt idx="1898">
                  <c:v>2.2064150578194219E-2</c:v>
                </c:pt>
                <c:pt idx="1899">
                  <c:v>2.3072992981850504E-2</c:v>
                </c:pt>
                <c:pt idx="1900">
                  <c:v>2.1833265772819854E-2</c:v>
                </c:pt>
                <c:pt idx="1901">
                  <c:v>2.3515277200377827E-2</c:v>
                </c:pt>
                <c:pt idx="1902">
                  <c:v>2.5744639085938381E-2</c:v>
                </c:pt>
                <c:pt idx="1903">
                  <c:v>2.1730399924575039E-2</c:v>
                </c:pt>
                <c:pt idx="1904">
                  <c:v>1.9786837744614982E-2</c:v>
                </c:pt>
                <c:pt idx="1905">
                  <c:v>3.1741063781510315E-2</c:v>
                </c:pt>
                <c:pt idx="1906">
                  <c:v>2.2632184992823379E-2</c:v>
                </c:pt>
                <c:pt idx="1907">
                  <c:v>2.4186930926323735E-2</c:v>
                </c:pt>
                <c:pt idx="1908">
                  <c:v>2.4563955475707666E-2</c:v>
                </c:pt>
                <c:pt idx="1909">
                  <c:v>2.1768028428508224E-2</c:v>
                </c:pt>
                <c:pt idx="1910">
                  <c:v>2.415788911080663E-2</c:v>
                </c:pt>
                <c:pt idx="1911">
                  <c:v>2.8296311544142583E-2</c:v>
                </c:pt>
                <c:pt idx="1912">
                  <c:v>2.3469716404659557E-2</c:v>
                </c:pt>
                <c:pt idx="1913">
                  <c:v>2.055072651298151E-2</c:v>
                </c:pt>
                <c:pt idx="1914">
                  <c:v>2.1386379848345793E-2</c:v>
                </c:pt>
                <c:pt idx="1915">
                  <c:v>2.3804696319327578E-2</c:v>
                </c:pt>
                <c:pt idx="1916">
                  <c:v>3.3332684755871922E-2</c:v>
                </c:pt>
                <c:pt idx="1917">
                  <c:v>2.256312591637466E-2</c:v>
                </c:pt>
                <c:pt idx="1918">
                  <c:v>2.0096278051748406E-2</c:v>
                </c:pt>
                <c:pt idx="1919">
                  <c:v>2.0300788859001107E-2</c:v>
                </c:pt>
                <c:pt idx="1920">
                  <c:v>2.3092493722393748E-2</c:v>
                </c:pt>
                <c:pt idx="1921">
                  <c:v>2.9508407587963026E-2</c:v>
                </c:pt>
                <c:pt idx="1922">
                  <c:v>2.5438183329751007E-2</c:v>
                </c:pt>
                <c:pt idx="1923">
                  <c:v>2.2888845211767817E-2</c:v>
                </c:pt>
                <c:pt idx="1924">
                  <c:v>2.5764326796947623E-2</c:v>
                </c:pt>
                <c:pt idx="1925">
                  <c:v>2.5260713474968832E-2</c:v>
                </c:pt>
                <c:pt idx="1926">
                  <c:v>2.1856215699870174E-2</c:v>
                </c:pt>
                <c:pt idx="1927">
                  <c:v>2.5967383699531887E-2</c:v>
                </c:pt>
                <c:pt idx="1928">
                  <c:v>3.6198235976824034E-2</c:v>
                </c:pt>
                <c:pt idx="1929">
                  <c:v>2.2937015222198154E-2</c:v>
                </c:pt>
                <c:pt idx="1930">
                  <c:v>1.9772749380471799E-2</c:v>
                </c:pt>
                <c:pt idx="1931">
                  <c:v>1.9281146817980432E-2</c:v>
                </c:pt>
                <c:pt idx="1932">
                  <c:v>2.4282225865997598E-2</c:v>
                </c:pt>
                <c:pt idx="1933">
                  <c:v>2.5011663233050929E-2</c:v>
                </c:pt>
                <c:pt idx="1934">
                  <c:v>2.5622950613915063E-2</c:v>
                </c:pt>
                <c:pt idx="1935">
                  <c:v>2.5593446953440901E-2</c:v>
                </c:pt>
                <c:pt idx="1936">
                  <c:v>2.4682037092099596E-2</c:v>
                </c:pt>
                <c:pt idx="1937">
                  <c:v>2.1399165000434928E-2</c:v>
                </c:pt>
                <c:pt idx="1938">
                  <c:v>2.360177057512991E-2</c:v>
                </c:pt>
                <c:pt idx="1939">
                  <c:v>2.9709864079170423E-2</c:v>
                </c:pt>
                <c:pt idx="1940">
                  <c:v>2.8504937096949234E-2</c:v>
                </c:pt>
                <c:pt idx="1941">
                  <c:v>2.5331593420508058E-2</c:v>
                </c:pt>
                <c:pt idx="1942">
                  <c:v>2.8389989328815757E-2</c:v>
                </c:pt>
                <c:pt idx="1943">
                  <c:v>2.1020866540338634E-2</c:v>
                </c:pt>
                <c:pt idx="1944">
                  <c:v>2.0062577322903175E-2</c:v>
                </c:pt>
                <c:pt idx="1945">
                  <c:v>2.2246986764410948E-2</c:v>
                </c:pt>
                <c:pt idx="1946">
                  <c:v>2.3119191430575947E-2</c:v>
                </c:pt>
                <c:pt idx="1947">
                  <c:v>2.9396197402324242E-2</c:v>
                </c:pt>
                <c:pt idx="1948">
                  <c:v>2.3361722821619635E-2</c:v>
                </c:pt>
                <c:pt idx="1949">
                  <c:v>1.9328797776072326E-2</c:v>
                </c:pt>
                <c:pt idx="1950">
                  <c:v>2.4893933232759236E-2</c:v>
                </c:pt>
                <c:pt idx="1951">
                  <c:v>3.1510144093586323E-2</c:v>
                </c:pt>
                <c:pt idx="1952">
                  <c:v>2.6045262479828191E-2</c:v>
                </c:pt>
                <c:pt idx="1953">
                  <c:v>2.18165123818852E-2</c:v>
                </c:pt>
                <c:pt idx="1954">
                  <c:v>3.2454088211313348E-2</c:v>
                </c:pt>
                <c:pt idx="1955">
                  <c:v>2.4488731955088938E-2</c:v>
                </c:pt>
                <c:pt idx="1956">
                  <c:v>2.6500465799435213E-2</c:v>
                </c:pt>
                <c:pt idx="1957">
                  <c:v>2.3562949087999496E-2</c:v>
                </c:pt>
                <c:pt idx="1958">
                  <c:v>2.1863380575563474E-2</c:v>
                </c:pt>
                <c:pt idx="1959">
                  <c:v>2.4925517288493126E-2</c:v>
                </c:pt>
                <c:pt idx="1960">
                  <c:v>2.6185470795099253E-2</c:v>
                </c:pt>
                <c:pt idx="1961">
                  <c:v>2.6647421795106041E-2</c:v>
                </c:pt>
                <c:pt idx="1962">
                  <c:v>2.5463781539968977E-2</c:v>
                </c:pt>
                <c:pt idx="1963">
                  <c:v>3.0834974206638055E-2</c:v>
                </c:pt>
                <c:pt idx="1964">
                  <c:v>2.4513262759288335E-2</c:v>
                </c:pt>
                <c:pt idx="1965">
                  <c:v>3.0308367703247407E-2</c:v>
                </c:pt>
                <c:pt idx="1966">
                  <c:v>2.2830848089456679E-2</c:v>
                </c:pt>
                <c:pt idx="1967">
                  <c:v>2.0220705501568403E-2</c:v>
                </c:pt>
                <c:pt idx="1968">
                  <c:v>2.4787357276536137E-2</c:v>
                </c:pt>
                <c:pt idx="1969">
                  <c:v>2.3181680029977003E-2</c:v>
                </c:pt>
                <c:pt idx="1970">
                  <c:v>2.432807409392479E-2</c:v>
                </c:pt>
                <c:pt idx="1971">
                  <c:v>2.5144614582697677E-2</c:v>
                </c:pt>
                <c:pt idx="1972">
                  <c:v>2.0196477477899766E-2</c:v>
                </c:pt>
                <c:pt idx="1973">
                  <c:v>2.6850990773518824E-2</c:v>
                </c:pt>
                <c:pt idx="1974">
                  <c:v>2.6111544905326634E-2</c:v>
                </c:pt>
                <c:pt idx="1975">
                  <c:v>2.7581671354640847E-2</c:v>
                </c:pt>
                <c:pt idx="1976">
                  <c:v>2.3861222793346459E-2</c:v>
                </c:pt>
                <c:pt idx="1977">
                  <c:v>1.8495044842011699E-2</c:v>
                </c:pt>
                <c:pt idx="1978">
                  <c:v>2.797156337893103E-2</c:v>
                </c:pt>
                <c:pt idx="1979">
                  <c:v>3.1469881259505339E-2</c:v>
                </c:pt>
                <c:pt idx="1980">
                  <c:v>2.5301230254011098E-2</c:v>
                </c:pt>
                <c:pt idx="1981">
                  <c:v>2.5962202943261348E-2</c:v>
                </c:pt>
                <c:pt idx="1982">
                  <c:v>2.2525846237937741E-2</c:v>
                </c:pt>
                <c:pt idx="1983">
                  <c:v>2.9122500546142183E-2</c:v>
                </c:pt>
                <c:pt idx="1984">
                  <c:v>2.4944898033065654E-2</c:v>
                </c:pt>
                <c:pt idx="1985">
                  <c:v>2.9193990238648881E-2</c:v>
                </c:pt>
                <c:pt idx="1986">
                  <c:v>2.5334410535215901E-2</c:v>
                </c:pt>
                <c:pt idx="1987">
                  <c:v>2.6801742194654032E-2</c:v>
                </c:pt>
                <c:pt idx="1988">
                  <c:v>2.405404934177624E-2</c:v>
                </c:pt>
                <c:pt idx="1989">
                  <c:v>2.4241145384953366E-2</c:v>
                </c:pt>
                <c:pt idx="1990">
                  <c:v>2.5170702543912404E-2</c:v>
                </c:pt>
                <c:pt idx="1991">
                  <c:v>1.803848947478115E-2</c:v>
                </c:pt>
                <c:pt idx="1992">
                  <c:v>3.2264422021879735E-2</c:v>
                </c:pt>
                <c:pt idx="1993">
                  <c:v>2.1386985409407311E-2</c:v>
                </c:pt>
                <c:pt idx="1994">
                  <c:v>2.3970039604557569E-2</c:v>
                </c:pt>
                <c:pt idx="1995">
                  <c:v>2.4941500472732026E-2</c:v>
                </c:pt>
                <c:pt idx="1996">
                  <c:v>2.2381615267043742E-2</c:v>
                </c:pt>
                <c:pt idx="1997">
                  <c:v>2.0470273400522765E-2</c:v>
                </c:pt>
                <c:pt idx="1998">
                  <c:v>2.5163049312524333E-2</c:v>
                </c:pt>
                <c:pt idx="1999">
                  <c:v>2.1417644379925105E-2</c:v>
                </c:pt>
                <c:pt idx="2000">
                  <c:v>2.4111618106377963E-2</c:v>
                </c:pt>
                <c:pt idx="2001">
                  <c:v>2.5542021703479412E-2</c:v>
                </c:pt>
                <c:pt idx="2002">
                  <c:v>3.1138307276982857E-2</c:v>
                </c:pt>
                <c:pt idx="2003">
                  <c:v>2.3977152854077421E-2</c:v>
                </c:pt>
                <c:pt idx="2004">
                  <c:v>2.6533369810846974E-2</c:v>
                </c:pt>
                <c:pt idx="2005">
                  <c:v>2.8494994175003674E-2</c:v>
                </c:pt>
                <c:pt idx="2006">
                  <c:v>2.2423885940681232E-2</c:v>
                </c:pt>
                <c:pt idx="2007">
                  <c:v>2.1779916401420962E-2</c:v>
                </c:pt>
                <c:pt idx="2008">
                  <c:v>2.3545488278958415E-2</c:v>
                </c:pt>
                <c:pt idx="2009">
                  <c:v>2.4642118897608922E-2</c:v>
                </c:pt>
                <c:pt idx="2010">
                  <c:v>2.3738257620006809E-2</c:v>
                </c:pt>
                <c:pt idx="2011">
                  <c:v>2.3494616963884996E-2</c:v>
                </c:pt>
                <c:pt idx="2012">
                  <c:v>2.1458645328756187E-2</c:v>
                </c:pt>
                <c:pt idx="2013">
                  <c:v>2.7174192944130926E-2</c:v>
                </c:pt>
                <c:pt idx="2014">
                  <c:v>2.1994024095726927E-2</c:v>
                </c:pt>
                <c:pt idx="2015">
                  <c:v>2.3866879347593906E-2</c:v>
                </c:pt>
                <c:pt idx="2016">
                  <c:v>2.5137102276810097E-2</c:v>
                </c:pt>
                <c:pt idx="2017">
                  <c:v>1.9564916359192663E-2</c:v>
                </c:pt>
                <c:pt idx="2018">
                  <c:v>2.5109185074692952E-2</c:v>
                </c:pt>
                <c:pt idx="2019">
                  <c:v>2.4090544860497554E-2</c:v>
                </c:pt>
                <c:pt idx="2020">
                  <c:v>2.4307132006430976E-2</c:v>
                </c:pt>
                <c:pt idx="2021">
                  <c:v>2.6279363456278126E-2</c:v>
                </c:pt>
                <c:pt idx="2022">
                  <c:v>2.8520497504686659E-2</c:v>
                </c:pt>
                <c:pt idx="2023">
                  <c:v>2.3485692612388531E-2</c:v>
                </c:pt>
                <c:pt idx="2024">
                  <c:v>1.8404978098875868E-2</c:v>
                </c:pt>
                <c:pt idx="2025">
                  <c:v>2.8384807177243232E-2</c:v>
                </c:pt>
                <c:pt idx="2026">
                  <c:v>2.8480890462538655E-2</c:v>
                </c:pt>
                <c:pt idx="2027">
                  <c:v>1.9232343340448876E-2</c:v>
                </c:pt>
                <c:pt idx="2028">
                  <c:v>2.4986316177190271E-2</c:v>
                </c:pt>
                <c:pt idx="2029">
                  <c:v>2.2647516571035253E-2</c:v>
                </c:pt>
                <c:pt idx="2030">
                  <c:v>2.9798376455894893E-2</c:v>
                </c:pt>
                <c:pt idx="2031">
                  <c:v>2.4083092552595331E-2</c:v>
                </c:pt>
                <c:pt idx="2032">
                  <c:v>2.5280290957121254E-2</c:v>
                </c:pt>
                <c:pt idx="2033">
                  <c:v>2.073890670580103E-2</c:v>
                </c:pt>
                <c:pt idx="2034">
                  <c:v>2.3893447292691494E-2</c:v>
                </c:pt>
                <c:pt idx="2035">
                  <c:v>2.3653250241868817E-2</c:v>
                </c:pt>
                <c:pt idx="2036">
                  <c:v>3.6472382120245284E-2</c:v>
                </c:pt>
                <c:pt idx="2037">
                  <c:v>2.6113162060327322E-2</c:v>
                </c:pt>
                <c:pt idx="2038">
                  <c:v>2.2613125167707415E-2</c:v>
                </c:pt>
                <c:pt idx="2039">
                  <c:v>2.3362853016227536E-2</c:v>
                </c:pt>
                <c:pt idx="2040">
                  <c:v>3.1491081477866389E-2</c:v>
                </c:pt>
                <c:pt idx="2041">
                  <c:v>2.9559665401686308E-2</c:v>
                </c:pt>
                <c:pt idx="2042">
                  <c:v>2.1749875549682551E-2</c:v>
                </c:pt>
                <c:pt idx="2043">
                  <c:v>2.385384304114746E-2</c:v>
                </c:pt>
                <c:pt idx="2044">
                  <c:v>2.9091918317233567E-2</c:v>
                </c:pt>
                <c:pt idx="2045">
                  <c:v>2.1841537122987309E-2</c:v>
                </c:pt>
                <c:pt idx="2046">
                  <c:v>2.2943589885151772E-2</c:v>
                </c:pt>
                <c:pt idx="2047">
                  <c:v>2.9330353101649109E-2</c:v>
                </c:pt>
                <c:pt idx="2048">
                  <c:v>2.6249435624000506E-2</c:v>
                </c:pt>
                <c:pt idx="2049">
                  <c:v>2.2191109105815121E-2</c:v>
                </c:pt>
                <c:pt idx="2050">
                  <c:v>2.9299207170738528E-2</c:v>
                </c:pt>
                <c:pt idx="2051">
                  <c:v>2.187423742030925E-2</c:v>
                </c:pt>
                <c:pt idx="2052">
                  <c:v>2.5741887550423836E-2</c:v>
                </c:pt>
                <c:pt idx="2053">
                  <c:v>2.5863764388215138E-2</c:v>
                </c:pt>
                <c:pt idx="2054">
                  <c:v>3.0742451732008513E-2</c:v>
                </c:pt>
                <c:pt idx="2055">
                  <c:v>2.0370895807240608E-2</c:v>
                </c:pt>
                <c:pt idx="2056">
                  <c:v>2.8737796254632464E-2</c:v>
                </c:pt>
                <c:pt idx="2057">
                  <c:v>2.6708496953596228E-2</c:v>
                </c:pt>
                <c:pt idx="2058">
                  <c:v>2.5495971156764385E-2</c:v>
                </c:pt>
                <c:pt idx="2059">
                  <c:v>2.9268901211622955E-2</c:v>
                </c:pt>
                <c:pt idx="2060">
                  <c:v>2.4632961530680952E-2</c:v>
                </c:pt>
                <c:pt idx="2061">
                  <c:v>3.179547776832381E-2</c:v>
                </c:pt>
                <c:pt idx="2062">
                  <c:v>3.624628459598167E-2</c:v>
                </c:pt>
                <c:pt idx="2063">
                  <c:v>2.7102856734842584E-2</c:v>
                </c:pt>
                <c:pt idx="2064">
                  <c:v>2.5193864556864454E-2</c:v>
                </c:pt>
                <c:pt idx="2065">
                  <c:v>2.3649085265443404E-2</c:v>
                </c:pt>
                <c:pt idx="2066">
                  <c:v>3.2387158365693836E-2</c:v>
                </c:pt>
                <c:pt idx="2067">
                  <c:v>3.3802455028203005E-2</c:v>
                </c:pt>
                <c:pt idx="2068">
                  <c:v>2.1042204893596206E-2</c:v>
                </c:pt>
                <c:pt idx="2069">
                  <c:v>2.5037924211711804E-2</c:v>
                </c:pt>
                <c:pt idx="2070">
                  <c:v>2.1674126000215455E-2</c:v>
                </c:pt>
                <c:pt idx="2071">
                  <c:v>2.7176177063553686E-2</c:v>
                </c:pt>
                <c:pt idx="2072">
                  <c:v>2.6974608948187484E-2</c:v>
                </c:pt>
                <c:pt idx="2073">
                  <c:v>2.4511493516371274E-2</c:v>
                </c:pt>
                <c:pt idx="2074">
                  <c:v>2.3270499373138187E-2</c:v>
                </c:pt>
                <c:pt idx="2075">
                  <c:v>2.3184384125224056E-2</c:v>
                </c:pt>
                <c:pt idx="2076">
                  <c:v>2.463224434546063E-2</c:v>
                </c:pt>
                <c:pt idx="2077">
                  <c:v>2.262536475672039E-2</c:v>
                </c:pt>
                <c:pt idx="2078">
                  <c:v>2.0829816211335839E-2</c:v>
                </c:pt>
                <c:pt idx="2079">
                  <c:v>2.8262243850875279E-2</c:v>
                </c:pt>
                <c:pt idx="2080">
                  <c:v>2.1809360063909766E-2</c:v>
                </c:pt>
                <c:pt idx="2081">
                  <c:v>2.6244476720745591E-2</c:v>
                </c:pt>
                <c:pt idx="2082">
                  <c:v>2.6586550350705673E-2</c:v>
                </c:pt>
                <c:pt idx="2083">
                  <c:v>3.6377643906063462E-2</c:v>
                </c:pt>
                <c:pt idx="2084">
                  <c:v>2.1172540052020961E-2</c:v>
                </c:pt>
                <c:pt idx="2085">
                  <c:v>2.280140582226986E-2</c:v>
                </c:pt>
                <c:pt idx="2086">
                  <c:v>2.8317818728940347E-2</c:v>
                </c:pt>
                <c:pt idx="2087">
                  <c:v>2.6198398267990863E-2</c:v>
                </c:pt>
                <c:pt idx="2088">
                  <c:v>2.3361397716257115E-2</c:v>
                </c:pt>
                <c:pt idx="2089">
                  <c:v>3.2591466854158702E-2</c:v>
                </c:pt>
                <c:pt idx="2090">
                  <c:v>2.6039473371892163E-2</c:v>
                </c:pt>
                <c:pt idx="2091">
                  <c:v>2.4621649817488045E-2</c:v>
                </c:pt>
                <c:pt idx="2092">
                  <c:v>2.7956022505421396E-2</c:v>
                </c:pt>
                <c:pt idx="2093">
                  <c:v>2.5320359844226314E-2</c:v>
                </c:pt>
                <c:pt idx="2094">
                  <c:v>2.6741724675068523E-2</c:v>
                </c:pt>
                <c:pt idx="2095">
                  <c:v>2.6114229466345895E-2</c:v>
                </c:pt>
                <c:pt idx="2096">
                  <c:v>2.8018827838373062E-2</c:v>
                </c:pt>
                <c:pt idx="2097">
                  <c:v>2.5992074963459566E-2</c:v>
                </c:pt>
                <c:pt idx="2098">
                  <c:v>2.6809265662957493E-2</c:v>
                </c:pt>
                <c:pt idx="2099">
                  <c:v>2.6263137489493826E-2</c:v>
                </c:pt>
                <c:pt idx="2100">
                  <c:v>2.9423662526598227E-2</c:v>
                </c:pt>
                <c:pt idx="2101">
                  <c:v>2.0613016979500687E-2</c:v>
                </c:pt>
                <c:pt idx="2102">
                  <c:v>2.6949426537961063E-2</c:v>
                </c:pt>
                <c:pt idx="2103">
                  <c:v>2.592152291388683E-2</c:v>
                </c:pt>
                <c:pt idx="2104">
                  <c:v>2.1073295012427384E-2</c:v>
                </c:pt>
                <c:pt idx="2105">
                  <c:v>2.5319515686525351E-2</c:v>
                </c:pt>
                <c:pt idx="2106">
                  <c:v>2.3113417670961756E-2</c:v>
                </c:pt>
                <c:pt idx="2107">
                  <c:v>2.2278930808056985E-2</c:v>
                </c:pt>
                <c:pt idx="2108">
                  <c:v>2.4630211390468393E-2</c:v>
                </c:pt>
                <c:pt idx="2109">
                  <c:v>2.6353647938660907E-2</c:v>
                </c:pt>
                <c:pt idx="2110">
                  <c:v>2.061495784456191E-2</c:v>
                </c:pt>
                <c:pt idx="2111">
                  <c:v>1.9395269962640738E-2</c:v>
                </c:pt>
                <c:pt idx="2112">
                  <c:v>2.2816165326667859E-2</c:v>
                </c:pt>
                <c:pt idx="2113">
                  <c:v>2.7462786044305521E-2</c:v>
                </c:pt>
                <c:pt idx="2114">
                  <c:v>2.3434080391961043E-2</c:v>
                </c:pt>
                <c:pt idx="2115">
                  <c:v>2.5315248853055028E-2</c:v>
                </c:pt>
                <c:pt idx="2116">
                  <c:v>2.5619836299884402E-2</c:v>
                </c:pt>
                <c:pt idx="2117">
                  <c:v>2.5509278151795933E-2</c:v>
                </c:pt>
                <c:pt idx="2118">
                  <c:v>2.8586205065767256E-2</c:v>
                </c:pt>
                <c:pt idx="2119">
                  <c:v>2.5692397584315629E-2</c:v>
                </c:pt>
                <c:pt idx="2120">
                  <c:v>2.2829458368679556E-2</c:v>
                </c:pt>
                <c:pt idx="2121">
                  <c:v>2.0017651389588109E-2</c:v>
                </c:pt>
                <c:pt idx="2122">
                  <c:v>2.4979620122963953E-2</c:v>
                </c:pt>
                <c:pt idx="2123">
                  <c:v>2.6028122590243674E-2</c:v>
                </c:pt>
                <c:pt idx="2124">
                  <c:v>2.3646413262142008E-2</c:v>
                </c:pt>
                <c:pt idx="2125">
                  <c:v>2.0757914904743546E-2</c:v>
                </c:pt>
                <c:pt idx="2126">
                  <c:v>2.5800152570716106E-2</c:v>
                </c:pt>
                <c:pt idx="2127">
                  <c:v>2.2601959961222939E-2</c:v>
                </c:pt>
                <c:pt idx="2128">
                  <c:v>2.3808612931999651E-2</c:v>
                </c:pt>
                <c:pt idx="2129">
                  <c:v>2.0063081026919782E-2</c:v>
                </c:pt>
                <c:pt idx="2130">
                  <c:v>2.1025282671121359E-2</c:v>
                </c:pt>
                <c:pt idx="2131">
                  <c:v>2.5258151700524256E-2</c:v>
                </c:pt>
                <c:pt idx="2132">
                  <c:v>2.6986602964051087E-2</c:v>
                </c:pt>
                <c:pt idx="2133">
                  <c:v>2.3180594485032624E-2</c:v>
                </c:pt>
                <c:pt idx="2134">
                  <c:v>2.5770357292127066E-2</c:v>
                </c:pt>
                <c:pt idx="2135">
                  <c:v>2.3433513899355107E-2</c:v>
                </c:pt>
                <c:pt idx="2136">
                  <c:v>2.3483047119824851E-2</c:v>
                </c:pt>
                <c:pt idx="2137">
                  <c:v>2.9583940865622438E-2</c:v>
                </c:pt>
                <c:pt idx="2138">
                  <c:v>2.9129920762098749E-2</c:v>
                </c:pt>
                <c:pt idx="2139">
                  <c:v>2.7726559512769811E-2</c:v>
                </c:pt>
                <c:pt idx="2140">
                  <c:v>2.2713123670372926E-2</c:v>
                </c:pt>
                <c:pt idx="2141">
                  <c:v>2.263971683293875E-2</c:v>
                </c:pt>
                <c:pt idx="2142">
                  <c:v>2.4735958537312364E-2</c:v>
                </c:pt>
                <c:pt idx="2143">
                  <c:v>2.3491737060587825E-2</c:v>
                </c:pt>
                <c:pt idx="2144">
                  <c:v>2.3009169078449743E-2</c:v>
                </c:pt>
                <c:pt idx="2145">
                  <c:v>2.4283417453892842E-2</c:v>
                </c:pt>
                <c:pt idx="2146">
                  <c:v>2.84465660337061E-2</c:v>
                </c:pt>
                <c:pt idx="2147">
                  <c:v>2.395703539005678E-2</c:v>
                </c:pt>
                <c:pt idx="2148">
                  <c:v>3.2318417418097711E-2</c:v>
                </c:pt>
                <c:pt idx="2149">
                  <c:v>2.6289794733918459E-2</c:v>
                </c:pt>
                <c:pt idx="2150">
                  <c:v>2.0030599792009496E-2</c:v>
                </c:pt>
                <c:pt idx="2151">
                  <c:v>2.7940788598348476E-2</c:v>
                </c:pt>
                <c:pt idx="2152">
                  <c:v>2.4990924859646935E-2</c:v>
                </c:pt>
                <c:pt idx="2153">
                  <c:v>2.0329395340298873E-2</c:v>
                </c:pt>
                <c:pt idx="2154">
                  <c:v>1.9414354903192432E-2</c:v>
                </c:pt>
                <c:pt idx="2155">
                  <c:v>2.8913710347701294E-2</c:v>
                </c:pt>
                <c:pt idx="2156">
                  <c:v>2.2138761561241505E-2</c:v>
                </c:pt>
                <c:pt idx="2157">
                  <c:v>2.5889103072263886E-2</c:v>
                </c:pt>
                <c:pt idx="2158">
                  <c:v>2.240387591491344E-2</c:v>
                </c:pt>
                <c:pt idx="2159">
                  <c:v>2.12971223803613E-2</c:v>
                </c:pt>
                <c:pt idx="2160">
                  <c:v>2.8213952449172242E-2</c:v>
                </c:pt>
                <c:pt idx="2161">
                  <c:v>2.6337594989322755E-2</c:v>
                </c:pt>
                <c:pt idx="2162">
                  <c:v>2.6535828332944655E-2</c:v>
                </c:pt>
                <c:pt idx="2163">
                  <c:v>3.3706075938886748E-2</c:v>
                </c:pt>
                <c:pt idx="2164">
                  <c:v>3.2711995830232432E-2</c:v>
                </c:pt>
                <c:pt idx="2165">
                  <c:v>2.3233814093346905E-2</c:v>
                </c:pt>
                <c:pt idx="2166">
                  <c:v>2.5706241770611427E-2</c:v>
                </c:pt>
                <c:pt idx="2167">
                  <c:v>3.7466598968494136E-2</c:v>
                </c:pt>
                <c:pt idx="2168">
                  <c:v>2.6330531970674365E-2</c:v>
                </c:pt>
                <c:pt idx="2169">
                  <c:v>2.6581560750807087E-2</c:v>
                </c:pt>
                <c:pt idx="2170">
                  <c:v>2.1978258578597698E-2</c:v>
                </c:pt>
                <c:pt idx="2171">
                  <c:v>2.4918335669176006E-2</c:v>
                </c:pt>
                <c:pt idx="2172">
                  <c:v>2.1071302521192714E-2</c:v>
                </c:pt>
                <c:pt idx="2173">
                  <c:v>2.2735835000783799E-2</c:v>
                </c:pt>
                <c:pt idx="2174">
                  <c:v>2.7828508647610439E-2</c:v>
                </c:pt>
                <c:pt idx="2175">
                  <c:v>2.6625035570057687E-2</c:v>
                </c:pt>
                <c:pt idx="2176">
                  <c:v>2.4949068590699008E-2</c:v>
                </c:pt>
                <c:pt idx="2177">
                  <c:v>2.5343580459861736E-2</c:v>
                </c:pt>
                <c:pt idx="2178">
                  <c:v>2.1150706366558691E-2</c:v>
                </c:pt>
                <c:pt idx="2179">
                  <c:v>2.4261293545617679E-2</c:v>
                </c:pt>
                <c:pt idx="2180">
                  <c:v>2.0817880798155608E-2</c:v>
                </c:pt>
                <c:pt idx="2181">
                  <c:v>2.2519902251481372E-2</c:v>
                </c:pt>
                <c:pt idx="2182">
                  <c:v>2.2533471563286112E-2</c:v>
                </c:pt>
                <c:pt idx="2183">
                  <c:v>3.6759772470108754E-2</c:v>
                </c:pt>
                <c:pt idx="2184">
                  <c:v>2.0118731251292044E-2</c:v>
                </c:pt>
                <c:pt idx="2185">
                  <c:v>1.8694560468157873E-2</c:v>
                </c:pt>
                <c:pt idx="2186">
                  <c:v>2.2880820830051718E-2</c:v>
                </c:pt>
                <c:pt idx="2187">
                  <c:v>3.0268093706750543E-2</c:v>
                </c:pt>
                <c:pt idx="2188">
                  <c:v>2.120993554052264E-2</c:v>
                </c:pt>
                <c:pt idx="2189">
                  <c:v>2.6573788918750285E-2</c:v>
                </c:pt>
                <c:pt idx="2190">
                  <c:v>2.391144947890278E-2</c:v>
                </c:pt>
                <c:pt idx="2191">
                  <c:v>2.1310316355932057E-2</c:v>
                </c:pt>
                <c:pt idx="2192">
                  <c:v>2.5908167083285805E-2</c:v>
                </c:pt>
                <c:pt idx="2193">
                  <c:v>2.5666549615042333E-2</c:v>
                </c:pt>
                <c:pt idx="2194">
                  <c:v>3.4597752044253305E-2</c:v>
                </c:pt>
                <c:pt idx="2195">
                  <c:v>2.8862915774237052E-2</c:v>
                </c:pt>
                <c:pt idx="2196">
                  <c:v>2.5908465677910608E-2</c:v>
                </c:pt>
                <c:pt idx="2197">
                  <c:v>2.6388734202377306E-2</c:v>
                </c:pt>
                <c:pt idx="2198">
                  <c:v>2.5982559003921435E-2</c:v>
                </c:pt>
                <c:pt idx="2199">
                  <c:v>1.9611974313940905E-2</c:v>
                </c:pt>
                <c:pt idx="2200">
                  <c:v>2.2573959040986691E-2</c:v>
                </c:pt>
                <c:pt idx="2201">
                  <c:v>2.2703881190023867E-2</c:v>
                </c:pt>
                <c:pt idx="2202">
                  <c:v>2.2521289181654525E-2</c:v>
                </c:pt>
                <c:pt idx="2203">
                  <c:v>2.3172924510020732E-2</c:v>
                </c:pt>
                <c:pt idx="2204">
                  <c:v>2.3997298224137764E-2</c:v>
                </c:pt>
                <c:pt idx="2205">
                  <c:v>2.0125755201484852E-2</c:v>
                </c:pt>
                <c:pt idx="2206">
                  <c:v>2.6660693907587962E-2</c:v>
                </c:pt>
                <c:pt idx="2207">
                  <c:v>2.5431820752699119E-2</c:v>
                </c:pt>
                <c:pt idx="2208">
                  <c:v>2.4274639609104809E-2</c:v>
                </c:pt>
                <c:pt idx="2209">
                  <c:v>1.9921949021734608E-2</c:v>
                </c:pt>
                <c:pt idx="2210">
                  <c:v>1.8995859188208453E-2</c:v>
                </c:pt>
                <c:pt idx="2211">
                  <c:v>2.923545024183305E-2</c:v>
                </c:pt>
                <c:pt idx="2212">
                  <c:v>2.1500236490326952E-2</c:v>
                </c:pt>
                <c:pt idx="2213">
                  <c:v>2.1514026259845331E-2</c:v>
                </c:pt>
                <c:pt idx="2214">
                  <c:v>2.5466548423805357E-2</c:v>
                </c:pt>
                <c:pt idx="2215">
                  <c:v>2.1963803250032443E-2</c:v>
                </c:pt>
                <c:pt idx="2216">
                  <c:v>2.669617364646415E-2</c:v>
                </c:pt>
                <c:pt idx="2217">
                  <c:v>2.4167343677057418E-2</c:v>
                </c:pt>
                <c:pt idx="2218">
                  <c:v>2.9406260320240518E-2</c:v>
                </c:pt>
                <c:pt idx="2219">
                  <c:v>2.831875637187431E-2</c:v>
                </c:pt>
                <c:pt idx="2220">
                  <c:v>1.9894012285389673E-2</c:v>
                </c:pt>
                <c:pt idx="2221">
                  <c:v>2.9561099772126953E-2</c:v>
                </c:pt>
                <c:pt idx="2222">
                  <c:v>2.3303396408040022E-2</c:v>
                </c:pt>
                <c:pt idx="2223">
                  <c:v>2.4144801178186737E-2</c:v>
                </c:pt>
                <c:pt idx="2224">
                  <c:v>1.9885694890256711E-2</c:v>
                </c:pt>
                <c:pt idx="2225">
                  <c:v>2.6126859739914687E-2</c:v>
                </c:pt>
                <c:pt idx="2226">
                  <c:v>2.4397804310628324E-2</c:v>
                </c:pt>
                <c:pt idx="2227">
                  <c:v>2.2127000560809407E-2</c:v>
                </c:pt>
                <c:pt idx="2228">
                  <c:v>1.9381269502522613E-2</c:v>
                </c:pt>
                <c:pt idx="2229">
                  <c:v>2.1529525274295414E-2</c:v>
                </c:pt>
                <c:pt idx="2230">
                  <c:v>2.6910899459549498E-2</c:v>
                </c:pt>
                <c:pt idx="2231">
                  <c:v>2.8596329376970875E-2</c:v>
                </c:pt>
                <c:pt idx="2232">
                  <c:v>3.3357083006382737E-2</c:v>
                </c:pt>
                <c:pt idx="2233">
                  <c:v>2.5815492520739891E-2</c:v>
                </c:pt>
                <c:pt idx="2234">
                  <c:v>2.7975219070131896E-2</c:v>
                </c:pt>
                <c:pt idx="2235">
                  <c:v>3.1240214552763934E-2</c:v>
                </c:pt>
                <c:pt idx="2236">
                  <c:v>2.1194792328078749E-2</c:v>
                </c:pt>
                <c:pt idx="2237">
                  <c:v>2.593102212980114E-2</c:v>
                </c:pt>
                <c:pt idx="2238">
                  <c:v>2.4757101548292026E-2</c:v>
                </c:pt>
                <c:pt idx="2239">
                  <c:v>2.8412916931034315E-2</c:v>
                </c:pt>
                <c:pt idx="2240">
                  <c:v>2.3607577821991743E-2</c:v>
                </c:pt>
                <c:pt idx="2241">
                  <c:v>3.0946629062086783E-2</c:v>
                </c:pt>
                <c:pt idx="2242">
                  <c:v>2.2995352798193647E-2</c:v>
                </c:pt>
                <c:pt idx="2243">
                  <c:v>2.7532392079132384E-2</c:v>
                </c:pt>
                <c:pt idx="2244">
                  <c:v>2.6645222799177581E-2</c:v>
                </c:pt>
                <c:pt idx="2245">
                  <c:v>2.2941766225457294E-2</c:v>
                </c:pt>
                <c:pt idx="2246">
                  <c:v>2.2550603081058718E-2</c:v>
                </c:pt>
                <c:pt idx="2247">
                  <c:v>2.3634528079833239E-2</c:v>
                </c:pt>
                <c:pt idx="2248">
                  <c:v>2.3815502933201893E-2</c:v>
                </c:pt>
                <c:pt idx="2249">
                  <c:v>2.8389964213380026E-2</c:v>
                </c:pt>
                <c:pt idx="2250">
                  <c:v>2.3108669458306585E-2</c:v>
                </c:pt>
                <c:pt idx="2251">
                  <c:v>2.5827806060758074E-2</c:v>
                </c:pt>
                <c:pt idx="2252">
                  <c:v>2.8247612714259906E-2</c:v>
                </c:pt>
                <c:pt idx="2253">
                  <c:v>2.7137490920715823E-2</c:v>
                </c:pt>
                <c:pt idx="2254">
                  <c:v>2.7408441822591278E-2</c:v>
                </c:pt>
                <c:pt idx="2255">
                  <c:v>2.6814726874927031E-2</c:v>
                </c:pt>
                <c:pt idx="2256">
                  <c:v>2.5663450649333508E-2</c:v>
                </c:pt>
                <c:pt idx="2257">
                  <c:v>2.1933625658699496E-2</c:v>
                </c:pt>
                <c:pt idx="2258">
                  <c:v>3.0617315468780104E-2</c:v>
                </c:pt>
                <c:pt idx="2259">
                  <c:v>2.3990875649100518E-2</c:v>
                </c:pt>
                <c:pt idx="2260">
                  <c:v>2.4146923432506018E-2</c:v>
                </c:pt>
                <c:pt idx="2261">
                  <c:v>2.5060861581044258E-2</c:v>
                </c:pt>
                <c:pt idx="2262">
                  <c:v>2.4034046292518374E-2</c:v>
                </c:pt>
                <c:pt idx="2263">
                  <c:v>2.5055668267055853E-2</c:v>
                </c:pt>
                <c:pt idx="2264">
                  <c:v>2.7899094184430817E-2</c:v>
                </c:pt>
                <c:pt idx="2265">
                  <c:v>2.7245021263496705E-2</c:v>
                </c:pt>
                <c:pt idx="2266">
                  <c:v>2.6187304221907626E-2</c:v>
                </c:pt>
                <c:pt idx="2267">
                  <c:v>2.1221137024858727E-2</c:v>
                </c:pt>
                <c:pt idx="2268">
                  <c:v>2.3926737802753117E-2</c:v>
                </c:pt>
                <c:pt idx="2269">
                  <c:v>2.6669651746332068E-2</c:v>
                </c:pt>
                <c:pt idx="2270">
                  <c:v>3.2104983654650532E-2</c:v>
                </c:pt>
                <c:pt idx="2271">
                  <c:v>2.7099120116126585E-2</c:v>
                </c:pt>
                <c:pt idx="2272">
                  <c:v>2.5264380328585578E-2</c:v>
                </c:pt>
                <c:pt idx="2273">
                  <c:v>1.9917972411077178E-2</c:v>
                </c:pt>
                <c:pt idx="2274">
                  <c:v>3.1149528295546736E-2</c:v>
                </c:pt>
                <c:pt idx="2275">
                  <c:v>2.138276880680845E-2</c:v>
                </c:pt>
                <c:pt idx="2276">
                  <c:v>2.0971633309795679E-2</c:v>
                </c:pt>
                <c:pt idx="2277">
                  <c:v>2.263884616450007E-2</c:v>
                </c:pt>
                <c:pt idx="2278">
                  <c:v>2.8027534522759856E-2</c:v>
                </c:pt>
                <c:pt idx="2279">
                  <c:v>2.2650675534729436E-2</c:v>
                </c:pt>
                <c:pt idx="2280">
                  <c:v>2.2501926576007802E-2</c:v>
                </c:pt>
                <c:pt idx="2281">
                  <c:v>2.4793333354938163E-2</c:v>
                </c:pt>
                <c:pt idx="2282">
                  <c:v>2.0074759704534761E-2</c:v>
                </c:pt>
                <c:pt idx="2283">
                  <c:v>2.2383145913321356E-2</c:v>
                </c:pt>
                <c:pt idx="2284">
                  <c:v>2.3442968465605896E-2</c:v>
                </c:pt>
                <c:pt idx="2285">
                  <c:v>2.4215237417694713E-2</c:v>
                </c:pt>
                <c:pt idx="2286">
                  <c:v>2.8259461618717063E-2</c:v>
                </c:pt>
                <c:pt idx="2287">
                  <c:v>2.2111417828240221E-2</c:v>
                </c:pt>
                <c:pt idx="2288">
                  <c:v>2.0512199434569944E-2</c:v>
                </c:pt>
                <c:pt idx="2289">
                  <c:v>2.0273087928691647E-2</c:v>
                </c:pt>
                <c:pt idx="2290">
                  <c:v>2.5435514117053581E-2</c:v>
                </c:pt>
                <c:pt idx="2291">
                  <c:v>2.4845414396832632E-2</c:v>
                </c:pt>
                <c:pt idx="2292">
                  <c:v>2.3440399714651394E-2</c:v>
                </c:pt>
                <c:pt idx="2293">
                  <c:v>3.097304770987197E-2</c:v>
                </c:pt>
                <c:pt idx="2294">
                  <c:v>2.6414682633393527E-2</c:v>
                </c:pt>
                <c:pt idx="2295">
                  <c:v>2.8019260381988431E-2</c:v>
                </c:pt>
                <c:pt idx="2296">
                  <c:v>2.5489802526688421E-2</c:v>
                </c:pt>
                <c:pt idx="2297">
                  <c:v>3.0639221709945597E-2</c:v>
                </c:pt>
                <c:pt idx="2298">
                  <c:v>2.6486172325900226E-2</c:v>
                </c:pt>
                <c:pt idx="2299">
                  <c:v>2.3428834056497205E-2</c:v>
                </c:pt>
                <c:pt idx="2300">
                  <c:v>2.1790829058246142E-2</c:v>
                </c:pt>
                <c:pt idx="2301">
                  <c:v>2.7106643584430046E-2</c:v>
                </c:pt>
                <c:pt idx="2302">
                  <c:v>2.8733551745993902E-2</c:v>
                </c:pt>
                <c:pt idx="2303">
                  <c:v>2.2588779938672032E-2</c:v>
                </c:pt>
                <c:pt idx="2304">
                  <c:v>2.7528197801365284E-2</c:v>
                </c:pt>
                <c:pt idx="2305">
                  <c:v>2.527523019682143E-2</c:v>
                </c:pt>
                <c:pt idx="2306">
                  <c:v>3.1556895081897851E-2</c:v>
                </c:pt>
                <c:pt idx="2307">
                  <c:v>1.942633636133817E-2</c:v>
                </c:pt>
                <c:pt idx="2308">
                  <c:v>2.3894372377907591E-2</c:v>
                </c:pt>
                <c:pt idx="2309">
                  <c:v>3.0613344439330614E-2</c:v>
                </c:pt>
                <c:pt idx="2310">
                  <c:v>1.9489391453345162E-2</c:v>
                </c:pt>
                <c:pt idx="2311">
                  <c:v>2.1620344085201193E-2</c:v>
                </c:pt>
                <c:pt idx="2312">
                  <c:v>2.3271843048949803E-2</c:v>
                </c:pt>
                <c:pt idx="2313">
                  <c:v>2.768636365318411E-2</c:v>
                </c:pt>
                <c:pt idx="2314">
                  <c:v>2.7353826912291934E-2</c:v>
                </c:pt>
                <c:pt idx="2315">
                  <c:v>2.2359291830584715E-2</c:v>
                </c:pt>
                <c:pt idx="2316">
                  <c:v>2.4237952934011542E-2</c:v>
                </c:pt>
                <c:pt idx="2317">
                  <c:v>2.2001628491545522E-2</c:v>
                </c:pt>
                <c:pt idx="2318">
                  <c:v>2.9090916490408292E-2</c:v>
                </c:pt>
                <c:pt idx="2319">
                  <c:v>2.3295815732355174E-2</c:v>
                </c:pt>
                <c:pt idx="2320">
                  <c:v>2.1512024001496766E-2</c:v>
                </c:pt>
                <c:pt idx="2321">
                  <c:v>3.0141682137507786E-2</c:v>
                </c:pt>
                <c:pt idx="2322">
                  <c:v>2.5097083620576499E-2</c:v>
                </c:pt>
                <c:pt idx="2323">
                  <c:v>2.4611552017022142E-2</c:v>
                </c:pt>
                <c:pt idx="2324">
                  <c:v>2.4376679438574467E-2</c:v>
                </c:pt>
                <c:pt idx="2325">
                  <c:v>2.7570907995128069E-2</c:v>
                </c:pt>
                <c:pt idx="2326">
                  <c:v>2.5532738759372786E-2</c:v>
                </c:pt>
                <c:pt idx="2327">
                  <c:v>2.1841793858552561E-2</c:v>
                </c:pt>
                <c:pt idx="2328">
                  <c:v>1.9976492771632715E-2</c:v>
                </c:pt>
                <c:pt idx="2329">
                  <c:v>2.1352112626894626E-2</c:v>
                </c:pt>
                <c:pt idx="2330">
                  <c:v>2.0778597466068138E-2</c:v>
                </c:pt>
                <c:pt idx="2331">
                  <c:v>2.4461438452959117E-2</c:v>
                </c:pt>
                <c:pt idx="2332">
                  <c:v>2.240739486651977E-2</c:v>
                </c:pt>
                <c:pt idx="2333">
                  <c:v>2.5142045831743176E-2</c:v>
                </c:pt>
                <c:pt idx="2334">
                  <c:v>2.4795936988442291E-2</c:v>
                </c:pt>
                <c:pt idx="2335">
                  <c:v>2.019238087127162E-2</c:v>
                </c:pt>
                <c:pt idx="2336">
                  <c:v>2.9694538082166488E-2</c:v>
                </c:pt>
                <c:pt idx="2337">
                  <c:v>2.8202686780944841E-2</c:v>
                </c:pt>
                <c:pt idx="2338">
                  <c:v>2.4052345678052478E-2</c:v>
                </c:pt>
                <c:pt idx="2339">
                  <c:v>2.793733383063346E-2</c:v>
                </c:pt>
                <c:pt idx="2340">
                  <c:v>2.0692267341648307E-2</c:v>
                </c:pt>
                <c:pt idx="2341">
                  <c:v>2.4169549649495803E-2</c:v>
                </c:pt>
                <c:pt idx="2342">
                  <c:v>1.9047716981785312E-2</c:v>
                </c:pt>
                <c:pt idx="2343">
                  <c:v>2.4751135237003896E-2</c:v>
                </c:pt>
                <c:pt idx="2344">
                  <c:v>2.6914451898403469E-2</c:v>
                </c:pt>
                <c:pt idx="2345">
                  <c:v>2.1145360964653914E-2</c:v>
                </c:pt>
                <c:pt idx="2346">
                  <c:v>2.6432902486714482E-2</c:v>
                </c:pt>
                <c:pt idx="2347">
                  <c:v>2.038164381843155E-2</c:v>
                </c:pt>
                <c:pt idx="2348">
                  <c:v>3.0987140259921109E-2</c:v>
                </c:pt>
                <c:pt idx="2349">
                  <c:v>2.2808493956353981E-2</c:v>
                </c:pt>
                <c:pt idx="2350">
                  <c:v>2.7177672827281674E-2</c:v>
                </c:pt>
                <c:pt idx="2351">
                  <c:v>2.5651718950243096E-2</c:v>
                </c:pt>
                <c:pt idx="2352">
                  <c:v>2.9135334533800794E-2</c:v>
                </c:pt>
                <c:pt idx="2353">
                  <c:v>2.699792165375392E-2</c:v>
                </c:pt>
                <c:pt idx="2354">
                  <c:v>2.5263684072895032E-2</c:v>
                </c:pt>
                <c:pt idx="2355">
                  <c:v>2.3509661109887947E-2</c:v>
                </c:pt>
                <c:pt idx="2356">
                  <c:v>2.3079393232055989E-2</c:v>
                </c:pt>
                <c:pt idx="2357">
                  <c:v>2.1074948445279684E-2</c:v>
                </c:pt>
                <c:pt idx="2358">
                  <c:v>3.4619596892131455E-2</c:v>
                </c:pt>
                <c:pt idx="2359">
                  <c:v>2.9275517733636125E-2</c:v>
                </c:pt>
                <c:pt idx="2360">
                  <c:v>2.403043246037706E-2</c:v>
                </c:pt>
                <c:pt idx="2361">
                  <c:v>2.2696947934460088E-2</c:v>
                </c:pt>
                <c:pt idx="2362">
                  <c:v>2.6857565436472441E-2</c:v>
                </c:pt>
                <c:pt idx="2363">
                  <c:v>2.3175401171044219E-2</c:v>
                </c:pt>
                <c:pt idx="2364">
                  <c:v>3.3101611584729573E-2</c:v>
                </c:pt>
                <c:pt idx="2365">
                  <c:v>2.2424413364831586E-2</c:v>
                </c:pt>
                <c:pt idx="2366">
                  <c:v>2.4929460411902915E-2</c:v>
                </c:pt>
                <c:pt idx="2367">
                  <c:v>2.5846839375136321E-2</c:v>
                </c:pt>
                <c:pt idx="2368">
                  <c:v>3.1130700090560293E-2</c:v>
                </c:pt>
                <c:pt idx="2369">
                  <c:v>1.9824760657267015E-2</c:v>
                </c:pt>
                <c:pt idx="2370">
                  <c:v>2.3975445004447704E-2</c:v>
                </c:pt>
                <c:pt idx="2371">
                  <c:v>2.6111934194580466E-2</c:v>
                </c:pt>
                <c:pt idx="2372">
                  <c:v>2.3799049532194028E-2</c:v>
                </c:pt>
                <c:pt idx="2373">
                  <c:v>4.0498403211570499E-2</c:v>
                </c:pt>
                <c:pt idx="2374">
                  <c:v>2.947847556977945E-2</c:v>
                </c:pt>
                <c:pt idx="2375">
                  <c:v>2.1944836910149479E-2</c:v>
                </c:pt>
                <c:pt idx="2376">
                  <c:v>2.652577099623632E-2</c:v>
                </c:pt>
                <c:pt idx="2377">
                  <c:v>2.8066318336736673E-2</c:v>
                </c:pt>
                <c:pt idx="2378">
                  <c:v>1.8320393497239351E-2</c:v>
                </c:pt>
                <c:pt idx="2379">
                  <c:v>2.1382213476618395E-2</c:v>
                </c:pt>
                <c:pt idx="2380">
                  <c:v>2.6122333380275142E-2</c:v>
                </c:pt>
                <c:pt idx="2381">
                  <c:v>2.7669265622659145E-2</c:v>
                </c:pt>
                <c:pt idx="2382">
                  <c:v>2.2178531853721761E-2</c:v>
                </c:pt>
                <c:pt idx="2383">
                  <c:v>2.4059126845699885E-2</c:v>
                </c:pt>
                <c:pt idx="2384">
                  <c:v>2.4161607590596823E-2</c:v>
                </c:pt>
                <c:pt idx="2385">
                  <c:v>2.6440071548313737E-2</c:v>
                </c:pt>
                <c:pt idx="2386">
                  <c:v>2.5399218126516132E-2</c:v>
                </c:pt>
                <c:pt idx="2387">
                  <c:v>2.0717437194156862E-2</c:v>
                </c:pt>
                <c:pt idx="2388">
                  <c:v>2.3600613869784293E-2</c:v>
                </c:pt>
                <c:pt idx="2389">
                  <c:v>2.6758953863980084E-2</c:v>
                </c:pt>
                <c:pt idx="2390">
                  <c:v>2.4344595864729923E-2</c:v>
                </c:pt>
                <c:pt idx="2391">
                  <c:v>2.0501625836127135E-2</c:v>
                </c:pt>
                <c:pt idx="2392">
                  <c:v>2.417313138969146E-2</c:v>
                </c:pt>
                <c:pt idx="2393">
                  <c:v>2.0228208040342088E-2</c:v>
                </c:pt>
                <c:pt idx="2394">
                  <c:v>2.7984213186727613E-2</c:v>
                </c:pt>
                <c:pt idx="2395">
                  <c:v>2.9741632314766342E-2</c:v>
                </c:pt>
                <c:pt idx="2396">
                  <c:v>2.7415627627814354E-2</c:v>
                </c:pt>
                <c:pt idx="2397">
                  <c:v>3.1426216679184771E-2</c:v>
                </c:pt>
                <c:pt idx="2398">
                  <c:v>2.3376418142126321E-2</c:v>
                </c:pt>
                <c:pt idx="2399">
                  <c:v>2.7037779850259236E-2</c:v>
                </c:pt>
                <c:pt idx="2400">
                  <c:v>2.9292484605774494E-2</c:v>
                </c:pt>
                <c:pt idx="2401">
                  <c:v>3.4514572511715746E-2</c:v>
                </c:pt>
                <c:pt idx="2402">
                  <c:v>3.2331870919837691E-2</c:v>
                </c:pt>
                <c:pt idx="2403">
                  <c:v>2.7348516392936784E-2</c:v>
                </c:pt>
                <c:pt idx="2404">
                  <c:v>2.5412945107445184E-2</c:v>
                </c:pt>
                <c:pt idx="2405">
                  <c:v>2.5124358983780515E-2</c:v>
                </c:pt>
                <c:pt idx="2406">
                  <c:v>4.0055863652779911E-2</c:v>
                </c:pt>
                <c:pt idx="2407">
                  <c:v>2.383330419592733E-2</c:v>
                </c:pt>
                <c:pt idx="2408">
                  <c:v>2.4877244025715894E-2</c:v>
                </c:pt>
                <c:pt idx="2409">
                  <c:v>2.8075387799639584E-2</c:v>
                </c:pt>
                <c:pt idx="2410">
                  <c:v>2.1642211257911104E-2</c:v>
                </c:pt>
                <c:pt idx="2411">
                  <c:v>2.9807035700014195E-2</c:v>
                </c:pt>
                <c:pt idx="2412">
                  <c:v>2.4727363477084374E-2</c:v>
                </c:pt>
                <c:pt idx="2413">
                  <c:v>2.0883683239771189E-2</c:v>
                </c:pt>
                <c:pt idx="2414">
                  <c:v>2.5951900033403641E-2</c:v>
                </c:pt>
                <c:pt idx="2415">
                  <c:v>2.495119363562226E-2</c:v>
                </c:pt>
                <c:pt idx="2416">
                  <c:v>2.1161404146878171E-2</c:v>
                </c:pt>
                <c:pt idx="2417">
                  <c:v>2.2673153849708805E-2</c:v>
                </c:pt>
                <c:pt idx="2418">
                  <c:v>2.5186324344937172E-2</c:v>
                </c:pt>
                <c:pt idx="2419">
                  <c:v>2.3176390440151629E-2</c:v>
                </c:pt>
                <c:pt idx="2420">
                  <c:v>2.6185980080323801E-2</c:v>
                </c:pt>
                <c:pt idx="2421">
                  <c:v>2.1946123378579707E-2</c:v>
                </c:pt>
                <c:pt idx="2422">
                  <c:v>2.253299716061119E-2</c:v>
                </c:pt>
                <c:pt idx="2423">
                  <c:v>2.9083524180491427E-2</c:v>
                </c:pt>
                <c:pt idx="2424">
                  <c:v>2.1248187744443148E-2</c:v>
                </c:pt>
                <c:pt idx="2425">
                  <c:v>2.9769942992043275E-2</c:v>
                </c:pt>
                <c:pt idx="2426">
                  <c:v>3.0284918258086435E-2</c:v>
                </c:pt>
                <c:pt idx="2427">
                  <c:v>3.1388833748400957E-2</c:v>
                </c:pt>
                <c:pt idx="2428">
                  <c:v>2.8136278778267743E-2</c:v>
                </c:pt>
                <c:pt idx="2429">
                  <c:v>2.1279424369982758E-2</c:v>
                </c:pt>
                <c:pt idx="2430">
                  <c:v>2.7490867892056903E-2</c:v>
                </c:pt>
                <c:pt idx="2431">
                  <c:v>2.9052950323394722E-2</c:v>
                </c:pt>
                <c:pt idx="2432">
                  <c:v>3.0428888307509228E-2</c:v>
                </c:pt>
                <c:pt idx="2433">
                  <c:v>2.4641440780844182E-2</c:v>
                </c:pt>
                <c:pt idx="2434">
                  <c:v>2.865317956105029E-2</c:v>
                </c:pt>
                <c:pt idx="2435">
                  <c:v>1.9053691664885353E-2</c:v>
                </c:pt>
                <c:pt idx="2436">
                  <c:v>2.2803872716179452E-2</c:v>
                </c:pt>
                <c:pt idx="2437">
                  <c:v>2.902487405685128E-2</c:v>
                </c:pt>
                <c:pt idx="2438">
                  <c:v>2.8534104489644996E-2</c:v>
                </c:pt>
                <c:pt idx="2439">
                  <c:v>2.5350429997306412E-2</c:v>
                </c:pt>
                <c:pt idx="2440">
                  <c:v>2.6264962544490289E-2</c:v>
                </c:pt>
                <c:pt idx="2441">
                  <c:v>3.2915949911993092E-2</c:v>
                </c:pt>
                <c:pt idx="2442">
                  <c:v>2.6642828460971213E-2</c:v>
                </c:pt>
                <c:pt idx="2443">
                  <c:v>2.4772629864083795E-2</c:v>
                </c:pt>
                <c:pt idx="2444">
                  <c:v>2.3958709752438856E-2</c:v>
                </c:pt>
                <c:pt idx="2445">
                  <c:v>2.4975116088156168E-2</c:v>
                </c:pt>
                <c:pt idx="2446">
                  <c:v>2.1861573659492817E-2</c:v>
                </c:pt>
                <c:pt idx="2447">
                  <c:v>2.7377265195037026E-2</c:v>
                </c:pt>
                <c:pt idx="2448">
                  <c:v>2.0489666702813158E-2</c:v>
                </c:pt>
                <c:pt idx="2449">
                  <c:v>2.1831931864122134E-2</c:v>
                </c:pt>
                <c:pt idx="2450">
                  <c:v>2.8995419231946595E-2</c:v>
                </c:pt>
                <c:pt idx="2451">
                  <c:v>2.0906641538633419E-2</c:v>
                </c:pt>
                <c:pt idx="2452">
                  <c:v>3.0931116094616851E-2</c:v>
                </c:pt>
                <c:pt idx="2453">
                  <c:v>2.4069795324677679E-2</c:v>
                </c:pt>
                <c:pt idx="2454">
                  <c:v>2.4568001851464349E-2</c:v>
                </c:pt>
                <c:pt idx="2455">
                  <c:v>3.1316439900207937E-2</c:v>
                </c:pt>
                <c:pt idx="2456">
                  <c:v>2.5769125240474255E-2</c:v>
                </c:pt>
                <c:pt idx="2457">
                  <c:v>3.2944941496638736E-2</c:v>
                </c:pt>
                <c:pt idx="2458">
                  <c:v>2.0884304149154542E-2</c:v>
                </c:pt>
                <c:pt idx="2459">
                  <c:v>2.5996485513034351E-2</c:v>
                </c:pt>
                <c:pt idx="2460">
                  <c:v>2.5212772294064045E-2</c:v>
                </c:pt>
                <c:pt idx="2461">
                  <c:v>2.7627548883909725E-2</c:v>
                </c:pt>
                <c:pt idx="2462">
                  <c:v>3.0381110376936693E-2</c:v>
                </c:pt>
                <c:pt idx="2463">
                  <c:v>2.3711488751423371E-2</c:v>
                </c:pt>
                <c:pt idx="2464">
                  <c:v>2.3096898690760592E-2</c:v>
                </c:pt>
                <c:pt idx="2465">
                  <c:v>2.0414212957366895E-2</c:v>
                </c:pt>
                <c:pt idx="2466">
                  <c:v>2.250120101897557E-2</c:v>
                </c:pt>
                <c:pt idx="2467">
                  <c:v>2.0384412097569915E-2</c:v>
                </c:pt>
                <c:pt idx="2468">
                  <c:v>2.3477763111207417E-2</c:v>
                </c:pt>
                <c:pt idx="2469">
                  <c:v>2.1063502783096211E-2</c:v>
                </c:pt>
                <c:pt idx="2470">
                  <c:v>2.7984179699479972E-2</c:v>
                </c:pt>
                <c:pt idx="2471">
                  <c:v>2.1815750547001356E-2</c:v>
                </c:pt>
                <c:pt idx="2472">
                  <c:v>2.5738224882713046E-2</c:v>
                </c:pt>
                <c:pt idx="2473">
                  <c:v>2.4652956208126908E-2</c:v>
                </c:pt>
                <c:pt idx="2474">
                  <c:v>2.2285573840807871E-2</c:v>
                </c:pt>
                <c:pt idx="2475">
                  <c:v>2.8376108864668348E-2</c:v>
                </c:pt>
                <c:pt idx="2476">
                  <c:v>2.4973577070066644E-2</c:v>
                </c:pt>
                <c:pt idx="2477">
                  <c:v>2.1251207177938825E-2</c:v>
                </c:pt>
                <c:pt idx="2478">
                  <c:v>3.448088434058838E-2</c:v>
                </c:pt>
                <c:pt idx="2479">
                  <c:v>1.9759008446522897E-2</c:v>
                </c:pt>
                <c:pt idx="2480">
                  <c:v>2.0804742634664253E-2</c:v>
                </c:pt>
                <c:pt idx="2481">
                  <c:v>3.1592126457020697E-2</c:v>
                </c:pt>
                <c:pt idx="2482">
                  <c:v>2.6204738520210991E-2</c:v>
                </c:pt>
                <c:pt idx="2483">
                  <c:v>2.4356361051067976E-2</c:v>
                </c:pt>
                <c:pt idx="2484">
                  <c:v>3.2578825418174029E-2</c:v>
                </c:pt>
                <c:pt idx="2485">
                  <c:v>3.2159612517969727E-2</c:v>
                </c:pt>
                <c:pt idx="2486">
                  <c:v>2.6489420588921453E-2</c:v>
                </c:pt>
                <c:pt idx="2487">
                  <c:v>2.2566498361272558E-2</c:v>
                </c:pt>
                <c:pt idx="2488">
                  <c:v>2.4429636730115556E-2</c:v>
                </c:pt>
                <c:pt idx="2489">
                  <c:v>2.7359374632984546E-2</c:v>
                </c:pt>
                <c:pt idx="2490">
                  <c:v>2.7308769820590273E-2</c:v>
                </c:pt>
                <c:pt idx="2491">
                  <c:v>3.6573577792013978E-2</c:v>
                </c:pt>
                <c:pt idx="2492">
                  <c:v>2.1171114053392226E-2</c:v>
                </c:pt>
                <c:pt idx="2493">
                  <c:v>1.989195840086766E-2</c:v>
                </c:pt>
                <c:pt idx="2494">
                  <c:v>2.8169227439343025E-2</c:v>
                </c:pt>
                <c:pt idx="2495">
                  <c:v>2.5964044741881631E-2</c:v>
                </c:pt>
                <c:pt idx="2496">
                  <c:v>2.3569447009343936E-2</c:v>
                </c:pt>
                <c:pt idx="2497">
                  <c:v>2.7548245500286672E-2</c:v>
                </c:pt>
                <c:pt idx="2498">
                  <c:v>2.9751580817919843E-2</c:v>
                </c:pt>
                <c:pt idx="2499">
                  <c:v>2.4369274570939736E-2</c:v>
                </c:pt>
                <c:pt idx="2500">
                  <c:v>2.4443891135194962E-2</c:v>
                </c:pt>
                <c:pt idx="2501">
                  <c:v>2.259171704935059E-2</c:v>
                </c:pt>
                <c:pt idx="2502">
                  <c:v>2.7655440970591139E-2</c:v>
                </c:pt>
                <c:pt idx="2503">
                  <c:v>2.8408971017020557E-2</c:v>
                </c:pt>
                <c:pt idx="2504">
                  <c:v>2.4384788933711654E-2</c:v>
                </c:pt>
                <c:pt idx="2505">
                  <c:v>2.592063550182433E-2</c:v>
                </c:pt>
                <c:pt idx="2506">
                  <c:v>2.0840807005072182E-2</c:v>
                </c:pt>
                <c:pt idx="2507">
                  <c:v>2.6194328172100434E-2</c:v>
                </c:pt>
                <c:pt idx="2508">
                  <c:v>2.8349483712189372E-2</c:v>
                </c:pt>
                <c:pt idx="2509">
                  <c:v>2.5010477226363625E-2</c:v>
                </c:pt>
                <c:pt idx="2510">
                  <c:v>2.5195258463547532E-2</c:v>
                </c:pt>
                <c:pt idx="2511">
                  <c:v>2.1999892735876103E-2</c:v>
                </c:pt>
                <c:pt idx="2512">
                  <c:v>2.126666851923531E-2</c:v>
                </c:pt>
                <c:pt idx="2513">
                  <c:v>2.5140215195538773E-2</c:v>
                </c:pt>
                <c:pt idx="2514">
                  <c:v>2.1785605047614065E-2</c:v>
                </c:pt>
                <c:pt idx="2515">
                  <c:v>3.3037003521613206E-2</c:v>
                </c:pt>
                <c:pt idx="2516">
                  <c:v>2.4546765355251687E-2</c:v>
                </c:pt>
                <c:pt idx="2517">
                  <c:v>3.1685310304791159E-2</c:v>
                </c:pt>
                <c:pt idx="2518">
                  <c:v>2.5242672220301965E-2</c:v>
                </c:pt>
                <c:pt idx="2519">
                  <c:v>2.1753241018070524E-2</c:v>
                </c:pt>
                <c:pt idx="2520">
                  <c:v>2.3824424494094387E-2</c:v>
                </c:pt>
                <c:pt idx="2521">
                  <c:v>2.9654437103115772E-2</c:v>
                </c:pt>
                <c:pt idx="2522">
                  <c:v>2.235960995943731E-2</c:v>
                </c:pt>
                <c:pt idx="2523">
                  <c:v>1.9943359930695403E-2</c:v>
                </c:pt>
                <c:pt idx="2524">
                  <c:v>2.7884214684062103E-2</c:v>
                </c:pt>
                <c:pt idx="2525">
                  <c:v>2.2409024579238324E-2</c:v>
                </c:pt>
                <c:pt idx="2526">
                  <c:v>3.0373023206631267E-2</c:v>
                </c:pt>
                <c:pt idx="2527">
                  <c:v>2.456305829653127E-2</c:v>
                </c:pt>
                <c:pt idx="2528">
                  <c:v>2.6348070916626609E-2</c:v>
                </c:pt>
                <c:pt idx="2529">
                  <c:v>2.1175326470085132E-2</c:v>
                </c:pt>
                <c:pt idx="2530">
                  <c:v>2.7906330220525355E-2</c:v>
                </c:pt>
                <c:pt idx="2531">
                  <c:v>2.5719497139469527E-2</c:v>
                </c:pt>
                <c:pt idx="2532">
                  <c:v>2.077719518757315E-2</c:v>
                </c:pt>
                <c:pt idx="2533">
                  <c:v>2.7208988985034432E-2</c:v>
                </c:pt>
                <c:pt idx="2534">
                  <c:v>2.6343202708000724E-2</c:v>
                </c:pt>
                <c:pt idx="2535">
                  <c:v>2.2167606639178716E-2</c:v>
                </c:pt>
                <c:pt idx="2536">
                  <c:v>2.5378497892037943E-2</c:v>
                </c:pt>
                <c:pt idx="2537">
                  <c:v>2.4914102322953324E-2</c:v>
                </c:pt>
                <c:pt idx="2538">
                  <c:v>2.7985033624294831E-2</c:v>
                </c:pt>
                <c:pt idx="2539">
                  <c:v>2.2752754432654676E-2</c:v>
                </c:pt>
                <c:pt idx="2540">
                  <c:v>2.695619096198465E-2</c:v>
                </c:pt>
                <c:pt idx="2541">
                  <c:v>2.0985971432994188E-2</c:v>
                </c:pt>
                <c:pt idx="2542">
                  <c:v>2.7201906432158252E-2</c:v>
                </c:pt>
                <c:pt idx="2543">
                  <c:v>2.5363716062808184E-2</c:v>
                </c:pt>
                <c:pt idx="2544">
                  <c:v>2.352891906788579E-2</c:v>
                </c:pt>
                <c:pt idx="2545">
                  <c:v>2.4813209431715388E-2</c:v>
                </c:pt>
                <c:pt idx="2546">
                  <c:v>2.8174161227162209E-2</c:v>
                </c:pt>
                <c:pt idx="2547">
                  <c:v>2.6105676265177458E-2</c:v>
                </c:pt>
                <c:pt idx="2548">
                  <c:v>2.5868751197509754E-2</c:v>
                </c:pt>
                <c:pt idx="2549">
                  <c:v>2.6761138906888693E-2</c:v>
                </c:pt>
                <c:pt idx="2550">
                  <c:v>3.0700896848289361E-2</c:v>
                </c:pt>
                <c:pt idx="2551">
                  <c:v>2.4184172414299265E-2</c:v>
                </c:pt>
                <c:pt idx="2552">
                  <c:v>2.7364623759052353E-2</c:v>
                </c:pt>
                <c:pt idx="2553">
                  <c:v>2.1092897610015537E-2</c:v>
                </c:pt>
                <c:pt idx="2554">
                  <c:v>2.0305387774343875E-2</c:v>
                </c:pt>
                <c:pt idx="2555">
                  <c:v>2.1624382089145966E-2</c:v>
                </c:pt>
                <c:pt idx="2556">
                  <c:v>2.9137960492136683E-2</c:v>
                </c:pt>
                <c:pt idx="2557">
                  <c:v>2.3075999857628315E-2</c:v>
                </c:pt>
                <c:pt idx="2558">
                  <c:v>2.2556701946035429E-2</c:v>
                </c:pt>
                <c:pt idx="2559">
                  <c:v>2.387250520519768E-2</c:v>
                </c:pt>
                <c:pt idx="2560">
                  <c:v>2.855471589056835E-2</c:v>
                </c:pt>
                <c:pt idx="2561">
                  <c:v>2.4932075207822924E-2</c:v>
                </c:pt>
                <c:pt idx="2562">
                  <c:v>2.2159052042708294E-2</c:v>
                </c:pt>
                <c:pt idx="2563">
                  <c:v>2.3243695622005123E-2</c:v>
                </c:pt>
                <c:pt idx="2564">
                  <c:v>2.2115473971110799E-2</c:v>
                </c:pt>
                <c:pt idx="2565">
                  <c:v>3.2768176269359017E-2</c:v>
                </c:pt>
                <c:pt idx="2566">
                  <c:v>2.7485808527059064E-2</c:v>
                </c:pt>
                <c:pt idx="2567">
                  <c:v>3.9589436524005039E-2</c:v>
                </c:pt>
                <c:pt idx="2568">
                  <c:v>2.6528497416315133E-2</c:v>
                </c:pt>
                <c:pt idx="2569">
                  <c:v>2.1371090129193471E-2</c:v>
                </c:pt>
                <c:pt idx="2570">
                  <c:v>2.2098761043933712E-2</c:v>
                </c:pt>
                <c:pt idx="2571">
                  <c:v>2.4194346956374346E-2</c:v>
                </c:pt>
                <c:pt idx="2572">
                  <c:v>2.8240985029830856E-2</c:v>
                </c:pt>
                <c:pt idx="2573">
                  <c:v>2.7927971354313685E-2</c:v>
                </c:pt>
                <c:pt idx="2574">
                  <c:v>2.8761731264884238E-2</c:v>
                </c:pt>
                <c:pt idx="2575">
                  <c:v>2.7500216415356826E-2</c:v>
                </c:pt>
                <c:pt idx="2576">
                  <c:v>2.0639183077626577E-2</c:v>
                </c:pt>
                <c:pt idx="2577">
                  <c:v>2.1486251378530663E-2</c:v>
                </c:pt>
                <c:pt idx="2578">
                  <c:v>2.8771579306294814E-2</c:v>
                </c:pt>
                <c:pt idx="2579">
                  <c:v>2.4900389295044123E-2</c:v>
                </c:pt>
                <c:pt idx="2580">
                  <c:v>2.5086048177176634E-2</c:v>
                </c:pt>
                <c:pt idx="2581">
                  <c:v>2.1789168648883916E-2</c:v>
                </c:pt>
                <c:pt idx="2582">
                  <c:v>1.9724142640520137E-2</c:v>
                </c:pt>
                <c:pt idx="2583">
                  <c:v>2.4449539317630498E-2</c:v>
                </c:pt>
                <c:pt idx="2584">
                  <c:v>1.9918911449313126E-2</c:v>
                </c:pt>
                <c:pt idx="2585">
                  <c:v>2.5480659112780302E-2</c:v>
                </c:pt>
                <c:pt idx="2586">
                  <c:v>2.7679334121783361E-2</c:v>
                </c:pt>
                <c:pt idx="2587">
                  <c:v>2.3919457116995058E-2</c:v>
                </c:pt>
                <c:pt idx="2588">
                  <c:v>2.8496911319931151E-2</c:v>
                </c:pt>
                <c:pt idx="2589">
                  <c:v>2.1955395160270452E-2</c:v>
                </c:pt>
                <c:pt idx="2590">
                  <c:v>2.1772401304929412E-2</c:v>
                </c:pt>
                <c:pt idx="2591">
                  <c:v>2.8451547261792776E-2</c:v>
                </c:pt>
                <c:pt idx="2592">
                  <c:v>2.3617042155356427E-2</c:v>
                </c:pt>
                <c:pt idx="2593">
                  <c:v>2.4881810849113006E-2</c:v>
                </c:pt>
                <c:pt idx="2594">
                  <c:v>2.6618862754075767E-2</c:v>
                </c:pt>
                <c:pt idx="2595">
                  <c:v>2.287270296310262E-2</c:v>
                </c:pt>
                <c:pt idx="2596">
                  <c:v>2.8083767983361874E-2</c:v>
                </c:pt>
                <c:pt idx="2597">
                  <c:v>2.5886560832047101E-2</c:v>
                </c:pt>
                <c:pt idx="2598">
                  <c:v>2.5010460482739805E-2</c:v>
                </c:pt>
                <c:pt idx="2599">
                  <c:v>2.7783582714295374E-2</c:v>
                </c:pt>
                <c:pt idx="2600">
                  <c:v>2.8200716614541932E-2</c:v>
                </c:pt>
                <c:pt idx="2601">
                  <c:v>2.7150400254681628E-2</c:v>
                </c:pt>
                <c:pt idx="2602">
                  <c:v>2.5414202274533726E-2</c:v>
                </c:pt>
                <c:pt idx="2603">
                  <c:v>2.5156442557625058E-2</c:v>
                </c:pt>
                <c:pt idx="2604">
                  <c:v>2.2583469419316882E-2</c:v>
                </c:pt>
                <c:pt idx="2605">
                  <c:v>2.2528410802986287E-2</c:v>
                </c:pt>
                <c:pt idx="2606">
                  <c:v>2.3062659375349126E-2</c:v>
                </c:pt>
                <c:pt idx="2607">
                  <c:v>3.0614270919848696E-2</c:v>
                </c:pt>
                <c:pt idx="2608">
                  <c:v>2.7683193527074046E-2</c:v>
                </c:pt>
                <c:pt idx="2609">
                  <c:v>2.7272631499177136E-2</c:v>
                </c:pt>
                <c:pt idx="2610">
                  <c:v>2.6240321511434073E-2</c:v>
                </c:pt>
                <c:pt idx="2611">
                  <c:v>2.3640840426013665E-2</c:v>
                </c:pt>
                <c:pt idx="2612">
                  <c:v>1.9233177731035944E-2</c:v>
                </c:pt>
                <c:pt idx="2613">
                  <c:v>2.7124369500848289E-2</c:v>
                </c:pt>
                <c:pt idx="2614">
                  <c:v>2.728110935403838E-2</c:v>
                </c:pt>
                <c:pt idx="2615">
                  <c:v>2.584195023698066E-2</c:v>
                </c:pt>
                <c:pt idx="2616">
                  <c:v>2.2262302994300986E-2</c:v>
                </c:pt>
                <c:pt idx="2617">
                  <c:v>2.9860472975438146E-2</c:v>
                </c:pt>
                <c:pt idx="2618">
                  <c:v>2.1169735495030984E-2</c:v>
                </c:pt>
                <c:pt idx="2619">
                  <c:v>2.3419364141924581E-2</c:v>
                </c:pt>
                <c:pt idx="2620">
                  <c:v>2.2180845264412996E-2</c:v>
                </c:pt>
                <c:pt idx="2621">
                  <c:v>2.5044804445800151E-2</c:v>
                </c:pt>
                <c:pt idx="2622">
                  <c:v>2.6812751127316181E-2</c:v>
                </c:pt>
                <c:pt idx="2623">
                  <c:v>2.7641596784295341E-2</c:v>
                </c:pt>
                <c:pt idx="2624">
                  <c:v>2.7570126626016433E-2</c:v>
                </c:pt>
                <c:pt idx="2625">
                  <c:v>3.1140269071573856E-2</c:v>
                </c:pt>
                <c:pt idx="2626">
                  <c:v>2.5054312033526371E-2</c:v>
                </c:pt>
                <c:pt idx="2627">
                  <c:v>2.8397275595781757E-2</c:v>
                </c:pt>
                <c:pt idx="2628">
                  <c:v>2.4989596532157154E-2</c:v>
                </c:pt>
                <c:pt idx="2629">
                  <c:v>2.5050620064473894E-2</c:v>
                </c:pt>
                <c:pt idx="2630">
                  <c:v>2.3027902402901201E-2</c:v>
                </c:pt>
                <c:pt idx="2631">
                  <c:v>2.4177904717782361E-2</c:v>
                </c:pt>
                <c:pt idx="2632">
                  <c:v>2.3506557958273167E-2</c:v>
                </c:pt>
                <c:pt idx="2633">
                  <c:v>2.4320824104810401E-2</c:v>
                </c:pt>
                <c:pt idx="2634">
                  <c:v>2.4573200746660695E-2</c:v>
                </c:pt>
                <c:pt idx="2635">
                  <c:v>2.0239177904548655E-2</c:v>
                </c:pt>
                <c:pt idx="2636">
                  <c:v>3.1321055559174527E-2</c:v>
                </c:pt>
                <c:pt idx="2637">
                  <c:v>2.429055721415041E-2</c:v>
                </c:pt>
                <c:pt idx="2638">
                  <c:v>2.5128826740736687E-2</c:v>
                </c:pt>
                <c:pt idx="2639">
                  <c:v>2.3846265156066582E-2</c:v>
                </c:pt>
                <c:pt idx="2640">
                  <c:v>2.4335431521292028E-2</c:v>
                </c:pt>
                <c:pt idx="2641">
                  <c:v>1.9976933687059995E-2</c:v>
                </c:pt>
                <c:pt idx="2642">
                  <c:v>2.7681588929791223E-2</c:v>
                </c:pt>
                <c:pt idx="2643">
                  <c:v>2.2284445041501955E-2</c:v>
                </c:pt>
                <c:pt idx="2644">
                  <c:v>2.8636569886220098E-2</c:v>
                </c:pt>
                <c:pt idx="2645">
                  <c:v>2.0748351504937923E-2</c:v>
                </c:pt>
                <c:pt idx="2646">
                  <c:v>3.1378664787533816E-2</c:v>
                </c:pt>
                <c:pt idx="2647">
                  <c:v>2.0782655004240702E-2</c:v>
                </c:pt>
                <c:pt idx="2648">
                  <c:v>2.6862485271271774E-2</c:v>
                </c:pt>
                <c:pt idx="2649">
                  <c:v>2.7217966358006329E-2</c:v>
                </c:pt>
                <c:pt idx="2650">
                  <c:v>2.5436831282127481E-2</c:v>
                </c:pt>
                <c:pt idx="2651">
                  <c:v>2.4573124005051517E-2</c:v>
                </c:pt>
                <c:pt idx="2652">
                  <c:v>3.1487498342368747E-2</c:v>
                </c:pt>
                <c:pt idx="2653">
                  <c:v>2.8268508756788213E-2</c:v>
                </c:pt>
                <c:pt idx="2654">
                  <c:v>2.6742999981082871E-2</c:v>
                </c:pt>
                <c:pt idx="2655">
                  <c:v>2.5687925641453502E-2</c:v>
                </c:pt>
                <c:pt idx="2656">
                  <c:v>1.8884315956918529E-2</c:v>
                </c:pt>
                <c:pt idx="2657">
                  <c:v>2.9726242133871095E-2</c:v>
                </c:pt>
                <c:pt idx="2658">
                  <c:v>3.1469493365553491E-2</c:v>
                </c:pt>
                <c:pt idx="2659">
                  <c:v>2.1710417804846949E-2</c:v>
                </c:pt>
                <c:pt idx="2660">
                  <c:v>2.3332724260464066E-2</c:v>
                </c:pt>
                <c:pt idx="2661">
                  <c:v>2.6029170462034457E-2</c:v>
                </c:pt>
                <c:pt idx="2662">
                  <c:v>2.5800204196889553E-2</c:v>
                </c:pt>
                <c:pt idx="2663">
                  <c:v>1.9901364131548971E-2</c:v>
                </c:pt>
                <c:pt idx="2664">
                  <c:v>2.1818476967080169E-2</c:v>
                </c:pt>
                <c:pt idx="2665">
                  <c:v>2.6953696162035357E-2</c:v>
                </c:pt>
                <c:pt idx="2666">
                  <c:v>2.4755909960396782E-2</c:v>
                </c:pt>
                <c:pt idx="2667">
                  <c:v>2.4939470308343759E-2</c:v>
                </c:pt>
                <c:pt idx="2668">
                  <c:v>2.7235519256978424E-2</c:v>
                </c:pt>
                <c:pt idx="2669">
                  <c:v>2.3236276801350542E-2</c:v>
                </c:pt>
                <c:pt idx="2670">
                  <c:v>3.3567324318888092E-2</c:v>
                </c:pt>
                <c:pt idx="2671">
                  <c:v>2.2284551084452819E-2</c:v>
                </c:pt>
                <c:pt idx="2672">
                  <c:v>2.1677688206183321E-2</c:v>
                </c:pt>
                <c:pt idx="2673">
                  <c:v>2.4578423361990787E-2</c:v>
                </c:pt>
                <c:pt idx="2674">
                  <c:v>2.2835020042392018E-2</c:v>
                </c:pt>
                <c:pt idx="2675">
                  <c:v>2.8608529897528268E-2</c:v>
                </c:pt>
                <c:pt idx="2676">
                  <c:v>2.3299687695363724E-2</c:v>
                </c:pt>
                <c:pt idx="2677">
                  <c:v>2.4071164115925026E-2</c:v>
                </c:pt>
                <c:pt idx="2678">
                  <c:v>2.7988220494028715E-2</c:v>
                </c:pt>
                <c:pt idx="2679">
                  <c:v>2.8599795307101772E-2</c:v>
                </c:pt>
                <c:pt idx="2680">
                  <c:v>2.1092498553647809E-2</c:v>
                </c:pt>
                <c:pt idx="2681">
                  <c:v>2.1806040640487301E-2</c:v>
                </c:pt>
                <c:pt idx="2682">
                  <c:v>3.0924725611525261E-2</c:v>
                </c:pt>
                <c:pt idx="2683">
                  <c:v>2.4551944716220242E-2</c:v>
                </c:pt>
                <c:pt idx="2684">
                  <c:v>2.7778294519771984E-2</c:v>
                </c:pt>
                <c:pt idx="2685">
                  <c:v>3.0290083666035139E-2</c:v>
                </c:pt>
                <c:pt idx="2686">
                  <c:v>2.2130078596988456E-2</c:v>
                </c:pt>
                <c:pt idx="2687">
                  <c:v>2.6986792725121056E-2</c:v>
                </c:pt>
                <c:pt idx="2688">
                  <c:v>2.755151329753569E-2</c:v>
                </c:pt>
                <c:pt idx="2689">
                  <c:v>2.373607536770217E-2</c:v>
                </c:pt>
                <c:pt idx="2690">
                  <c:v>2.4402756237373313E-2</c:v>
                </c:pt>
                <c:pt idx="2691">
                  <c:v>2.51055935673834E-2</c:v>
                </c:pt>
                <c:pt idx="2692">
                  <c:v>2.2698369747182867E-2</c:v>
                </c:pt>
                <c:pt idx="2693">
                  <c:v>2.7166588548312331E-2</c:v>
                </c:pt>
                <c:pt idx="2694">
                  <c:v>2.9098473445959394E-2</c:v>
                </c:pt>
                <c:pt idx="2695">
                  <c:v>2.2301375635788712E-2</c:v>
                </c:pt>
                <c:pt idx="2696">
                  <c:v>2.0676479499687317E-2</c:v>
                </c:pt>
                <c:pt idx="2697">
                  <c:v>2.6802643559736383E-2</c:v>
                </c:pt>
                <c:pt idx="2698">
                  <c:v>2.4058380359137876E-2</c:v>
                </c:pt>
                <c:pt idx="2699">
                  <c:v>2.4555612965138973E-2</c:v>
                </c:pt>
                <c:pt idx="2700">
                  <c:v>2.2461457237233029E-2</c:v>
                </c:pt>
                <c:pt idx="2701">
                  <c:v>2.0725119726886621E-2</c:v>
                </c:pt>
                <c:pt idx="2702">
                  <c:v>2.1316846369222153E-2</c:v>
                </c:pt>
                <c:pt idx="2703">
                  <c:v>2.1993932005795913E-2</c:v>
                </c:pt>
                <c:pt idx="2704">
                  <c:v>3.1916922062499742E-2</c:v>
                </c:pt>
                <c:pt idx="2705">
                  <c:v>2.312952364177534E-2</c:v>
                </c:pt>
                <c:pt idx="2706">
                  <c:v>2.1008899035212747E-2</c:v>
                </c:pt>
                <c:pt idx="2707">
                  <c:v>2.4484315824306213E-2</c:v>
                </c:pt>
                <c:pt idx="2708">
                  <c:v>3.2785812886450216E-2</c:v>
                </c:pt>
                <c:pt idx="2709">
                  <c:v>2.3667151635546002E-2</c:v>
                </c:pt>
                <c:pt idx="2710">
                  <c:v>2.0129525307448493E-2</c:v>
                </c:pt>
                <c:pt idx="2711">
                  <c:v>2.9263074430533331E-2</c:v>
                </c:pt>
                <c:pt idx="2712">
                  <c:v>2.1087255008787942E-2</c:v>
                </c:pt>
                <c:pt idx="2713">
                  <c:v>2.3331234077944019E-2</c:v>
                </c:pt>
                <c:pt idx="2714">
                  <c:v>2.295503694263723E-2</c:v>
                </c:pt>
                <c:pt idx="2715">
                  <c:v>2.8702821615074869E-2</c:v>
                </c:pt>
                <c:pt idx="2716">
                  <c:v>2.3640765079706472E-2</c:v>
                </c:pt>
                <c:pt idx="2717">
                  <c:v>2.5253563947597368E-2</c:v>
                </c:pt>
                <c:pt idx="2718">
                  <c:v>2.2074693479993357E-2</c:v>
                </c:pt>
                <c:pt idx="2719">
                  <c:v>2.2937103126223213E-2</c:v>
                </c:pt>
                <c:pt idx="2720">
                  <c:v>2.8366271985673652E-2</c:v>
                </c:pt>
                <c:pt idx="2721">
                  <c:v>1.9465326680008777E-2</c:v>
                </c:pt>
                <c:pt idx="2722">
                  <c:v>2.5314800961117823E-2</c:v>
                </c:pt>
                <c:pt idx="2723">
                  <c:v>2.1388626284541745E-2</c:v>
                </c:pt>
                <c:pt idx="2724">
                  <c:v>2.4795419331405832E-2</c:v>
                </c:pt>
                <c:pt idx="2725">
                  <c:v>1.9598557090052537E-2</c:v>
                </c:pt>
                <c:pt idx="2726">
                  <c:v>2.6259377150644081E-2</c:v>
                </c:pt>
                <c:pt idx="2727">
                  <c:v>2.4525245612736057E-2</c:v>
                </c:pt>
                <c:pt idx="2728">
                  <c:v>2.8319970284601315E-2</c:v>
                </c:pt>
                <c:pt idx="2729">
                  <c:v>2.1314432496787994E-2</c:v>
                </c:pt>
                <c:pt idx="2730">
                  <c:v>2.117220657484653E-2</c:v>
                </c:pt>
                <c:pt idx="2731">
                  <c:v>2.5215209886631951E-2</c:v>
                </c:pt>
                <c:pt idx="2732">
                  <c:v>2.1244025558621704E-2</c:v>
                </c:pt>
                <c:pt idx="2733">
                  <c:v>2.9890974276831628E-2</c:v>
                </c:pt>
                <c:pt idx="2734">
                  <c:v>2.8998779119126628E-2</c:v>
                </c:pt>
                <c:pt idx="2735">
                  <c:v>2.0470897100510088E-2</c:v>
                </c:pt>
                <c:pt idx="2736">
                  <c:v>2.4687813642317757E-2</c:v>
                </c:pt>
                <c:pt idx="2737">
                  <c:v>2.4764544089080354E-2</c:v>
                </c:pt>
                <c:pt idx="2738">
                  <c:v>2.2716938426000088E-2</c:v>
                </c:pt>
                <c:pt idx="2739">
                  <c:v>2.0822942953757417E-2</c:v>
                </c:pt>
                <c:pt idx="2740">
                  <c:v>1.9316037739418923E-2</c:v>
                </c:pt>
                <c:pt idx="2741">
                  <c:v>2.0631074977791375E-2</c:v>
                </c:pt>
                <c:pt idx="2742">
                  <c:v>3.1808230828467288E-2</c:v>
                </c:pt>
                <c:pt idx="2743">
                  <c:v>2.6160084670783013E-2</c:v>
                </c:pt>
                <c:pt idx="2744">
                  <c:v>2.8108375529170448E-2</c:v>
                </c:pt>
                <c:pt idx="2745">
                  <c:v>2.2233480241195536E-2</c:v>
                </c:pt>
                <c:pt idx="2746">
                  <c:v>2.1525707728064281E-2</c:v>
                </c:pt>
                <c:pt idx="2747">
                  <c:v>2.729170248670898E-2</c:v>
                </c:pt>
                <c:pt idx="2748">
                  <c:v>2.0460429545018144E-2</c:v>
                </c:pt>
                <c:pt idx="2749">
                  <c:v>2.794088068827949E-2</c:v>
                </c:pt>
                <c:pt idx="2750">
                  <c:v>3.117390701182976E-2</c:v>
                </c:pt>
                <c:pt idx="2751">
                  <c:v>2.5132681960121417E-2</c:v>
                </c:pt>
                <c:pt idx="2752">
                  <c:v>2.1935244209002169E-2</c:v>
                </c:pt>
                <c:pt idx="2753">
                  <c:v>2.564992877779626E-2</c:v>
                </c:pt>
                <c:pt idx="2754">
                  <c:v>2.3050255140701914E-2</c:v>
                </c:pt>
                <c:pt idx="2755">
                  <c:v>2.6971801600593537E-2</c:v>
                </c:pt>
                <c:pt idx="2756">
                  <c:v>1.8671978900831609E-2</c:v>
                </c:pt>
                <c:pt idx="2757">
                  <c:v>2.2446728429478702E-2</c:v>
                </c:pt>
                <c:pt idx="2758">
                  <c:v>2.9105486233736322E-2</c:v>
                </c:pt>
                <c:pt idx="2759">
                  <c:v>2.6620087829218653E-2</c:v>
                </c:pt>
                <c:pt idx="2760">
                  <c:v>2.4996288400477518E-2</c:v>
                </c:pt>
                <c:pt idx="2761">
                  <c:v>2.429530821740955E-2</c:v>
                </c:pt>
                <c:pt idx="2762">
                  <c:v>2.7480894273467671E-2</c:v>
                </c:pt>
                <c:pt idx="2763">
                  <c:v>2.0681596072066544E-2</c:v>
                </c:pt>
                <c:pt idx="2764">
                  <c:v>2.5489499746157662E-2</c:v>
                </c:pt>
                <c:pt idx="2765">
                  <c:v>2.2017800041552404E-2</c:v>
                </c:pt>
                <c:pt idx="2766">
                  <c:v>1.8669599910947077E-2</c:v>
                </c:pt>
                <c:pt idx="2767">
                  <c:v>2.983870905507513E-2</c:v>
                </c:pt>
                <c:pt idx="2768">
                  <c:v>2.3020390097013621E-2</c:v>
                </c:pt>
                <c:pt idx="2769">
                  <c:v>2.2846541050882685E-2</c:v>
                </c:pt>
                <c:pt idx="2770">
                  <c:v>2.3857444315570908E-2</c:v>
                </c:pt>
                <c:pt idx="2771">
                  <c:v>2.4639212483574036E-2</c:v>
                </c:pt>
                <c:pt idx="2772">
                  <c:v>2.8299501204480437E-2</c:v>
                </c:pt>
                <c:pt idx="2773">
                  <c:v>2.4563469910616864E-2</c:v>
                </c:pt>
                <c:pt idx="2774">
                  <c:v>2.573159580298201E-2</c:v>
                </c:pt>
                <c:pt idx="2775">
                  <c:v>2.8851678012049353E-2</c:v>
                </c:pt>
                <c:pt idx="2776">
                  <c:v>2.2041694588046612E-2</c:v>
                </c:pt>
                <c:pt idx="2777">
                  <c:v>2.5541677063889101E-2</c:v>
                </c:pt>
                <c:pt idx="2778">
                  <c:v>2.3205700153649866E-2</c:v>
                </c:pt>
                <c:pt idx="2779">
                  <c:v>2.331989724931538E-2</c:v>
                </c:pt>
                <c:pt idx="2780">
                  <c:v>2.1387503066443769E-2</c:v>
                </c:pt>
                <c:pt idx="2781">
                  <c:v>2.298614938630017E-2</c:v>
                </c:pt>
                <c:pt idx="2782">
                  <c:v>2.8745707616887772E-2</c:v>
                </c:pt>
                <c:pt idx="2783">
                  <c:v>2.6175079981216487E-2</c:v>
                </c:pt>
                <c:pt idx="2784">
                  <c:v>2.4149789382783338E-2</c:v>
                </c:pt>
                <c:pt idx="2785">
                  <c:v>3.0715647980875449E-2</c:v>
                </c:pt>
                <c:pt idx="2786">
                  <c:v>2.4320306447773943E-2</c:v>
                </c:pt>
                <c:pt idx="2787">
                  <c:v>2.9435581196154637E-2</c:v>
                </c:pt>
                <c:pt idx="2788">
                  <c:v>2.2129555358744057E-2</c:v>
                </c:pt>
                <c:pt idx="2789">
                  <c:v>2.8396762124651254E-2</c:v>
                </c:pt>
                <c:pt idx="2790">
                  <c:v>2.2583727550184118E-2</c:v>
                </c:pt>
                <c:pt idx="2791">
                  <c:v>3.0639682159600667E-2</c:v>
                </c:pt>
                <c:pt idx="2792">
                  <c:v>2.0078330282314538E-2</c:v>
                </c:pt>
                <c:pt idx="2793">
                  <c:v>2.3459445586747507E-2</c:v>
                </c:pt>
                <c:pt idx="2794">
                  <c:v>2.6479126050875657E-2</c:v>
                </c:pt>
                <c:pt idx="2795">
                  <c:v>2.4298331836811182E-2</c:v>
                </c:pt>
                <c:pt idx="2796">
                  <c:v>2.0776953800329734E-2</c:v>
                </c:pt>
                <c:pt idx="2797">
                  <c:v>2.156797282049383E-2</c:v>
                </c:pt>
                <c:pt idx="2798">
                  <c:v>3.1829227332738519E-2</c:v>
                </c:pt>
                <c:pt idx="2799">
                  <c:v>2.2811599898572732E-2</c:v>
                </c:pt>
                <c:pt idx="2800">
                  <c:v>1.9865305342348982E-2</c:v>
                </c:pt>
                <c:pt idx="2801">
                  <c:v>3.204489636996577E-2</c:v>
                </c:pt>
                <c:pt idx="2802">
                  <c:v>2.8338061770139644E-2</c:v>
                </c:pt>
                <c:pt idx="2803">
                  <c:v>2.4078623400337174E-2</c:v>
                </c:pt>
                <c:pt idx="2804">
                  <c:v>2.6804211879167594E-2</c:v>
                </c:pt>
                <c:pt idx="2805">
                  <c:v>2.249083671583052E-2</c:v>
                </c:pt>
                <c:pt idx="2806">
                  <c:v>2.5274268833753721E-2</c:v>
                </c:pt>
                <c:pt idx="2807">
                  <c:v>1.999107507267861E-2</c:v>
                </c:pt>
                <c:pt idx="2808">
                  <c:v>2.3591477432386099E-2</c:v>
                </c:pt>
                <c:pt idx="2809">
                  <c:v>2.9550590357575457E-2</c:v>
                </c:pt>
                <c:pt idx="2810">
                  <c:v>2.4487936632957452E-2</c:v>
                </c:pt>
                <c:pt idx="2811">
                  <c:v>2.6083464452877236E-2</c:v>
                </c:pt>
                <c:pt idx="2812">
                  <c:v>2.3571239972394742E-2</c:v>
                </c:pt>
                <c:pt idx="2813">
                  <c:v>2.2796026933117441E-2</c:v>
                </c:pt>
                <c:pt idx="2814">
                  <c:v>2.1453696192615168E-2</c:v>
                </c:pt>
                <c:pt idx="2815">
                  <c:v>2.4545205407632387E-2</c:v>
                </c:pt>
                <c:pt idx="2816">
                  <c:v>1.8859513068832046E-2</c:v>
                </c:pt>
                <c:pt idx="2817">
                  <c:v>3.0831047826852087E-2</c:v>
                </c:pt>
                <c:pt idx="2818">
                  <c:v>2.6069890955166541E-2</c:v>
                </c:pt>
                <c:pt idx="2819">
                  <c:v>3.2386025380481964E-2</c:v>
                </c:pt>
                <c:pt idx="2820">
                  <c:v>2.8829576428605952E-2</c:v>
                </c:pt>
                <c:pt idx="2821">
                  <c:v>2.2661039837874486E-2</c:v>
                </c:pt>
                <c:pt idx="2822">
                  <c:v>2.9725890517770859E-2</c:v>
                </c:pt>
                <c:pt idx="2823">
                  <c:v>2.8514648398765274E-2</c:v>
                </c:pt>
                <c:pt idx="2824">
                  <c:v>2.275680918022327E-2</c:v>
                </c:pt>
                <c:pt idx="2825">
                  <c:v>2.6446344826038581E-2</c:v>
                </c:pt>
                <c:pt idx="2826">
                  <c:v>1.8464445869479262E-2</c:v>
                </c:pt>
                <c:pt idx="2827">
                  <c:v>2.7075489281707554E-2</c:v>
                </c:pt>
                <c:pt idx="2828">
                  <c:v>2.4408866264765905E-2</c:v>
                </c:pt>
                <c:pt idx="2829">
                  <c:v>2.7757183600737978E-2</c:v>
                </c:pt>
                <c:pt idx="2830">
                  <c:v>2.03176413163767E-2</c:v>
                </c:pt>
                <c:pt idx="2831">
                  <c:v>2.0370851157577086E-2</c:v>
                </c:pt>
                <c:pt idx="2832">
                  <c:v>2.5788885507186721E-2</c:v>
                </c:pt>
                <c:pt idx="2833">
                  <c:v>2.5731316742584998E-2</c:v>
                </c:pt>
                <c:pt idx="2834">
                  <c:v>2.4760595384462625E-2</c:v>
                </c:pt>
                <c:pt idx="2835">
                  <c:v>2.413019097110114E-2</c:v>
                </c:pt>
                <c:pt idx="2836">
                  <c:v>2.8218702057129397E-2</c:v>
                </c:pt>
                <c:pt idx="2837">
                  <c:v>2.811591574109773E-2</c:v>
                </c:pt>
                <c:pt idx="2838">
                  <c:v>2.4168715258908735E-2</c:v>
                </c:pt>
                <c:pt idx="2839">
                  <c:v>2.3716259288910302E-2</c:v>
                </c:pt>
                <c:pt idx="2840">
                  <c:v>2.626543415656124E-2</c:v>
                </c:pt>
                <c:pt idx="2841">
                  <c:v>2.3437927239533862E-2</c:v>
                </c:pt>
                <c:pt idx="2842">
                  <c:v>2.8073266940622288E-2</c:v>
                </c:pt>
                <c:pt idx="2843">
                  <c:v>3.1088154542431745E-2</c:v>
                </c:pt>
                <c:pt idx="2844">
                  <c:v>3.6344137124194154E-2</c:v>
                </c:pt>
                <c:pt idx="2845">
                  <c:v>2.5422636875033433E-2</c:v>
                </c:pt>
                <c:pt idx="2846">
                  <c:v>2.1845054679291653E-2</c:v>
                </c:pt>
                <c:pt idx="2847">
                  <c:v>2.6712180550836795E-2</c:v>
                </c:pt>
                <c:pt idx="2848">
                  <c:v>2.5371154417690556E-2</c:v>
                </c:pt>
                <c:pt idx="2849">
                  <c:v>2.0655653222258263E-2</c:v>
                </c:pt>
                <c:pt idx="2850">
                  <c:v>2.1242140505639884E-2</c:v>
                </c:pt>
                <c:pt idx="2851">
                  <c:v>2.8833349325173563E-2</c:v>
                </c:pt>
                <c:pt idx="2852">
                  <c:v>2.6203658556474552E-2</c:v>
                </c:pt>
                <c:pt idx="2853">
                  <c:v>2.6273646904045322E-2</c:v>
                </c:pt>
                <c:pt idx="2854">
                  <c:v>2.1471430480845322E-2</c:v>
                </c:pt>
                <c:pt idx="2855">
                  <c:v>2.002352700624721E-2</c:v>
                </c:pt>
                <c:pt idx="2856">
                  <c:v>2.5588308056229914E-2</c:v>
                </c:pt>
                <c:pt idx="2857">
                  <c:v>2.4851479774561702E-2</c:v>
                </c:pt>
                <c:pt idx="2858">
                  <c:v>2.0377337916505645E-2</c:v>
                </c:pt>
                <c:pt idx="2859">
                  <c:v>2.7013105329955378E-2</c:v>
                </c:pt>
                <c:pt idx="2860">
                  <c:v>2.2302532341134329E-2</c:v>
                </c:pt>
                <c:pt idx="2861">
                  <c:v>2.3089517543259608E-2</c:v>
                </c:pt>
                <c:pt idx="2862">
                  <c:v>2.7687203624979118E-2</c:v>
                </c:pt>
                <c:pt idx="2863">
                  <c:v>2.197289085186116E-2</c:v>
                </c:pt>
                <c:pt idx="2864">
                  <c:v>2.944979374217449E-2</c:v>
                </c:pt>
                <c:pt idx="2865">
                  <c:v>2.7264815017456812E-2</c:v>
                </c:pt>
                <c:pt idx="2866">
                  <c:v>2.343500826778111E-2</c:v>
                </c:pt>
                <c:pt idx="2867">
                  <c:v>2.5762179427192611E-2</c:v>
                </c:pt>
                <c:pt idx="2868">
                  <c:v>2.2068194163346933E-2</c:v>
                </c:pt>
                <c:pt idx="2869">
                  <c:v>2.6042954650344896E-2</c:v>
                </c:pt>
                <c:pt idx="2870">
                  <c:v>2.5546033196686468E-2</c:v>
                </c:pt>
                <c:pt idx="2871">
                  <c:v>2.5532264356697865E-2</c:v>
                </c:pt>
                <c:pt idx="2872">
                  <c:v>2.820199471116025E-2</c:v>
                </c:pt>
                <c:pt idx="2873">
                  <c:v>2.6119184183694855E-2</c:v>
                </c:pt>
                <c:pt idx="2874">
                  <c:v>2.7711872564075035E-2</c:v>
                </c:pt>
                <c:pt idx="2875">
                  <c:v>2.3407707789141363E-2</c:v>
                </c:pt>
                <c:pt idx="2876">
                  <c:v>1.8924010903091593E-2</c:v>
                </c:pt>
                <c:pt idx="2877">
                  <c:v>2.312588329889631E-2</c:v>
                </c:pt>
                <c:pt idx="2878">
                  <c:v>2.3427226668610412E-2</c:v>
                </c:pt>
                <c:pt idx="2879">
                  <c:v>2.4547669510938008E-2</c:v>
                </c:pt>
                <c:pt idx="2880">
                  <c:v>2.4267300320663376E-2</c:v>
                </c:pt>
                <c:pt idx="2881">
                  <c:v>2.4442626991596494E-2</c:v>
                </c:pt>
                <c:pt idx="2882">
                  <c:v>2.3001393060486985E-2</c:v>
                </c:pt>
                <c:pt idx="2883">
                  <c:v>2.872887748434394E-2</c:v>
                </c:pt>
                <c:pt idx="2884">
                  <c:v>2.5003031894971328E-2</c:v>
                </c:pt>
                <c:pt idx="2885">
                  <c:v>1.9581092095105501E-2</c:v>
                </c:pt>
                <c:pt idx="2886">
                  <c:v>1.8766418520388628E-2</c:v>
                </c:pt>
                <c:pt idx="2887">
                  <c:v>2.341910740635933E-2</c:v>
                </c:pt>
                <c:pt idx="2888">
                  <c:v>3.0914311077508749E-2</c:v>
                </c:pt>
                <c:pt idx="2889">
                  <c:v>2.6970074216736029E-2</c:v>
                </c:pt>
                <c:pt idx="2890">
                  <c:v>2.98274461774517E-2</c:v>
                </c:pt>
                <c:pt idx="2891">
                  <c:v>2.2123618348797613E-2</c:v>
                </c:pt>
                <c:pt idx="2892">
                  <c:v>2.2839577098675234E-2</c:v>
                </c:pt>
                <c:pt idx="2893">
                  <c:v>2.3243378888454513E-2</c:v>
                </c:pt>
                <c:pt idx="2894">
                  <c:v>2.7823181384631468E-2</c:v>
                </c:pt>
                <c:pt idx="2895">
                  <c:v>2.3178627109233685E-2</c:v>
                </c:pt>
                <c:pt idx="2896">
                  <c:v>3.2426938425287988E-2</c:v>
                </c:pt>
                <c:pt idx="2897">
                  <c:v>2.1174355339903528E-2</c:v>
                </c:pt>
                <c:pt idx="2898">
                  <c:v>1.8839508624272194E-2</c:v>
                </c:pt>
                <c:pt idx="2899">
                  <c:v>2.4141261297050631E-2</c:v>
                </c:pt>
                <c:pt idx="2900">
                  <c:v>2.7734975974343712E-2</c:v>
                </c:pt>
                <c:pt idx="2901">
                  <c:v>2.1798900880229732E-2</c:v>
                </c:pt>
                <c:pt idx="2902">
                  <c:v>2.5576113116880461E-2</c:v>
                </c:pt>
                <c:pt idx="2903">
                  <c:v>2.5248401330252634E-2</c:v>
                </c:pt>
                <c:pt idx="2904">
                  <c:v>2.1456283082495475E-2</c:v>
                </c:pt>
                <c:pt idx="2905">
                  <c:v>2.492559821600826E-2</c:v>
                </c:pt>
                <c:pt idx="2906">
                  <c:v>2.4214709993544359E-2</c:v>
                </c:pt>
                <c:pt idx="2907">
                  <c:v>2.4682600794101561E-2</c:v>
                </c:pt>
                <c:pt idx="2908">
                  <c:v>2.1956352337432206E-2</c:v>
                </c:pt>
                <c:pt idx="2909">
                  <c:v>2.4575483460708258E-2</c:v>
                </c:pt>
                <c:pt idx="2910">
                  <c:v>2.3727608675256806E-2</c:v>
                </c:pt>
                <c:pt idx="2911">
                  <c:v>1.8927404277519266E-2</c:v>
                </c:pt>
                <c:pt idx="2912">
                  <c:v>2.2920427872199722E-2</c:v>
                </c:pt>
                <c:pt idx="2913">
                  <c:v>2.4421567698735935E-2</c:v>
                </c:pt>
                <c:pt idx="2914">
                  <c:v>2.2530831651930372E-2</c:v>
                </c:pt>
                <c:pt idx="2915">
                  <c:v>2.3273715544213758E-2</c:v>
                </c:pt>
                <c:pt idx="2916">
                  <c:v>2.434474097613637E-2</c:v>
                </c:pt>
                <c:pt idx="2917">
                  <c:v>2.350210275903486E-2</c:v>
                </c:pt>
                <c:pt idx="2918">
                  <c:v>2.5985611924664753E-2</c:v>
                </c:pt>
                <c:pt idx="2919">
                  <c:v>2.255694193797686E-2</c:v>
                </c:pt>
                <c:pt idx="2920">
                  <c:v>2.9560887686225223E-2</c:v>
                </c:pt>
                <c:pt idx="2921">
                  <c:v>2.4500984101819778E-2</c:v>
                </c:pt>
                <c:pt idx="2922">
                  <c:v>2.1094100360326662E-2</c:v>
                </c:pt>
                <c:pt idx="2923">
                  <c:v>2.3650343827833931E-2</c:v>
                </c:pt>
                <c:pt idx="2924">
                  <c:v>2.3092405818368689E-2</c:v>
                </c:pt>
                <c:pt idx="2925">
                  <c:v>2.6581926319927174E-2</c:v>
                </c:pt>
                <c:pt idx="2926">
                  <c:v>2.6267402927662165E-2</c:v>
                </c:pt>
                <c:pt idx="2927">
                  <c:v>2.4422301627580079E-2</c:v>
                </c:pt>
                <c:pt idx="2928">
                  <c:v>2.1725766126682644E-2</c:v>
                </c:pt>
                <c:pt idx="2929">
                  <c:v>2.4364907275726488E-2</c:v>
                </c:pt>
                <c:pt idx="2930">
                  <c:v>2.1097518850190067E-2</c:v>
                </c:pt>
                <c:pt idx="2931">
                  <c:v>2.4102785844812513E-2</c:v>
                </c:pt>
                <c:pt idx="2932">
                  <c:v>2.855296897248305E-2</c:v>
                </c:pt>
                <c:pt idx="2933">
                  <c:v>2.5241325753886379E-2</c:v>
                </c:pt>
                <c:pt idx="2934">
                  <c:v>2.6317008703835132E-2</c:v>
                </c:pt>
                <c:pt idx="2935">
                  <c:v>2.6671951204003452E-2</c:v>
                </c:pt>
                <c:pt idx="2936">
                  <c:v>2.1095350550905279E-2</c:v>
                </c:pt>
                <c:pt idx="2937">
                  <c:v>2.6305871403390357E-2</c:v>
                </c:pt>
                <c:pt idx="2938">
                  <c:v>3.2381233913465257E-2</c:v>
                </c:pt>
                <c:pt idx="2939">
                  <c:v>2.8467060229262708E-2</c:v>
                </c:pt>
                <c:pt idx="2940">
                  <c:v>2.5967594390131632E-2</c:v>
                </c:pt>
                <c:pt idx="2941">
                  <c:v>2.0442882227253989E-2</c:v>
                </c:pt>
                <c:pt idx="2942">
                  <c:v>2.2964162217619544E-2</c:v>
                </c:pt>
                <c:pt idx="2943">
                  <c:v>2.5391382110568017E-2</c:v>
                </c:pt>
                <c:pt idx="2944">
                  <c:v>2.3868796492521382E-2</c:v>
                </c:pt>
                <c:pt idx="2945">
                  <c:v>2.972238272858041E-2</c:v>
                </c:pt>
                <c:pt idx="2946">
                  <c:v>2.8741036145841781E-2</c:v>
                </c:pt>
                <c:pt idx="2947">
                  <c:v>1.9824344857275467E-2</c:v>
                </c:pt>
                <c:pt idx="2948">
                  <c:v>2.7681438237176836E-2</c:v>
                </c:pt>
                <c:pt idx="2949">
                  <c:v>3.1890310863040616E-2</c:v>
                </c:pt>
                <c:pt idx="2950">
                  <c:v>2.3904708775012939E-2</c:v>
                </c:pt>
                <c:pt idx="2951">
                  <c:v>2.4772756836564436E-2</c:v>
                </c:pt>
                <c:pt idx="2952">
                  <c:v>2.5710758363137076E-2</c:v>
                </c:pt>
                <c:pt idx="2953">
                  <c:v>2.331073709178344E-2</c:v>
                </c:pt>
                <c:pt idx="2954">
                  <c:v>2.6541719297925592E-2</c:v>
                </c:pt>
                <c:pt idx="2955">
                  <c:v>2.2161026395017158E-2</c:v>
                </c:pt>
                <c:pt idx="2956">
                  <c:v>2.4740445828496327E-2</c:v>
                </c:pt>
                <c:pt idx="2957">
                  <c:v>3.1076925152055956E-2</c:v>
                </c:pt>
                <c:pt idx="2958">
                  <c:v>2.5700124766708909E-2</c:v>
                </c:pt>
                <c:pt idx="2959">
                  <c:v>2.6175400900673051E-2</c:v>
                </c:pt>
                <c:pt idx="2960">
                  <c:v>2.2446662850285404E-2</c:v>
                </c:pt>
                <c:pt idx="2961">
                  <c:v>2.6811230248152462E-2</c:v>
                </c:pt>
                <c:pt idx="2962">
                  <c:v>2.639907478538861E-2</c:v>
                </c:pt>
                <c:pt idx="2963">
                  <c:v>2.339054138881913E-2</c:v>
                </c:pt>
                <c:pt idx="2964">
                  <c:v>1.9604801066435695E-2</c:v>
                </c:pt>
                <c:pt idx="2965">
                  <c:v>2.4897844264223368E-2</c:v>
                </c:pt>
                <c:pt idx="2966">
                  <c:v>2.6377302493213683E-2</c:v>
                </c:pt>
                <c:pt idx="2967">
                  <c:v>2.6627600135106233E-2</c:v>
                </c:pt>
                <c:pt idx="2968">
                  <c:v>2.6929016060523558E-2</c:v>
                </c:pt>
                <c:pt idx="2969">
                  <c:v>2.4029605046299918E-2</c:v>
                </c:pt>
                <c:pt idx="2970">
                  <c:v>2.2305133184034487E-2</c:v>
                </c:pt>
                <c:pt idx="2971">
                  <c:v>2.500329700234849E-2</c:v>
                </c:pt>
                <c:pt idx="2972">
                  <c:v>2.3065260218249284E-2</c:v>
                </c:pt>
                <c:pt idx="2973">
                  <c:v>2.697210298582231E-2</c:v>
                </c:pt>
                <c:pt idx="2974">
                  <c:v>2.7891718618137773E-2</c:v>
                </c:pt>
                <c:pt idx="2975">
                  <c:v>2.3017575772909749E-2</c:v>
                </c:pt>
                <c:pt idx="2976">
                  <c:v>2.4626028275117173E-2</c:v>
                </c:pt>
                <c:pt idx="2977">
                  <c:v>2.7514908945259542E-2</c:v>
                </c:pt>
                <c:pt idx="2978">
                  <c:v>2.7531245140900662E-2</c:v>
                </c:pt>
                <c:pt idx="2979">
                  <c:v>2.3451136563426456E-2</c:v>
                </c:pt>
                <c:pt idx="2980">
                  <c:v>2.6647148315916969E-2</c:v>
                </c:pt>
                <c:pt idx="2981">
                  <c:v>2.4009440142011784E-2</c:v>
                </c:pt>
                <c:pt idx="2982">
                  <c:v>3.2303186301628761E-2</c:v>
                </c:pt>
                <c:pt idx="2983">
                  <c:v>2.2182049410026106E-2</c:v>
                </c:pt>
                <c:pt idx="2984">
                  <c:v>2.4404863143370759E-2</c:v>
                </c:pt>
                <c:pt idx="2985">
                  <c:v>2.5854721436049943E-2</c:v>
                </c:pt>
                <c:pt idx="2986">
                  <c:v>2.7613325175473991E-2</c:v>
                </c:pt>
                <c:pt idx="2987">
                  <c:v>3.1360040296637193E-2</c:v>
                </c:pt>
                <c:pt idx="2988">
                  <c:v>2.7905359090343751E-2</c:v>
                </c:pt>
                <c:pt idx="2989">
                  <c:v>2.4150434012300437E-2</c:v>
                </c:pt>
                <c:pt idx="2990">
                  <c:v>2.5912502286553396E-2</c:v>
                </c:pt>
                <c:pt idx="2991">
                  <c:v>2.4593918190534914E-2</c:v>
                </c:pt>
                <c:pt idx="2992">
                  <c:v>2.4980348470600156E-2</c:v>
                </c:pt>
                <c:pt idx="2993">
                  <c:v>3.9620409437469473E-2</c:v>
                </c:pt>
                <c:pt idx="2994">
                  <c:v>2.3391872506912881E-2</c:v>
                </c:pt>
                <c:pt idx="2995">
                  <c:v>2.0099629567116528E-2</c:v>
                </c:pt>
                <c:pt idx="2996">
                  <c:v>2.6583427664863102E-2</c:v>
                </c:pt>
                <c:pt idx="2997">
                  <c:v>2.2873925247641536E-2</c:v>
                </c:pt>
                <c:pt idx="2998">
                  <c:v>2.9548268575072312E-2</c:v>
                </c:pt>
                <c:pt idx="2999">
                  <c:v>2.484327260828556E-2</c:v>
                </c:pt>
                <c:pt idx="3000">
                  <c:v>2.4778900351204669E-2</c:v>
                </c:pt>
                <c:pt idx="3001">
                  <c:v>2.5278657058496745E-2</c:v>
                </c:pt>
                <c:pt idx="3002">
                  <c:v>2.9074733777985529E-2</c:v>
                </c:pt>
                <c:pt idx="3003">
                  <c:v>2.8265609319263252E-2</c:v>
                </c:pt>
                <c:pt idx="3004">
                  <c:v>2.2709974473792638E-2</c:v>
                </c:pt>
                <c:pt idx="3005">
                  <c:v>2.9406352410171532E-2</c:v>
                </c:pt>
                <c:pt idx="3006">
                  <c:v>1.8944312546974262E-2</c:v>
                </c:pt>
                <c:pt idx="3007">
                  <c:v>2.4618620616878473E-2</c:v>
                </c:pt>
                <c:pt idx="3008">
                  <c:v>2.7885456502828809E-2</c:v>
                </c:pt>
                <c:pt idx="3009">
                  <c:v>2.1342006454616813E-2</c:v>
                </c:pt>
                <c:pt idx="3010">
                  <c:v>1.9974254707248673E-2</c:v>
                </c:pt>
                <c:pt idx="3011">
                  <c:v>2.1789796534777195E-2</c:v>
                </c:pt>
                <c:pt idx="3012">
                  <c:v>2.4896588492436811E-2</c:v>
                </c:pt>
                <c:pt idx="3013">
                  <c:v>3.3274841116779141E-2</c:v>
                </c:pt>
                <c:pt idx="3014">
                  <c:v>2.1573233108977519E-2</c:v>
                </c:pt>
                <c:pt idx="3015">
                  <c:v>2.6089790752077513E-2</c:v>
                </c:pt>
                <c:pt idx="3016">
                  <c:v>2.7529333577181125E-2</c:v>
                </c:pt>
                <c:pt idx="3017">
                  <c:v>2.3615768244644064E-2</c:v>
                </c:pt>
                <c:pt idx="3018">
                  <c:v>2.7938731923222493E-2</c:v>
                </c:pt>
                <c:pt idx="3019">
                  <c:v>2.8900262427169254E-2</c:v>
                </c:pt>
                <c:pt idx="3020">
                  <c:v>2.3401455440946295E-2</c:v>
                </c:pt>
                <c:pt idx="3021">
                  <c:v>2.6213576362984381E-2</c:v>
                </c:pt>
                <c:pt idx="3022">
                  <c:v>2.438821858599094E-2</c:v>
                </c:pt>
                <c:pt idx="3023">
                  <c:v>2.5226733685726588E-2</c:v>
                </c:pt>
                <c:pt idx="3024">
                  <c:v>2.0255419219654791E-2</c:v>
                </c:pt>
                <c:pt idx="3025">
                  <c:v>2.1454798481183368E-2</c:v>
                </c:pt>
                <c:pt idx="3026">
                  <c:v>2.4242346739962506E-2</c:v>
                </c:pt>
                <c:pt idx="3027">
                  <c:v>3.0839419638762466E-2</c:v>
                </c:pt>
                <c:pt idx="3028">
                  <c:v>2.6248534258918155E-2</c:v>
                </c:pt>
                <c:pt idx="3029">
                  <c:v>2.0482353925109442E-2</c:v>
                </c:pt>
                <c:pt idx="3030">
                  <c:v>3.1392578738928867E-2</c:v>
                </c:pt>
                <c:pt idx="3031">
                  <c:v>2.4979836394771637E-2</c:v>
                </c:pt>
                <c:pt idx="3032">
                  <c:v>2.7687876160535918E-2</c:v>
                </c:pt>
                <c:pt idx="3033">
                  <c:v>2.9853772735305872E-2</c:v>
                </c:pt>
                <c:pt idx="3034">
                  <c:v>2.0125085456532021E-2</c:v>
                </c:pt>
                <c:pt idx="3035">
                  <c:v>2.1280332711575034E-2</c:v>
                </c:pt>
                <c:pt idx="3036">
                  <c:v>2.4527620416714635E-2</c:v>
                </c:pt>
                <c:pt idx="3037">
                  <c:v>2.5731439529159683E-2</c:v>
                </c:pt>
                <c:pt idx="3038">
                  <c:v>2.4971711551312614E-2</c:v>
                </c:pt>
                <c:pt idx="3039">
                  <c:v>2.6494039038492012E-2</c:v>
                </c:pt>
                <c:pt idx="3040">
                  <c:v>2.5080418133666904E-2</c:v>
                </c:pt>
                <c:pt idx="3041">
                  <c:v>2.3526463336392078E-2</c:v>
                </c:pt>
                <c:pt idx="3042">
                  <c:v>2.3469165260375457E-2</c:v>
                </c:pt>
                <c:pt idx="3043">
                  <c:v>2.2596281082143732E-2</c:v>
                </c:pt>
                <c:pt idx="3044">
                  <c:v>2.7288702587441094E-2</c:v>
                </c:pt>
                <c:pt idx="3045">
                  <c:v>2.2628851616381063E-2</c:v>
                </c:pt>
                <c:pt idx="3046">
                  <c:v>2.9276343752411282E-2</c:v>
                </c:pt>
                <c:pt idx="3047">
                  <c:v>2.8549932795363553E-2</c:v>
                </c:pt>
                <c:pt idx="3048">
                  <c:v>2.105289569740576E-2</c:v>
                </c:pt>
                <c:pt idx="3049">
                  <c:v>2.3500475836920276E-2</c:v>
                </c:pt>
                <c:pt idx="3050">
                  <c:v>2.7544773988947835E-2</c:v>
                </c:pt>
                <c:pt idx="3051">
                  <c:v>2.5690688339383927E-2</c:v>
                </c:pt>
                <c:pt idx="3052">
                  <c:v>2.14166453437038E-2</c:v>
                </c:pt>
                <c:pt idx="3053">
                  <c:v>3.7279709430010799E-2</c:v>
                </c:pt>
                <c:pt idx="3054">
                  <c:v>3.5753876944244922E-2</c:v>
                </c:pt>
                <c:pt idx="3055">
                  <c:v>2.700542000662165E-2</c:v>
                </c:pt>
                <c:pt idx="3056">
                  <c:v>2.408792866927556E-2</c:v>
                </c:pt>
                <c:pt idx="3057">
                  <c:v>2.8567706152049288E-2</c:v>
                </c:pt>
                <c:pt idx="3058">
                  <c:v>2.1572878702273313E-2</c:v>
                </c:pt>
                <c:pt idx="3059">
                  <c:v>2.5962678741238254E-2</c:v>
                </c:pt>
                <c:pt idx="3060">
                  <c:v>2.6757393916360783E-2</c:v>
                </c:pt>
                <c:pt idx="3061">
                  <c:v>2.7448994879485156E-2</c:v>
                </c:pt>
                <c:pt idx="3062">
                  <c:v>2.6184794073636497E-2</c:v>
                </c:pt>
                <c:pt idx="3063">
                  <c:v>2.180943541021696E-2</c:v>
                </c:pt>
                <c:pt idx="3064">
                  <c:v>2.0892127607384792E-2</c:v>
                </c:pt>
                <c:pt idx="3065">
                  <c:v>2.6252117394415797E-2</c:v>
                </c:pt>
                <c:pt idx="3066">
                  <c:v>2.1737115513029148E-2</c:v>
                </c:pt>
                <c:pt idx="3067">
                  <c:v>2.4859106495212058E-2</c:v>
                </c:pt>
                <c:pt idx="3068">
                  <c:v>2.4300191774357272E-2</c:v>
                </c:pt>
                <c:pt idx="3069">
                  <c:v>2.4885798622186317E-2</c:v>
                </c:pt>
                <c:pt idx="3070">
                  <c:v>2.1106425062760725E-2</c:v>
                </c:pt>
                <c:pt idx="3071">
                  <c:v>3.0228899673990117E-2</c:v>
                </c:pt>
                <c:pt idx="3072">
                  <c:v>2.7304148580415744E-2</c:v>
                </c:pt>
                <c:pt idx="3073">
                  <c:v>2.2232972351272973E-2</c:v>
                </c:pt>
                <c:pt idx="3074">
                  <c:v>2.3125171694883928E-2</c:v>
                </c:pt>
                <c:pt idx="3075">
                  <c:v>2.7589755734342303E-2</c:v>
                </c:pt>
                <c:pt idx="3076">
                  <c:v>2.4932864948746469E-2</c:v>
                </c:pt>
                <c:pt idx="3077">
                  <c:v>3.2708035963198823E-2</c:v>
                </c:pt>
                <c:pt idx="3078">
                  <c:v>2.5790781722584422E-2</c:v>
                </c:pt>
                <c:pt idx="3079">
                  <c:v>2.6831727234313041E-2</c:v>
                </c:pt>
                <c:pt idx="3080">
                  <c:v>2.4679440435105393E-2</c:v>
                </c:pt>
                <c:pt idx="3081">
                  <c:v>2.9362433884889683E-2</c:v>
                </c:pt>
                <c:pt idx="3082">
                  <c:v>2.1403018824517672E-2</c:v>
                </c:pt>
                <c:pt idx="3083">
                  <c:v>2.8252811609456252E-2</c:v>
                </c:pt>
                <c:pt idx="3084">
                  <c:v>2.5575973586681955E-2</c:v>
                </c:pt>
                <c:pt idx="3085">
                  <c:v>2.192842397289918E-2</c:v>
                </c:pt>
                <c:pt idx="3086">
                  <c:v>2.1638294645239031E-2</c:v>
                </c:pt>
                <c:pt idx="3087">
                  <c:v>2.6211742936176008E-2</c:v>
                </c:pt>
                <c:pt idx="3088">
                  <c:v>2.692088144995064E-2</c:v>
                </c:pt>
                <c:pt idx="3089">
                  <c:v>2.4811946683418906E-2</c:v>
                </c:pt>
                <c:pt idx="3090">
                  <c:v>2.6243172113389557E-2</c:v>
                </c:pt>
                <c:pt idx="3091">
                  <c:v>2.6216212088434165E-2</c:v>
                </c:pt>
                <c:pt idx="3092">
                  <c:v>2.1468317562116646E-2</c:v>
                </c:pt>
                <c:pt idx="3093">
                  <c:v>2.5801091608952054E-2</c:v>
                </c:pt>
                <c:pt idx="3094">
                  <c:v>2.6289561718486953E-2</c:v>
                </c:pt>
                <c:pt idx="3095">
                  <c:v>2.635946634793862E-2</c:v>
                </c:pt>
                <c:pt idx="3096">
                  <c:v>2.7061218133004328E-2</c:v>
                </c:pt>
                <c:pt idx="3097">
                  <c:v>3.7871588160262704E-2</c:v>
                </c:pt>
                <c:pt idx="3098">
                  <c:v>2.1384517120195734E-2</c:v>
                </c:pt>
                <c:pt idx="3099">
                  <c:v>2.2507357091333668E-2</c:v>
                </c:pt>
                <c:pt idx="3100">
                  <c:v>2.1754955844210166E-2</c:v>
                </c:pt>
                <c:pt idx="3101">
                  <c:v>2.0402068248888905E-2</c:v>
                </c:pt>
                <c:pt idx="3102">
                  <c:v>2.7224652645118752E-2</c:v>
                </c:pt>
                <c:pt idx="3103">
                  <c:v>2.7500604309308674E-2</c:v>
                </c:pt>
                <c:pt idx="3104">
                  <c:v>2.6751441558092504E-2</c:v>
                </c:pt>
                <c:pt idx="3105">
                  <c:v>2.3577069544088336E-2</c:v>
                </c:pt>
                <c:pt idx="3106">
                  <c:v>3.2508008261224131E-2</c:v>
                </c:pt>
                <c:pt idx="3107">
                  <c:v>2.7217810084184002E-2</c:v>
                </c:pt>
                <c:pt idx="3108">
                  <c:v>2.3346133112540524E-2</c:v>
                </c:pt>
                <c:pt idx="3109">
                  <c:v>2.2737766098731127E-2</c:v>
                </c:pt>
                <c:pt idx="3110">
                  <c:v>2.0474159316551166E-2</c:v>
                </c:pt>
                <c:pt idx="3111">
                  <c:v>2.0149864624484759E-2</c:v>
                </c:pt>
                <c:pt idx="3112">
                  <c:v>3.1102727076363745E-2</c:v>
                </c:pt>
                <c:pt idx="3113">
                  <c:v>2.6493056745894528E-2</c:v>
                </c:pt>
                <c:pt idx="3114">
                  <c:v>2.2549266381757027E-2</c:v>
                </c:pt>
                <c:pt idx="3115">
                  <c:v>2.1065219004537838E-2</c:v>
                </c:pt>
                <c:pt idx="3116">
                  <c:v>2.453291558774795E-2</c:v>
                </c:pt>
                <c:pt idx="3117">
                  <c:v>2.5588400146160928E-2</c:v>
                </c:pt>
                <c:pt idx="3118">
                  <c:v>2.9672863461130516E-2</c:v>
                </c:pt>
                <c:pt idx="3119">
                  <c:v>2.0166278957037043E-2</c:v>
                </c:pt>
                <c:pt idx="3120">
                  <c:v>2.4030679428828416E-2</c:v>
                </c:pt>
                <c:pt idx="3121">
                  <c:v>2.5974473228917994E-2</c:v>
                </c:pt>
                <c:pt idx="3122">
                  <c:v>1.8139076794884357E-2</c:v>
                </c:pt>
                <c:pt idx="3123">
                  <c:v>2.2002169868715726E-2</c:v>
                </c:pt>
                <c:pt idx="3124">
                  <c:v>2.8213422234417918E-2</c:v>
                </c:pt>
                <c:pt idx="3125">
                  <c:v>2.4129610525475353E-2</c:v>
                </c:pt>
                <c:pt idx="3126">
                  <c:v>2.6117501449500868E-2</c:v>
                </c:pt>
                <c:pt idx="3127">
                  <c:v>2.4201090450868157E-2</c:v>
                </c:pt>
                <c:pt idx="3128">
                  <c:v>3.1660521369724526E-2</c:v>
                </c:pt>
                <c:pt idx="3129">
                  <c:v>2.5470283647219372E-2</c:v>
                </c:pt>
                <c:pt idx="3130">
                  <c:v>3.273954467262552E-2</c:v>
                </c:pt>
                <c:pt idx="3131">
                  <c:v>2.8487869763067941E-2</c:v>
                </c:pt>
                <c:pt idx="3132">
                  <c:v>3.8877536707601967E-2</c:v>
                </c:pt>
                <c:pt idx="3133">
                  <c:v>2.1783339077190322E-2</c:v>
                </c:pt>
                <c:pt idx="3134">
                  <c:v>2.1425642250903487E-2</c:v>
                </c:pt>
                <c:pt idx="3135">
                  <c:v>2.8849894816112442E-2</c:v>
                </c:pt>
                <c:pt idx="3136">
                  <c:v>2.6919187553340773E-2</c:v>
                </c:pt>
                <c:pt idx="3137">
                  <c:v>3.0125630583471619E-2</c:v>
                </c:pt>
                <c:pt idx="3138">
                  <c:v>2.3221545202992244E-2</c:v>
                </c:pt>
                <c:pt idx="3139">
                  <c:v>2.9845375807959762E-2</c:v>
                </c:pt>
                <c:pt idx="3140">
                  <c:v>2.3957622812192492E-2</c:v>
                </c:pt>
                <c:pt idx="3141">
                  <c:v>2.6775440752235591E-2</c:v>
                </c:pt>
                <c:pt idx="3142">
                  <c:v>2.3913683357380866E-2</c:v>
                </c:pt>
                <c:pt idx="3143">
                  <c:v>2.5044822584725956E-2</c:v>
                </c:pt>
                <c:pt idx="3144">
                  <c:v>2.5208204075364948E-2</c:v>
                </c:pt>
                <c:pt idx="3145">
                  <c:v>2.2855464007077164E-2</c:v>
                </c:pt>
                <c:pt idx="3146">
                  <c:v>2.073957366014989E-2</c:v>
                </c:pt>
                <c:pt idx="3147">
                  <c:v>2.6411144147559407E-2</c:v>
                </c:pt>
                <c:pt idx="3148">
                  <c:v>2.4367230453531619E-2</c:v>
                </c:pt>
                <c:pt idx="3149">
                  <c:v>2.0311817325891046E-2</c:v>
                </c:pt>
                <c:pt idx="3150">
                  <c:v>2.9938877784582818E-2</c:v>
                </c:pt>
                <c:pt idx="3151">
                  <c:v>2.4413311696890316E-2</c:v>
                </c:pt>
                <c:pt idx="3152">
                  <c:v>2.1834675027824768E-2</c:v>
                </c:pt>
                <c:pt idx="3153">
                  <c:v>3.069735557185127E-2</c:v>
                </c:pt>
                <c:pt idx="3154">
                  <c:v>2.473686687890464E-2</c:v>
                </c:pt>
                <c:pt idx="3155">
                  <c:v>2.1519670256374912E-2</c:v>
                </c:pt>
                <c:pt idx="3156">
                  <c:v>2.7962142299927883E-2</c:v>
                </c:pt>
                <c:pt idx="3157">
                  <c:v>2.0990698716119582E-2</c:v>
                </c:pt>
                <c:pt idx="3158">
                  <c:v>2.4369568979658585E-2</c:v>
                </c:pt>
                <c:pt idx="3159">
                  <c:v>2.3593065286045101E-2</c:v>
                </c:pt>
                <c:pt idx="3160">
                  <c:v>3.0956147812228885E-2</c:v>
                </c:pt>
                <c:pt idx="3161">
                  <c:v>2.4351617024318761E-2</c:v>
                </c:pt>
                <c:pt idx="3162">
                  <c:v>2.3173499374438578E-2</c:v>
                </c:pt>
                <c:pt idx="3163">
                  <c:v>2.0121276282112799E-2</c:v>
                </c:pt>
                <c:pt idx="3164">
                  <c:v>2.7226402353808021E-2</c:v>
                </c:pt>
                <c:pt idx="3165">
                  <c:v>3.0963261061748737E-2</c:v>
                </c:pt>
                <c:pt idx="3166">
                  <c:v>2.4188832722929376E-2</c:v>
                </c:pt>
                <c:pt idx="3167">
                  <c:v>2.630428494503334E-2</c:v>
                </c:pt>
                <c:pt idx="3168">
                  <c:v>1.9665807855128614E-2</c:v>
                </c:pt>
                <c:pt idx="3169">
                  <c:v>2.1419428971164001E-2</c:v>
                </c:pt>
                <c:pt idx="3170">
                  <c:v>2.5395881959469846E-2</c:v>
                </c:pt>
                <c:pt idx="3171">
                  <c:v>2.7469980221340506E-2</c:v>
                </c:pt>
                <c:pt idx="3172">
                  <c:v>2.4878487239784586E-2</c:v>
                </c:pt>
                <c:pt idx="3173">
                  <c:v>3.528478199807461E-2</c:v>
                </c:pt>
                <c:pt idx="3174">
                  <c:v>2.6253378747410294E-2</c:v>
                </c:pt>
                <c:pt idx="3175">
                  <c:v>2.6422962355372892E-2</c:v>
                </c:pt>
                <c:pt idx="3176">
                  <c:v>2.4780069614268152E-2</c:v>
                </c:pt>
                <c:pt idx="3177">
                  <c:v>2.5785540968328524E-2</c:v>
                </c:pt>
                <c:pt idx="3178">
                  <c:v>2.2881480807890653E-2</c:v>
                </c:pt>
                <c:pt idx="3179">
                  <c:v>2.2440319807461306E-2</c:v>
                </c:pt>
                <c:pt idx="3180">
                  <c:v>2.5514465884576398E-2</c:v>
                </c:pt>
                <c:pt idx="3181">
                  <c:v>2.8944708376601458E-2</c:v>
                </c:pt>
                <c:pt idx="3182">
                  <c:v>2.3430449816195908E-2</c:v>
                </c:pt>
                <c:pt idx="3183">
                  <c:v>1.8299694192290938E-2</c:v>
                </c:pt>
                <c:pt idx="3184">
                  <c:v>2.7221761579405701E-2</c:v>
                </c:pt>
                <c:pt idx="3185">
                  <c:v>1.9309310988548933E-2</c:v>
                </c:pt>
                <c:pt idx="3186">
                  <c:v>2.6126682536562584E-2</c:v>
                </c:pt>
                <c:pt idx="3187">
                  <c:v>2.1284888372556265E-2</c:v>
                </c:pt>
                <c:pt idx="3188">
                  <c:v>2.5300090292289301E-2</c:v>
                </c:pt>
                <c:pt idx="3189">
                  <c:v>2.6201488861887778E-2</c:v>
                </c:pt>
                <c:pt idx="3190">
                  <c:v>2.6634225028931313E-2</c:v>
                </c:pt>
                <c:pt idx="3191">
                  <c:v>2.5542565871253586E-2</c:v>
                </c:pt>
                <c:pt idx="3192">
                  <c:v>3.1677181275426181E-2</c:v>
                </c:pt>
                <c:pt idx="3193">
                  <c:v>2.5880845675116282E-2</c:v>
                </c:pt>
                <c:pt idx="3194">
                  <c:v>3.2255079079787752E-2</c:v>
                </c:pt>
                <c:pt idx="3195">
                  <c:v>2.1373783062024643E-2</c:v>
                </c:pt>
                <c:pt idx="3196">
                  <c:v>2.7609630415817543E-2</c:v>
                </c:pt>
                <c:pt idx="3197">
                  <c:v>2.6294044823764962E-2</c:v>
                </c:pt>
                <c:pt idx="3198">
                  <c:v>2.4743956408290746E-2</c:v>
                </c:pt>
                <c:pt idx="3199">
                  <c:v>3.3938736963688099E-2</c:v>
                </c:pt>
                <c:pt idx="3200">
                  <c:v>1.9028972494917973E-2</c:v>
                </c:pt>
                <c:pt idx="3201">
                  <c:v>2.4855895905344427E-2</c:v>
                </c:pt>
                <c:pt idx="3202">
                  <c:v>2.1612047619598007E-2</c:v>
                </c:pt>
                <c:pt idx="3203">
                  <c:v>2.8382605390710802E-2</c:v>
                </c:pt>
                <c:pt idx="3204">
                  <c:v>2.0159561973280948E-2</c:v>
                </c:pt>
                <c:pt idx="3205">
                  <c:v>2.1067194752148688E-2</c:v>
                </c:pt>
                <c:pt idx="3206">
                  <c:v>2.1857331941458225E-2</c:v>
                </c:pt>
                <c:pt idx="3207">
                  <c:v>2.3136149930902405E-2</c:v>
                </c:pt>
                <c:pt idx="3208">
                  <c:v>2.4253731008858637E-2</c:v>
                </c:pt>
                <c:pt idx="3209">
                  <c:v>2.6824173069365909E-2</c:v>
                </c:pt>
                <c:pt idx="3210">
                  <c:v>2.6545963806564155E-2</c:v>
                </c:pt>
                <c:pt idx="3211">
                  <c:v>3.6167321666042973E-2</c:v>
                </c:pt>
                <c:pt idx="3212">
                  <c:v>2.6892986572665256E-2</c:v>
                </c:pt>
                <c:pt idx="3213">
                  <c:v>2.5984614283745433E-2</c:v>
                </c:pt>
                <c:pt idx="3214">
                  <c:v>2.0966580921307765E-2</c:v>
                </c:pt>
                <c:pt idx="3215">
                  <c:v>2.6389955091614237E-2</c:v>
                </c:pt>
                <c:pt idx="3216">
                  <c:v>2.3693144716225745E-2</c:v>
                </c:pt>
                <c:pt idx="3217">
                  <c:v>2.0368060553606959E-2</c:v>
                </c:pt>
                <c:pt idx="3218">
                  <c:v>2.4546367694185944E-2</c:v>
                </c:pt>
                <c:pt idx="3219">
                  <c:v>3.1796337274346609E-2</c:v>
                </c:pt>
                <c:pt idx="3220">
                  <c:v>2.673679925906125E-2</c:v>
                </c:pt>
                <c:pt idx="3221">
                  <c:v>1.9024778217150873E-2</c:v>
                </c:pt>
                <c:pt idx="3222">
                  <c:v>2.4637821367494928E-2</c:v>
                </c:pt>
                <c:pt idx="3223">
                  <c:v>2.8954559208616004E-2</c:v>
                </c:pt>
                <c:pt idx="3224">
                  <c:v>2.8907336608233525E-2</c:v>
                </c:pt>
                <c:pt idx="3225">
                  <c:v>2.7362290814133328E-2</c:v>
                </c:pt>
                <c:pt idx="3226">
                  <c:v>2.5982944107269312E-2</c:v>
                </c:pt>
                <c:pt idx="3227">
                  <c:v>2.0132808453019346E-2</c:v>
                </c:pt>
                <c:pt idx="3228">
                  <c:v>2.4834595225240452E-2</c:v>
                </c:pt>
                <c:pt idx="3229">
                  <c:v>2.6216489753529193E-2</c:v>
                </c:pt>
                <c:pt idx="3230">
                  <c:v>2.6425923186185196E-2</c:v>
                </c:pt>
                <c:pt idx="3231">
                  <c:v>2.6935777693943175E-2</c:v>
                </c:pt>
                <c:pt idx="3232">
                  <c:v>2.3320825125135447E-2</c:v>
                </c:pt>
                <c:pt idx="3233">
                  <c:v>2.7455798371964324E-2</c:v>
                </c:pt>
                <c:pt idx="3234">
                  <c:v>2.3913973580193759E-2</c:v>
                </c:pt>
                <c:pt idx="3235">
                  <c:v>2.4423537865138845E-2</c:v>
                </c:pt>
                <c:pt idx="3236">
                  <c:v>3.3302376006152379E-2</c:v>
                </c:pt>
                <c:pt idx="3237">
                  <c:v>3.3958145614300328E-2</c:v>
                </c:pt>
                <c:pt idx="3238">
                  <c:v>2.672663308879808E-2</c:v>
                </c:pt>
                <c:pt idx="3239">
                  <c:v>1.9950833168127402E-2</c:v>
                </c:pt>
                <c:pt idx="3240">
                  <c:v>2.4101041717331184E-2</c:v>
                </c:pt>
                <c:pt idx="3241">
                  <c:v>2.3908065871589002E-2</c:v>
                </c:pt>
                <c:pt idx="3242">
                  <c:v>2.3004415284586632E-2</c:v>
                </c:pt>
                <c:pt idx="3243">
                  <c:v>2.4772025698324263E-2</c:v>
                </c:pt>
                <c:pt idx="3244">
                  <c:v>2.4958506413325976E-2</c:v>
                </c:pt>
                <c:pt idx="3245">
                  <c:v>2.6118243750156922E-2</c:v>
                </c:pt>
                <c:pt idx="3246">
                  <c:v>2.4006362105832735E-2</c:v>
                </c:pt>
                <c:pt idx="3247">
                  <c:v>2.9699943482056623E-2</c:v>
                </c:pt>
                <c:pt idx="3248">
                  <c:v>2.8892864536044449E-2</c:v>
                </c:pt>
                <c:pt idx="3249">
                  <c:v>2.4632230392440779E-2</c:v>
                </c:pt>
                <c:pt idx="3250">
                  <c:v>3.2789340209868456E-2</c:v>
                </c:pt>
                <c:pt idx="3251">
                  <c:v>2.3806599511235205E-2</c:v>
                </c:pt>
                <c:pt idx="3252">
                  <c:v>1.9281494248174713E-2</c:v>
                </c:pt>
                <c:pt idx="3253">
                  <c:v>2.283947105572437E-2</c:v>
                </c:pt>
                <c:pt idx="3254">
                  <c:v>2.1703646404313437E-2</c:v>
                </c:pt>
                <c:pt idx="3255">
                  <c:v>2.6039042223578779E-2</c:v>
                </c:pt>
                <c:pt idx="3256">
                  <c:v>3.3909658870319381E-2</c:v>
                </c:pt>
                <c:pt idx="3257">
                  <c:v>2.1560382377695086E-2</c:v>
                </c:pt>
                <c:pt idx="3258">
                  <c:v>2.410668710916275E-2</c:v>
                </c:pt>
                <c:pt idx="3259">
                  <c:v>2.1503442894288627E-2</c:v>
                </c:pt>
                <c:pt idx="3260">
                  <c:v>2.5069664541268022E-2</c:v>
                </c:pt>
                <c:pt idx="3261">
                  <c:v>2.8300854647405949E-2</c:v>
                </c:pt>
                <c:pt idx="3262">
                  <c:v>3.8593405783175605E-2</c:v>
                </c:pt>
                <c:pt idx="3263">
                  <c:v>2.4217513155232351E-2</c:v>
                </c:pt>
                <c:pt idx="3264">
                  <c:v>2.5795511796313786E-2</c:v>
                </c:pt>
                <c:pt idx="3265">
                  <c:v>2.6123732868166161E-2</c:v>
                </c:pt>
                <c:pt idx="3266">
                  <c:v>2.4479002514347092E-2</c:v>
                </c:pt>
                <c:pt idx="3267">
                  <c:v>2.3803347062308022E-2</c:v>
                </c:pt>
                <c:pt idx="3268">
                  <c:v>2.6446523424692669E-2</c:v>
                </c:pt>
                <c:pt idx="3269">
                  <c:v>3.3433472999460978E-2</c:v>
                </c:pt>
                <c:pt idx="3270">
                  <c:v>2.2091466405155802E-2</c:v>
                </c:pt>
                <c:pt idx="3271">
                  <c:v>2.1428640754869388E-2</c:v>
                </c:pt>
                <c:pt idx="3272">
                  <c:v>1.8856675024594427E-2</c:v>
                </c:pt>
                <c:pt idx="3273">
                  <c:v>4.0553018121869844E-2</c:v>
                </c:pt>
                <c:pt idx="3274">
                  <c:v>2.5403681697566349E-2</c:v>
                </c:pt>
                <c:pt idx="3275">
                  <c:v>2.8366618020565948E-2</c:v>
                </c:pt>
                <c:pt idx="3276">
                  <c:v>2.719238210080821E-2</c:v>
                </c:pt>
                <c:pt idx="3277">
                  <c:v>2.4994648920645068E-2</c:v>
                </c:pt>
                <c:pt idx="3278">
                  <c:v>2.7302142136161223E-2</c:v>
                </c:pt>
                <c:pt idx="3279">
                  <c:v>2.0173573595814953E-2</c:v>
                </c:pt>
                <c:pt idx="3280">
                  <c:v>3.6408681003419208E-2</c:v>
                </c:pt>
                <c:pt idx="3281">
                  <c:v>2.2911301201915424E-2</c:v>
                </c:pt>
                <c:pt idx="3282">
                  <c:v>2.4866514153450758E-2</c:v>
                </c:pt>
                <c:pt idx="3283">
                  <c:v>2.1589312569053387E-2</c:v>
                </c:pt>
                <c:pt idx="3284">
                  <c:v>1.9242886242248014E-2</c:v>
                </c:pt>
                <c:pt idx="3285">
                  <c:v>3.4454521504882596E-2</c:v>
                </c:pt>
                <c:pt idx="3286">
                  <c:v>2.3867938381800569E-2</c:v>
                </c:pt>
                <c:pt idx="3287">
                  <c:v>1.9323435630543728E-2</c:v>
                </c:pt>
                <c:pt idx="3288">
                  <c:v>2.4715807586044081E-2</c:v>
                </c:pt>
                <c:pt idx="3289">
                  <c:v>2.8770733753291866E-2</c:v>
                </c:pt>
                <c:pt idx="3290">
                  <c:v>2.1446922001477686E-2</c:v>
                </c:pt>
                <c:pt idx="3291">
                  <c:v>2.5620005131424595E-2</c:v>
                </c:pt>
                <c:pt idx="3292">
                  <c:v>2.7043991734696737E-2</c:v>
                </c:pt>
                <c:pt idx="3293">
                  <c:v>3.3024021631944178E-2</c:v>
                </c:pt>
                <c:pt idx="3294">
                  <c:v>3.0028941737114678E-2</c:v>
                </c:pt>
                <c:pt idx="3295">
                  <c:v>2.6005383353793099E-2</c:v>
                </c:pt>
                <c:pt idx="3296">
                  <c:v>3.4369656447547081E-2</c:v>
                </c:pt>
                <c:pt idx="3297">
                  <c:v>2.3398010440345174E-2</c:v>
                </c:pt>
                <c:pt idx="3298">
                  <c:v>2.935950654132502E-2</c:v>
                </c:pt>
                <c:pt idx="3299">
                  <c:v>2.0343331616525684E-2</c:v>
                </c:pt>
                <c:pt idx="3300">
                  <c:v>2.4711772372703278E-2</c:v>
                </c:pt>
                <c:pt idx="3301">
                  <c:v>2.4152628822322941E-2</c:v>
                </c:pt>
                <c:pt idx="3302">
                  <c:v>2.8676687608894635E-2</c:v>
                </c:pt>
                <c:pt idx="3303">
                  <c:v>2.4460064080503829E-2</c:v>
                </c:pt>
                <c:pt idx="3304">
                  <c:v>2.2779228892519265E-2</c:v>
                </c:pt>
                <c:pt idx="3305">
                  <c:v>2.2627816302308146E-2</c:v>
                </c:pt>
                <c:pt idx="3306">
                  <c:v>2.425380356456186E-2</c:v>
                </c:pt>
                <c:pt idx="3307">
                  <c:v>2.1543829910246282E-2</c:v>
                </c:pt>
                <c:pt idx="3308">
                  <c:v>2.0778315615067156E-2</c:v>
                </c:pt>
                <c:pt idx="3309">
                  <c:v>2.547068549419107E-2</c:v>
                </c:pt>
                <c:pt idx="3310">
                  <c:v>2.2780645124034105E-2</c:v>
                </c:pt>
                <c:pt idx="3311">
                  <c:v>2.664740226087825E-2</c:v>
                </c:pt>
                <c:pt idx="3312">
                  <c:v>1.9761769749151337E-2</c:v>
                </c:pt>
                <c:pt idx="3313">
                  <c:v>2.5386864122740382E-2</c:v>
                </c:pt>
                <c:pt idx="3314">
                  <c:v>2.4860425055587942E-2</c:v>
                </c:pt>
                <c:pt idx="3315">
                  <c:v>2.4137058647471621E-2</c:v>
                </c:pt>
                <c:pt idx="3316">
                  <c:v>2.2887738737293661E-2</c:v>
                </c:pt>
                <c:pt idx="3317">
                  <c:v>2.4956400902630516E-2</c:v>
                </c:pt>
                <c:pt idx="3318">
                  <c:v>2.7334984754285641E-2</c:v>
                </c:pt>
                <c:pt idx="3319">
                  <c:v>2.437498275136063E-2</c:v>
                </c:pt>
                <c:pt idx="3320">
                  <c:v>2.2437169215579034E-2</c:v>
                </c:pt>
                <c:pt idx="3321">
                  <c:v>2.3185609200366941E-2</c:v>
                </c:pt>
                <c:pt idx="3322">
                  <c:v>2.3474936229385679E-2</c:v>
                </c:pt>
                <c:pt idx="3323">
                  <c:v>2.600971576645672E-2</c:v>
                </c:pt>
                <c:pt idx="3324">
                  <c:v>1.8879249615410765E-2</c:v>
                </c:pt>
                <c:pt idx="3325">
                  <c:v>2.8313772353183664E-2</c:v>
                </c:pt>
                <c:pt idx="3326">
                  <c:v>3.015259060842701E-2</c:v>
                </c:pt>
                <c:pt idx="3327">
                  <c:v>2.7927388118083929E-2</c:v>
                </c:pt>
                <c:pt idx="3328">
                  <c:v>3.0720623627754184E-2</c:v>
                </c:pt>
                <c:pt idx="3329">
                  <c:v>2.3350945509087007E-2</c:v>
                </c:pt>
                <c:pt idx="3330">
                  <c:v>2.3390509296873474E-2</c:v>
                </c:pt>
                <c:pt idx="3331">
                  <c:v>2.5182459358438547E-2</c:v>
                </c:pt>
                <c:pt idx="3332">
                  <c:v>2.141433611891852E-2</c:v>
                </c:pt>
                <c:pt idx="3333">
                  <c:v>2.5873207792050046E-2</c:v>
                </c:pt>
                <c:pt idx="3334">
                  <c:v>2.438668375380737E-2</c:v>
                </c:pt>
                <c:pt idx="3335">
                  <c:v>2.8702430930519052E-2</c:v>
                </c:pt>
                <c:pt idx="3336">
                  <c:v>2.6098579759281426E-2</c:v>
                </c:pt>
                <c:pt idx="3337">
                  <c:v>3.0233300456451007E-2</c:v>
                </c:pt>
                <c:pt idx="3338">
                  <c:v>2.2250299211323488E-2</c:v>
                </c:pt>
                <c:pt idx="3339">
                  <c:v>2.563777011629842E-2</c:v>
                </c:pt>
                <c:pt idx="3340">
                  <c:v>2.538802640929394E-2</c:v>
                </c:pt>
                <c:pt idx="3341">
                  <c:v>2.9580714927432972E-2</c:v>
                </c:pt>
                <c:pt idx="3342">
                  <c:v>2.5285043355682379E-2</c:v>
                </c:pt>
                <c:pt idx="3343">
                  <c:v>2.2831156451195378E-2</c:v>
                </c:pt>
                <c:pt idx="3344">
                  <c:v>2.8762574027283216E-2</c:v>
                </c:pt>
                <c:pt idx="3345">
                  <c:v>2.7655932116889881E-2</c:v>
                </c:pt>
                <c:pt idx="3346">
                  <c:v>2.2112700110764494E-2</c:v>
                </c:pt>
                <c:pt idx="3347">
                  <c:v>2.0190359078695264E-2</c:v>
                </c:pt>
                <c:pt idx="3348">
                  <c:v>2.2871357891989019E-2</c:v>
                </c:pt>
                <c:pt idx="3349">
                  <c:v>3.0064382407535284E-2</c:v>
                </c:pt>
                <c:pt idx="3350">
                  <c:v>2.5971121713549872E-2</c:v>
                </c:pt>
                <c:pt idx="3351">
                  <c:v>2.3170961320127748E-2</c:v>
                </c:pt>
                <c:pt idx="3352">
                  <c:v>2.4631125313268609E-2</c:v>
                </c:pt>
                <c:pt idx="3353">
                  <c:v>2.4929989231355254E-2</c:v>
                </c:pt>
                <c:pt idx="3354">
                  <c:v>2.407435656686685E-2</c:v>
                </c:pt>
                <c:pt idx="3355">
                  <c:v>2.1298368385033961E-2</c:v>
                </c:pt>
                <c:pt idx="3356">
                  <c:v>2.3635817338867438E-2</c:v>
                </c:pt>
                <c:pt idx="3357">
                  <c:v>2.606963421960129E-2</c:v>
                </c:pt>
                <c:pt idx="3358">
                  <c:v>2.3958533944388738E-2</c:v>
                </c:pt>
                <c:pt idx="3359">
                  <c:v>2.1243117217029428E-2</c:v>
                </c:pt>
                <c:pt idx="3360">
                  <c:v>3.3163473693539336E-2</c:v>
                </c:pt>
                <c:pt idx="3361">
                  <c:v>2.6444145830110122E-2</c:v>
                </c:pt>
                <c:pt idx="3362">
                  <c:v>2.2105839410903938E-2</c:v>
                </c:pt>
                <c:pt idx="3363">
                  <c:v>2.4978778755866959E-2</c:v>
                </c:pt>
                <c:pt idx="3364">
                  <c:v>2.2902683816855673E-2</c:v>
                </c:pt>
                <c:pt idx="3365">
                  <c:v>2.5675141884666353E-2</c:v>
                </c:pt>
                <c:pt idx="3366">
                  <c:v>2.0558369977255686E-2</c:v>
                </c:pt>
                <c:pt idx="3367">
                  <c:v>2.056628273481298E-2</c:v>
                </c:pt>
                <c:pt idx="3368">
                  <c:v>2.632137320844441E-2</c:v>
                </c:pt>
                <c:pt idx="3369">
                  <c:v>2.7326431553117203E-2</c:v>
                </c:pt>
                <c:pt idx="3370">
                  <c:v>2.470630278892183E-2</c:v>
                </c:pt>
                <c:pt idx="3371">
                  <c:v>2.2822466510432404E-2</c:v>
                </c:pt>
                <c:pt idx="3372">
                  <c:v>2.6011955226142747E-2</c:v>
                </c:pt>
                <c:pt idx="3373">
                  <c:v>2.7038790048896422E-2</c:v>
                </c:pt>
                <c:pt idx="3374">
                  <c:v>2.366633817448871E-2</c:v>
                </c:pt>
                <c:pt idx="3375">
                  <c:v>1.9863854228284517E-2</c:v>
                </c:pt>
                <c:pt idx="3376">
                  <c:v>2.5109991559240319E-2</c:v>
                </c:pt>
                <c:pt idx="3377">
                  <c:v>2.4749095305501734E-2</c:v>
                </c:pt>
                <c:pt idx="3378">
                  <c:v>2.2365633478106828E-2</c:v>
                </c:pt>
                <c:pt idx="3379">
                  <c:v>2.7903014983008845E-2</c:v>
                </c:pt>
                <c:pt idx="3380">
                  <c:v>3.1765155065584416E-2</c:v>
                </c:pt>
                <c:pt idx="3381">
                  <c:v>2.5116595523535623E-2</c:v>
                </c:pt>
                <c:pt idx="3382">
                  <c:v>2.6848908982957109E-2</c:v>
                </c:pt>
                <c:pt idx="3383">
                  <c:v>3.3414569448167342E-2</c:v>
                </c:pt>
                <c:pt idx="3384">
                  <c:v>2.2613619104610128E-2</c:v>
                </c:pt>
                <c:pt idx="3385">
                  <c:v>2.3807062751494246E-2</c:v>
                </c:pt>
                <c:pt idx="3386">
                  <c:v>2.2656037680258034E-2</c:v>
                </c:pt>
                <c:pt idx="3387">
                  <c:v>2.4988174719434375E-2</c:v>
                </c:pt>
                <c:pt idx="3388">
                  <c:v>2.2882578910552898E-2</c:v>
                </c:pt>
                <c:pt idx="3389">
                  <c:v>2.6264387680072443E-2</c:v>
                </c:pt>
                <c:pt idx="3390">
                  <c:v>2.3702680209991667E-2</c:v>
                </c:pt>
                <c:pt idx="3391">
                  <c:v>2.3593472714224739E-2</c:v>
                </c:pt>
                <c:pt idx="3392">
                  <c:v>3.1524342686586326E-2</c:v>
                </c:pt>
                <c:pt idx="3393">
                  <c:v>2.4906774196927772E-2</c:v>
                </c:pt>
                <c:pt idx="3394">
                  <c:v>2.3896733228866318E-2</c:v>
                </c:pt>
                <c:pt idx="3395">
                  <c:v>2.0879812672064624E-2</c:v>
                </c:pt>
                <c:pt idx="3396">
                  <c:v>2.6942483515283389E-2</c:v>
                </c:pt>
                <c:pt idx="3397">
                  <c:v>3.0563864240336303E-2</c:v>
                </c:pt>
                <c:pt idx="3398">
                  <c:v>2.4640436163414936E-2</c:v>
                </c:pt>
                <c:pt idx="3399">
                  <c:v>3.1997952829980303E-2</c:v>
                </c:pt>
                <c:pt idx="3400">
                  <c:v>2.3500704666445826E-2</c:v>
                </c:pt>
                <c:pt idx="3401">
                  <c:v>2.7392289806812187E-2</c:v>
                </c:pt>
                <c:pt idx="3402">
                  <c:v>2.26974418713628E-2</c:v>
                </c:pt>
                <c:pt idx="3403">
                  <c:v>2.4303818164216451E-2</c:v>
                </c:pt>
                <c:pt idx="3404">
                  <c:v>2.6369081373917691E-2</c:v>
                </c:pt>
                <c:pt idx="3405">
                  <c:v>2.88575773488422E-2</c:v>
                </c:pt>
                <c:pt idx="3406">
                  <c:v>3.4867648097828052E-2</c:v>
                </c:pt>
                <c:pt idx="3407">
                  <c:v>2.373486564088112E-2</c:v>
                </c:pt>
                <c:pt idx="3408">
                  <c:v>2.86352806271859E-2</c:v>
                </c:pt>
                <c:pt idx="3409">
                  <c:v>2.3151450812470609E-2</c:v>
                </c:pt>
                <c:pt idx="3410">
                  <c:v>2.2597062451255367E-2</c:v>
                </c:pt>
                <c:pt idx="3411">
                  <c:v>2.5423993108562915E-2</c:v>
                </c:pt>
                <c:pt idx="3412">
                  <c:v>2.5720278508581162E-2</c:v>
                </c:pt>
                <c:pt idx="3413">
                  <c:v>2.7025364453196143E-2</c:v>
                </c:pt>
                <c:pt idx="3414">
                  <c:v>2.3500012596661235E-2</c:v>
                </c:pt>
                <c:pt idx="3415">
                  <c:v>2.3918127394203292E-2</c:v>
                </c:pt>
                <c:pt idx="3416">
                  <c:v>3.1328710185864583E-2</c:v>
                </c:pt>
                <c:pt idx="3417">
                  <c:v>2.3739405953540516E-2</c:v>
                </c:pt>
                <c:pt idx="3418">
                  <c:v>2.2918894435318138E-2</c:v>
                </c:pt>
                <c:pt idx="3419">
                  <c:v>2.2633291467297534E-2</c:v>
                </c:pt>
                <c:pt idx="3420">
                  <c:v>2.637832385426675E-2</c:v>
                </c:pt>
                <c:pt idx="3421">
                  <c:v>2.8444171695499731E-2</c:v>
                </c:pt>
                <c:pt idx="3422">
                  <c:v>2.5600189052632727E-2</c:v>
                </c:pt>
                <c:pt idx="3423">
                  <c:v>2.2135050057961236E-2</c:v>
                </c:pt>
                <c:pt idx="3424">
                  <c:v>2.1535534839945081E-2</c:v>
                </c:pt>
                <c:pt idx="3425">
                  <c:v>2.6765422483982837E-2</c:v>
                </c:pt>
                <c:pt idx="3426">
                  <c:v>2.6273098550365193E-2</c:v>
                </c:pt>
                <c:pt idx="3427">
                  <c:v>1.9233188893451825E-2</c:v>
                </c:pt>
                <c:pt idx="3428">
                  <c:v>2.5470162255946671E-2</c:v>
                </c:pt>
                <c:pt idx="3429">
                  <c:v>2.428194261969463E-2</c:v>
                </c:pt>
                <c:pt idx="3430">
                  <c:v>2.1991809751476632E-2</c:v>
                </c:pt>
                <c:pt idx="3431">
                  <c:v>2.7679624344596254E-2</c:v>
                </c:pt>
                <c:pt idx="3432">
                  <c:v>3.4284732787528194E-2</c:v>
                </c:pt>
                <c:pt idx="3433">
                  <c:v>2.3219146678879921E-2</c:v>
                </c:pt>
                <c:pt idx="3434">
                  <c:v>2.7690627696050463E-2</c:v>
                </c:pt>
                <c:pt idx="3435">
                  <c:v>2.2860455002277735E-2</c:v>
                </c:pt>
                <c:pt idx="3436">
                  <c:v>2.1017118759206754E-2</c:v>
                </c:pt>
                <c:pt idx="3437">
                  <c:v>2.3434765485235709E-2</c:v>
                </c:pt>
                <c:pt idx="3438">
                  <c:v>3.2400472337235309E-2</c:v>
                </c:pt>
                <c:pt idx="3439">
                  <c:v>2.6611035109939563E-2</c:v>
                </c:pt>
                <c:pt idx="3440">
                  <c:v>3.0651519901641944E-2</c:v>
                </c:pt>
                <c:pt idx="3441">
                  <c:v>2.7983124851179264E-2</c:v>
                </c:pt>
                <c:pt idx="3442">
                  <c:v>2.5012102753176224E-2</c:v>
                </c:pt>
                <c:pt idx="3443">
                  <c:v>2.5254074628123901E-2</c:v>
                </c:pt>
                <c:pt idx="3444">
                  <c:v>2.4334749218621332E-2</c:v>
                </c:pt>
                <c:pt idx="3445">
                  <c:v>2.6280926194501397E-2</c:v>
                </c:pt>
                <c:pt idx="3446">
                  <c:v>2.7952592853142111E-2</c:v>
                </c:pt>
                <c:pt idx="3447">
                  <c:v>2.5932245809642041E-2</c:v>
                </c:pt>
                <c:pt idx="3448">
                  <c:v>2.1704164061349895E-2</c:v>
                </c:pt>
                <c:pt idx="3449">
                  <c:v>2.788391888004127E-2</c:v>
                </c:pt>
                <c:pt idx="3450">
                  <c:v>2.1622280764356461E-2</c:v>
                </c:pt>
                <c:pt idx="3451">
                  <c:v>2.974313365970227E-2</c:v>
                </c:pt>
                <c:pt idx="3452">
                  <c:v>2.4548662965951373E-2</c:v>
                </c:pt>
                <c:pt idx="3453">
                  <c:v>2.0289449239768498E-2</c:v>
                </c:pt>
                <c:pt idx="3454">
                  <c:v>2.4491991380526046E-2</c:v>
                </c:pt>
                <c:pt idx="3455">
                  <c:v>2.7568812251546504E-2</c:v>
                </c:pt>
                <c:pt idx="3456">
                  <c:v>2.3662128548399775E-2</c:v>
                </c:pt>
                <c:pt idx="3457">
                  <c:v>2.4912651208888859E-2</c:v>
                </c:pt>
                <c:pt idx="3458">
                  <c:v>2.4766663552795665E-2</c:v>
                </c:pt>
                <c:pt idx="3459">
                  <c:v>2.0983433378683358E-2</c:v>
                </c:pt>
                <c:pt idx="3460">
                  <c:v>2.1578275730351537E-2</c:v>
                </c:pt>
                <c:pt idx="3461">
                  <c:v>2.6148923650204492E-2</c:v>
                </c:pt>
                <c:pt idx="3462">
                  <c:v>2.331449882593517E-2</c:v>
                </c:pt>
                <c:pt idx="3463">
                  <c:v>2.6975552172329387E-2</c:v>
                </c:pt>
                <c:pt idx="3464">
                  <c:v>2.5290436197854649E-2</c:v>
                </c:pt>
                <c:pt idx="3465">
                  <c:v>2.3924085333679512E-2</c:v>
                </c:pt>
                <c:pt idx="3466">
                  <c:v>2.1380332609542529E-2</c:v>
                </c:pt>
                <c:pt idx="3467">
                  <c:v>2.8369564898358401E-2</c:v>
                </c:pt>
                <c:pt idx="3468">
                  <c:v>2.3801399220736874E-2</c:v>
                </c:pt>
                <c:pt idx="3469">
                  <c:v>1.8081078277271234E-2</c:v>
                </c:pt>
                <c:pt idx="3470">
                  <c:v>2.6405565730223124E-2</c:v>
                </c:pt>
                <c:pt idx="3471">
                  <c:v>2.8001735389056037E-2</c:v>
                </c:pt>
                <c:pt idx="3472">
                  <c:v>2.4059362651735361E-2</c:v>
                </c:pt>
                <c:pt idx="3473">
                  <c:v>2.0956675672515801E-2</c:v>
                </c:pt>
                <c:pt idx="3474">
                  <c:v>2.4069361385760324E-2</c:v>
                </c:pt>
                <c:pt idx="3475">
                  <c:v>2.4670691891659047E-2</c:v>
                </c:pt>
                <c:pt idx="3476">
                  <c:v>2.2782580407887387E-2</c:v>
                </c:pt>
                <c:pt idx="3477">
                  <c:v>2.9982818634696429E-2</c:v>
                </c:pt>
                <c:pt idx="3478">
                  <c:v>2.5968192974683224E-2</c:v>
                </c:pt>
                <c:pt idx="3479">
                  <c:v>3.0288791616396971E-2</c:v>
                </c:pt>
                <c:pt idx="3480">
                  <c:v>2.4035525312622541E-2</c:v>
                </c:pt>
                <c:pt idx="3481">
                  <c:v>2.6510026408636866E-2</c:v>
                </c:pt>
                <c:pt idx="3482">
                  <c:v>2.4433282654202526E-2</c:v>
                </c:pt>
                <c:pt idx="3483">
                  <c:v>2.6588001464770139E-2</c:v>
                </c:pt>
                <c:pt idx="3484">
                  <c:v>2.4122874007491468E-2</c:v>
                </c:pt>
                <c:pt idx="3485">
                  <c:v>2.6670642410741463E-2</c:v>
                </c:pt>
                <c:pt idx="3486">
                  <c:v>2.8838983554589248E-2</c:v>
                </c:pt>
                <c:pt idx="3487">
                  <c:v>2.5466632141924461E-2</c:v>
                </c:pt>
                <c:pt idx="3488">
                  <c:v>2.2464985955953254E-2</c:v>
                </c:pt>
                <c:pt idx="3489">
                  <c:v>2.724093581928444E-2</c:v>
                </c:pt>
                <c:pt idx="3490">
                  <c:v>1.9978380615218505E-2</c:v>
                </c:pt>
                <c:pt idx="3491">
                  <c:v>2.7525878809466109E-2</c:v>
                </c:pt>
                <c:pt idx="3492">
                  <c:v>2.8219249015507542E-2</c:v>
                </c:pt>
                <c:pt idx="3493">
                  <c:v>3.0121614904358607E-2</c:v>
                </c:pt>
                <c:pt idx="3494">
                  <c:v>2.1449140531633937E-2</c:v>
                </c:pt>
                <c:pt idx="3495">
                  <c:v>2.5853575893120206E-2</c:v>
                </c:pt>
                <c:pt idx="3496">
                  <c:v>2.7554200649158922E-2</c:v>
                </c:pt>
                <c:pt idx="3497">
                  <c:v>2.1308706177441294E-2</c:v>
                </c:pt>
                <c:pt idx="3498">
                  <c:v>2.6461824306260873E-2</c:v>
                </c:pt>
                <c:pt idx="3499">
                  <c:v>2.8790700524698121E-2</c:v>
                </c:pt>
                <c:pt idx="3500">
                  <c:v>2.3016886493729127E-2</c:v>
                </c:pt>
                <c:pt idx="3501">
                  <c:v>2.4434076581032027E-2</c:v>
                </c:pt>
                <c:pt idx="3502">
                  <c:v>2.1962794446697242E-2</c:v>
                </c:pt>
                <c:pt idx="3503">
                  <c:v>2.3420827813706913E-2</c:v>
                </c:pt>
                <c:pt idx="3504">
                  <c:v>3.3868522577195748E-2</c:v>
                </c:pt>
                <c:pt idx="3505">
                  <c:v>2.2180142032212524E-2</c:v>
                </c:pt>
                <c:pt idx="3506">
                  <c:v>2.4902983161434356E-2</c:v>
                </c:pt>
                <c:pt idx="3507">
                  <c:v>2.3148083948780651E-2</c:v>
                </c:pt>
                <c:pt idx="3508">
                  <c:v>2.4449515597496752E-2</c:v>
                </c:pt>
                <c:pt idx="3509">
                  <c:v>2.6910472497142068E-2</c:v>
                </c:pt>
                <c:pt idx="3510">
                  <c:v>2.2326380842663029E-2</c:v>
                </c:pt>
                <c:pt idx="3511">
                  <c:v>2.1022189286620474E-2</c:v>
                </c:pt>
                <c:pt idx="3512">
                  <c:v>2.5748654765051393E-2</c:v>
                </c:pt>
                <c:pt idx="3513">
                  <c:v>2.1313277186744362E-2</c:v>
                </c:pt>
                <c:pt idx="3514">
                  <c:v>2.0504787590425289E-2</c:v>
                </c:pt>
                <c:pt idx="3515">
                  <c:v>2.43504924109188E-2</c:v>
                </c:pt>
                <c:pt idx="3516">
                  <c:v>2.5364336972191537E-2</c:v>
                </c:pt>
                <c:pt idx="3517">
                  <c:v>2.4495021976437603E-2</c:v>
                </c:pt>
                <c:pt idx="3518">
                  <c:v>2.3144393375030159E-2</c:v>
                </c:pt>
                <c:pt idx="3519">
                  <c:v>2.3888521876684221E-2</c:v>
                </c:pt>
                <c:pt idx="3520">
                  <c:v>2.3812618843998767E-2</c:v>
                </c:pt>
                <c:pt idx="3521">
                  <c:v>2.6191884998324588E-2</c:v>
                </c:pt>
                <c:pt idx="3522">
                  <c:v>2.7288490501539364E-2</c:v>
                </c:pt>
                <c:pt idx="3523">
                  <c:v>2.6832321632958678E-2</c:v>
                </c:pt>
                <c:pt idx="3524">
                  <c:v>3.2832309929800463E-2</c:v>
                </c:pt>
                <c:pt idx="3525">
                  <c:v>2.7643014411112166E-2</c:v>
                </c:pt>
                <c:pt idx="3526">
                  <c:v>2.5021207098628762E-2</c:v>
                </c:pt>
                <c:pt idx="3527">
                  <c:v>2.2232525854637752E-2</c:v>
                </c:pt>
                <c:pt idx="3528">
                  <c:v>3.209964522925568E-2</c:v>
                </c:pt>
                <c:pt idx="3529">
                  <c:v>2.674209024418861E-2</c:v>
                </c:pt>
                <c:pt idx="3530">
                  <c:v>2.3548167258769737E-2</c:v>
                </c:pt>
                <c:pt idx="3531">
                  <c:v>2.2880405030060169E-2</c:v>
                </c:pt>
                <c:pt idx="3532">
                  <c:v>2.6611540209258155E-2</c:v>
                </c:pt>
                <c:pt idx="3533">
                  <c:v>2.1660259489087896E-2</c:v>
                </c:pt>
                <c:pt idx="3534">
                  <c:v>2.4286442468596459E-2</c:v>
                </c:pt>
                <c:pt idx="3535">
                  <c:v>2.9208495798085599E-2</c:v>
                </c:pt>
                <c:pt idx="3536">
                  <c:v>2.4612657096194313E-2</c:v>
                </c:pt>
                <c:pt idx="3537">
                  <c:v>2.184510072425716E-2</c:v>
                </c:pt>
                <c:pt idx="3538">
                  <c:v>1.8607493624289928E-2</c:v>
                </c:pt>
                <c:pt idx="3539">
                  <c:v>2.8879944039662764E-2</c:v>
                </c:pt>
                <c:pt idx="3540">
                  <c:v>2.1614393122234898E-2</c:v>
                </c:pt>
                <c:pt idx="3541">
                  <c:v>2.6918286188258422E-2</c:v>
                </c:pt>
                <c:pt idx="3542">
                  <c:v>2.4746116335763624E-2</c:v>
                </c:pt>
                <c:pt idx="3543">
                  <c:v>3.1430374679100259E-2</c:v>
                </c:pt>
                <c:pt idx="3544">
                  <c:v>2.3483916392961546E-2</c:v>
                </c:pt>
                <c:pt idx="3545">
                  <c:v>2.7352799970030928E-2</c:v>
                </c:pt>
                <c:pt idx="3546">
                  <c:v>2.5252224457691708E-2</c:v>
                </c:pt>
                <c:pt idx="3547">
                  <c:v>2.5992850751363261E-2</c:v>
                </c:pt>
                <c:pt idx="3548">
                  <c:v>2.8779752985323315E-2</c:v>
                </c:pt>
                <c:pt idx="3549">
                  <c:v>2.1790642087780143E-2</c:v>
                </c:pt>
                <c:pt idx="3550">
                  <c:v>2.2840047315444201E-2</c:v>
                </c:pt>
                <c:pt idx="3551">
                  <c:v>1.9259297784196328E-2</c:v>
                </c:pt>
                <c:pt idx="3552">
                  <c:v>2.3384672748669955E-2</c:v>
                </c:pt>
                <c:pt idx="3553">
                  <c:v>2.6628688470654582E-2</c:v>
                </c:pt>
                <c:pt idx="3554">
                  <c:v>2.584527105570511E-2</c:v>
                </c:pt>
                <c:pt idx="3555">
                  <c:v>2.4208184166160218E-2</c:v>
                </c:pt>
                <c:pt idx="3556">
                  <c:v>2.7229522249046623E-2</c:v>
                </c:pt>
                <c:pt idx="3557">
                  <c:v>2.1426898022690044E-2</c:v>
                </c:pt>
                <c:pt idx="3558">
                  <c:v>2.6635944040976911E-2</c:v>
                </c:pt>
                <c:pt idx="3559">
                  <c:v>2.6059783387586744E-2</c:v>
                </c:pt>
                <c:pt idx="3560">
                  <c:v>2.6254804746039029E-2</c:v>
                </c:pt>
                <c:pt idx="3561">
                  <c:v>2.3109357342185222E-2</c:v>
                </c:pt>
                <c:pt idx="3562">
                  <c:v>2.3482328539302544E-2</c:v>
                </c:pt>
                <c:pt idx="3563">
                  <c:v>3.2846469454344884E-2</c:v>
                </c:pt>
                <c:pt idx="3564">
                  <c:v>2.522611975285316E-2</c:v>
                </c:pt>
                <c:pt idx="3565">
                  <c:v>2.2468672343797791E-2</c:v>
                </c:pt>
                <c:pt idx="3566">
                  <c:v>2.1148328771976144E-2</c:v>
                </c:pt>
                <c:pt idx="3567">
                  <c:v>2.1980937558409019E-2</c:v>
                </c:pt>
                <c:pt idx="3568">
                  <c:v>2.5166954762780525E-2</c:v>
                </c:pt>
                <c:pt idx="3569">
                  <c:v>2.8230453290447599E-2</c:v>
                </c:pt>
                <c:pt idx="3570">
                  <c:v>2.6201698157185538E-2</c:v>
                </c:pt>
                <c:pt idx="3571">
                  <c:v>2.4045635670806309E-2</c:v>
                </c:pt>
                <c:pt idx="3572">
                  <c:v>2.0478713582230412E-2</c:v>
                </c:pt>
                <c:pt idx="3573">
                  <c:v>2.1442355178080574E-2</c:v>
                </c:pt>
                <c:pt idx="3574">
                  <c:v>2.2534180376694524E-2</c:v>
                </c:pt>
                <c:pt idx="3575">
                  <c:v>2.1409194431103562E-2</c:v>
                </c:pt>
                <c:pt idx="3576">
                  <c:v>2.7125256912910789E-2</c:v>
                </c:pt>
                <c:pt idx="3577">
                  <c:v>2.6817871885601363E-2</c:v>
                </c:pt>
                <c:pt idx="3578">
                  <c:v>2.0472244962227659E-2</c:v>
                </c:pt>
                <c:pt idx="3579">
                  <c:v>3.0035929409455875E-2</c:v>
                </c:pt>
                <c:pt idx="3580">
                  <c:v>2.5062534548124349E-2</c:v>
                </c:pt>
                <c:pt idx="3581">
                  <c:v>2.390692172396125E-2</c:v>
                </c:pt>
                <c:pt idx="3582">
                  <c:v>2.6432930392754184E-2</c:v>
                </c:pt>
                <c:pt idx="3583">
                  <c:v>2.3886134514987778E-2</c:v>
                </c:pt>
                <c:pt idx="3584">
                  <c:v>3.1732270588400446E-2</c:v>
                </c:pt>
                <c:pt idx="3585">
                  <c:v>2.5930066347941372E-2</c:v>
                </c:pt>
                <c:pt idx="3586">
                  <c:v>3.1479070718378965E-2</c:v>
                </c:pt>
                <c:pt idx="3587">
                  <c:v>3.0112235684415012E-2</c:v>
                </c:pt>
                <c:pt idx="3588">
                  <c:v>2.1690492892500246E-2</c:v>
                </c:pt>
                <c:pt idx="3589">
                  <c:v>2.2080136553037089E-2</c:v>
                </c:pt>
                <c:pt idx="3590">
                  <c:v>2.4140528763508473E-2</c:v>
                </c:pt>
                <c:pt idx="3591">
                  <c:v>1.9301497297432579E-2</c:v>
                </c:pt>
                <c:pt idx="3592">
                  <c:v>2.3192441994187796E-2</c:v>
                </c:pt>
                <c:pt idx="3593">
                  <c:v>2.1082325406874713E-2</c:v>
                </c:pt>
                <c:pt idx="3594">
                  <c:v>2.8004774356779505E-2</c:v>
                </c:pt>
                <c:pt idx="3595">
                  <c:v>2.6832318842354708E-2</c:v>
                </c:pt>
                <c:pt idx="3596">
                  <c:v>2.4107111280966209E-2</c:v>
                </c:pt>
                <c:pt idx="3597">
                  <c:v>2.5755240590420891E-2</c:v>
                </c:pt>
                <c:pt idx="3598">
                  <c:v>2.6350057826653339E-2</c:v>
                </c:pt>
                <c:pt idx="3599">
                  <c:v>2.1941090524319584E-2</c:v>
                </c:pt>
                <c:pt idx="3600">
                  <c:v>2.5366549921139847E-2</c:v>
                </c:pt>
                <c:pt idx="3601">
                  <c:v>2.2649689056225997E-2</c:v>
                </c:pt>
                <c:pt idx="3602">
                  <c:v>2.8992508632005753E-2</c:v>
                </c:pt>
                <c:pt idx="3603">
                  <c:v>2.051630162240603E-2</c:v>
                </c:pt>
                <c:pt idx="3604">
                  <c:v>2.7752754912237387E-2</c:v>
                </c:pt>
                <c:pt idx="3605">
                  <c:v>1.9576939676397953E-2</c:v>
                </c:pt>
                <c:pt idx="3606">
                  <c:v>2.6378351760306451E-2</c:v>
                </c:pt>
                <c:pt idx="3607">
                  <c:v>2.8088358526892732E-2</c:v>
                </c:pt>
                <c:pt idx="3608">
                  <c:v>2.3520180291553339E-2</c:v>
                </c:pt>
                <c:pt idx="3609">
                  <c:v>2.1477455394816825E-2</c:v>
                </c:pt>
                <c:pt idx="3610">
                  <c:v>2.2169296349882628E-2</c:v>
                </c:pt>
                <c:pt idx="3611">
                  <c:v>2.1982254723482919E-2</c:v>
                </c:pt>
                <c:pt idx="3612">
                  <c:v>2.0588454083355634E-2</c:v>
                </c:pt>
                <c:pt idx="3613">
                  <c:v>2.219804515198287E-2</c:v>
                </c:pt>
                <c:pt idx="3614">
                  <c:v>2.8679031716229542E-2</c:v>
                </c:pt>
                <c:pt idx="3615">
                  <c:v>2.4975494214994121E-2</c:v>
                </c:pt>
                <c:pt idx="3616">
                  <c:v>2.2610095967097843E-2</c:v>
                </c:pt>
                <c:pt idx="3617">
                  <c:v>2.8882408142968385E-2</c:v>
                </c:pt>
                <c:pt idx="3618">
                  <c:v>2.3041996348252325E-2</c:v>
                </c:pt>
                <c:pt idx="3619">
                  <c:v>2.3295437605517222E-2</c:v>
                </c:pt>
                <c:pt idx="3620">
                  <c:v>2.3515513006413302E-2</c:v>
                </c:pt>
                <c:pt idx="3621">
                  <c:v>2.1751375499316494E-2</c:v>
                </c:pt>
                <c:pt idx="3622">
                  <c:v>2.9135164306958616E-2</c:v>
                </c:pt>
                <c:pt idx="3623">
                  <c:v>3.1769360505767397E-2</c:v>
                </c:pt>
                <c:pt idx="3624">
                  <c:v>2.7786398433701232E-2</c:v>
                </c:pt>
                <c:pt idx="3625">
                  <c:v>2.2799897500824007E-2</c:v>
                </c:pt>
                <c:pt idx="3626">
                  <c:v>2.4568763686348194E-2</c:v>
                </c:pt>
                <c:pt idx="3627">
                  <c:v>2.5846973324126887E-2</c:v>
                </c:pt>
                <c:pt idx="3628">
                  <c:v>2.6956319329767275E-2</c:v>
                </c:pt>
                <c:pt idx="3629">
                  <c:v>2.7967539328006108E-2</c:v>
                </c:pt>
                <c:pt idx="3630">
                  <c:v>2.9353010015282566E-2</c:v>
                </c:pt>
                <c:pt idx="3631">
                  <c:v>2.6744172034750324E-2</c:v>
                </c:pt>
                <c:pt idx="3632">
                  <c:v>2.3824558443084953E-2</c:v>
                </c:pt>
                <c:pt idx="3633">
                  <c:v>2.4971258078167469E-2</c:v>
                </c:pt>
                <c:pt idx="3634">
                  <c:v>2.7465506883176394E-2</c:v>
                </c:pt>
                <c:pt idx="3635">
                  <c:v>2.4751598477262937E-2</c:v>
                </c:pt>
                <c:pt idx="3636">
                  <c:v>2.4246701477457888E-2</c:v>
                </c:pt>
                <c:pt idx="3637">
                  <c:v>2.4993208968996483E-2</c:v>
                </c:pt>
                <c:pt idx="3638">
                  <c:v>1.9830269309504045E-2</c:v>
                </c:pt>
                <c:pt idx="3639">
                  <c:v>2.4586528671222019E-2</c:v>
                </c:pt>
                <c:pt idx="3640">
                  <c:v>2.4987302655693711E-2</c:v>
                </c:pt>
                <c:pt idx="3641">
                  <c:v>3.0317127409109634E-2</c:v>
                </c:pt>
                <c:pt idx="3642">
                  <c:v>2.6261082209669828E-2</c:v>
                </c:pt>
                <c:pt idx="3643">
                  <c:v>2.6880548850770403E-2</c:v>
                </c:pt>
                <c:pt idx="3644">
                  <c:v>2.4988981203981742E-2</c:v>
                </c:pt>
                <c:pt idx="3645">
                  <c:v>2.7795733003981304E-2</c:v>
                </c:pt>
                <c:pt idx="3646">
                  <c:v>2.6728779063251107E-2</c:v>
                </c:pt>
                <c:pt idx="3647">
                  <c:v>2.0806732335294953E-2</c:v>
                </c:pt>
                <c:pt idx="3648">
                  <c:v>2.3353084507030109E-2</c:v>
                </c:pt>
                <c:pt idx="3649">
                  <c:v>3.0906288091094636E-2</c:v>
                </c:pt>
                <c:pt idx="3650">
                  <c:v>2.4559964912030385E-2</c:v>
                </c:pt>
                <c:pt idx="3651">
                  <c:v>2.6110241693272584E-2</c:v>
                </c:pt>
                <c:pt idx="3652">
                  <c:v>3.0099309606825386E-2</c:v>
                </c:pt>
                <c:pt idx="3653">
                  <c:v>3.1219430134394432E-2</c:v>
                </c:pt>
                <c:pt idx="3654">
                  <c:v>3.3774161094549893E-2</c:v>
                </c:pt>
                <c:pt idx="3655">
                  <c:v>2.275802169764829E-2</c:v>
                </c:pt>
                <c:pt idx="3656">
                  <c:v>2.1230365552187935E-2</c:v>
                </c:pt>
                <c:pt idx="3657">
                  <c:v>2.5039846937847221E-2</c:v>
                </c:pt>
                <c:pt idx="3658">
                  <c:v>2.5847742135520657E-2</c:v>
                </c:pt>
                <c:pt idx="3659">
                  <c:v>2.1716830612770299E-2</c:v>
                </c:pt>
                <c:pt idx="3660">
                  <c:v>1.9414973021971815E-2</c:v>
                </c:pt>
                <c:pt idx="3661">
                  <c:v>2.7349596356673223E-2</c:v>
                </c:pt>
                <c:pt idx="3662">
                  <c:v>2.2417055937464347E-2</c:v>
                </c:pt>
                <c:pt idx="3663">
                  <c:v>2.7404847524677756E-2</c:v>
                </c:pt>
                <c:pt idx="3664">
                  <c:v>2.8034307318595353E-2</c:v>
                </c:pt>
                <c:pt idx="3665">
                  <c:v>3.1963360503166616E-2</c:v>
                </c:pt>
                <c:pt idx="3666">
                  <c:v>2.4091841096041677E-2</c:v>
                </c:pt>
                <c:pt idx="3667">
                  <c:v>2.0385591127747293E-2</c:v>
                </c:pt>
                <c:pt idx="3668">
                  <c:v>2.9351318909276669E-2</c:v>
                </c:pt>
                <c:pt idx="3669">
                  <c:v>2.6832276983295156E-2</c:v>
                </c:pt>
                <c:pt idx="3670">
                  <c:v>2.7659766406744835E-2</c:v>
                </c:pt>
                <c:pt idx="3671">
                  <c:v>2.2251829857601102E-2</c:v>
                </c:pt>
                <c:pt idx="3672">
                  <c:v>2.5091319628076203E-2</c:v>
                </c:pt>
                <c:pt idx="3673">
                  <c:v>2.414751643584967E-2</c:v>
                </c:pt>
                <c:pt idx="3674">
                  <c:v>2.1722258337492195E-2</c:v>
                </c:pt>
                <c:pt idx="3675">
                  <c:v>3.0095944138437414E-2</c:v>
                </c:pt>
                <c:pt idx="3676">
                  <c:v>2.4260228930203076E-2</c:v>
                </c:pt>
                <c:pt idx="3677">
                  <c:v>2.9619886635361636E-2</c:v>
                </c:pt>
                <c:pt idx="3678">
                  <c:v>2.4120361068616369E-2</c:v>
                </c:pt>
                <c:pt idx="3679">
                  <c:v>2.1326404187819836E-2</c:v>
                </c:pt>
                <c:pt idx="3680">
                  <c:v>2.5722145422637177E-2</c:v>
                </c:pt>
                <c:pt idx="3681">
                  <c:v>2.5558053723287788E-2</c:v>
                </c:pt>
                <c:pt idx="3682">
                  <c:v>2.5957910994355293E-2</c:v>
                </c:pt>
                <c:pt idx="3683">
                  <c:v>2.8390265598608799E-2</c:v>
                </c:pt>
                <c:pt idx="3684">
                  <c:v>2.527987376182772E-2</c:v>
                </c:pt>
                <c:pt idx="3685">
                  <c:v>3.0619352609678296E-2</c:v>
                </c:pt>
                <c:pt idx="3686">
                  <c:v>2.4558564028837382E-2</c:v>
                </c:pt>
                <c:pt idx="3687">
                  <c:v>2.3698113386594555E-2</c:v>
                </c:pt>
                <c:pt idx="3688">
                  <c:v>2.9177793573206268E-2</c:v>
                </c:pt>
                <c:pt idx="3689">
                  <c:v>2.559307998901883E-2</c:v>
                </c:pt>
                <c:pt idx="3690">
                  <c:v>2.9665518591481144E-2</c:v>
                </c:pt>
                <c:pt idx="3691">
                  <c:v>2.4469588411853871E-2</c:v>
                </c:pt>
                <c:pt idx="3692">
                  <c:v>3.198088828670298E-2</c:v>
                </c:pt>
                <c:pt idx="3693">
                  <c:v>2.7661128221482256E-2</c:v>
                </c:pt>
                <c:pt idx="3694">
                  <c:v>2.0172806179723168E-2</c:v>
                </c:pt>
                <c:pt idx="3695">
                  <c:v>2.9405833357833089E-2</c:v>
                </c:pt>
                <c:pt idx="3696">
                  <c:v>2.8788448507294229E-2</c:v>
                </c:pt>
                <c:pt idx="3697">
                  <c:v>2.2427090949340922E-2</c:v>
                </c:pt>
                <c:pt idx="3698">
                  <c:v>2.2636446245085762E-2</c:v>
                </c:pt>
                <c:pt idx="3699">
                  <c:v>3.1698967520620958E-2</c:v>
                </c:pt>
                <c:pt idx="3700">
                  <c:v>3.0938929785733205E-2</c:v>
                </c:pt>
                <c:pt idx="3701">
                  <c:v>2.5898161372750916E-2</c:v>
                </c:pt>
                <c:pt idx="3702">
                  <c:v>2.3194904702191432E-2</c:v>
                </c:pt>
                <c:pt idx="3703">
                  <c:v>2.7597053163724183E-2</c:v>
                </c:pt>
                <c:pt idx="3704">
                  <c:v>2.0700820542816745E-2</c:v>
                </c:pt>
                <c:pt idx="3705">
                  <c:v>2.581491905162403E-2</c:v>
                </c:pt>
                <c:pt idx="3706">
                  <c:v>2.0824310349702779E-2</c:v>
                </c:pt>
                <c:pt idx="3707">
                  <c:v>2.4595213030777052E-2</c:v>
                </c:pt>
                <c:pt idx="3708">
                  <c:v>2.693104203900587E-2</c:v>
                </c:pt>
                <c:pt idx="3709">
                  <c:v>2.4263817646908659E-2</c:v>
                </c:pt>
                <c:pt idx="3710">
                  <c:v>2.5267565803017478E-2</c:v>
                </c:pt>
                <c:pt idx="3711">
                  <c:v>2.5769934515625592E-2</c:v>
                </c:pt>
                <c:pt idx="3712">
                  <c:v>2.1254696828203468E-2</c:v>
                </c:pt>
                <c:pt idx="3713">
                  <c:v>2.1672873019032868E-2</c:v>
                </c:pt>
                <c:pt idx="3714">
                  <c:v>2.6506641406021103E-2</c:v>
                </c:pt>
                <c:pt idx="3715">
                  <c:v>2.7731381676430189E-2</c:v>
                </c:pt>
                <c:pt idx="3716">
                  <c:v>2.303936062280254E-2</c:v>
                </c:pt>
                <c:pt idx="3717">
                  <c:v>2.9691535392294632E-2</c:v>
                </c:pt>
                <c:pt idx="3718">
                  <c:v>2.646948730476284E-2</c:v>
                </c:pt>
                <c:pt idx="3719">
                  <c:v>2.3886943790139115E-2</c:v>
                </c:pt>
                <c:pt idx="3720">
                  <c:v>2.2240243269917137E-2</c:v>
                </c:pt>
                <c:pt idx="3721">
                  <c:v>2.1699700490299678E-2</c:v>
                </c:pt>
                <c:pt idx="3722">
                  <c:v>2.4130273293918258E-2</c:v>
                </c:pt>
                <c:pt idx="3723">
                  <c:v>2.1492570701221014E-2</c:v>
                </c:pt>
                <c:pt idx="3724">
                  <c:v>3.2305390878765161E-2</c:v>
                </c:pt>
                <c:pt idx="3725">
                  <c:v>2.4099979892520551E-2</c:v>
                </c:pt>
                <c:pt idx="3726">
                  <c:v>2.6806131814699041E-2</c:v>
                </c:pt>
                <c:pt idx="3727">
                  <c:v>2.3818946538501029E-2</c:v>
                </c:pt>
                <c:pt idx="3728">
                  <c:v>2.6216513473662939E-2</c:v>
                </c:pt>
                <c:pt idx="3729">
                  <c:v>2.6542760193206449E-2</c:v>
                </c:pt>
                <c:pt idx="3730">
                  <c:v>2.4194578576503867E-2</c:v>
                </c:pt>
                <c:pt idx="3731">
                  <c:v>2.1572810332476045E-2</c:v>
                </c:pt>
                <c:pt idx="3732">
                  <c:v>2.4055836723619106E-2</c:v>
                </c:pt>
                <c:pt idx="3733">
                  <c:v>3.1735599778936807E-2</c:v>
                </c:pt>
                <c:pt idx="3734">
                  <c:v>2.382691092223177E-2</c:v>
                </c:pt>
                <c:pt idx="3735">
                  <c:v>2.1798158579573679E-2</c:v>
                </c:pt>
                <c:pt idx="3736">
                  <c:v>2.629544989286392E-2</c:v>
                </c:pt>
                <c:pt idx="3737">
                  <c:v>2.6862209001478732E-2</c:v>
                </c:pt>
                <c:pt idx="3738">
                  <c:v>2.6317240323964652E-2</c:v>
                </c:pt>
                <c:pt idx="3739">
                  <c:v>3.0430317096741932E-2</c:v>
                </c:pt>
                <c:pt idx="3740">
                  <c:v>2.5321377019373426E-2</c:v>
                </c:pt>
                <c:pt idx="3741">
                  <c:v>2.848165787863044E-2</c:v>
                </c:pt>
                <c:pt idx="3742">
                  <c:v>2.3169196263116643E-2</c:v>
                </c:pt>
                <c:pt idx="3743">
                  <c:v>2.9660453645275364E-2</c:v>
                </c:pt>
                <c:pt idx="3744">
                  <c:v>2.4679720890804391E-2</c:v>
                </c:pt>
                <c:pt idx="3745">
                  <c:v>2.1990884666260535E-2</c:v>
                </c:pt>
                <c:pt idx="3746">
                  <c:v>3.7342322211288526E-2</c:v>
                </c:pt>
                <c:pt idx="3747">
                  <c:v>2.6830970980637137E-2</c:v>
                </c:pt>
                <c:pt idx="3748">
                  <c:v>1.9714308552129411E-2</c:v>
                </c:pt>
                <c:pt idx="3749">
                  <c:v>2.7489416777992437E-2</c:v>
                </c:pt>
                <c:pt idx="3750">
                  <c:v>3.0953912538448813E-2</c:v>
                </c:pt>
                <c:pt idx="3751">
                  <c:v>2.9731561025038156E-2</c:v>
                </c:pt>
                <c:pt idx="3752">
                  <c:v>2.5196519816542029E-2</c:v>
                </c:pt>
                <c:pt idx="3753">
                  <c:v>2.6344408248915818E-2</c:v>
                </c:pt>
                <c:pt idx="3754">
                  <c:v>2.5116298324212805E-2</c:v>
                </c:pt>
                <c:pt idx="3755">
                  <c:v>2.3439929497882428E-2</c:v>
                </c:pt>
                <c:pt idx="3756">
                  <c:v>2.6831869555115517E-2</c:v>
                </c:pt>
                <c:pt idx="3757">
                  <c:v>2.1319983008084575E-2</c:v>
                </c:pt>
                <c:pt idx="3758">
                  <c:v>2.7510555603066145E-2</c:v>
                </c:pt>
                <c:pt idx="3759">
                  <c:v>2.5838284778665899E-2</c:v>
                </c:pt>
                <c:pt idx="3760">
                  <c:v>3.2057749891852172E-2</c:v>
                </c:pt>
                <c:pt idx="3761">
                  <c:v>2.3117304982292142E-2</c:v>
                </c:pt>
                <c:pt idx="3762">
                  <c:v>2.2745960707289403E-2</c:v>
                </c:pt>
                <c:pt idx="3763">
                  <c:v>2.0435993621353732E-2</c:v>
                </c:pt>
                <c:pt idx="3764">
                  <c:v>2.4059634735622448E-2</c:v>
                </c:pt>
                <c:pt idx="3765">
                  <c:v>3.0201847559103712E-2</c:v>
                </c:pt>
                <c:pt idx="3766">
                  <c:v>3.0347807309157204E-2</c:v>
                </c:pt>
                <c:pt idx="3767">
                  <c:v>3.2155959617372831E-2</c:v>
                </c:pt>
                <c:pt idx="3768">
                  <c:v>2.3537740167035359E-2</c:v>
                </c:pt>
                <c:pt idx="3769">
                  <c:v>2.4439675927898086E-2</c:v>
                </c:pt>
                <c:pt idx="3770">
                  <c:v>2.0509813468175486E-2</c:v>
                </c:pt>
                <c:pt idx="3771">
                  <c:v>2.9652545073624026E-2</c:v>
                </c:pt>
                <c:pt idx="3772">
                  <c:v>2.746609570061409E-2</c:v>
                </c:pt>
                <c:pt idx="3773">
                  <c:v>2.636388108341936E-2</c:v>
                </c:pt>
                <c:pt idx="3774">
                  <c:v>2.6295734534468873E-2</c:v>
                </c:pt>
                <c:pt idx="3775">
                  <c:v>2.1129321968335613E-2</c:v>
                </c:pt>
                <c:pt idx="3776">
                  <c:v>2.3072093012070138E-2</c:v>
                </c:pt>
                <c:pt idx="3777">
                  <c:v>2.1173977213065576E-2</c:v>
                </c:pt>
                <c:pt idx="3778">
                  <c:v>3.557856841223761E-2</c:v>
                </c:pt>
                <c:pt idx="3779">
                  <c:v>3.2943442942306778E-2</c:v>
                </c:pt>
                <c:pt idx="3780">
                  <c:v>2.53193803422328E-2</c:v>
                </c:pt>
                <c:pt idx="3781">
                  <c:v>2.8190056507376049E-2</c:v>
                </c:pt>
                <c:pt idx="3782">
                  <c:v>2.4633380121276471E-2</c:v>
                </c:pt>
                <c:pt idx="3783">
                  <c:v>2.4707972965397951E-2</c:v>
                </c:pt>
                <c:pt idx="3784">
                  <c:v>2.92778367255353E-2</c:v>
                </c:pt>
                <c:pt idx="3785">
                  <c:v>1.8800931314989167E-2</c:v>
                </c:pt>
                <c:pt idx="3786">
                  <c:v>2.8463203614575994E-2</c:v>
                </c:pt>
                <c:pt idx="3787">
                  <c:v>2.4894381124696441E-2</c:v>
                </c:pt>
                <c:pt idx="3788">
                  <c:v>2.3184957594339917E-2</c:v>
                </c:pt>
                <c:pt idx="3789">
                  <c:v>2.5822951805152039E-2</c:v>
                </c:pt>
                <c:pt idx="3790">
                  <c:v>2.2319966639437694E-2</c:v>
                </c:pt>
                <c:pt idx="3791">
                  <c:v>2.7812161289553439E-2</c:v>
                </c:pt>
                <c:pt idx="3792">
                  <c:v>2.1339161433869269E-2</c:v>
                </c:pt>
                <c:pt idx="3793">
                  <c:v>2.4251858513594682E-2</c:v>
                </c:pt>
                <c:pt idx="3794">
                  <c:v>3.0195323127021556E-2</c:v>
                </c:pt>
                <c:pt idx="3795">
                  <c:v>2.1283580974596261E-2</c:v>
                </c:pt>
                <c:pt idx="3796">
                  <c:v>2.0342961861499642E-2</c:v>
                </c:pt>
                <c:pt idx="3797">
                  <c:v>2.2719062075621355E-2</c:v>
                </c:pt>
                <c:pt idx="3798">
                  <c:v>1.8684946837480787E-2</c:v>
                </c:pt>
                <c:pt idx="3799">
                  <c:v>2.3099080943065231E-2</c:v>
                </c:pt>
                <c:pt idx="3800">
                  <c:v>1.9685124415809829E-2</c:v>
                </c:pt>
                <c:pt idx="3801">
                  <c:v>2.1889080642826353E-2</c:v>
                </c:pt>
                <c:pt idx="3802">
                  <c:v>2.6338493563801135E-2</c:v>
                </c:pt>
                <c:pt idx="3803">
                  <c:v>2.7869725868249207E-2</c:v>
                </c:pt>
                <c:pt idx="3804">
                  <c:v>2.334262671865206E-2</c:v>
                </c:pt>
                <c:pt idx="3805">
                  <c:v>2.4144495607052008E-2</c:v>
                </c:pt>
                <c:pt idx="3806">
                  <c:v>2.7515810310341893E-2</c:v>
                </c:pt>
                <c:pt idx="3807">
                  <c:v>2.7826432438256665E-2</c:v>
                </c:pt>
                <c:pt idx="3808">
                  <c:v>2.0929371007970099E-2</c:v>
                </c:pt>
                <c:pt idx="3809">
                  <c:v>2.5619620028076717E-2</c:v>
                </c:pt>
                <c:pt idx="3810">
                  <c:v>2.2522688669545543E-2</c:v>
                </c:pt>
                <c:pt idx="3811">
                  <c:v>2.7182760098319214E-2</c:v>
                </c:pt>
                <c:pt idx="3812">
                  <c:v>1.8752425036780429E-2</c:v>
                </c:pt>
                <c:pt idx="3813">
                  <c:v>3.0975305308483803E-2</c:v>
                </c:pt>
                <c:pt idx="3814">
                  <c:v>2.3671075224728E-2</c:v>
                </c:pt>
                <c:pt idx="3815">
                  <c:v>2.8488687410031188E-2</c:v>
                </c:pt>
                <c:pt idx="3816">
                  <c:v>2.7938087293705394E-2</c:v>
                </c:pt>
                <c:pt idx="3817">
                  <c:v>2.8972606044490812E-2</c:v>
                </c:pt>
                <c:pt idx="3818">
                  <c:v>2.5786809297832947E-2</c:v>
                </c:pt>
                <c:pt idx="3819">
                  <c:v>2.3240754325420609E-2</c:v>
                </c:pt>
                <c:pt idx="3820">
                  <c:v>2.5686847073019048E-2</c:v>
                </c:pt>
                <c:pt idx="3821">
                  <c:v>2.3068209886645707E-2</c:v>
                </c:pt>
                <c:pt idx="3822">
                  <c:v>2.5225103973008034E-2</c:v>
                </c:pt>
                <c:pt idx="3823">
                  <c:v>2.6488284813105611E-2</c:v>
                </c:pt>
                <c:pt idx="3824">
                  <c:v>1.9433870992057511E-2</c:v>
                </c:pt>
                <c:pt idx="3825">
                  <c:v>2.3383617900369247E-2</c:v>
                </c:pt>
                <c:pt idx="3826">
                  <c:v>1.9827725673985275E-2</c:v>
                </c:pt>
                <c:pt idx="3827">
                  <c:v>2.6088041043388244E-2</c:v>
                </c:pt>
                <c:pt idx="3828">
                  <c:v>3.1430966287141926E-2</c:v>
                </c:pt>
                <c:pt idx="3829">
                  <c:v>2.7748795045203778E-2</c:v>
                </c:pt>
                <c:pt idx="3830">
                  <c:v>2.5429515713819795E-2</c:v>
                </c:pt>
                <c:pt idx="3831">
                  <c:v>2.3885220592187562E-2</c:v>
                </c:pt>
                <c:pt idx="3832">
                  <c:v>2.478145235853535E-2</c:v>
                </c:pt>
                <c:pt idx="3833">
                  <c:v>2.4592341499291792E-2</c:v>
                </c:pt>
                <c:pt idx="3834">
                  <c:v>2.4002696647517974E-2</c:v>
                </c:pt>
                <c:pt idx="3835">
                  <c:v>2.0318231529116382E-2</c:v>
                </c:pt>
                <c:pt idx="3836">
                  <c:v>2.9536023404851397E-2</c:v>
                </c:pt>
                <c:pt idx="3837">
                  <c:v>3.2219646781179057E-2</c:v>
                </c:pt>
                <c:pt idx="3838">
                  <c:v>2.5643735032284565E-2</c:v>
                </c:pt>
                <c:pt idx="3839">
                  <c:v>2.4848428249120369E-2</c:v>
                </c:pt>
                <c:pt idx="3840">
                  <c:v>2.3899353605994267E-2</c:v>
                </c:pt>
                <c:pt idx="3841">
                  <c:v>2.1391091783149352E-2</c:v>
                </c:pt>
                <c:pt idx="3842">
                  <c:v>2.8361871203212763E-2</c:v>
                </c:pt>
                <c:pt idx="3843">
                  <c:v>2.3660106755823418E-2</c:v>
                </c:pt>
                <c:pt idx="3844">
                  <c:v>3.2408146498153156E-2</c:v>
                </c:pt>
                <c:pt idx="3845">
                  <c:v>2.9147002048999893E-2</c:v>
                </c:pt>
                <c:pt idx="3846">
                  <c:v>2.3873747023964387E-2</c:v>
                </c:pt>
                <c:pt idx="3847">
                  <c:v>2.5040162276095845E-2</c:v>
                </c:pt>
                <c:pt idx="3848">
                  <c:v>2.6416797911202883E-2</c:v>
                </c:pt>
                <c:pt idx="3849">
                  <c:v>2.8673375161982095E-2</c:v>
                </c:pt>
                <c:pt idx="3850">
                  <c:v>2.2666584767963127E-2</c:v>
                </c:pt>
                <c:pt idx="3851">
                  <c:v>2.2593108165429698E-2</c:v>
                </c:pt>
                <c:pt idx="3852">
                  <c:v>2.5587715052886262E-2</c:v>
                </c:pt>
                <c:pt idx="3853">
                  <c:v>2.5489545791123169E-2</c:v>
                </c:pt>
                <c:pt idx="3854">
                  <c:v>2.6196069508977793E-2</c:v>
                </c:pt>
                <c:pt idx="3855">
                  <c:v>2.5597131945983453E-2</c:v>
                </c:pt>
                <c:pt idx="3856">
                  <c:v>2.7139304813296405E-2</c:v>
                </c:pt>
                <c:pt idx="3857">
                  <c:v>2.3588960307605045E-2</c:v>
                </c:pt>
                <c:pt idx="3858">
                  <c:v>2.5109141820331415E-2</c:v>
                </c:pt>
                <c:pt idx="3859">
                  <c:v>2.2687667780957432E-2</c:v>
                </c:pt>
                <c:pt idx="3860">
                  <c:v>1.9929598067216725E-2</c:v>
                </c:pt>
                <c:pt idx="3861">
                  <c:v>2.5102290887584755E-2</c:v>
                </c:pt>
                <c:pt idx="3862">
                  <c:v>2.2864947874669639E-2</c:v>
                </c:pt>
                <c:pt idx="3863">
                  <c:v>2.293848028928247E-2</c:v>
                </c:pt>
                <c:pt idx="3864">
                  <c:v>2.6070165829657599E-2</c:v>
                </c:pt>
                <c:pt idx="3865">
                  <c:v>2.7397170573155938E-2</c:v>
                </c:pt>
                <c:pt idx="3866">
                  <c:v>2.8585245098001533E-2</c:v>
                </c:pt>
                <c:pt idx="3867">
                  <c:v>2.7599081932810465E-2</c:v>
                </c:pt>
                <c:pt idx="3868">
                  <c:v>2.4977772743135729E-2</c:v>
                </c:pt>
                <c:pt idx="3869">
                  <c:v>2.768505485992212E-2</c:v>
                </c:pt>
                <c:pt idx="3870">
                  <c:v>2.8790521926044033E-2</c:v>
                </c:pt>
                <c:pt idx="3871">
                  <c:v>2.6665477002792759E-2</c:v>
                </c:pt>
                <c:pt idx="3872">
                  <c:v>2.323424803226426E-2</c:v>
                </c:pt>
                <c:pt idx="3873">
                  <c:v>2.6840037652936077E-2</c:v>
                </c:pt>
                <c:pt idx="3874">
                  <c:v>2.5622624113250558E-2</c:v>
                </c:pt>
                <c:pt idx="3875">
                  <c:v>2.6338182411458466E-2</c:v>
                </c:pt>
                <c:pt idx="3876">
                  <c:v>2.863397741513185E-2</c:v>
                </c:pt>
                <c:pt idx="3877">
                  <c:v>3.737684756360693E-2</c:v>
                </c:pt>
                <c:pt idx="3878">
                  <c:v>2.0262610606085807E-2</c:v>
                </c:pt>
                <c:pt idx="3879">
                  <c:v>2.1869815708318585E-2</c:v>
                </c:pt>
                <c:pt idx="3880">
                  <c:v>3.8146465441924127E-2</c:v>
                </c:pt>
                <c:pt idx="3881">
                  <c:v>2.2312461310060039E-2</c:v>
                </c:pt>
                <c:pt idx="3882">
                  <c:v>2.1101968468220433E-2</c:v>
                </c:pt>
                <c:pt idx="3883">
                  <c:v>2.2666142457233862E-2</c:v>
                </c:pt>
                <c:pt idx="3884">
                  <c:v>2.1152471423569796E-2</c:v>
                </c:pt>
                <c:pt idx="3885">
                  <c:v>2.7081977435938098E-2</c:v>
                </c:pt>
                <c:pt idx="3886">
                  <c:v>2.9948826287736319E-2</c:v>
                </c:pt>
                <c:pt idx="3887">
                  <c:v>2.5091537295185873E-2</c:v>
                </c:pt>
                <c:pt idx="3888">
                  <c:v>2.589547541642967E-2</c:v>
                </c:pt>
                <c:pt idx="3889">
                  <c:v>2.4309457974840076E-2</c:v>
                </c:pt>
                <c:pt idx="3890">
                  <c:v>2.7203396614678299E-2</c:v>
                </c:pt>
                <c:pt idx="3891">
                  <c:v>2.7399737928808454E-2</c:v>
                </c:pt>
                <c:pt idx="3892">
                  <c:v>2.5296458321222182E-2</c:v>
                </c:pt>
                <c:pt idx="3893">
                  <c:v>3.1186241481377719E-2</c:v>
                </c:pt>
                <c:pt idx="3894">
                  <c:v>1.9907742056922695E-2</c:v>
                </c:pt>
                <c:pt idx="3895">
                  <c:v>2.2373635534991165E-2</c:v>
                </c:pt>
                <c:pt idx="3896">
                  <c:v>2.4659525289872586E-2</c:v>
                </c:pt>
                <c:pt idx="3897">
                  <c:v>2.606488879755009E-2</c:v>
                </c:pt>
                <c:pt idx="3898">
                  <c:v>2.396830105828418E-2</c:v>
                </c:pt>
                <c:pt idx="3899">
                  <c:v>2.6062142843243485E-2</c:v>
                </c:pt>
                <c:pt idx="3900">
                  <c:v>2.3457655414300671E-2</c:v>
                </c:pt>
                <c:pt idx="3901">
                  <c:v>1.9977590874294959E-2</c:v>
                </c:pt>
                <c:pt idx="3902">
                  <c:v>2.6058008563461743E-2</c:v>
                </c:pt>
                <c:pt idx="3903">
                  <c:v>2.2100627957989727E-2</c:v>
                </c:pt>
                <c:pt idx="3904">
                  <c:v>2.6647854338721411E-2</c:v>
                </c:pt>
                <c:pt idx="3905">
                  <c:v>2.4872382793599934E-2</c:v>
                </c:pt>
                <c:pt idx="3906">
                  <c:v>2.4706609755358544E-2</c:v>
                </c:pt>
                <c:pt idx="3907">
                  <c:v>2.4716404775293688E-2</c:v>
                </c:pt>
                <c:pt idx="3908">
                  <c:v>2.358168380775294E-2</c:v>
                </c:pt>
                <c:pt idx="3909">
                  <c:v>2.7047641844689663E-2</c:v>
                </c:pt>
                <c:pt idx="3910">
                  <c:v>2.7353782262628412E-2</c:v>
                </c:pt>
                <c:pt idx="3911">
                  <c:v>2.569295430980767E-2</c:v>
                </c:pt>
                <c:pt idx="3912">
                  <c:v>2.679638981623933E-2</c:v>
                </c:pt>
                <c:pt idx="3913">
                  <c:v>2.7364911191261276E-2</c:v>
                </c:pt>
                <c:pt idx="3914">
                  <c:v>2.660479811006633E-2</c:v>
                </c:pt>
                <c:pt idx="3915">
                  <c:v>1.9683045415852085E-2</c:v>
                </c:pt>
                <c:pt idx="3916">
                  <c:v>2.3651948425116753E-2</c:v>
                </c:pt>
                <c:pt idx="3917">
                  <c:v>2.1444187209586962E-2</c:v>
                </c:pt>
                <c:pt idx="3918">
                  <c:v>1.9364253794814767E-2</c:v>
                </c:pt>
                <c:pt idx="3919">
                  <c:v>2.3056182383534463E-2</c:v>
                </c:pt>
                <c:pt idx="3920">
                  <c:v>2.8294062317342661E-2</c:v>
                </c:pt>
                <c:pt idx="3921">
                  <c:v>2.4002099458268367E-2</c:v>
                </c:pt>
                <c:pt idx="3922">
                  <c:v>2.3207589392537642E-2</c:v>
                </c:pt>
                <c:pt idx="3923">
                  <c:v>2.4756302040254585E-2</c:v>
                </c:pt>
                <c:pt idx="3924">
                  <c:v>2.5272997713645329E-2</c:v>
                </c:pt>
                <c:pt idx="3925">
                  <c:v>2.0432279327469494E-2</c:v>
                </c:pt>
                <c:pt idx="3926">
                  <c:v>2.486864198897798E-2</c:v>
                </c:pt>
                <c:pt idx="3927">
                  <c:v>2.8865324065463271E-2</c:v>
                </c:pt>
                <c:pt idx="3928">
                  <c:v>2.4374336726541546E-2</c:v>
                </c:pt>
                <c:pt idx="3929">
                  <c:v>2.2148916569088795E-2</c:v>
                </c:pt>
                <c:pt idx="3930">
                  <c:v>2.9075903041049012E-2</c:v>
                </c:pt>
                <c:pt idx="3931">
                  <c:v>2.3101505977915271E-2</c:v>
                </c:pt>
                <c:pt idx="3932">
                  <c:v>2.4951157357770648E-2</c:v>
                </c:pt>
                <c:pt idx="3933">
                  <c:v>2.3789841934394595E-2</c:v>
                </c:pt>
                <c:pt idx="3934">
                  <c:v>2.5003209098323431E-2</c:v>
                </c:pt>
                <c:pt idx="3935">
                  <c:v>2.4912330289432294E-2</c:v>
                </c:pt>
                <c:pt idx="3936">
                  <c:v>2.3325404506250424E-2</c:v>
                </c:pt>
                <c:pt idx="3937">
                  <c:v>2.3993198826905648E-2</c:v>
                </c:pt>
                <c:pt idx="3938">
                  <c:v>2.9180801844286064E-2</c:v>
                </c:pt>
                <c:pt idx="3939">
                  <c:v>2.6311202852275284E-2</c:v>
                </c:pt>
                <c:pt idx="3940">
                  <c:v>2.6351126627973898E-2</c:v>
                </c:pt>
                <c:pt idx="3941">
                  <c:v>2.6675911071037062E-2</c:v>
                </c:pt>
                <c:pt idx="3942">
                  <c:v>2.5285770308016597E-2</c:v>
                </c:pt>
                <c:pt idx="3943">
                  <c:v>2.6708502534804168E-2</c:v>
                </c:pt>
                <c:pt idx="3944">
                  <c:v>2.7270505058951899E-2</c:v>
                </c:pt>
                <c:pt idx="3945">
                  <c:v>2.1641431284101453E-2</c:v>
                </c:pt>
                <c:pt idx="3946">
                  <c:v>2.5080966487347034E-2</c:v>
                </c:pt>
                <c:pt idx="3947">
                  <c:v>2.4080068933193699E-2</c:v>
                </c:pt>
                <c:pt idx="3948">
                  <c:v>1.9454193565469957E-2</c:v>
                </c:pt>
                <c:pt idx="3949">
                  <c:v>2.7626867976541014E-2</c:v>
                </c:pt>
                <c:pt idx="3950">
                  <c:v>2.40490834620114E-2</c:v>
                </c:pt>
                <c:pt idx="3951">
                  <c:v>2.9761043755982541E-2</c:v>
                </c:pt>
                <c:pt idx="3952">
                  <c:v>2.7590690586672295E-2</c:v>
                </c:pt>
                <c:pt idx="3953">
                  <c:v>2.449738003679236E-2</c:v>
                </c:pt>
                <c:pt idx="3954">
                  <c:v>2.0841515818480594E-2</c:v>
                </c:pt>
                <c:pt idx="3955">
                  <c:v>2.3198088781321347E-2</c:v>
                </c:pt>
                <c:pt idx="3956">
                  <c:v>2.6685198201049642E-2</c:v>
                </c:pt>
                <c:pt idx="3957">
                  <c:v>2.8681342336316806E-2</c:v>
                </c:pt>
                <c:pt idx="3958">
                  <c:v>2.4721815756391763E-2</c:v>
                </c:pt>
                <c:pt idx="3959">
                  <c:v>2.4306177619873193E-2</c:v>
                </c:pt>
                <c:pt idx="3960">
                  <c:v>2.1401687706423922E-2</c:v>
                </c:pt>
                <c:pt idx="3961">
                  <c:v>2.6645393026019759E-2</c:v>
                </c:pt>
                <c:pt idx="3962">
                  <c:v>2.2825160838565561E-2</c:v>
                </c:pt>
                <c:pt idx="3963">
                  <c:v>2.0271880992474567E-2</c:v>
                </c:pt>
                <c:pt idx="3964">
                  <c:v>2.5118828006711724E-2</c:v>
                </c:pt>
                <c:pt idx="3965">
                  <c:v>3.4818770669291288E-2</c:v>
                </c:pt>
                <c:pt idx="3966">
                  <c:v>2.7983892267271049E-2</c:v>
                </c:pt>
                <c:pt idx="3967">
                  <c:v>2.3513573536654064E-2</c:v>
                </c:pt>
                <c:pt idx="3968">
                  <c:v>2.6740008453626896E-2</c:v>
                </c:pt>
                <c:pt idx="3969">
                  <c:v>2.0523346502128614E-2</c:v>
                </c:pt>
                <c:pt idx="3970">
                  <c:v>2.0656218319562214E-2</c:v>
                </c:pt>
                <c:pt idx="3971">
                  <c:v>2.2694511737194167E-2</c:v>
                </c:pt>
                <c:pt idx="3972">
                  <c:v>2.4478914610322033E-2</c:v>
                </c:pt>
                <c:pt idx="3973">
                  <c:v>2.6300598557188803E-2</c:v>
                </c:pt>
                <c:pt idx="3974">
                  <c:v>2.2893907367369626E-2</c:v>
                </c:pt>
                <c:pt idx="3975">
                  <c:v>2.5883493958283932E-2</c:v>
                </c:pt>
                <c:pt idx="3976">
                  <c:v>2.1616656302054671E-2</c:v>
                </c:pt>
                <c:pt idx="3977">
                  <c:v>2.5122533928784052E-2</c:v>
                </c:pt>
                <c:pt idx="3978">
                  <c:v>2.8660502105867902E-2</c:v>
                </c:pt>
                <c:pt idx="3979">
                  <c:v>2.6246379912653217E-2</c:v>
                </c:pt>
                <c:pt idx="3980">
                  <c:v>2.335984195454377E-2</c:v>
                </c:pt>
                <c:pt idx="3981">
                  <c:v>2.0373332004506528E-2</c:v>
                </c:pt>
                <c:pt idx="3982">
                  <c:v>2.3341022121369237E-2</c:v>
                </c:pt>
                <c:pt idx="3983">
                  <c:v>2.4184324502215637E-2</c:v>
                </c:pt>
                <c:pt idx="3984">
                  <c:v>2.4989857453628361E-2</c:v>
                </c:pt>
                <c:pt idx="3985">
                  <c:v>2.272062062793867E-2</c:v>
                </c:pt>
                <c:pt idx="3986">
                  <c:v>2.2118268760986881E-2</c:v>
                </c:pt>
                <c:pt idx="3987">
                  <c:v>2.607052163166379E-2</c:v>
                </c:pt>
                <c:pt idx="3988">
                  <c:v>2.3569278177803743E-2</c:v>
                </c:pt>
                <c:pt idx="3989">
                  <c:v>2.4865076992406143E-2</c:v>
                </c:pt>
                <c:pt idx="3990">
                  <c:v>2.3739470137431828E-2</c:v>
                </c:pt>
                <c:pt idx="3991">
                  <c:v>2.7585756798853112E-2</c:v>
                </c:pt>
                <c:pt idx="3992">
                  <c:v>2.5244908889384021E-2</c:v>
                </c:pt>
                <c:pt idx="3993">
                  <c:v>2.0156101624357992E-2</c:v>
                </c:pt>
                <c:pt idx="3994">
                  <c:v>2.7450465527777412E-2</c:v>
                </c:pt>
                <c:pt idx="3995">
                  <c:v>2.3325982161272241E-2</c:v>
                </c:pt>
                <c:pt idx="3996">
                  <c:v>2.5724337442055711E-2</c:v>
                </c:pt>
                <c:pt idx="3997">
                  <c:v>1.9236019961179518E-2</c:v>
                </c:pt>
                <c:pt idx="3998">
                  <c:v>2.7063266436318401E-2</c:v>
                </c:pt>
                <c:pt idx="3999">
                  <c:v>2.4824992756979247E-2</c:v>
                </c:pt>
                <c:pt idx="4000">
                  <c:v>2.2617344560910246E-2</c:v>
                </c:pt>
                <c:pt idx="4001">
                  <c:v>2.3261339215606247E-2</c:v>
                </c:pt>
                <c:pt idx="4002">
                  <c:v>2.7675510994344288E-2</c:v>
                </c:pt>
                <c:pt idx="4003">
                  <c:v>2.3035434243016573E-2</c:v>
                </c:pt>
                <c:pt idx="4004">
                  <c:v>2.2652888483677747E-2</c:v>
                </c:pt>
                <c:pt idx="4005">
                  <c:v>1.8615734277813711E-2</c:v>
                </c:pt>
                <c:pt idx="4006">
                  <c:v>2.2628731620410347E-2</c:v>
                </c:pt>
                <c:pt idx="4007">
                  <c:v>2.3787016447874842E-2</c:v>
                </c:pt>
                <c:pt idx="4008">
                  <c:v>2.5926374378888895E-2</c:v>
                </c:pt>
                <c:pt idx="4009">
                  <c:v>3.4783098378741162E-2</c:v>
                </c:pt>
                <c:pt idx="4010">
                  <c:v>2.3979548587585775E-2</c:v>
                </c:pt>
                <c:pt idx="4011">
                  <c:v>2.3052857378904057E-2</c:v>
                </c:pt>
                <c:pt idx="4012">
                  <c:v>3.0922786141766023E-2</c:v>
                </c:pt>
                <c:pt idx="4013">
                  <c:v>2.7512737855370784E-2</c:v>
                </c:pt>
                <c:pt idx="4014">
                  <c:v>2.9561186280850027E-2</c:v>
                </c:pt>
                <c:pt idx="4015">
                  <c:v>2.2985128025247104E-2</c:v>
                </c:pt>
                <c:pt idx="4016">
                  <c:v>2.3874821406492885E-2</c:v>
                </c:pt>
                <c:pt idx="4017">
                  <c:v>2.5569372412990621E-2</c:v>
                </c:pt>
                <c:pt idx="4018">
                  <c:v>2.287170811278727E-2</c:v>
                </c:pt>
                <c:pt idx="4019">
                  <c:v>1.9090619727222036E-2</c:v>
                </c:pt>
                <c:pt idx="4020">
                  <c:v>3.4867173695153131E-2</c:v>
                </c:pt>
                <c:pt idx="4021">
                  <c:v>2.3646279313151441E-2</c:v>
                </c:pt>
                <c:pt idx="4022">
                  <c:v>2.5110599910905806E-2</c:v>
                </c:pt>
                <c:pt idx="4023">
                  <c:v>2.3316985254072553E-2</c:v>
                </c:pt>
                <c:pt idx="4024">
                  <c:v>2.6129481512344621E-2</c:v>
                </c:pt>
                <c:pt idx="4025">
                  <c:v>2.4721871568471165E-2</c:v>
                </c:pt>
                <c:pt idx="4026">
                  <c:v>2.2726292530507952E-2</c:v>
                </c:pt>
                <c:pt idx="4027">
                  <c:v>2.475717410399525E-2</c:v>
                </c:pt>
                <c:pt idx="4028">
                  <c:v>3.2711317713467691E-2</c:v>
                </c:pt>
                <c:pt idx="4029">
                  <c:v>2.4144714669463663E-2</c:v>
                </c:pt>
                <c:pt idx="4030">
                  <c:v>2.9551223824676676E-2</c:v>
                </c:pt>
                <c:pt idx="4031">
                  <c:v>2.3434521307388323E-2</c:v>
                </c:pt>
                <c:pt idx="4032">
                  <c:v>3.1337176878309947E-2</c:v>
                </c:pt>
                <c:pt idx="4033">
                  <c:v>2.9344113569825803E-2</c:v>
                </c:pt>
                <c:pt idx="4034">
                  <c:v>3.1805122095644567E-2</c:v>
                </c:pt>
                <c:pt idx="4035">
                  <c:v>2.3176157424720123E-2</c:v>
                </c:pt>
                <c:pt idx="4036">
                  <c:v>2.3052332745357673E-2</c:v>
                </c:pt>
                <c:pt idx="4037">
                  <c:v>2.0115954600341768E-2</c:v>
                </c:pt>
                <c:pt idx="4038">
                  <c:v>2.1419491759753329E-2</c:v>
                </c:pt>
                <c:pt idx="4039">
                  <c:v>2.3902093979092931E-2</c:v>
                </c:pt>
                <c:pt idx="4040">
                  <c:v>2.2781000926040296E-2</c:v>
                </c:pt>
                <c:pt idx="4041">
                  <c:v>2.4386378182672641E-2</c:v>
                </c:pt>
                <c:pt idx="4042">
                  <c:v>2.0707261256779796E-2</c:v>
                </c:pt>
                <c:pt idx="4043">
                  <c:v>2.303603701347412E-2</c:v>
                </c:pt>
                <c:pt idx="4044">
                  <c:v>2.179156438239227E-2</c:v>
                </c:pt>
                <c:pt idx="4045">
                  <c:v>2.580519658739211E-2</c:v>
                </c:pt>
                <c:pt idx="4046">
                  <c:v>2.354194560721834E-2</c:v>
                </c:pt>
                <c:pt idx="4047">
                  <c:v>2.5859140357436639E-2</c:v>
                </c:pt>
                <c:pt idx="4048">
                  <c:v>2.5993450731216838E-2</c:v>
                </c:pt>
                <c:pt idx="4049">
                  <c:v>2.0497227844270216E-2</c:v>
                </c:pt>
                <c:pt idx="4050">
                  <c:v>2.6296567529753956E-2</c:v>
                </c:pt>
                <c:pt idx="4051">
                  <c:v>2.5275052993469327E-2</c:v>
                </c:pt>
                <c:pt idx="4052">
                  <c:v>2.6495202720347555E-2</c:v>
                </c:pt>
                <c:pt idx="4053">
                  <c:v>2.4827115011298528E-2</c:v>
                </c:pt>
                <c:pt idx="4054">
                  <c:v>2.0858651522159155E-2</c:v>
                </c:pt>
                <c:pt idx="4055">
                  <c:v>2.4900450688331466E-2</c:v>
                </c:pt>
                <c:pt idx="4056">
                  <c:v>2.3884190859322585E-2</c:v>
                </c:pt>
                <c:pt idx="4057">
                  <c:v>2.2091015722614626E-2</c:v>
                </c:pt>
                <c:pt idx="4058">
                  <c:v>2.3753949186130829E-2</c:v>
                </c:pt>
                <c:pt idx="4059">
                  <c:v>1.9398423345126981E-2</c:v>
                </c:pt>
                <c:pt idx="4060">
                  <c:v>2.5804193365264849E-2</c:v>
                </c:pt>
                <c:pt idx="4061">
                  <c:v>2.8391314865701567E-2</c:v>
                </c:pt>
                <c:pt idx="4062">
                  <c:v>2.4357487059769922E-2</c:v>
                </c:pt>
                <c:pt idx="4063">
                  <c:v>2.1545215445117449E-2</c:v>
                </c:pt>
                <c:pt idx="4064">
                  <c:v>2.1252743405424379E-2</c:v>
                </c:pt>
                <c:pt idx="4065">
                  <c:v>2.5638714735742307E-2</c:v>
                </c:pt>
                <c:pt idx="4066">
                  <c:v>3.1472390012474483E-2</c:v>
                </c:pt>
                <c:pt idx="4067">
                  <c:v>2.1536811541261414E-2</c:v>
                </c:pt>
                <c:pt idx="4068">
                  <c:v>2.2850661377644577E-2</c:v>
                </c:pt>
                <c:pt idx="4069">
                  <c:v>2.1404094602348156E-2</c:v>
                </c:pt>
                <c:pt idx="4070">
                  <c:v>2.3245436958882482E-2</c:v>
                </c:pt>
                <c:pt idx="4071">
                  <c:v>2.2145078093327886E-2</c:v>
                </c:pt>
                <c:pt idx="4072">
                  <c:v>2.094550628012537E-2</c:v>
                </c:pt>
                <c:pt idx="4073">
                  <c:v>2.3449336623865724E-2</c:v>
                </c:pt>
                <c:pt idx="4074">
                  <c:v>3.0155144011059676E-2</c:v>
                </c:pt>
                <c:pt idx="4075">
                  <c:v>2.4334440856882633E-2</c:v>
                </c:pt>
                <c:pt idx="4076">
                  <c:v>2.4587584914824712E-2</c:v>
                </c:pt>
                <c:pt idx="4077">
                  <c:v>1.9500121325610298E-2</c:v>
                </c:pt>
                <c:pt idx="4078">
                  <c:v>2.2709049388576541E-2</c:v>
                </c:pt>
                <c:pt idx="4079">
                  <c:v>2.5409947998781268E-2</c:v>
                </c:pt>
                <c:pt idx="4080">
                  <c:v>2.7018351665419216E-2</c:v>
                </c:pt>
                <c:pt idx="4081">
                  <c:v>2.0231407467793838E-2</c:v>
                </c:pt>
                <c:pt idx="4082">
                  <c:v>2.3291721916330999E-2</c:v>
                </c:pt>
                <c:pt idx="4083">
                  <c:v>2.4711138905602059E-2</c:v>
                </c:pt>
                <c:pt idx="4084">
                  <c:v>2.3364001349761243E-2</c:v>
                </c:pt>
                <c:pt idx="4085">
                  <c:v>2.4003563130050698E-2</c:v>
                </c:pt>
                <c:pt idx="4086">
                  <c:v>3.4137120999924386E-2</c:v>
                </c:pt>
                <c:pt idx="4087">
                  <c:v>2.5931417000262913E-2</c:v>
                </c:pt>
                <c:pt idx="4088">
                  <c:v>2.409046114237845E-2</c:v>
                </c:pt>
                <c:pt idx="4089">
                  <c:v>3.0296636004156996E-2</c:v>
                </c:pt>
                <c:pt idx="4090">
                  <c:v>2.3520573766713126E-2</c:v>
                </c:pt>
                <c:pt idx="4091">
                  <c:v>2.6066166894168408E-2</c:v>
                </c:pt>
                <c:pt idx="4092">
                  <c:v>2.2110667155772257E-2</c:v>
                </c:pt>
                <c:pt idx="4093">
                  <c:v>2.3342743924018805E-2</c:v>
                </c:pt>
                <c:pt idx="4094">
                  <c:v>3.6717366452178712E-2</c:v>
                </c:pt>
                <c:pt idx="4095">
                  <c:v>2.5121127464383108E-2</c:v>
                </c:pt>
                <c:pt idx="4096">
                  <c:v>3.0046324409244596E-2</c:v>
                </c:pt>
                <c:pt idx="4097">
                  <c:v>2.2630597139164377E-2</c:v>
                </c:pt>
                <c:pt idx="4098">
                  <c:v>2.3983285206301774E-2</c:v>
                </c:pt>
                <c:pt idx="4099">
                  <c:v>2.1010654325109956E-2</c:v>
                </c:pt>
                <c:pt idx="4100">
                  <c:v>2.418891923165245E-2</c:v>
                </c:pt>
                <c:pt idx="4101">
                  <c:v>2.243785989006164E-2</c:v>
                </c:pt>
                <c:pt idx="4102">
                  <c:v>2.3805046540125829E-2</c:v>
                </c:pt>
                <c:pt idx="4103">
                  <c:v>2.7326964558475497E-2</c:v>
                </c:pt>
                <c:pt idx="4104">
                  <c:v>3.0005665309399854E-2</c:v>
                </c:pt>
                <c:pt idx="4105">
                  <c:v>2.8965785808387823E-2</c:v>
                </c:pt>
                <c:pt idx="4106">
                  <c:v>2.3384570891625045E-2</c:v>
                </c:pt>
                <c:pt idx="4107">
                  <c:v>2.7222355978051338E-2</c:v>
                </c:pt>
                <c:pt idx="4108">
                  <c:v>2.7204613318009274E-2</c:v>
                </c:pt>
                <c:pt idx="4109">
                  <c:v>2.4943017165989789E-2</c:v>
                </c:pt>
                <c:pt idx="4110">
                  <c:v>2.1514969483987234E-2</c:v>
                </c:pt>
                <c:pt idx="4111">
                  <c:v>2.5475107206181735E-2</c:v>
                </c:pt>
                <c:pt idx="4112">
                  <c:v>2.5334279376829305E-2</c:v>
                </c:pt>
                <c:pt idx="4113">
                  <c:v>2.3133032826267774E-2</c:v>
                </c:pt>
                <c:pt idx="4114">
                  <c:v>2.6570105321509718E-2</c:v>
                </c:pt>
                <c:pt idx="4115">
                  <c:v>2.3545742223919697E-2</c:v>
                </c:pt>
                <c:pt idx="4116">
                  <c:v>2.8197261846826915E-2</c:v>
                </c:pt>
                <c:pt idx="4117">
                  <c:v>2.3750366050633187E-2</c:v>
                </c:pt>
                <c:pt idx="4118">
                  <c:v>2.6599699676612909E-2</c:v>
                </c:pt>
                <c:pt idx="4119">
                  <c:v>3.2541294585379799E-2</c:v>
                </c:pt>
                <c:pt idx="4120">
                  <c:v>2.4324909549022666E-2</c:v>
                </c:pt>
                <c:pt idx="4121">
                  <c:v>2.4231337807300357E-2</c:v>
                </c:pt>
                <c:pt idx="4122">
                  <c:v>3.3405131625540374E-2</c:v>
                </c:pt>
                <c:pt idx="4123">
                  <c:v>2.6751173660111371E-2</c:v>
                </c:pt>
                <c:pt idx="4124">
                  <c:v>2.2372937883998634E-2</c:v>
                </c:pt>
                <c:pt idx="4125">
                  <c:v>3.1213946597593134E-2</c:v>
                </c:pt>
                <c:pt idx="4126">
                  <c:v>2.0102393660348938E-2</c:v>
                </c:pt>
                <c:pt idx="4127">
                  <c:v>2.9006366771321401E-2</c:v>
                </c:pt>
                <c:pt idx="4128">
                  <c:v>2.4504734673555628E-2</c:v>
                </c:pt>
                <c:pt idx="4129">
                  <c:v>2.8493350509265269E-2</c:v>
                </c:pt>
                <c:pt idx="4130">
                  <c:v>2.2702028228987703E-2</c:v>
                </c:pt>
                <c:pt idx="4131">
                  <c:v>2.5128486287052332E-2</c:v>
                </c:pt>
                <c:pt idx="4132">
                  <c:v>2.5974365790665144E-2</c:v>
                </c:pt>
                <c:pt idx="4133">
                  <c:v>2.3744331369547789E-2</c:v>
                </c:pt>
                <c:pt idx="4134">
                  <c:v>2.1690190111969487E-2</c:v>
                </c:pt>
                <c:pt idx="4135">
                  <c:v>2.3762265185961806E-2</c:v>
                </c:pt>
                <c:pt idx="4136">
                  <c:v>2.0423311721611492E-2</c:v>
                </c:pt>
                <c:pt idx="4137">
                  <c:v>2.4374537650027395E-2</c:v>
                </c:pt>
                <c:pt idx="4138">
                  <c:v>2.6828194329686861E-2</c:v>
                </c:pt>
                <c:pt idx="4139">
                  <c:v>2.7515341488874911E-2</c:v>
                </c:pt>
                <c:pt idx="4140">
                  <c:v>1.9928905997432134E-2</c:v>
                </c:pt>
                <c:pt idx="4141">
                  <c:v>2.1031564320658114E-2</c:v>
                </c:pt>
                <c:pt idx="4142">
                  <c:v>2.1728689284341351E-2</c:v>
                </c:pt>
                <c:pt idx="4143">
                  <c:v>2.4748195335721368E-2</c:v>
                </c:pt>
                <c:pt idx="4144">
                  <c:v>1.9941589292476358E-2</c:v>
                </c:pt>
                <c:pt idx="4145">
                  <c:v>2.372935140743615E-2</c:v>
                </c:pt>
                <c:pt idx="4146">
                  <c:v>2.4516751014250993E-2</c:v>
                </c:pt>
                <c:pt idx="4147">
                  <c:v>2.2828709091513577E-2</c:v>
                </c:pt>
                <c:pt idx="4148">
                  <c:v>2.101260077137912E-2</c:v>
                </c:pt>
                <c:pt idx="4149">
                  <c:v>2.8310725013648286E-2</c:v>
                </c:pt>
                <c:pt idx="4150">
                  <c:v>2.2853417099065076E-2</c:v>
                </c:pt>
                <c:pt idx="4151">
                  <c:v>2.1238666203697076E-2</c:v>
                </c:pt>
                <c:pt idx="4152">
                  <c:v>2.4273531739328669E-2</c:v>
                </c:pt>
                <c:pt idx="4153">
                  <c:v>2.5935009902874451E-2</c:v>
                </c:pt>
                <c:pt idx="4154">
                  <c:v>2.0854334457817369E-2</c:v>
                </c:pt>
                <c:pt idx="4155">
                  <c:v>2.7454244005552964E-2</c:v>
                </c:pt>
                <c:pt idx="4156">
                  <c:v>2.8757718376375196E-2</c:v>
                </c:pt>
                <c:pt idx="4157">
                  <c:v>2.430855242385177E-2</c:v>
                </c:pt>
                <c:pt idx="4158">
                  <c:v>2.8229697036771695E-2</c:v>
                </c:pt>
                <c:pt idx="4159">
                  <c:v>2.7814469119036733E-2</c:v>
                </c:pt>
                <c:pt idx="4160">
                  <c:v>2.8293548846212158E-2</c:v>
                </c:pt>
                <c:pt idx="4161">
                  <c:v>2.9929839018323579E-2</c:v>
                </c:pt>
                <c:pt idx="4162">
                  <c:v>2.3955407072640211E-2</c:v>
                </c:pt>
                <c:pt idx="4163">
                  <c:v>2.358873566398545E-2</c:v>
                </c:pt>
                <c:pt idx="4164">
                  <c:v>2.3306789782467696E-2</c:v>
                </c:pt>
                <c:pt idx="4165">
                  <c:v>3.0289815768054007E-2</c:v>
                </c:pt>
                <c:pt idx="4166">
                  <c:v>2.1634915223831208E-2</c:v>
                </c:pt>
                <c:pt idx="4167">
                  <c:v>2.8034304527991383E-2</c:v>
                </c:pt>
                <c:pt idx="4168">
                  <c:v>2.7806719611811692E-2</c:v>
                </c:pt>
                <c:pt idx="4169">
                  <c:v>3.3283614775661219E-2</c:v>
                </c:pt>
                <c:pt idx="4170">
                  <c:v>2.8665022884299507E-2</c:v>
                </c:pt>
                <c:pt idx="4171">
                  <c:v>2.3640388348170505E-2</c:v>
                </c:pt>
                <c:pt idx="4172">
                  <c:v>2.3736732554937134E-2</c:v>
                </c:pt>
                <c:pt idx="4173">
                  <c:v>2.9332501866706107E-2</c:v>
                </c:pt>
                <c:pt idx="4174">
                  <c:v>2.1603799989564298E-2</c:v>
                </c:pt>
                <c:pt idx="4175">
                  <c:v>2.2764558687448311E-2</c:v>
                </c:pt>
                <c:pt idx="4176">
                  <c:v>2.4655661698675946E-2</c:v>
                </c:pt>
                <c:pt idx="4177">
                  <c:v>2.9459334817148353E-2</c:v>
                </c:pt>
                <c:pt idx="4178">
                  <c:v>2.4956776238864498E-2</c:v>
                </c:pt>
                <c:pt idx="4179">
                  <c:v>2.4796411391117212E-2</c:v>
                </c:pt>
                <c:pt idx="4180">
                  <c:v>2.1679866272582005E-2</c:v>
                </c:pt>
                <c:pt idx="4181">
                  <c:v>2.7056479687463053E-2</c:v>
                </c:pt>
                <c:pt idx="4182">
                  <c:v>2.3721980027049061E-2</c:v>
                </c:pt>
                <c:pt idx="4183">
                  <c:v>2.5638601716281517E-2</c:v>
                </c:pt>
                <c:pt idx="4184">
                  <c:v>2.5544716031612569E-2</c:v>
                </c:pt>
                <c:pt idx="4185">
                  <c:v>2.7371594687769729E-2</c:v>
                </c:pt>
                <c:pt idx="4186">
                  <c:v>3.0416849641982102E-2</c:v>
                </c:pt>
                <c:pt idx="4187">
                  <c:v>2.4721334377206916E-2</c:v>
                </c:pt>
                <c:pt idx="4188">
                  <c:v>2.4130764440217001E-2</c:v>
                </c:pt>
                <c:pt idx="4189">
                  <c:v>2.8268162721895917E-2</c:v>
                </c:pt>
                <c:pt idx="4190">
                  <c:v>2.409785763820127E-2</c:v>
                </c:pt>
                <c:pt idx="4191">
                  <c:v>2.8534369597022158E-2</c:v>
                </c:pt>
                <c:pt idx="4192">
                  <c:v>2.4122864240377573E-2</c:v>
                </c:pt>
                <c:pt idx="4193">
                  <c:v>2.7203106391865406E-2</c:v>
                </c:pt>
                <c:pt idx="4194">
                  <c:v>2.8348604671938782E-2</c:v>
                </c:pt>
                <c:pt idx="4195">
                  <c:v>2.2262100675513152E-2</c:v>
                </c:pt>
                <c:pt idx="4196">
                  <c:v>2.7395817130230427E-2</c:v>
                </c:pt>
                <c:pt idx="4197">
                  <c:v>2.2346005765082944E-2</c:v>
                </c:pt>
                <c:pt idx="4198">
                  <c:v>2.0301179543556924E-2</c:v>
                </c:pt>
                <c:pt idx="4199">
                  <c:v>2.9064126692295078E-2</c:v>
                </c:pt>
                <c:pt idx="4200">
                  <c:v>2.3952645770011771E-2</c:v>
                </c:pt>
                <c:pt idx="4201">
                  <c:v>2.6107446903396503E-2</c:v>
                </c:pt>
                <c:pt idx="4202">
                  <c:v>2.2847252654895067E-2</c:v>
                </c:pt>
                <c:pt idx="4203">
                  <c:v>1.9945769617223608E-2</c:v>
                </c:pt>
                <c:pt idx="4204">
                  <c:v>2.2455344419236467E-2</c:v>
                </c:pt>
                <c:pt idx="4205">
                  <c:v>2.110806872849913E-2</c:v>
                </c:pt>
                <c:pt idx="4206">
                  <c:v>2.935199981664538E-2</c:v>
                </c:pt>
                <c:pt idx="4207">
                  <c:v>2.2999474520257523E-2</c:v>
                </c:pt>
                <c:pt idx="4208">
                  <c:v>2.23376493014944E-2</c:v>
                </c:pt>
                <c:pt idx="4209">
                  <c:v>2.1107235733214047E-2</c:v>
                </c:pt>
                <c:pt idx="4210">
                  <c:v>2.6366315885383296E-2</c:v>
                </c:pt>
                <c:pt idx="4211">
                  <c:v>2.2208939669882244E-2</c:v>
                </c:pt>
                <c:pt idx="4212">
                  <c:v>2.3661571822907734E-2</c:v>
                </c:pt>
                <c:pt idx="4213">
                  <c:v>3.17780476559264E-2</c:v>
                </c:pt>
                <c:pt idx="4214">
                  <c:v>2.2502110755869831E-2</c:v>
                </c:pt>
                <c:pt idx="4215">
                  <c:v>2.3991612368548632E-2</c:v>
                </c:pt>
                <c:pt idx="4216">
                  <c:v>2.3812925810435481E-2</c:v>
                </c:pt>
                <c:pt idx="4217">
                  <c:v>1.9696691469266003E-2</c:v>
                </c:pt>
                <c:pt idx="4218">
                  <c:v>2.1697348011152862E-2</c:v>
                </c:pt>
                <c:pt idx="4219">
                  <c:v>2.1535629720480065E-2</c:v>
                </c:pt>
                <c:pt idx="4220">
                  <c:v>2.3816828470087703E-2</c:v>
                </c:pt>
                <c:pt idx="4221">
                  <c:v>2.3543776243422743E-2</c:v>
                </c:pt>
                <c:pt idx="4222">
                  <c:v>1.8933168270019562E-2</c:v>
                </c:pt>
                <c:pt idx="4223">
                  <c:v>3.2053005865102957E-2</c:v>
                </c:pt>
                <c:pt idx="4224">
                  <c:v>2.2935592014173389E-2</c:v>
                </c:pt>
                <c:pt idx="4225">
                  <c:v>2.8014457752555844E-2</c:v>
                </c:pt>
                <c:pt idx="4226">
                  <c:v>2.2239926536366528E-2</c:v>
                </c:pt>
                <c:pt idx="4227">
                  <c:v>2.2013321122180352E-2</c:v>
                </c:pt>
                <c:pt idx="4228">
                  <c:v>2.7578565412422096E-2</c:v>
                </c:pt>
                <c:pt idx="4229">
                  <c:v>2.6197812241157137E-2</c:v>
                </c:pt>
                <c:pt idx="4230">
                  <c:v>2.8463918009192346E-2</c:v>
                </c:pt>
                <c:pt idx="4231">
                  <c:v>2.1114301542466407E-2</c:v>
                </c:pt>
                <c:pt idx="4232">
                  <c:v>3.0559778796124037E-2</c:v>
                </c:pt>
                <c:pt idx="4233">
                  <c:v>2.1419461063109657E-2</c:v>
                </c:pt>
                <c:pt idx="4234">
                  <c:v>2.7176771462199323E-2</c:v>
                </c:pt>
                <c:pt idx="4235">
                  <c:v>1.9309004022112219E-2</c:v>
                </c:pt>
                <c:pt idx="4236">
                  <c:v>2.732393396256394E-2</c:v>
                </c:pt>
                <c:pt idx="4237">
                  <c:v>2.7147855223860873E-2</c:v>
                </c:pt>
                <c:pt idx="4238">
                  <c:v>2.7877573046613202E-2</c:v>
                </c:pt>
                <c:pt idx="4239">
                  <c:v>2.7320677327730802E-2</c:v>
                </c:pt>
                <c:pt idx="4240">
                  <c:v>2.7461912585262871E-2</c:v>
                </c:pt>
                <c:pt idx="4241">
                  <c:v>3.5580761826958129E-2</c:v>
                </c:pt>
                <c:pt idx="4242">
                  <c:v>2.7613766090901271E-2</c:v>
                </c:pt>
                <c:pt idx="4243">
                  <c:v>2.446074498787254E-2</c:v>
                </c:pt>
                <c:pt idx="4244">
                  <c:v>2.8652334008047342E-2</c:v>
                </c:pt>
                <c:pt idx="4245">
                  <c:v>2.5339850817655662E-2</c:v>
                </c:pt>
                <c:pt idx="4246">
                  <c:v>2.5991953572186866E-2</c:v>
                </c:pt>
                <c:pt idx="4247">
                  <c:v>3.1816544037694294E-2</c:v>
                </c:pt>
                <c:pt idx="4248">
                  <c:v>2.5407836906877868E-2</c:v>
                </c:pt>
                <c:pt idx="4249">
                  <c:v>2.9989521665432672E-2</c:v>
                </c:pt>
                <c:pt idx="4250">
                  <c:v>2.0751908129697849E-2</c:v>
                </c:pt>
                <c:pt idx="4251">
                  <c:v>2.5755008970291371E-2</c:v>
                </c:pt>
                <c:pt idx="4252">
                  <c:v>1.9696635657186601E-2</c:v>
                </c:pt>
                <c:pt idx="4253">
                  <c:v>1.9764180830981526E-2</c:v>
                </c:pt>
                <c:pt idx="4254">
                  <c:v>2.6862889908847443E-2</c:v>
                </c:pt>
                <c:pt idx="4255">
                  <c:v>2.395515870888687E-2</c:v>
                </c:pt>
                <c:pt idx="4256">
                  <c:v>2.2787080256789216E-2</c:v>
                </c:pt>
                <c:pt idx="4257">
                  <c:v>2.0342287930640857E-2</c:v>
                </c:pt>
                <c:pt idx="4258">
                  <c:v>2.9292492977586404E-2</c:v>
                </c:pt>
                <c:pt idx="4259">
                  <c:v>2.4382994575358863E-2</c:v>
                </c:pt>
                <c:pt idx="4260">
                  <c:v>2.4673486681535128E-2</c:v>
                </c:pt>
                <c:pt idx="4261">
                  <c:v>2.325931463242592E-2</c:v>
                </c:pt>
                <c:pt idx="4262">
                  <c:v>2.0843035302342328E-2</c:v>
                </c:pt>
                <c:pt idx="4263">
                  <c:v>2.8513049382690392E-2</c:v>
                </c:pt>
                <c:pt idx="4264">
                  <c:v>2.5502155135162186E-2</c:v>
                </c:pt>
                <c:pt idx="4265">
                  <c:v>3.0349757941332323E-2</c:v>
                </c:pt>
                <c:pt idx="4266">
                  <c:v>2.7144752072246092E-2</c:v>
                </c:pt>
                <c:pt idx="4267">
                  <c:v>2.4083202781452151E-2</c:v>
                </c:pt>
                <c:pt idx="4268">
                  <c:v>2.8659288193140897E-2</c:v>
                </c:pt>
                <c:pt idx="4269">
                  <c:v>2.2117872495223123E-2</c:v>
                </c:pt>
                <c:pt idx="4270">
                  <c:v>1.8578269024212779E-2</c:v>
                </c:pt>
                <c:pt idx="4271">
                  <c:v>2.267106647793915E-2</c:v>
                </c:pt>
                <c:pt idx="4272">
                  <c:v>2.1723928513968316E-2</c:v>
                </c:pt>
                <c:pt idx="4273">
                  <c:v>2.3994795052376561E-2</c:v>
                </c:pt>
                <c:pt idx="4274">
                  <c:v>2.1180043986096631E-2</c:v>
                </c:pt>
                <c:pt idx="4275">
                  <c:v>2.4917686853752952E-2</c:v>
                </c:pt>
                <c:pt idx="4276">
                  <c:v>3.001971879099341E-2</c:v>
                </c:pt>
                <c:pt idx="4277">
                  <c:v>2.5778104008748137E-2</c:v>
                </c:pt>
                <c:pt idx="4278">
                  <c:v>2.5812314022817917E-2</c:v>
                </c:pt>
                <c:pt idx="4279">
                  <c:v>2.4468050789066331E-2</c:v>
                </c:pt>
                <c:pt idx="4280">
                  <c:v>2.3819013512996312E-2</c:v>
                </c:pt>
                <c:pt idx="4281">
                  <c:v>2.76497369760762E-2</c:v>
                </c:pt>
                <c:pt idx="4282">
                  <c:v>2.4287867071923208E-2</c:v>
                </c:pt>
                <c:pt idx="4283">
                  <c:v>2.2620730958827995E-2</c:v>
                </c:pt>
                <c:pt idx="4284">
                  <c:v>2.2808200942937118E-2</c:v>
                </c:pt>
                <c:pt idx="4285">
                  <c:v>2.8633427666149736E-2</c:v>
                </c:pt>
                <c:pt idx="4286">
                  <c:v>2.5628780185608657E-2</c:v>
                </c:pt>
                <c:pt idx="4287">
                  <c:v>2.3073827372437572E-2</c:v>
                </c:pt>
                <c:pt idx="4288">
                  <c:v>2.2403913588067037E-2</c:v>
                </c:pt>
                <c:pt idx="4289">
                  <c:v>3.010313552486843E-2</c:v>
                </c:pt>
                <c:pt idx="4290">
                  <c:v>2.5141288182765287E-2</c:v>
                </c:pt>
                <c:pt idx="4291">
                  <c:v>1.8840045815536444E-2</c:v>
                </c:pt>
                <c:pt idx="4292">
                  <c:v>2.691029389848798E-2</c:v>
                </c:pt>
                <c:pt idx="4293">
                  <c:v>2.8006032919170032E-2</c:v>
                </c:pt>
                <c:pt idx="4294">
                  <c:v>2.5101544401022746E-2</c:v>
                </c:pt>
                <c:pt idx="4295">
                  <c:v>2.1761704919911917E-2</c:v>
                </c:pt>
                <c:pt idx="4296">
                  <c:v>2.3673657928702352E-2</c:v>
                </c:pt>
                <c:pt idx="4297">
                  <c:v>2.2566755096837809E-2</c:v>
                </c:pt>
                <c:pt idx="4298">
                  <c:v>2.6703348289271345E-2</c:v>
                </c:pt>
                <c:pt idx="4299">
                  <c:v>2.4079513603003644E-2</c:v>
                </c:pt>
                <c:pt idx="4300">
                  <c:v>2.8812026320237827E-2</c:v>
                </c:pt>
                <c:pt idx="4301">
                  <c:v>2.3728267257793756E-2</c:v>
                </c:pt>
                <c:pt idx="4302">
                  <c:v>2.311936584332408E-2</c:v>
                </c:pt>
                <c:pt idx="4303">
                  <c:v>3.0357722325063063E-2</c:v>
                </c:pt>
                <c:pt idx="4304">
                  <c:v>2.6812472066919169E-2</c:v>
                </c:pt>
                <c:pt idx="4305">
                  <c:v>2.1018502898775937E-2</c:v>
                </c:pt>
                <c:pt idx="4306">
                  <c:v>2.6768408430230872E-2</c:v>
                </c:pt>
                <c:pt idx="4307">
                  <c:v>2.5766969498907333E-2</c:v>
                </c:pt>
                <c:pt idx="4308">
                  <c:v>2.7858259276535957E-2</c:v>
                </c:pt>
                <c:pt idx="4309">
                  <c:v>2.2119083617346158E-2</c:v>
                </c:pt>
                <c:pt idx="4310">
                  <c:v>2.823576380980275E-2</c:v>
                </c:pt>
                <c:pt idx="4311">
                  <c:v>2.6247904977722891E-2</c:v>
                </c:pt>
                <c:pt idx="4312">
                  <c:v>2.2766020963928657E-2</c:v>
                </c:pt>
                <c:pt idx="4313">
                  <c:v>2.6799981323548883E-2</c:v>
                </c:pt>
                <c:pt idx="4314">
                  <c:v>2.6060185234558442E-2</c:v>
                </c:pt>
                <c:pt idx="4315">
                  <c:v>2.4597626903211212E-2</c:v>
                </c:pt>
                <c:pt idx="4316">
                  <c:v>3.2825489693697474E-2</c:v>
                </c:pt>
                <c:pt idx="4317">
                  <c:v>2.0551736711618696E-2</c:v>
                </c:pt>
                <c:pt idx="4318">
                  <c:v>2.6546884705874296E-2</c:v>
                </c:pt>
                <c:pt idx="4319">
                  <c:v>2.3565316915468149E-2</c:v>
                </c:pt>
                <c:pt idx="4320">
                  <c:v>2.3843082472238653E-2</c:v>
                </c:pt>
                <c:pt idx="4321">
                  <c:v>3.0092305190860369E-2</c:v>
                </c:pt>
                <c:pt idx="4322">
                  <c:v>2.4410535045940041E-2</c:v>
                </c:pt>
                <c:pt idx="4323">
                  <c:v>1.9673276906654658E-2</c:v>
                </c:pt>
                <c:pt idx="4324">
                  <c:v>2.0972135618510301E-2</c:v>
                </c:pt>
                <c:pt idx="4325">
                  <c:v>2.1432468068214416E-2</c:v>
                </c:pt>
                <c:pt idx="4326">
                  <c:v>2.9877417522744754E-2</c:v>
                </c:pt>
                <c:pt idx="4327">
                  <c:v>2.2983540171588102E-2</c:v>
                </c:pt>
                <c:pt idx="4328">
                  <c:v>2.2336594453193692E-2</c:v>
                </c:pt>
                <c:pt idx="4329">
                  <c:v>2.1906436804218554E-2</c:v>
                </c:pt>
                <c:pt idx="4330">
                  <c:v>2.398330613583155E-2</c:v>
                </c:pt>
                <c:pt idx="4331">
                  <c:v>2.5898485082811451E-2</c:v>
                </c:pt>
                <c:pt idx="4332">
                  <c:v>2.3123264317070347E-2</c:v>
                </c:pt>
                <c:pt idx="4333">
                  <c:v>2.7140661046825887E-2</c:v>
                </c:pt>
                <c:pt idx="4334">
                  <c:v>3.6976758672409904E-2</c:v>
                </c:pt>
                <c:pt idx="4335">
                  <c:v>3.8641571607699987E-2</c:v>
                </c:pt>
                <c:pt idx="4336">
                  <c:v>3.1375957901682794E-2</c:v>
                </c:pt>
                <c:pt idx="4337">
                  <c:v>2.7597351758348987E-2</c:v>
                </c:pt>
                <c:pt idx="4338">
                  <c:v>2.2522310542707591E-2</c:v>
                </c:pt>
                <c:pt idx="4339">
                  <c:v>2.6188452555441333E-2</c:v>
                </c:pt>
                <c:pt idx="4340">
                  <c:v>2.6050193477043404E-2</c:v>
                </c:pt>
                <c:pt idx="4341">
                  <c:v>2.3208998647542556E-2</c:v>
                </c:pt>
                <c:pt idx="4342">
                  <c:v>3.3690942493556753E-2</c:v>
                </c:pt>
                <c:pt idx="4343">
                  <c:v>2.5004822067418164E-2</c:v>
                </c:pt>
                <c:pt idx="4344">
                  <c:v>3.3517565059496768E-2</c:v>
                </c:pt>
                <c:pt idx="4345">
                  <c:v>2.3359421968646266E-2</c:v>
                </c:pt>
                <c:pt idx="4346">
                  <c:v>2.2711060018737017E-2</c:v>
                </c:pt>
                <c:pt idx="4347">
                  <c:v>2.877634007666785E-2</c:v>
                </c:pt>
                <c:pt idx="4348">
                  <c:v>2.72206313847978E-2</c:v>
                </c:pt>
                <c:pt idx="4349">
                  <c:v>2.5455363683093091E-2</c:v>
                </c:pt>
                <c:pt idx="4350">
                  <c:v>2.8796103133984285E-2</c:v>
                </c:pt>
                <c:pt idx="4351">
                  <c:v>2.1576534393474178E-2</c:v>
                </c:pt>
                <c:pt idx="4352">
                  <c:v>2.499809671185016E-2</c:v>
                </c:pt>
                <c:pt idx="4353">
                  <c:v>2.4296032379139798E-2</c:v>
                </c:pt>
                <c:pt idx="4354">
                  <c:v>2.2055196925356069E-2</c:v>
                </c:pt>
                <c:pt idx="4355">
                  <c:v>2.6775546795186456E-2</c:v>
                </c:pt>
                <c:pt idx="4356">
                  <c:v>2.2762118304276435E-2</c:v>
                </c:pt>
                <c:pt idx="4357">
                  <c:v>2.3420238996269216E-2</c:v>
                </c:pt>
                <c:pt idx="4358">
                  <c:v>2.33713197086729E-2</c:v>
                </c:pt>
                <c:pt idx="4359">
                  <c:v>2.5197366764846962E-2</c:v>
                </c:pt>
                <c:pt idx="4360">
                  <c:v>2.2053835110618647E-2</c:v>
                </c:pt>
                <c:pt idx="4361">
                  <c:v>2.9502363139763732E-2</c:v>
                </c:pt>
                <c:pt idx="4362">
                  <c:v>2.3024135087541531E-2</c:v>
                </c:pt>
                <c:pt idx="4363">
                  <c:v>2.7155186140490395E-2</c:v>
                </c:pt>
                <c:pt idx="4364">
                  <c:v>2.6376879716712209E-2</c:v>
                </c:pt>
                <c:pt idx="4365">
                  <c:v>2.6054230085686192E-2</c:v>
                </c:pt>
                <c:pt idx="4366">
                  <c:v>2.4029039948995967E-2</c:v>
                </c:pt>
                <c:pt idx="4367">
                  <c:v>2.275647849365281E-2</c:v>
                </c:pt>
                <c:pt idx="4368">
                  <c:v>2.2194008543340082E-2</c:v>
                </c:pt>
                <c:pt idx="4369">
                  <c:v>1.9725595149886588E-2</c:v>
                </c:pt>
                <c:pt idx="4370">
                  <c:v>2.3354401672104008E-2</c:v>
                </c:pt>
                <c:pt idx="4371">
                  <c:v>2.4350791005543604E-2</c:v>
                </c:pt>
                <c:pt idx="4372">
                  <c:v>2.907256268809677E-2</c:v>
                </c:pt>
                <c:pt idx="4373">
                  <c:v>2.41922121443372E-2</c:v>
                </c:pt>
                <c:pt idx="4374">
                  <c:v>2.5419777901266039E-2</c:v>
                </c:pt>
                <c:pt idx="4375">
                  <c:v>2.2989288815766562E-2</c:v>
                </c:pt>
                <c:pt idx="4376">
                  <c:v>2.4315484284113564E-2</c:v>
                </c:pt>
                <c:pt idx="4377">
                  <c:v>1.9230423404917429E-2</c:v>
                </c:pt>
                <c:pt idx="4378">
                  <c:v>2.1612028085370216E-2</c:v>
                </c:pt>
                <c:pt idx="4379">
                  <c:v>2.7297933905374272E-2</c:v>
                </c:pt>
                <c:pt idx="4380">
                  <c:v>2.112595929055161E-2</c:v>
                </c:pt>
                <c:pt idx="4381">
                  <c:v>2.7030111270549328E-2</c:v>
                </c:pt>
                <c:pt idx="4382">
                  <c:v>2.4259135013446786E-2</c:v>
                </c:pt>
                <c:pt idx="4383">
                  <c:v>2.589017885009437E-2</c:v>
                </c:pt>
                <c:pt idx="4384">
                  <c:v>2.8581511269889504E-2</c:v>
                </c:pt>
                <c:pt idx="4385">
                  <c:v>3.0084220811158913E-2</c:v>
                </c:pt>
                <c:pt idx="4386">
                  <c:v>2.5607247885375162E-2</c:v>
                </c:pt>
                <c:pt idx="4387">
                  <c:v>2.6256308881578927E-2</c:v>
                </c:pt>
                <c:pt idx="4388">
                  <c:v>2.5752815555570852E-2</c:v>
                </c:pt>
                <c:pt idx="4389">
                  <c:v>2.5796396417772316E-2</c:v>
                </c:pt>
                <c:pt idx="4390">
                  <c:v>2.1715597165815503E-2</c:v>
                </c:pt>
                <c:pt idx="4391">
                  <c:v>2.2756562211771914E-2</c:v>
                </c:pt>
                <c:pt idx="4392">
                  <c:v>2.5596114770836342E-2</c:v>
                </c:pt>
                <c:pt idx="4393">
                  <c:v>2.4671065832591044E-2</c:v>
                </c:pt>
                <c:pt idx="4394">
                  <c:v>2.1558642436119713E-2</c:v>
                </c:pt>
                <c:pt idx="4395">
                  <c:v>2.7155654961957376E-2</c:v>
                </c:pt>
                <c:pt idx="4396">
                  <c:v>2.3074439910009015E-2</c:v>
                </c:pt>
                <c:pt idx="4397">
                  <c:v>2.7976832039226629E-2</c:v>
                </c:pt>
                <c:pt idx="4398">
                  <c:v>2.736740878181454E-2</c:v>
                </c:pt>
                <c:pt idx="4399">
                  <c:v>2.4108618207110077E-2</c:v>
                </c:pt>
                <c:pt idx="4400">
                  <c:v>2.6344472432807131E-2</c:v>
                </c:pt>
                <c:pt idx="4401">
                  <c:v>3.1317115226368708E-2</c:v>
                </c:pt>
                <c:pt idx="4402">
                  <c:v>3.0827727008127637E-2</c:v>
                </c:pt>
                <c:pt idx="4403">
                  <c:v>2.3146701204513453E-2</c:v>
                </c:pt>
                <c:pt idx="4404">
                  <c:v>2.5252881644926672E-2</c:v>
                </c:pt>
                <c:pt idx="4405">
                  <c:v>2.0662174863736449E-2</c:v>
                </c:pt>
                <c:pt idx="4406">
                  <c:v>2.6297639121678484E-2</c:v>
                </c:pt>
                <c:pt idx="4407">
                  <c:v>2.4730297797158962E-2</c:v>
                </c:pt>
                <c:pt idx="4408">
                  <c:v>1.8014255869904572E-2</c:v>
                </c:pt>
                <c:pt idx="4409">
                  <c:v>2.5852999633400375E-2</c:v>
                </c:pt>
                <c:pt idx="4410">
                  <c:v>2.0745318118422396E-2</c:v>
                </c:pt>
                <c:pt idx="4411">
                  <c:v>2.7876163791608288E-2</c:v>
                </c:pt>
                <c:pt idx="4412">
                  <c:v>1.9464022072652742E-2</c:v>
                </c:pt>
                <c:pt idx="4413">
                  <c:v>2.3823570569279529E-2</c:v>
                </c:pt>
                <c:pt idx="4414">
                  <c:v>2.4561739736155386E-2</c:v>
                </c:pt>
                <c:pt idx="4415">
                  <c:v>2.4185895612250818E-2</c:v>
                </c:pt>
                <c:pt idx="4416">
                  <c:v>2.1765692692985228E-2</c:v>
                </c:pt>
                <c:pt idx="4417">
                  <c:v>2.5115317426917305E-2</c:v>
                </c:pt>
                <c:pt idx="4418">
                  <c:v>2.3980883891585481E-2</c:v>
                </c:pt>
                <c:pt idx="4419">
                  <c:v>3.2348313158429676E-2</c:v>
                </c:pt>
                <c:pt idx="4420">
                  <c:v>3.349333145462019E-2</c:v>
                </c:pt>
                <c:pt idx="4421">
                  <c:v>2.3189804873436026E-2</c:v>
                </c:pt>
                <c:pt idx="4422">
                  <c:v>2.244105931751339E-2</c:v>
                </c:pt>
                <c:pt idx="4423">
                  <c:v>2.8738566461328219E-2</c:v>
                </c:pt>
                <c:pt idx="4424">
                  <c:v>2.5644595933609349E-2</c:v>
                </c:pt>
                <c:pt idx="4425">
                  <c:v>2.5504788070008E-2</c:v>
                </c:pt>
                <c:pt idx="4426">
                  <c:v>2.318239302929137E-2</c:v>
                </c:pt>
                <c:pt idx="4427">
                  <c:v>2.1479041853173841E-2</c:v>
                </c:pt>
                <c:pt idx="4428">
                  <c:v>2.7171025608624833E-2</c:v>
                </c:pt>
                <c:pt idx="4429">
                  <c:v>2.4393996531511086E-2</c:v>
                </c:pt>
                <c:pt idx="4430">
                  <c:v>2.6317594730668858E-2</c:v>
                </c:pt>
                <c:pt idx="4431">
                  <c:v>2.7051886353328225E-2</c:v>
                </c:pt>
                <c:pt idx="4432">
                  <c:v>2.4549438753855068E-2</c:v>
                </c:pt>
                <c:pt idx="4433">
                  <c:v>2.335554023852382E-2</c:v>
                </c:pt>
                <c:pt idx="4434">
                  <c:v>2.48828949987554E-2</c:v>
                </c:pt>
                <c:pt idx="4435">
                  <c:v>2.0941881285568176E-2</c:v>
                </c:pt>
                <c:pt idx="4436">
                  <c:v>3.0887365005573209E-2</c:v>
                </c:pt>
                <c:pt idx="4437">
                  <c:v>2.7715899405603928E-2</c:v>
                </c:pt>
                <c:pt idx="4438">
                  <c:v>2.3116731513176281E-2</c:v>
                </c:pt>
                <c:pt idx="4439">
                  <c:v>2.3658207749821747E-2</c:v>
                </c:pt>
                <c:pt idx="4440">
                  <c:v>2.1150964497425928E-2</c:v>
                </c:pt>
                <c:pt idx="4441">
                  <c:v>2.6632344161855448E-2</c:v>
                </c:pt>
                <c:pt idx="4442">
                  <c:v>2.9079795933587338E-2</c:v>
                </c:pt>
                <c:pt idx="4443">
                  <c:v>2.5857467390356548E-2</c:v>
                </c:pt>
                <c:pt idx="4444">
                  <c:v>2.055228646060081E-2</c:v>
                </c:pt>
                <c:pt idx="4445">
                  <c:v>2.8476165970017231E-2</c:v>
                </c:pt>
                <c:pt idx="4446">
                  <c:v>2.5999615175386848E-2</c:v>
                </c:pt>
                <c:pt idx="4447">
                  <c:v>2.4399030781073194E-2</c:v>
                </c:pt>
                <c:pt idx="4448">
                  <c:v>1.9759798187446442E-2</c:v>
                </c:pt>
                <c:pt idx="4449">
                  <c:v>2.3473662318673316E-2</c:v>
                </c:pt>
                <c:pt idx="4450">
                  <c:v>2.3197379967912934E-2</c:v>
                </c:pt>
                <c:pt idx="4451">
                  <c:v>2.9077543916183446E-2</c:v>
                </c:pt>
                <c:pt idx="4452">
                  <c:v>2.7227390227613446E-2</c:v>
                </c:pt>
                <c:pt idx="4453">
                  <c:v>2.4580957230395661E-2</c:v>
                </c:pt>
                <c:pt idx="4454">
                  <c:v>2.4410565742583712E-2</c:v>
                </c:pt>
                <c:pt idx="4455">
                  <c:v>2.1763463000413097E-2</c:v>
                </c:pt>
                <c:pt idx="4456">
                  <c:v>2.2862471213646152E-2</c:v>
                </c:pt>
                <c:pt idx="4457">
                  <c:v>2.6527623957272484E-2</c:v>
                </c:pt>
                <c:pt idx="4458">
                  <c:v>2.510085930774808E-2</c:v>
                </c:pt>
                <c:pt idx="4459">
                  <c:v>2.604690475026461E-2</c:v>
                </c:pt>
                <c:pt idx="4460">
                  <c:v>2.681140884680655E-2</c:v>
                </c:pt>
                <c:pt idx="4461">
                  <c:v>2.483178927294849E-2</c:v>
                </c:pt>
                <c:pt idx="4462">
                  <c:v>2.4101585885105359E-2</c:v>
                </c:pt>
                <c:pt idx="4463">
                  <c:v>3.1779632718981432E-2</c:v>
                </c:pt>
                <c:pt idx="4464">
                  <c:v>3.3251818634025598E-2</c:v>
                </c:pt>
                <c:pt idx="4465">
                  <c:v>2.7090965971325875E-2</c:v>
                </c:pt>
                <c:pt idx="4466">
                  <c:v>2.4141146882287856E-2</c:v>
                </c:pt>
                <c:pt idx="4467">
                  <c:v>2.560069973315926E-2</c:v>
                </c:pt>
                <c:pt idx="4468">
                  <c:v>2.2912501161622578E-2</c:v>
                </c:pt>
                <c:pt idx="4469">
                  <c:v>2.2257602221913309E-2</c:v>
                </c:pt>
                <c:pt idx="4470">
                  <c:v>1.9470787891978314E-2</c:v>
                </c:pt>
                <c:pt idx="4471">
                  <c:v>2.4088009596790694E-2</c:v>
                </c:pt>
                <c:pt idx="4472">
                  <c:v>2.3139765158345704E-2</c:v>
                </c:pt>
                <c:pt idx="4473">
                  <c:v>2.8164274117296051E-2</c:v>
                </c:pt>
                <c:pt idx="4474">
                  <c:v>2.860263335133939E-2</c:v>
                </c:pt>
                <c:pt idx="4475">
                  <c:v>2.5279883528941616E-2</c:v>
                </c:pt>
                <c:pt idx="4476">
                  <c:v>2.2622773680934127E-2</c:v>
                </c:pt>
                <c:pt idx="4477">
                  <c:v>3.1619094853787999E-2</c:v>
                </c:pt>
                <c:pt idx="4478">
                  <c:v>2.9668041297470138E-2</c:v>
                </c:pt>
                <c:pt idx="4479">
                  <c:v>2.6369912973900789E-2</c:v>
                </c:pt>
                <c:pt idx="4480">
                  <c:v>2.1597187653457084E-2</c:v>
                </c:pt>
                <c:pt idx="4481">
                  <c:v>2.3890563203488369E-2</c:v>
                </c:pt>
                <c:pt idx="4482">
                  <c:v>2.3647242071521135E-2</c:v>
                </c:pt>
                <c:pt idx="4483">
                  <c:v>2.5198176039998299E-2</c:v>
                </c:pt>
                <c:pt idx="4484">
                  <c:v>2.1354776258384112E-2</c:v>
                </c:pt>
                <c:pt idx="4485">
                  <c:v>3.645752215410436E-2</c:v>
                </c:pt>
                <c:pt idx="4486">
                  <c:v>2.128212567462584E-2</c:v>
                </c:pt>
                <c:pt idx="4487">
                  <c:v>2.5550466071093014E-2</c:v>
                </c:pt>
                <c:pt idx="4488">
                  <c:v>1.8949850500552978E-2</c:v>
                </c:pt>
                <c:pt idx="4489">
                  <c:v>2.7368229219381757E-2</c:v>
                </c:pt>
                <c:pt idx="4490">
                  <c:v>2.2978610569674873E-2</c:v>
                </c:pt>
                <c:pt idx="4491">
                  <c:v>1.9147548048212615E-2</c:v>
                </c:pt>
                <c:pt idx="4492">
                  <c:v>2.7500219205960796E-2</c:v>
                </c:pt>
                <c:pt idx="4493">
                  <c:v>1.980873979987452E-2</c:v>
                </c:pt>
                <c:pt idx="4494">
                  <c:v>2.567983428524212E-2</c:v>
                </c:pt>
                <c:pt idx="4495">
                  <c:v>2.1667840164772745E-2</c:v>
                </c:pt>
                <c:pt idx="4496">
                  <c:v>2.6565905462534678E-2</c:v>
                </c:pt>
                <c:pt idx="4497">
                  <c:v>2.6108231063112108E-2</c:v>
                </c:pt>
                <c:pt idx="4498">
                  <c:v>2.6779755025973406E-2</c:v>
                </c:pt>
                <c:pt idx="4499">
                  <c:v>2.7454894216278003E-2</c:v>
                </c:pt>
                <c:pt idx="4500">
                  <c:v>2.4761520469678722E-2</c:v>
                </c:pt>
                <c:pt idx="4501">
                  <c:v>1.8917259036785872E-2</c:v>
                </c:pt>
                <c:pt idx="4502">
                  <c:v>2.499258805961313E-2</c:v>
                </c:pt>
                <c:pt idx="4503">
                  <c:v>2.0539280850798036E-2</c:v>
                </c:pt>
                <c:pt idx="4504">
                  <c:v>3.1036466975697063E-2</c:v>
                </c:pt>
                <c:pt idx="4505">
                  <c:v>2.2735954996754515E-2</c:v>
                </c:pt>
                <c:pt idx="4506">
                  <c:v>2.2613829795209872E-2</c:v>
                </c:pt>
                <c:pt idx="4507">
                  <c:v>2.0807943457417988E-2</c:v>
                </c:pt>
                <c:pt idx="4508">
                  <c:v>2.0315251164076287E-2</c:v>
                </c:pt>
                <c:pt idx="4509">
                  <c:v>4.0160988494938543E-2</c:v>
                </c:pt>
                <c:pt idx="4510">
                  <c:v>3.1456720771182223E-2</c:v>
                </c:pt>
                <c:pt idx="4511">
                  <c:v>2.3228034752524773E-2</c:v>
                </c:pt>
                <c:pt idx="4512">
                  <c:v>2.5380941065813789E-2</c:v>
                </c:pt>
                <c:pt idx="4513">
                  <c:v>2.0599814632118019E-2</c:v>
                </c:pt>
                <c:pt idx="4514">
                  <c:v>2.4534083455509448E-2</c:v>
                </c:pt>
                <c:pt idx="4515">
                  <c:v>2.7539005810541584E-2</c:v>
                </c:pt>
                <c:pt idx="4516">
                  <c:v>2.7197207055072559E-2</c:v>
                </c:pt>
                <c:pt idx="4517">
                  <c:v>2.1821003858975119E-2</c:v>
                </c:pt>
                <c:pt idx="4518">
                  <c:v>3.5248894831018784E-2</c:v>
                </c:pt>
                <c:pt idx="4519">
                  <c:v>2.5806077022944685E-2</c:v>
                </c:pt>
                <c:pt idx="4520">
                  <c:v>2.4324495144333103E-2</c:v>
                </c:pt>
                <c:pt idx="4521">
                  <c:v>2.5828549756716113E-2</c:v>
                </c:pt>
                <c:pt idx="4522">
                  <c:v>2.3647843446676697E-2</c:v>
                </c:pt>
                <c:pt idx="4523">
                  <c:v>2.4529665929424738E-2</c:v>
                </c:pt>
                <c:pt idx="4524">
                  <c:v>2.5051775374517526E-2</c:v>
                </c:pt>
                <c:pt idx="4525">
                  <c:v>2.58216569649099E-2</c:v>
                </c:pt>
                <c:pt idx="4526">
                  <c:v>2.5318573857685434E-2</c:v>
                </c:pt>
                <c:pt idx="4527">
                  <c:v>2.5358757159553269E-2</c:v>
                </c:pt>
                <c:pt idx="4528">
                  <c:v>2.3076904013314636E-2</c:v>
                </c:pt>
                <c:pt idx="4529">
                  <c:v>2.5281722536957929E-2</c:v>
                </c:pt>
                <c:pt idx="4530">
                  <c:v>3.2599230314403593E-2</c:v>
                </c:pt>
                <c:pt idx="4531">
                  <c:v>2.2976405992538473E-2</c:v>
                </c:pt>
                <c:pt idx="4532">
                  <c:v>2.2498785751239425E-2</c:v>
                </c:pt>
                <c:pt idx="4533">
                  <c:v>3.171955659671255E-2</c:v>
                </c:pt>
                <c:pt idx="4534">
                  <c:v>2.5763969599639447E-2</c:v>
                </c:pt>
                <c:pt idx="4535">
                  <c:v>2.4949508110824303E-2</c:v>
                </c:pt>
                <c:pt idx="4536">
                  <c:v>2.0631034514033808E-2</c:v>
                </c:pt>
                <c:pt idx="4537">
                  <c:v>3.060774369716257E-2</c:v>
                </c:pt>
                <c:pt idx="4538">
                  <c:v>2.9172008651176196E-2</c:v>
                </c:pt>
                <c:pt idx="4539">
                  <c:v>1.9337341210126868E-2</c:v>
                </c:pt>
                <c:pt idx="4540">
                  <c:v>2.4518276079320667E-2</c:v>
                </c:pt>
                <c:pt idx="4541">
                  <c:v>2.6360863045225669E-2</c:v>
                </c:pt>
                <c:pt idx="4542">
                  <c:v>2.0178981786309058E-2</c:v>
                </c:pt>
                <c:pt idx="4543">
                  <c:v>2.866465731517942E-2</c:v>
                </c:pt>
                <c:pt idx="4544">
                  <c:v>1.9235470212197403E-2</c:v>
                </c:pt>
                <c:pt idx="4545">
                  <c:v>2.7800287269660551E-2</c:v>
                </c:pt>
                <c:pt idx="4546">
                  <c:v>2.0167836114052373E-2</c:v>
                </c:pt>
                <c:pt idx="4547">
                  <c:v>2.2998810356512633E-2</c:v>
                </c:pt>
                <c:pt idx="4548">
                  <c:v>2.2828015626427001E-2</c:v>
                </c:pt>
                <c:pt idx="4549">
                  <c:v>2.5693777537978857E-2</c:v>
                </c:pt>
                <c:pt idx="4550">
                  <c:v>2.1855282242842167E-2</c:v>
                </c:pt>
                <c:pt idx="4551">
                  <c:v>2.9999445053150442E-2</c:v>
                </c:pt>
                <c:pt idx="4552">
                  <c:v>2.2820104264171692E-2</c:v>
                </c:pt>
                <c:pt idx="4553">
                  <c:v>2.3082920555474229E-2</c:v>
                </c:pt>
                <c:pt idx="4554">
                  <c:v>2.369094711559927E-2</c:v>
                </c:pt>
                <c:pt idx="4555">
                  <c:v>3.2073567035154849E-2</c:v>
                </c:pt>
                <c:pt idx="4556">
                  <c:v>3.0545320676954812E-2</c:v>
                </c:pt>
                <c:pt idx="4557">
                  <c:v>2.7464845510035474E-2</c:v>
                </c:pt>
                <c:pt idx="4558">
                  <c:v>2.3513320986994768E-2</c:v>
                </c:pt>
                <c:pt idx="4559">
                  <c:v>2.3665033567132676E-2</c:v>
                </c:pt>
                <c:pt idx="4560">
                  <c:v>2.4429124654287038E-2</c:v>
                </c:pt>
                <c:pt idx="4561">
                  <c:v>2.2051676578447754E-2</c:v>
                </c:pt>
                <c:pt idx="4562">
                  <c:v>2.7257740836392541E-2</c:v>
                </c:pt>
                <c:pt idx="4563">
                  <c:v>2.5513895206064507E-2</c:v>
                </c:pt>
                <c:pt idx="4564">
                  <c:v>2.7987631676591018E-2</c:v>
                </c:pt>
                <c:pt idx="4565">
                  <c:v>2.5322833714645832E-2</c:v>
                </c:pt>
                <c:pt idx="4566">
                  <c:v>2.367173659786892E-2</c:v>
                </c:pt>
                <c:pt idx="4567">
                  <c:v>2.3056141919776896E-2</c:v>
                </c:pt>
                <c:pt idx="4568">
                  <c:v>1.9714759234670587E-2</c:v>
                </c:pt>
                <c:pt idx="4569">
                  <c:v>2.2475422814801527E-2</c:v>
                </c:pt>
                <c:pt idx="4570">
                  <c:v>2.1618616701343685E-2</c:v>
                </c:pt>
                <c:pt idx="4571">
                  <c:v>2.2562087811697773E-2</c:v>
                </c:pt>
                <c:pt idx="4572">
                  <c:v>2.0083061751345888E-2</c:v>
                </c:pt>
                <c:pt idx="4573">
                  <c:v>2.9649852140792854E-2</c:v>
                </c:pt>
                <c:pt idx="4574">
                  <c:v>2.4476277489570264E-2</c:v>
                </c:pt>
                <c:pt idx="4575">
                  <c:v>2.8335427439991845E-2</c:v>
                </c:pt>
                <c:pt idx="4576">
                  <c:v>3.2317864878511626E-2</c:v>
                </c:pt>
                <c:pt idx="4577">
                  <c:v>2.77920996376122E-2</c:v>
                </c:pt>
                <c:pt idx="4578">
                  <c:v>3.5317303696742464E-2</c:v>
                </c:pt>
                <c:pt idx="4579">
                  <c:v>2.3094572722351492E-2</c:v>
                </c:pt>
                <c:pt idx="4580">
                  <c:v>2.4349437562618093E-2</c:v>
                </c:pt>
                <c:pt idx="4581">
                  <c:v>2.1551252916806818E-2</c:v>
                </c:pt>
                <c:pt idx="4582">
                  <c:v>2.7174321311913552E-2</c:v>
                </c:pt>
                <c:pt idx="4583">
                  <c:v>2.5949874054921329E-2</c:v>
                </c:pt>
                <c:pt idx="4584">
                  <c:v>3.10944361919685E-2</c:v>
                </c:pt>
                <c:pt idx="4585">
                  <c:v>2.7344615128586547E-2</c:v>
                </c:pt>
                <c:pt idx="4586">
                  <c:v>2.2698059990142183E-2</c:v>
                </c:pt>
                <c:pt idx="4587">
                  <c:v>2.9175175986682289E-2</c:v>
                </c:pt>
                <c:pt idx="4588">
                  <c:v>3.3798358421574859E-2</c:v>
                </c:pt>
                <c:pt idx="4589">
                  <c:v>2.457431001173882E-2</c:v>
                </c:pt>
                <c:pt idx="4590">
                  <c:v>2.5060913207217705E-2</c:v>
                </c:pt>
                <c:pt idx="4591">
                  <c:v>2.5430151971524984E-2</c:v>
                </c:pt>
                <c:pt idx="4592">
                  <c:v>2.4505267678913922E-2</c:v>
                </c:pt>
                <c:pt idx="4593">
                  <c:v>2.4148505704957079E-2</c:v>
                </c:pt>
                <c:pt idx="4594">
                  <c:v>2.3938184860238576E-2</c:v>
                </c:pt>
                <c:pt idx="4595">
                  <c:v>2.5366795494289218E-2</c:v>
                </c:pt>
                <c:pt idx="4596">
                  <c:v>2.2026289058829529E-2</c:v>
                </c:pt>
                <c:pt idx="4597">
                  <c:v>2.5331587839300118E-2</c:v>
                </c:pt>
                <c:pt idx="4598">
                  <c:v>2.7683712579412489E-2</c:v>
                </c:pt>
                <c:pt idx="4599">
                  <c:v>2.487361065934679E-2</c:v>
                </c:pt>
                <c:pt idx="4600">
                  <c:v>2.8700918423167243E-2</c:v>
                </c:pt>
                <c:pt idx="4601">
                  <c:v>2.4895230863605344E-2</c:v>
                </c:pt>
                <c:pt idx="4602">
                  <c:v>2.0607091131970123E-2</c:v>
                </c:pt>
                <c:pt idx="4603">
                  <c:v>2.3997401476484659E-2</c:v>
                </c:pt>
                <c:pt idx="4604">
                  <c:v>3.0338394601965968E-2</c:v>
                </c:pt>
                <c:pt idx="4605">
                  <c:v>2.8431641883673864E-2</c:v>
                </c:pt>
                <c:pt idx="4606">
                  <c:v>2.5256738259613387E-2</c:v>
                </c:pt>
                <c:pt idx="4607">
                  <c:v>3.5849999297995927E-2</c:v>
                </c:pt>
                <c:pt idx="4608">
                  <c:v>2.6190888752707253E-2</c:v>
                </c:pt>
                <c:pt idx="4609">
                  <c:v>2.6252036466900663E-2</c:v>
                </c:pt>
                <c:pt idx="4610">
                  <c:v>2.1977341865193512E-2</c:v>
                </c:pt>
                <c:pt idx="4611">
                  <c:v>2.3201427738971603E-2</c:v>
                </c:pt>
                <c:pt idx="4612">
                  <c:v>2.0522646060532113E-2</c:v>
                </c:pt>
                <c:pt idx="4613">
                  <c:v>2.5229818698415563E-2</c:v>
                </c:pt>
                <c:pt idx="4614">
                  <c:v>2.8592520202551652E-2</c:v>
                </c:pt>
                <c:pt idx="4615">
                  <c:v>2.5149650227561771E-2</c:v>
                </c:pt>
                <c:pt idx="4616">
                  <c:v>2.7247443507742775E-2</c:v>
                </c:pt>
                <c:pt idx="4617">
                  <c:v>2.1294800597858154E-2</c:v>
                </c:pt>
                <c:pt idx="4618">
                  <c:v>2.2825836164726332E-2</c:v>
                </c:pt>
                <c:pt idx="4619">
                  <c:v>2.4002271080412529E-2</c:v>
                </c:pt>
                <c:pt idx="4620">
                  <c:v>2.4847822688058852E-2</c:v>
                </c:pt>
                <c:pt idx="4621">
                  <c:v>2.3986052090138155E-2</c:v>
                </c:pt>
                <c:pt idx="4622">
                  <c:v>3.3705498283864932E-2</c:v>
                </c:pt>
                <c:pt idx="4623">
                  <c:v>2.115519505304464E-2</c:v>
                </c:pt>
                <c:pt idx="4624">
                  <c:v>2.1172687954031377E-2</c:v>
                </c:pt>
                <c:pt idx="4625">
                  <c:v>2.4436967646745078E-2</c:v>
                </c:pt>
                <c:pt idx="4626">
                  <c:v>2.8560121290458484E-2</c:v>
                </c:pt>
                <c:pt idx="4627">
                  <c:v>2.7953728628957952E-2</c:v>
                </c:pt>
                <c:pt idx="4628">
                  <c:v>2.672111606474914E-2</c:v>
                </c:pt>
                <c:pt idx="4629">
                  <c:v>2.6761370527018213E-2</c:v>
                </c:pt>
                <c:pt idx="4630">
                  <c:v>2.7146434806440078E-2</c:v>
                </c:pt>
                <c:pt idx="4631">
                  <c:v>2.1182037872633286E-2</c:v>
                </c:pt>
                <c:pt idx="4632">
                  <c:v>2.2804460138315163E-2</c:v>
                </c:pt>
                <c:pt idx="4633">
                  <c:v>2.7856071443023378E-2</c:v>
                </c:pt>
                <c:pt idx="4634">
                  <c:v>2.5191800905228545E-2</c:v>
                </c:pt>
                <c:pt idx="4635">
                  <c:v>2.6891108496193361E-2</c:v>
                </c:pt>
                <c:pt idx="4636">
                  <c:v>2.3467122538269325E-2</c:v>
                </c:pt>
                <c:pt idx="4637">
                  <c:v>2.1856059426047847E-2</c:v>
                </c:pt>
                <c:pt idx="4638">
                  <c:v>2.1237230437954446E-2</c:v>
                </c:pt>
                <c:pt idx="4639">
                  <c:v>2.8121245794680672E-2</c:v>
                </c:pt>
                <c:pt idx="4640">
                  <c:v>2.0210736068885127E-2</c:v>
                </c:pt>
                <c:pt idx="4641">
                  <c:v>2.6077613951653866E-2</c:v>
                </c:pt>
                <c:pt idx="4642">
                  <c:v>2.3852814703584468E-2</c:v>
                </c:pt>
                <c:pt idx="4643">
                  <c:v>2.2759224447959414E-2</c:v>
                </c:pt>
                <c:pt idx="4644">
                  <c:v>2.5397631668159115E-2</c:v>
                </c:pt>
                <c:pt idx="4645">
                  <c:v>2.0318232924418367E-2</c:v>
                </c:pt>
                <c:pt idx="4646">
                  <c:v>3.0393916458555603E-2</c:v>
                </c:pt>
                <c:pt idx="4647">
                  <c:v>3.8264212185839641E-2</c:v>
                </c:pt>
                <c:pt idx="4648">
                  <c:v>2.8814283918849659E-2</c:v>
                </c:pt>
                <c:pt idx="4649">
                  <c:v>2.7167590375137607E-2</c:v>
                </c:pt>
                <c:pt idx="4650">
                  <c:v>2.3366846370508787E-2</c:v>
                </c:pt>
                <c:pt idx="4651">
                  <c:v>2.400338453139661E-2</c:v>
                </c:pt>
                <c:pt idx="4652">
                  <c:v>1.8316894079860813E-2</c:v>
                </c:pt>
                <c:pt idx="4653">
                  <c:v>2.7720196935717922E-2</c:v>
                </c:pt>
                <c:pt idx="4654">
                  <c:v>2.245871546883238E-2</c:v>
                </c:pt>
                <c:pt idx="4655">
                  <c:v>2.3488458100922927E-2</c:v>
                </c:pt>
                <c:pt idx="4656">
                  <c:v>2.3830400572496413E-2</c:v>
                </c:pt>
                <c:pt idx="4657">
                  <c:v>2.497525980426063E-2</c:v>
                </c:pt>
                <c:pt idx="4658">
                  <c:v>3.1720996548361136E-2</c:v>
                </c:pt>
                <c:pt idx="4659">
                  <c:v>2.5058430964986278E-2</c:v>
                </c:pt>
                <c:pt idx="4660">
                  <c:v>2.6161909725779475E-2</c:v>
                </c:pt>
                <c:pt idx="4661">
                  <c:v>2.5327697737365762E-2</c:v>
                </c:pt>
                <c:pt idx="4662">
                  <c:v>2.5329768365511596E-2</c:v>
                </c:pt>
                <c:pt idx="4663">
                  <c:v>2.8982116422821003E-2</c:v>
                </c:pt>
                <c:pt idx="4664">
                  <c:v>2.4250097642489532E-2</c:v>
                </c:pt>
                <c:pt idx="4665">
                  <c:v>3.1266630409945151E-2</c:v>
                </c:pt>
                <c:pt idx="4666">
                  <c:v>2.9091683906500077E-2</c:v>
                </c:pt>
                <c:pt idx="4667">
                  <c:v>1.9921509501609314E-2</c:v>
                </c:pt>
                <c:pt idx="4668">
                  <c:v>2.4636255838667687E-2</c:v>
                </c:pt>
                <c:pt idx="4669">
                  <c:v>2.5862320250660598E-2</c:v>
                </c:pt>
                <c:pt idx="4670">
                  <c:v>2.5559875987680281E-2</c:v>
                </c:pt>
                <c:pt idx="4671">
                  <c:v>2.6076508872481696E-2</c:v>
                </c:pt>
                <c:pt idx="4672">
                  <c:v>2.6893034012932748E-2</c:v>
                </c:pt>
                <c:pt idx="4673">
                  <c:v>2.3297770550436248E-2</c:v>
                </c:pt>
                <c:pt idx="4674">
                  <c:v>2.7575805505095641E-2</c:v>
                </c:pt>
                <c:pt idx="4675">
                  <c:v>2.1873066761943782E-2</c:v>
                </c:pt>
                <c:pt idx="4676">
                  <c:v>2.2871899269159224E-2</c:v>
                </c:pt>
                <c:pt idx="4677">
                  <c:v>2.690255276307485E-2</c:v>
                </c:pt>
                <c:pt idx="4678">
                  <c:v>2.349361513705972E-2</c:v>
                </c:pt>
                <c:pt idx="4679">
                  <c:v>2.2488027972934588E-2</c:v>
                </c:pt>
                <c:pt idx="4680">
                  <c:v>2.2044372172555948E-2</c:v>
                </c:pt>
                <c:pt idx="4681">
                  <c:v>2.3205327608019855E-2</c:v>
                </c:pt>
                <c:pt idx="4682">
                  <c:v>2.9102681676746345E-2</c:v>
                </c:pt>
                <c:pt idx="4683">
                  <c:v>1.919434229088568E-2</c:v>
                </c:pt>
                <c:pt idx="4684">
                  <c:v>3.193541818561374E-2</c:v>
                </c:pt>
                <c:pt idx="4685">
                  <c:v>2.4762099520002523E-2</c:v>
                </c:pt>
                <c:pt idx="4686">
                  <c:v>3.243846641028858E-2</c:v>
                </c:pt>
                <c:pt idx="4687">
                  <c:v>2.4934583960792067E-2</c:v>
                </c:pt>
                <c:pt idx="4688">
                  <c:v>2.2469431388077665E-2</c:v>
                </c:pt>
                <c:pt idx="4689">
                  <c:v>2.4411313624447706E-2</c:v>
                </c:pt>
                <c:pt idx="4690">
                  <c:v>2.2029004316492462E-2</c:v>
                </c:pt>
                <c:pt idx="4691">
                  <c:v>2.2589232016515193E-2</c:v>
                </c:pt>
                <c:pt idx="4692">
                  <c:v>2.0004976466355795E-2</c:v>
                </c:pt>
                <c:pt idx="4693">
                  <c:v>2.6793437357238936E-2</c:v>
                </c:pt>
                <c:pt idx="4694">
                  <c:v>2.0359196200095853E-2</c:v>
                </c:pt>
                <c:pt idx="4695">
                  <c:v>2.4134297344843181E-2</c:v>
                </c:pt>
                <c:pt idx="4696">
                  <c:v>2.2103468792831316E-2</c:v>
                </c:pt>
                <c:pt idx="4697">
                  <c:v>2.0552537614958122E-2</c:v>
                </c:pt>
                <c:pt idx="4698">
                  <c:v>2.4963276950812907E-2</c:v>
                </c:pt>
                <c:pt idx="4699">
                  <c:v>2.5778526785249611E-2</c:v>
                </c:pt>
                <c:pt idx="4700">
                  <c:v>2.1293089957624467E-2</c:v>
                </c:pt>
                <c:pt idx="4701">
                  <c:v>2.1213574488099685E-2</c:v>
                </c:pt>
                <c:pt idx="4702">
                  <c:v>2.4161606195294838E-2</c:v>
                </c:pt>
                <c:pt idx="4703">
                  <c:v>2.3477203595111407E-2</c:v>
                </c:pt>
                <c:pt idx="4704">
                  <c:v>2.5216157296679809E-2</c:v>
                </c:pt>
                <c:pt idx="4705">
                  <c:v>2.1226141973079149E-2</c:v>
                </c:pt>
                <c:pt idx="4706">
                  <c:v>2.8537668090914847E-2</c:v>
                </c:pt>
                <c:pt idx="4707">
                  <c:v>2.9951817815192294E-2</c:v>
                </c:pt>
                <c:pt idx="4708">
                  <c:v>2.2861921464664037E-2</c:v>
                </c:pt>
                <c:pt idx="4709">
                  <c:v>2.0708875621176515E-2</c:v>
                </c:pt>
                <c:pt idx="4710">
                  <c:v>2.6910201808556966E-2</c:v>
                </c:pt>
                <c:pt idx="4711">
                  <c:v>1.9158792786910239E-2</c:v>
                </c:pt>
                <c:pt idx="4712">
                  <c:v>2.7699314846209466E-2</c:v>
                </c:pt>
                <c:pt idx="4713">
                  <c:v>2.2216057105308051E-2</c:v>
                </c:pt>
                <c:pt idx="4714">
                  <c:v>2.0021286151259199E-2</c:v>
                </c:pt>
                <c:pt idx="4715">
                  <c:v>2.5435512721751596E-2</c:v>
                </c:pt>
                <c:pt idx="4716">
                  <c:v>2.7905853027246463E-2</c:v>
                </c:pt>
                <c:pt idx="4717">
                  <c:v>2.6302011998099672E-2</c:v>
                </c:pt>
                <c:pt idx="4718">
                  <c:v>2.0773712513818432E-2</c:v>
                </c:pt>
                <c:pt idx="4719">
                  <c:v>2.3547048226577716E-2</c:v>
                </c:pt>
                <c:pt idx="4720">
                  <c:v>2.7732545358285732E-2</c:v>
                </c:pt>
                <c:pt idx="4721">
                  <c:v>2.9238475256536667E-2</c:v>
                </c:pt>
                <c:pt idx="4722">
                  <c:v>2.3010260204602062E-2</c:v>
                </c:pt>
                <c:pt idx="4723">
                  <c:v>2.189884078021187E-2</c:v>
                </c:pt>
                <c:pt idx="4724">
                  <c:v>2.7498422057004035E-2</c:v>
                </c:pt>
                <c:pt idx="4725">
                  <c:v>2.1641104783436949E-2</c:v>
                </c:pt>
                <c:pt idx="4726">
                  <c:v>1.8227893347441571E-2</c:v>
                </c:pt>
                <c:pt idx="4727">
                  <c:v>2.481214900220674E-2</c:v>
                </c:pt>
                <c:pt idx="4728">
                  <c:v>2.0804169165548392E-2</c:v>
                </c:pt>
                <c:pt idx="4729">
                  <c:v>2.5388297097879042E-2</c:v>
                </c:pt>
                <c:pt idx="4730">
                  <c:v>2.88260128273361E-2</c:v>
                </c:pt>
                <c:pt idx="4731">
                  <c:v>2.2946506066300554E-2</c:v>
                </c:pt>
                <c:pt idx="4732">
                  <c:v>2.9740959779209541E-2</c:v>
                </c:pt>
                <c:pt idx="4733">
                  <c:v>2.0071902126069352E-2</c:v>
                </c:pt>
                <c:pt idx="4734">
                  <c:v>2.116768161050897E-2</c:v>
                </c:pt>
                <c:pt idx="4735">
                  <c:v>2.476314599649132E-2</c:v>
                </c:pt>
                <c:pt idx="4736">
                  <c:v>3.1073263879647151E-2</c:v>
                </c:pt>
                <c:pt idx="4737">
                  <c:v>2.281200732675237E-2</c:v>
                </c:pt>
                <c:pt idx="4738">
                  <c:v>2.1191823125454534E-2</c:v>
                </c:pt>
                <c:pt idx="4739">
                  <c:v>2.4625260859025389E-2</c:v>
                </c:pt>
                <c:pt idx="4740">
                  <c:v>2.0824675918822866E-2</c:v>
                </c:pt>
                <c:pt idx="4741">
                  <c:v>3.5269310889664229E-2</c:v>
                </c:pt>
                <c:pt idx="4742">
                  <c:v>2.4980229869931425E-2</c:v>
                </c:pt>
                <c:pt idx="4743">
                  <c:v>2.9559179836595506E-2</c:v>
                </c:pt>
                <c:pt idx="4744">
                  <c:v>2.6630787004840117E-2</c:v>
                </c:pt>
                <c:pt idx="4745">
                  <c:v>3.1413954765340035E-2</c:v>
                </c:pt>
                <c:pt idx="4746">
                  <c:v>2.0727821031529703E-2</c:v>
                </c:pt>
                <c:pt idx="4747">
                  <c:v>2.4047505375466294E-2</c:v>
                </c:pt>
                <c:pt idx="4748">
                  <c:v>2.1214937698139091E-2</c:v>
                </c:pt>
                <c:pt idx="4749">
                  <c:v>2.3547356588316415E-2</c:v>
                </c:pt>
                <c:pt idx="4750">
                  <c:v>2.3375833510594579E-2</c:v>
                </c:pt>
                <c:pt idx="4751">
                  <c:v>2.5357854399168933E-2</c:v>
                </c:pt>
                <c:pt idx="4752">
                  <c:v>2.3260024841136318E-2</c:v>
                </c:pt>
                <c:pt idx="4753">
                  <c:v>3.169084407246392E-2</c:v>
                </c:pt>
                <c:pt idx="4754">
                  <c:v>1.8926127576202934E-2</c:v>
                </c:pt>
                <c:pt idx="4755">
                  <c:v>2.849357375758288E-2</c:v>
                </c:pt>
                <c:pt idx="4756">
                  <c:v>2.4441633536583129E-2</c:v>
                </c:pt>
                <c:pt idx="4757">
                  <c:v>2.0326389859823046E-2</c:v>
                </c:pt>
                <c:pt idx="4758">
                  <c:v>2.5190785125383419E-2</c:v>
                </c:pt>
                <c:pt idx="4759">
                  <c:v>4.1208332861570662E-2</c:v>
                </c:pt>
                <c:pt idx="4760">
                  <c:v>2.406187838121443E-2</c:v>
                </c:pt>
                <c:pt idx="4761">
                  <c:v>2.3504293383151409E-2</c:v>
                </c:pt>
                <c:pt idx="4762">
                  <c:v>3.1139638395076608E-2</c:v>
                </c:pt>
                <c:pt idx="4763">
                  <c:v>1.9323501209737026E-2</c:v>
                </c:pt>
                <c:pt idx="4764">
                  <c:v>2.8101580408503191E-2</c:v>
                </c:pt>
                <c:pt idx="4765">
                  <c:v>2.6448842416591845E-2</c:v>
                </c:pt>
                <c:pt idx="4766">
                  <c:v>2.4271962024595473E-2</c:v>
                </c:pt>
                <c:pt idx="4767">
                  <c:v>2.9921991839959583E-2</c:v>
                </c:pt>
                <c:pt idx="4768">
                  <c:v>2.4877379370008446E-2</c:v>
                </c:pt>
                <c:pt idx="4769">
                  <c:v>1.9648148913205654E-2</c:v>
                </c:pt>
                <c:pt idx="4770">
                  <c:v>2.606180238955913E-2</c:v>
                </c:pt>
                <c:pt idx="4771">
                  <c:v>2.6550261336678149E-2</c:v>
                </c:pt>
                <c:pt idx="4772">
                  <c:v>2.3664321963120294E-2</c:v>
                </c:pt>
                <c:pt idx="4773">
                  <c:v>2.1587374494596134E-2</c:v>
                </c:pt>
                <c:pt idx="4774">
                  <c:v>2.9127238991683457E-2</c:v>
                </c:pt>
                <c:pt idx="4775">
                  <c:v>2.3169758569816623E-2</c:v>
                </c:pt>
                <c:pt idx="4776">
                  <c:v>2.3928825174522772E-2</c:v>
                </c:pt>
                <c:pt idx="4777">
                  <c:v>2.3174149585163617E-2</c:v>
                </c:pt>
                <c:pt idx="4778">
                  <c:v>2.2058615415219474E-2</c:v>
                </c:pt>
                <c:pt idx="4779">
                  <c:v>3.2566223050644938E-2</c:v>
                </c:pt>
                <c:pt idx="4780">
                  <c:v>3.0323947645212623E-2</c:v>
                </c:pt>
                <c:pt idx="4781">
                  <c:v>2.152371523682961E-2</c:v>
                </c:pt>
                <c:pt idx="4782">
                  <c:v>2.2612514025437958E-2</c:v>
                </c:pt>
                <c:pt idx="4783">
                  <c:v>3.0867194520077135E-2</c:v>
                </c:pt>
                <c:pt idx="4784">
                  <c:v>2.3125817719703012E-2</c:v>
                </c:pt>
                <c:pt idx="4785">
                  <c:v>2.9268655638473584E-2</c:v>
                </c:pt>
                <c:pt idx="4786">
                  <c:v>2.9712936534141532E-2</c:v>
                </c:pt>
                <c:pt idx="4787">
                  <c:v>2.2313747778490267E-2</c:v>
                </c:pt>
                <c:pt idx="4788">
                  <c:v>2.658294489037627E-2</c:v>
                </c:pt>
                <c:pt idx="4789">
                  <c:v>2.5681081685216767E-2</c:v>
                </c:pt>
                <c:pt idx="4790">
                  <c:v>2.5287535365027702E-2</c:v>
                </c:pt>
                <c:pt idx="4791">
                  <c:v>2.7914079727750396E-2</c:v>
                </c:pt>
                <c:pt idx="4792">
                  <c:v>2.4367653230033093E-2</c:v>
                </c:pt>
                <c:pt idx="4793">
                  <c:v>2.9981844713910855E-2</c:v>
                </c:pt>
                <c:pt idx="4794">
                  <c:v>1.9089044431280899E-2</c:v>
                </c:pt>
                <c:pt idx="4795">
                  <c:v>2.2013845755726735E-2</c:v>
                </c:pt>
                <c:pt idx="4796">
                  <c:v>2.7088686047882282E-2</c:v>
                </c:pt>
                <c:pt idx="4797">
                  <c:v>2.8423253328139664E-2</c:v>
                </c:pt>
                <c:pt idx="4798">
                  <c:v>2.3164160618252549E-2</c:v>
                </c:pt>
                <c:pt idx="4799">
                  <c:v>2.1262634701196492E-2</c:v>
                </c:pt>
                <c:pt idx="4800">
                  <c:v>2.7351284672075149E-2</c:v>
                </c:pt>
                <c:pt idx="4801">
                  <c:v>2.6425856211689913E-2</c:v>
                </c:pt>
                <c:pt idx="4802">
                  <c:v>2.3410201193788671E-2</c:v>
                </c:pt>
                <c:pt idx="4803">
                  <c:v>2.4337828650102367E-2</c:v>
                </c:pt>
                <c:pt idx="4804">
                  <c:v>2.5001219397692731E-2</c:v>
                </c:pt>
                <c:pt idx="4805">
                  <c:v>2.4314619196882825E-2</c:v>
                </c:pt>
                <c:pt idx="4806">
                  <c:v>3.0804537089135886E-2</c:v>
                </c:pt>
                <c:pt idx="4807">
                  <c:v>2.4809966749902101E-2</c:v>
                </c:pt>
                <c:pt idx="4808">
                  <c:v>2.4076822065474457E-2</c:v>
                </c:pt>
                <c:pt idx="4809">
                  <c:v>2.7847454057963628E-2</c:v>
                </c:pt>
                <c:pt idx="4810">
                  <c:v>3.2259510558892313E-2</c:v>
                </c:pt>
                <c:pt idx="4811">
                  <c:v>2.7569080149527636E-2</c:v>
                </c:pt>
                <c:pt idx="4812">
                  <c:v>2.8112327024392147E-2</c:v>
                </c:pt>
                <c:pt idx="4813">
                  <c:v>2.4529279430774875E-2</c:v>
                </c:pt>
                <c:pt idx="4814">
                  <c:v>3.032806378606856E-2</c:v>
                </c:pt>
                <c:pt idx="4815">
                  <c:v>3.023183259876272E-2</c:v>
                </c:pt>
                <c:pt idx="4816">
                  <c:v>2.6482338036045272E-2</c:v>
                </c:pt>
                <c:pt idx="4817">
                  <c:v>3.4447921726493247E-2</c:v>
                </c:pt>
                <c:pt idx="4818">
                  <c:v>2.1152841178595838E-2</c:v>
                </c:pt>
                <c:pt idx="4819">
                  <c:v>2.708532337009828E-2</c:v>
                </c:pt>
                <c:pt idx="4820">
                  <c:v>2.7679334121783361E-2</c:v>
                </c:pt>
                <c:pt idx="4821">
                  <c:v>2.9826494581497887E-2</c:v>
                </c:pt>
                <c:pt idx="4822">
                  <c:v>2.4343965188232675E-2</c:v>
                </c:pt>
                <c:pt idx="4823">
                  <c:v>2.3440366227403753E-2</c:v>
                </c:pt>
                <c:pt idx="4824">
                  <c:v>2.0732159025401264E-2</c:v>
                </c:pt>
                <c:pt idx="4825">
                  <c:v>2.6578817587104453E-2</c:v>
                </c:pt>
                <c:pt idx="4826">
                  <c:v>2.9036851329091062E-2</c:v>
                </c:pt>
                <c:pt idx="4827">
                  <c:v>2.6851454013777865E-2</c:v>
                </c:pt>
                <c:pt idx="4828">
                  <c:v>2.4722258067121028E-2</c:v>
                </c:pt>
                <c:pt idx="4829">
                  <c:v>2.4372393070876353E-2</c:v>
                </c:pt>
                <c:pt idx="4830">
                  <c:v>2.1878282400763949E-2</c:v>
                </c:pt>
                <c:pt idx="4831">
                  <c:v>2.3393345945809108E-2</c:v>
                </c:pt>
                <c:pt idx="4832">
                  <c:v>3.0067287426268186E-2</c:v>
                </c:pt>
                <c:pt idx="4833">
                  <c:v>2.1807607564616527E-2</c:v>
                </c:pt>
                <c:pt idx="4834">
                  <c:v>2.8851633362385831E-2</c:v>
                </c:pt>
                <c:pt idx="4835">
                  <c:v>2.5409116398798171E-2</c:v>
                </c:pt>
                <c:pt idx="4836">
                  <c:v>3.1726064285170885E-2</c:v>
                </c:pt>
                <c:pt idx="4837">
                  <c:v>2.4209705045323937E-2</c:v>
                </c:pt>
                <c:pt idx="4838">
                  <c:v>1.9078585247600865E-2</c:v>
                </c:pt>
                <c:pt idx="4839">
                  <c:v>2.6137543567214316E-2</c:v>
                </c:pt>
                <c:pt idx="4840">
                  <c:v>2.4805995720452612E-2</c:v>
                </c:pt>
                <c:pt idx="4841">
                  <c:v>2.0803271986371996E-2</c:v>
                </c:pt>
                <c:pt idx="4842">
                  <c:v>2.190092675667954E-2</c:v>
                </c:pt>
                <c:pt idx="4843">
                  <c:v>2.4631739246142037E-2</c:v>
                </c:pt>
                <c:pt idx="4844">
                  <c:v>2.1432542019219625E-2</c:v>
                </c:pt>
                <c:pt idx="4845">
                  <c:v>2.5413365093342688E-2</c:v>
                </c:pt>
                <c:pt idx="4846">
                  <c:v>2.4078468521816832E-2</c:v>
                </c:pt>
                <c:pt idx="4847">
                  <c:v>2.4027325122856324E-2</c:v>
                </c:pt>
                <c:pt idx="4848">
                  <c:v>3.024971199839932E-2</c:v>
                </c:pt>
                <c:pt idx="4849">
                  <c:v>2.2407795318189483E-2</c:v>
                </c:pt>
                <c:pt idx="4850">
                  <c:v>2.848166345983838E-2</c:v>
                </c:pt>
                <c:pt idx="4851">
                  <c:v>2.5105914486839964E-2</c:v>
                </c:pt>
                <c:pt idx="4852">
                  <c:v>2.2947498126011934E-2</c:v>
                </c:pt>
                <c:pt idx="4853">
                  <c:v>2.2410934747655875E-2</c:v>
                </c:pt>
                <c:pt idx="4854">
                  <c:v>2.1815923564447504E-2</c:v>
                </c:pt>
                <c:pt idx="4855">
                  <c:v>2.8932192517795441E-2</c:v>
                </c:pt>
                <c:pt idx="4856">
                  <c:v>3.0484820382882472E-2</c:v>
                </c:pt>
                <c:pt idx="4857">
                  <c:v>2.2497256500263796E-2</c:v>
                </c:pt>
                <c:pt idx="4858">
                  <c:v>2.3648958292962763E-2</c:v>
                </c:pt>
                <c:pt idx="4859">
                  <c:v>2.3447896672217139E-2</c:v>
                </c:pt>
                <c:pt idx="4860">
                  <c:v>2.4885974430236435E-2</c:v>
                </c:pt>
                <c:pt idx="4861">
                  <c:v>2.4029383193284293E-2</c:v>
                </c:pt>
                <c:pt idx="4862">
                  <c:v>2.0316696696932812E-2</c:v>
                </c:pt>
                <c:pt idx="4863">
                  <c:v>2.4558008698647327E-2</c:v>
                </c:pt>
                <c:pt idx="4864">
                  <c:v>2.5130531799762434E-2</c:v>
                </c:pt>
                <c:pt idx="4865">
                  <c:v>2.1081772867288628E-2</c:v>
                </c:pt>
                <c:pt idx="4866">
                  <c:v>2.088061357540405E-2</c:v>
                </c:pt>
                <c:pt idx="4867">
                  <c:v>2.5850363907950591E-2</c:v>
                </c:pt>
                <c:pt idx="4868">
                  <c:v>2.4476058427158609E-2</c:v>
                </c:pt>
                <c:pt idx="4869">
                  <c:v>2.539707912857303E-2</c:v>
                </c:pt>
                <c:pt idx="4870">
                  <c:v>2.8063128676398819E-2</c:v>
                </c:pt>
                <c:pt idx="4871">
                  <c:v>2.5803954768625403E-2</c:v>
                </c:pt>
                <c:pt idx="4872">
                  <c:v>2.7536039398521339E-2</c:v>
                </c:pt>
                <c:pt idx="4873">
                  <c:v>2.8162069540159651E-2</c:v>
                </c:pt>
                <c:pt idx="4874">
                  <c:v>2.4371802858136671E-2</c:v>
                </c:pt>
                <c:pt idx="4875">
                  <c:v>2.7276393233328866E-2</c:v>
                </c:pt>
                <c:pt idx="4876">
                  <c:v>2.8422893340227517E-2</c:v>
                </c:pt>
                <c:pt idx="4877">
                  <c:v>2.3105735138231998E-2</c:v>
                </c:pt>
                <c:pt idx="4878">
                  <c:v>2.4405537074229544E-2</c:v>
                </c:pt>
                <c:pt idx="4879">
                  <c:v>2.960164445720892E-2</c:v>
                </c:pt>
                <c:pt idx="4880">
                  <c:v>2.533415659025462E-2</c:v>
                </c:pt>
                <c:pt idx="4881">
                  <c:v>2.3556135828406433E-2</c:v>
                </c:pt>
                <c:pt idx="4882">
                  <c:v>2.9782852326009079E-2</c:v>
                </c:pt>
                <c:pt idx="4883">
                  <c:v>1.9315181024000094E-2</c:v>
                </c:pt>
                <c:pt idx="4884">
                  <c:v>3.0765253757048416E-2</c:v>
                </c:pt>
                <c:pt idx="4885">
                  <c:v>2.5586942055586537E-2</c:v>
                </c:pt>
                <c:pt idx="4886">
                  <c:v>2.4849833318219328E-2</c:v>
                </c:pt>
                <c:pt idx="4887">
                  <c:v>2.3286416978183788E-2</c:v>
                </c:pt>
                <c:pt idx="4888">
                  <c:v>2.3215316574930922E-2</c:v>
                </c:pt>
                <c:pt idx="4889">
                  <c:v>2.5134318649349896E-2</c:v>
                </c:pt>
                <c:pt idx="4890">
                  <c:v>2.2500368023690487E-2</c:v>
                </c:pt>
                <c:pt idx="4891">
                  <c:v>2.6102014992768652E-2</c:v>
                </c:pt>
                <c:pt idx="4892">
                  <c:v>2.6223939270827445E-2</c:v>
                </c:pt>
                <c:pt idx="4893">
                  <c:v>2.8043170276804474E-2</c:v>
                </c:pt>
                <c:pt idx="4894">
                  <c:v>2.128035922231275E-2</c:v>
                </c:pt>
                <c:pt idx="4895">
                  <c:v>2.8201617979624283E-2</c:v>
                </c:pt>
                <c:pt idx="4896">
                  <c:v>2.2728049215707147E-2</c:v>
                </c:pt>
                <c:pt idx="4897">
                  <c:v>2.216802941568019E-2</c:v>
                </c:pt>
                <c:pt idx="4898">
                  <c:v>2.3802991260301831E-2</c:v>
                </c:pt>
                <c:pt idx="4899">
                  <c:v>1.9516581703128089E-2</c:v>
                </c:pt>
                <c:pt idx="4900">
                  <c:v>2.3510721539396595E-2</c:v>
                </c:pt>
                <c:pt idx="4901">
                  <c:v>3.4153172553960554E-2</c:v>
                </c:pt>
                <c:pt idx="4902">
                  <c:v>2.2703254699432573E-2</c:v>
                </c:pt>
                <c:pt idx="4903">
                  <c:v>2.6086665275630971E-2</c:v>
                </c:pt>
                <c:pt idx="4904">
                  <c:v>2.5232674881578987E-2</c:v>
                </c:pt>
                <c:pt idx="4905">
                  <c:v>3.268898450989477E-2</c:v>
                </c:pt>
                <c:pt idx="4906">
                  <c:v>3.503204815891614E-2</c:v>
                </c:pt>
                <c:pt idx="4907">
                  <c:v>2.2800381670612824E-2</c:v>
                </c:pt>
                <c:pt idx="4908">
                  <c:v>2.4270400681674187E-2</c:v>
                </c:pt>
                <c:pt idx="4909">
                  <c:v>2.7205860717983921E-2</c:v>
                </c:pt>
                <c:pt idx="4910">
                  <c:v>2.3189810454643967E-2</c:v>
                </c:pt>
                <c:pt idx="4911">
                  <c:v>2.3744733216519487E-2</c:v>
                </c:pt>
                <c:pt idx="4912">
                  <c:v>2.1939213843149674E-2</c:v>
                </c:pt>
                <c:pt idx="4913">
                  <c:v>2.4194811591935372E-2</c:v>
                </c:pt>
                <c:pt idx="4914">
                  <c:v>2.8484010357777256E-2</c:v>
                </c:pt>
                <c:pt idx="4915">
                  <c:v>2.8774222008254524E-2</c:v>
                </c:pt>
                <c:pt idx="4916">
                  <c:v>2.4009212707788219E-2</c:v>
                </c:pt>
                <c:pt idx="4917">
                  <c:v>2.394953982779302E-2</c:v>
                </c:pt>
                <c:pt idx="4918">
                  <c:v>2.2032570708366284E-2</c:v>
                </c:pt>
                <c:pt idx="4919">
                  <c:v>2.0816821763948945E-2</c:v>
                </c:pt>
                <c:pt idx="4920">
                  <c:v>2.455289770747604E-2</c:v>
                </c:pt>
                <c:pt idx="4921">
                  <c:v>2.639510096533515E-2</c:v>
                </c:pt>
                <c:pt idx="4922">
                  <c:v>2.3807252512564214E-2</c:v>
                </c:pt>
                <c:pt idx="4923">
                  <c:v>2.6887232347278855E-2</c:v>
                </c:pt>
                <c:pt idx="4924">
                  <c:v>2.4598204558233028E-2</c:v>
                </c:pt>
                <c:pt idx="4925">
                  <c:v>2.3894592835621231E-2</c:v>
                </c:pt>
                <c:pt idx="4926">
                  <c:v>2.3633623924146918E-2</c:v>
                </c:pt>
                <c:pt idx="4927">
                  <c:v>2.3361918163897544E-2</c:v>
                </c:pt>
                <c:pt idx="4928">
                  <c:v>2.0358799934332095E-2</c:v>
                </c:pt>
                <c:pt idx="4929">
                  <c:v>2.8746447126939856E-2</c:v>
                </c:pt>
                <c:pt idx="4930">
                  <c:v>2.0496343222811686E-2</c:v>
                </c:pt>
                <c:pt idx="4931">
                  <c:v>1.9871289792562918E-2</c:v>
                </c:pt>
                <c:pt idx="4932">
                  <c:v>2.9532370504254501E-2</c:v>
                </c:pt>
                <c:pt idx="4933">
                  <c:v>2.295923122040433E-2</c:v>
                </c:pt>
                <c:pt idx="4934">
                  <c:v>2.7373972282352277E-2</c:v>
                </c:pt>
                <c:pt idx="4935">
                  <c:v>2.2720446215190537E-2</c:v>
                </c:pt>
                <c:pt idx="4936">
                  <c:v>2.8900703342596534E-2</c:v>
                </c:pt>
                <c:pt idx="4937">
                  <c:v>3.363569969736413E-2</c:v>
                </c:pt>
                <c:pt idx="4938">
                  <c:v>2.0866664741459373E-2</c:v>
                </c:pt>
                <c:pt idx="4939">
                  <c:v>2.0885222257860714E-2</c:v>
                </c:pt>
                <c:pt idx="4940">
                  <c:v>2.9704023345060948E-2</c:v>
                </c:pt>
                <c:pt idx="4941">
                  <c:v>2.0194242204119695E-2</c:v>
                </c:pt>
                <c:pt idx="4942">
                  <c:v>2.3686250529117547E-2</c:v>
                </c:pt>
                <c:pt idx="4943">
                  <c:v>2.5247473454432567E-2</c:v>
                </c:pt>
                <c:pt idx="4944">
                  <c:v>2.5925641845346736E-2</c:v>
                </c:pt>
                <c:pt idx="4945">
                  <c:v>2.4088345864569094E-2</c:v>
                </c:pt>
                <c:pt idx="4946">
                  <c:v>2.3656271070666479E-2</c:v>
                </c:pt>
                <c:pt idx="4947">
                  <c:v>2.8802582916402919E-2</c:v>
                </c:pt>
                <c:pt idx="4948">
                  <c:v>2.708952601967729E-2</c:v>
                </c:pt>
                <c:pt idx="4949">
                  <c:v>2.5380950832927685E-2</c:v>
                </c:pt>
                <c:pt idx="4950">
                  <c:v>2.4586131010156276E-2</c:v>
                </c:pt>
                <c:pt idx="4951">
                  <c:v>2.0257357294112044E-2</c:v>
                </c:pt>
                <c:pt idx="4952">
                  <c:v>3.3353664516519332E-2</c:v>
                </c:pt>
                <c:pt idx="4953">
                  <c:v>2.3978239794323786E-2</c:v>
                </c:pt>
                <c:pt idx="4954">
                  <c:v>2.3732500604016438E-2</c:v>
                </c:pt>
                <c:pt idx="4955">
                  <c:v>2.8053799687326686E-2</c:v>
                </c:pt>
                <c:pt idx="4956">
                  <c:v>2.4365765386447302E-2</c:v>
                </c:pt>
                <c:pt idx="4957">
                  <c:v>2.4986450126180837E-2</c:v>
                </c:pt>
                <c:pt idx="4958">
                  <c:v>2.5618100544214983E-2</c:v>
                </c:pt>
                <c:pt idx="4959">
                  <c:v>2.8637448926470688E-2</c:v>
                </c:pt>
                <c:pt idx="4960">
                  <c:v>2.7266517285878589E-2</c:v>
                </c:pt>
                <c:pt idx="4961">
                  <c:v>2.7447429350657915E-2</c:v>
                </c:pt>
                <c:pt idx="4962">
                  <c:v>2.5133025204409742E-2</c:v>
                </c:pt>
                <c:pt idx="4963">
                  <c:v>2.7524503041708837E-2</c:v>
                </c:pt>
                <c:pt idx="4964">
                  <c:v>2.8831002427234687E-2</c:v>
                </c:pt>
                <c:pt idx="4965">
                  <c:v>1.8817561919349135E-2</c:v>
                </c:pt>
                <c:pt idx="4966">
                  <c:v>2.0288821353875219E-2</c:v>
                </c:pt>
                <c:pt idx="4967">
                  <c:v>2.2372312788709325E-2</c:v>
                </c:pt>
                <c:pt idx="4968">
                  <c:v>2.614579538315398E-2</c:v>
                </c:pt>
                <c:pt idx="4969">
                  <c:v>2.8771453729116159E-2</c:v>
                </c:pt>
                <c:pt idx="4970">
                  <c:v>2.6216636260237625E-2</c:v>
                </c:pt>
                <c:pt idx="4971">
                  <c:v>2.3054985214431278E-2</c:v>
                </c:pt>
                <c:pt idx="4972">
                  <c:v>2.0890150464471957E-2</c:v>
                </c:pt>
                <c:pt idx="4973">
                  <c:v>2.9394863493626522E-2</c:v>
                </c:pt>
                <c:pt idx="4974">
                  <c:v>2.4267516592471061E-2</c:v>
                </c:pt>
                <c:pt idx="4975">
                  <c:v>2.3959304151084493E-2</c:v>
                </c:pt>
                <c:pt idx="4976">
                  <c:v>2.1033421467600233E-2</c:v>
                </c:pt>
                <c:pt idx="4977">
                  <c:v>3.241947635027187E-2</c:v>
                </c:pt>
                <c:pt idx="4978">
                  <c:v>2.582772234263897E-2</c:v>
                </c:pt>
                <c:pt idx="4979">
                  <c:v>2.4747026072657885E-2</c:v>
                </c:pt>
                <c:pt idx="4980">
                  <c:v>2.1511802148481141E-2</c:v>
                </c:pt>
                <c:pt idx="4981">
                  <c:v>2.4337998876944544E-2</c:v>
                </c:pt>
                <c:pt idx="4982">
                  <c:v>2.7005389309977978E-2</c:v>
                </c:pt>
                <c:pt idx="4983">
                  <c:v>2.0912349719054313E-2</c:v>
                </c:pt>
                <c:pt idx="4984">
                  <c:v>2.2094713272875044E-2</c:v>
                </c:pt>
                <c:pt idx="4985">
                  <c:v>2.5837359693449802E-2</c:v>
                </c:pt>
                <c:pt idx="4986">
                  <c:v>2.9112859009425396E-2</c:v>
                </c:pt>
                <c:pt idx="4987">
                  <c:v>2.3608022923324978E-2</c:v>
                </c:pt>
                <c:pt idx="4988">
                  <c:v>2.7696602379150503E-2</c:v>
                </c:pt>
                <c:pt idx="4989">
                  <c:v>3.122313047525882E-2</c:v>
                </c:pt>
                <c:pt idx="4990">
                  <c:v>2.3577778357496748E-2</c:v>
                </c:pt>
                <c:pt idx="4991">
                  <c:v>2.3759791315542289E-2</c:v>
                </c:pt>
                <c:pt idx="4992">
                  <c:v>2.0734539410587782E-2</c:v>
                </c:pt>
                <c:pt idx="4993">
                  <c:v>3.35966368229903E-2</c:v>
                </c:pt>
                <c:pt idx="4994">
                  <c:v>2.1181326268620904E-2</c:v>
                </c:pt>
                <c:pt idx="4995">
                  <c:v>2.3918819463987884E-2</c:v>
                </c:pt>
                <c:pt idx="4996">
                  <c:v>2.300403436714471E-2</c:v>
                </c:pt>
                <c:pt idx="4997">
                  <c:v>2.6046959167042028E-2</c:v>
                </c:pt>
                <c:pt idx="4998">
                  <c:v>2.9183106883165388E-2</c:v>
                </c:pt>
                <c:pt idx="4999">
                  <c:v>2.4689772646304786E-2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04-44A7-93DD-77D0DB932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041400"/>
        <c:axId val="727041720"/>
      </c:scatterChart>
      <c:valAx>
        <c:axId val="72704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s-ES" sz="1200"/>
                  <a:t>Volatility (%)</a:t>
                </a:r>
              </a:p>
            </c:rich>
          </c:tx>
          <c:overlay val="0"/>
        </c:title>
        <c:numFmt formatCode="0.00%" sourceLinked="0"/>
        <c:majorTickMark val="out"/>
        <c:minorTickMark val="none"/>
        <c:tickLblPos val="nextTo"/>
        <c:crossAx val="727041720"/>
        <c:crosses val="autoZero"/>
        <c:crossBetween val="midCat"/>
      </c:valAx>
      <c:valAx>
        <c:axId val="727041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/>
                </a:pPr>
                <a:r>
                  <a:rPr lang="es-ES" sz="1200"/>
                  <a:t>Portfolio Return (%)</a:t>
                </a:r>
              </a:p>
            </c:rich>
          </c:tx>
          <c:overlay val="0"/>
        </c:title>
        <c:numFmt formatCode="0.00%" sourceLinked="0"/>
        <c:majorTickMark val="out"/>
        <c:minorTickMark val="none"/>
        <c:tickLblPos val="nextTo"/>
        <c:crossAx val="72704140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Portfolio Optimization - Backtest Performance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Values</c:v>
          </c:tx>
          <c:marker>
            <c:symbol val="none"/>
          </c:marker>
          <c:val>
            <c:numRef>
              <c:f>'Assets Returns'!$K$1:$K$128</c:f>
              <c:numCache>
                <c:formatCode>General</c:formatCode>
                <c:ptCount val="128"/>
                <c:pt idx="1">
                  <c:v>0.14006618697218642</c:v>
                </c:pt>
                <c:pt idx="2">
                  <c:v>0.22882364161645052</c:v>
                </c:pt>
                <c:pt idx="3">
                  <c:v>0.33391866116751834</c:v>
                </c:pt>
                <c:pt idx="4">
                  <c:v>0.41473403987638846</c:v>
                </c:pt>
                <c:pt idx="5">
                  <c:v>0.52553593468783566</c:v>
                </c:pt>
                <c:pt idx="6">
                  <c:v>0.48081140813201828</c:v>
                </c:pt>
                <c:pt idx="7">
                  <c:v>0.43676198250516174</c:v>
                </c:pt>
                <c:pt idx="8">
                  <c:v>0.48912154626527482</c:v>
                </c:pt>
                <c:pt idx="9">
                  <c:v>0.55200615336116454</c:v>
                </c:pt>
                <c:pt idx="10">
                  <c:v>0.61478511289374904</c:v>
                </c:pt>
                <c:pt idx="11">
                  <c:v>0.68310242207721639</c:v>
                </c:pt>
                <c:pt idx="12">
                  <c:v>0.72088347997133495</c:v>
                </c:pt>
                <c:pt idx="13">
                  <c:v>0.72260078607467304</c:v>
                </c:pt>
                <c:pt idx="14">
                  <c:v>0.75982186786556483</c:v>
                </c:pt>
                <c:pt idx="15">
                  <c:v>0.88016839707392869</c:v>
                </c:pt>
                <c:pt idx="16">
                  <c:v>0.78097496825847279</c:v>
                </c:pt>
                <c:pt idx="17">
                  <c:v>0.84610578605159958</c:v>
                </c:pt>
                <c:pt idx="18">
                  <c:v>0.924805048510566</c:v>
                </c:pt>
                <c:pt idx="19">
                  <c:v>0.98300971153537731</c:v>
                </c:pt>
                <c:pt idx="20">
                  <c:v>1.0165057971156921</c:v>
                </c:pt>
                <c:pt idx="21">
                  <c:v>0.92783824918078195</c:v>
                </c:pt>
                <c:pt idx="22">
                  <c:v>0.85303442578165112</c:v>
                </c:pt>
                <c:pt idx="23">
                  <c:v>0.7746141234454591</c:v>
                </c:pt>
                <c:pt idx="24">
                  <c:v>0.78710057679898482</c:v>
                </c:pt>
                <c:pt idx="25">
                  <c:v>0.89145496598935714</c:v>
                </c:pt>
                <c:pt idx="26">
                  <c:v>0.93448012412672665</c:v>
                </c:pt>
                <c:pt idx="27">
                  <c:v>0.9264767097904909</c:v>
                </c:pt>
                <c:pt idx="28">
                  <c:v>1.0076486398532223</c:v>
                </c:pt>
                <c:pt idx="29">
                  <c:v>1.0242598968681902</c:v>
                </c:pt>
                <c:pt idx="30">
                  <c:v>0.98355737214123229</c:v>
                </c:pt>
                <c:pt idx="31">
                  <c:v>0.99046620154864917</c:v>
                </c:pt>
                <c:pt idx="32">
                  <c:v>1.0696664829701394</c:v>
                </c:pt>
                <c:pt idx="33">
                  <c:v>1.0652037423221477</c:v>
                </c:pt>
                <c:pt idx="34">
                  <c:v>1.0660329095332399</c:v>
                </c:pt>
                <c:pt idx="35">
                  <c:v>1.171919613421134</c:v>
                </c:pt>
                <c:pt idx="36">
                  <c:v>1.1789071121339423</c:v>
                </c:pt>
                <c:pt idx="37">
                  <c:v>1.2286524334823181</c:v>
                </c:pt>
                <c:pt idx="38">
                  <c:v>1.2671423099563601</c:v>
                </c:pt>
                <c:pt idx="39">
                  <c:v>1.2440883530108815</c:v>
                </c:pt>
                <c:pt idx="40">
                  <c:v>1.3293437904472281</c:v>
                </c:pt>
                <c:pt idx="41">
                  <c:v>1.3434061132680459</c:v>
                </c:pt>
                <c:pt idx="42">
                  <c:v>1.3893628359120989</c:v>
                </c:pt>
                <c:pt idx="43">
                  <c:v>1.4244640115398377</c:v>
                </c:pt>
                <c:pt idx="44">
                  <c:v>1.4462837672760662</c:v>
                </c:pt>
                <c:pt idx="45">
                  <c:v>1.5139903758803073</c:v>
                </c:pt>
                <c:pt idx="46">
                  <c:v>1.5602848371289666</c:v>
                </c:pt>
                <c:pt idx="47">
                  <c:v>1.5752445220670503</c:v>
                </c:pt>
                <c:pt idx="48">
                  <c:v>1.612674223284271</c:v>
                </c:pt>
                <c:pt idx="49">
                  <c:v>1.6438691005970416</c:v>
                </c:pt>
                <c:pt idx="50">
                  <c:v>1.7425255671605497</c:v>
                </c:pt>
                <c:pt idx="51">
                  <c:v>1.7128738103425727</c:v>
                </c:pt>
                <c:pt idx="52">
                  <c:v>1.8049419722492648</c:v>
                </c:pt>
                <c:pt idx="53">
                  <c:v>1.7267444209949965</c:v>
                </c:pt>
                <c:pt idx="54">
                  <c:v>1.8213503797783159</c:v>
                </c:pt>
                <c:pt idx="55">
                  <c:v>1.8092512174933022</c:v>
                </c:pt>
                <c:pt idx="56">
                  <c:v>1.7512757126447871</c:v>
                </c:pt>
                <c:pt idx="57">
                  <c:v>1.7086426928274667</c:v>
                </c:pt>
                <c:pt idx="58">
                  <c:v>1.7335384767599571</c:v>
                </c:pt>
                <c:pt idx="59">
                  <c:v>1.8710489311671064</c:v>
                </c:pt>
                <c:pt idx="60">
                  <c:v>1.8797503241865048</c:v>
                </c:pt>
                <c:pt idx="61">
                  <c:v>1.8363177843979213</c:v>
                </c:pt>
                <c:pt idx="62">
                  <c:v>1.8534855678459818</c:v>
                </c:pt>
                <c:pt idx="63">
                  <c:v>1.8024364313758661</c:v>
                </c:pt>
                <c:pt idx="64">
                  <c:v>1.8118783497679487</c:v>
                </c:pt>
                <c:pt idx="65">
                  <c:v>1.8850233318235448</c:v>
                </c:pt>
                <c:pt idx="66">
                  <c:v>1.8455321771140958</c:v>
                </c:pt>
                <c:pt idx="67">
                  <c:v>1.9418711040556551</c:v>
                </c:pt>
                <c:pt idx="68">
                  <c:v>1.9281149039580525</c:v>
                </c:pt>
                <c:pt idx="69">
                  <c:v>1.8924694876205175</c:v>
                </c:pt>
                <c:pt idx="70">
                  <c:v>1.9557695218039004</c:v>
                </c:pt>
                <c:pt idx="71">
                  <c:v>1.9906960457829803</c:v>
                </c:pt>
                <c:pt idx="72">
                  <c:v>1.9837630191653368</c:v>
                </c:pt>
                <c:pt idx="73">
                  <c:v>2.0497094118189754</c:v>
                </c:pt>
                <c:pt idx="74">
                  <c:v>2.0559350155704217</c:v>
                </c:pt>
                <c:pt idx="75">
                  <c:v>2.0707152124351853</c:v>
                </c:pt>
                <c:pt idx="76">
                  <c:v>2.1196667610237698</c:v>
                </c:pt>
                <c:pt idx="77">
                  <c:v>2.1602992168833399</c:v>
                </c:pt>
                <c:pt idx="78">
                  <c:v>2.1843533694147945</c:v>
                </c:pt>
                <c:pt idx="79">
                  <c:v>2.2480468660830653</c:v>
                </c:pt>
                <c:pt idx="80">
                  <c:v>2.196549486891429</c:v>
                </c:pt>
                <c:pt idx="81">
                  <c:v>2.197028804476723</c:v>
                </c:pt>
                <c:pt idx="82">
                  <c:v>2.2578060294646303</c:v>
                </c:pt>
                <c:pt idx="83">
                  <c:v>2.3021161907325678</c:v>
                </c:pt>
                <c:pt idx="84">
                  <c:v>2.3085267200707658</c:v>
                </c:pt>
                <c:pt idx="85">
                  <c:v>2.3579214877749988</c:v>
                </c:pt>
                <c:pt idx="86">
                  <c:v>2.3900175232130008</c:v>
                </c:pt>
                <c:pt idx="87">
                  <c:v>2.3358016910171422</c:v>
                </c:pt>
                <c:pt idx="88">
                  <c:v>2.3840086191408041</c:v>
                </c:pt>
                <c:pt idx="89">
                  <c:v>2.4513195060263122</c:v>
                </c:pt>
                <c:pt idx="90">
                  <c:v>2.4674288363721555</c:v>
                </c:pt>
                <c:pt idx="91">
                  <c:v>2.4700673330005611</c:v>
                </c:pt>
                <c:pt idx="92">
                  <c:v>2.4318519675984689</c:v>
                </c:pt>
                <c:pt idx="93">
                  <c:v>2.4099642654198012</c:v>
                </c:pt>
                <c:pt idx="94">
                  <c:v>2.392698080612413</c:v>
                </c:pt>
                <c:pt idx="95">
                  <c:v>2.3188484601311909</c:v>
                </c:pt>
                <c:pt idx="96">
                  <c:v>2.3070897209829564</c:v>
                </c:pt>
                <c:pt idx="97">
                  <c:v>2.3657885333267066</c:v>
                </c:pt>
                <c:pt idx="98">
                  <c:v>2.3669499853492821</c:v>
                </c:pt>
                <c:pt idx="99">
                  <c:v>2.4084108500838348</c:v>
                </c:pt>
                <c:pt idx="100">
                  <c:v>2.3737487946797335</c:v>
                </c:pt>
                <c:pt idx="101">
                  <c:v>2.3356315086682953</c:v>
                </c:pt>
                <c:pt idx="102">
                  <c:v>2.3819203943730063</c:v>
                </c:pt>
                <c:pt idx="103">
                  <c:v>2.4764253193414754</c:v>
                </c:pt>
                <c:pt idx="104">
                  <c:v>2.5748153198834807</c:v>
                </c:pt>
                <c:pt idx="105">
                  <c:v>2.5864854347704473</c:v>
                </c:pt>
                <c:pt idx="106">
                  <c:v>2.5658978098041763</c:v>
                </c:pt>
                <c:pt idx="107">
                  <c:v>2.6481350924021627</c:v>
                </c:pt>
                <c:pt idx="108">
                  <c:v>2.6091292859776667</c:v>
                </c:pt>
                <c:pt idx="109">
                  <c:v>2.580168246778626</c:v>
                </c:pt>
                <c:pt idx="110">
                  <c:v>2.6264837665637524</c:v>
                </c:pt>
                <c:pt idx="111">
                  <c:v>2.6050103638252615</c:v>
                </c:pt>
                <c:pt idx="112">
                  <c:v>2.5912782183386529</c:v>
                </c:pt>
                <c:pt idx="113">
                  <c:v>2.6244765866985484</c:v>
                </c:pt>
                <c:pt idx="114">
                  <c:v>2.5787343517119368</c:v>
                </c:pt>
                <c:pt idx="115">
                  <c:v>2.5776726952207332</c:v>
                </c:pt>
                <c:pt idx="116">
                  <c:v>2.6623463605838422</c:v>
                </c:pt>
                <c:pt idx="117">
                  <c:v>2.7383520607406338</c:v>
                </c:pt>
                <c:pt idx="118">
                  <c:v>2.7456501422393207</c:v>
                </c:pt>
                <c:pt idx="119">
                  <c:v>2.8072528572256128</c:v>
                </c:pt>
                <c:pt idx="120">
                  <c:v>2.9287715770164215</c:v>
                </c:pt>
                <c:pt idx="121">
                  <c:v>2.8738208134063439</c:v>
                </c:pt>
                <c:pt idx="122">
                  <c:v>2.9158868324268115</c:v>
                </c:pt>
                <c:pt idx="123">
                  <c:v>2.849722680428902</c:v>
                </c:pt>
                <c:pt idx="124">
                  <c:v>2.7685684545781659</c:v>
                </c:pt>
                <c:pt idx="125">
                  <c:v>2.8026855644510404</c:v>
                </c:pt>
                <c:pt idx="126">
                  <c:v>2.8703985310785534</c:v>
                </c:pt>
                <c:pt idx="127">
                  <c:v>2.9335715597880991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46-4C11-AD30-16A83B2EE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5402632"/>
        <c:axId val="725401672"/>
      </c:lineChart>
      <c:catAx>
        <c:axId val="725402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s-ES" sz="1200"/>
                  <a:t>Days</a:t>
                </a:r>
              </a:p>
            </c:rich>
          </c:tx>
          <c:overlay val="0"/>
        </c:title>
        <c:majorTickMark val="out"/>
        <c:minorTickMark val="none"/>
        <c:tickLblPos val="nextTo"/>
        <c:crossAx val="725401672"/>
        <c:crosses val="autoZero"/>
        <c:auto val="1"/>
        <c:lblAlgn val="ctr"/>
        <c:lblOffset val="100"/>
        <c:noMultiLvlLbl val="0"/>
      </c:catAx>
      <c:valAx>
        <c:axId val="7254016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/>
                </a:pPr>
                <a:r>
                  <a:rPr lang="es-ES" sz="1200"/>
                  <a:t>Portfolio Cumulative Return (%)</a:t>
                </a:r>
              </a:p>
            </c:rich>
          </c:tx>
          <c:overlay val="0"/>
        </c:title>
        <c:numFmt formatCode="0.00%" sourceLinked="0"/>
        <c:majorTickMark val="out"/>
        <c:minorTickMark val="none"/>
        <c:tickLblPos val="nextTo"/>
        <c:crossAx val="72540263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EF9DBD2-5FEF-4423-BEFB-6B6009606DA1}">
  <sheetPr codeName="Graphique33"/>
  <sheetViews>
    <sheetView zoomScale="8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B0DDDA7-7084-4AF4-A932-DDDA7D2EE55D}">
  <sheetPr codeName="Graphique34"/>
  <sheetViews>
    <sheetView zoomScale="8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784860</xdr:colOff>
          <xdr:row>0</xdr:row>
          <xdr:rowOff>167640</xdr:rowOff>
        </xdr:from>
        <xdr:to>
          <xdr:col>10</xdr:col>
          <xdr:colOff>556260</xdr:colOff>
          <xdr:row>2</xdr:row>
          <xdr:rowOff>175260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Portfolio Optimization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228600</xdr:colOff>
          <xdr:row>0</xdr:row>
          <xdr:rowOff>99060</xdr:rowOff>
        </xdr:from>
        <xdr:to>
          <xdr:col>13</xdr:col>
          <xdr:colOff>495300</xdr:colOff>
          <xdr:row>3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Key Data Processed here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320040</xdr:colOff>
          <xdr:row>0</xdr:row>
          <xdr:rowOff>114300</xdr:rowOff>
        </xdr:from>
        <xdr:to>
          <xdr:col>16</xdr:col>
          <xdr:colOff>137160</xdr:colOff>
          <xdr:row>2</xdr:row>
          <xdr:rowOff>167640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"Output Sheet"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670560</xdr:colOff>
          <xdr:row>0</xdr:row>
          <xdr:rowOff>114300</xdr:rowOff>
        </xdr:from>
        <xdr:to>
          <xdr:col>18</xdr:col>
          <xdr:colOff>358140</xdr:colOff>
          <xdr:row>2</xdr:row>
          <xdr:rowOff>129540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"Tickers"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213360</xdr:colOff>
          <xdr:row>2</xdr:row>
          <xdr:rowOff>15240</xdr:rowOff>
        </xdr:from>
        <xdr:to>
          <xdr:col>5</xdr:col>
          <xdr:colOff>518160</xdr:colOff>
          <xdr:row>3</xdr:row>
          <xdr:rowOff>213360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131445</xdr:colOff>
      <xdr:row>0</xdr:row>
      <xdr:rowOff>36195</xdr:rowOff>
    </xdr:from>
    <xdr:to>
      <xdr:col>13</xdr:col>
      <xdr:colOff>626745</xdr:colOff>
      <xdr:row>3</xdr:row>
      <xdr:rowOff>43815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704195" y="36195"/>
          <a:ext cx="2076450" cy="89344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11</xdr:col>
      <xdr:colOff>28575</xdr:colOff>
      <xdr:row>3</xdr:row>
      <xdr:rowOff>87629</xdr:rowOff>
    </xdr:from>
    <xdr:to>
      <xdr:col>13</xdr:col>
      <xdr:colOff>750570</xdr:colOff>
      <xdr:row>4</xdr:row>
      <xdr:rowOff>123825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0601325" y="973454"/>
          <a:ext cx="2303145" cy="2647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1">
              <a:solidFill>
                <a:srgbClr val="FF0000"/>
              </a:solidFill>
            </a:rPr>
            <a:t>Press this button before optimizing</a:t>
          </a:r>
        </a:p>
      </xdr:txBody>
    </xdr:sp>
    <xdr:clientData/>
  </xdr:twoCellAnchor>
  <xdr:twoCellAnchor>
    <xdr:from>
      <xdr:col>16</xdr:col>
      <xdr:colOff>611505</xdr:colOff>
      <xdr:row>0</xdr:row>
      <xdr:rowOff>74295</xdr:rowOff>
    </xdr:from>
    <xdr:to>
      <xdr:col>18</xdr:col>
      <xdr:colOff>409575</xdr:colOff>
      <xdr:row>2</xdr:row>
      <xdr:rowOff>171450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5137130" y="74295"/>
          <a:ext cx="1379220" cy="763905"/>
        </a:xfrm>
        <a:prstGeom prst="rect">
          <a:avLst/>
        </a:prstGeom>
        <a:noFill/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16</xdr:col>
      <xdr:colOff>495300</xdr:colOff>
      <xdr:row>2</xdr:row>
      <xdr:rowOff>205740</xdr:rowOff>
    </xdr:from>
    <xdr:to>
      <xdr:col>18</xdr:col>
      <xdr:colOff>666749</xdr:colOff>
      <xdr:row>3</xdr:row>
      <xdr:rowOff>211455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5020925" y="872490"/>
          <a:ext cx="1752599" cy="2247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1">
              <a:solidFill>
                <a:srgbClr val="00B050"/>
              </a:solidFill>
            </a:rPr>
            <a:t>Select your stocks here</a:t>
          </a:r>
        </a:p>
      </xdr:txBody>
    </xdr:sp>
    <xdr:clientData/>
  </xdr:twoCellAnchor>
  <xdr:twoCellAnchor>
    <xdr:from>
      <xdr:col>16</xdr:col>
      <xdr:colOff>495300</xdr:colOff>
      <xdr:row>2</xdr:row>
      <xdr:rowOff>209550</xdr:rowOff>
    </xdr:from>
    <xdr:to>
      <xdr:col>18</xdr:col>
      <xdr:colOff>666749</xdr:colOff>
      <xdr:row>3</xdr:row>
      <xdr:rowOff>207645</xdr:rowOff>
    </xdr:to>
    <xdr:sp macro="" textlink="">
      <xdr:nvSpPr>
        <xdr:cNvPr id="13" name="ZoneText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15020925" y="876300"/>
          <a:ext cx="1752599" cy="21717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1">
              <a:solidFill>
                <a:srgbClr val="00B050"/>
              </a:solidFill>
            </a:rPr>
            <a:t>Select your stocks here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0892" cy="6059277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B845F87B-82E1-463F-B0B8-9428FE1A40E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0892" cy="6059277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B80E83D7-4740-4299-9C89-014ED6D1B9A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12</xdr:row>
          <xdr:rowOff>175260</xdr:rowOff>
        </xdr:from>
        <xdr:to>
          <xdr:col>8</xdr:col>
          <xdr:colOff>22860</xdr:colOff>
          <xdr:row>15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3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"Input Sheet"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274320</xdr:colOff>
      <xdr:row>5</xdr:row>
      <xdr:rowOff>85725</xdr:rowOff>
    </xdr:from>
    <xdr:to>
      <xdr:col>3</xdr:col>
      <xdr:colOff>685800</xdr:colOff>
      <xdr:row>6</xdr:row>
      <xdr:rowOff>171450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855470" y="1019175"/>
          <a:ext cx="1202055" cy="2667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381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1"/>
            <a:t>Optimal Weights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472440</xdr:colOff>
          <xdr:row>18</xdr:row>
          <xdr:rowOff>99060</xdr:rowOff>
        </xdr:from>
        <xdr:to>
          <xdr:col>5</xdr:col>
          <xdr:colOff>60960</xdr:colOff>
          <xdr:row>22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3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Portfolios Simulations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R=f(SD)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441960</xdr:colOff>
          <xdr:row>23</xdr:row>
          <xdr:rowOff>152400</xdr:rowOff>
        </xdr:from>
        <xdr:to>
          <xdr:col>5</xdr:col>
          <xdr:colOff>38100</xdr:colOff>
          <xdr:row>27</xdr:row>
          <xdr:rowOff>53340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3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Performance Backtest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</xdr:row>
          <xdr:rowOff>99060</xdr:rowOff>
        </xdr:from>
        <xdr:to>
          <xdr:col>5</xdr:col>
          <xdr:colOff>594360</xdr:colOff>
          <xdr:row>4</xdr:row>
          <xdr:rowOff>38100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4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167640</xdr:colOff>
          <xdr:row>11</xdr:row>
          <xdr:rowOff>114300</xdr:rowOff>
        </xdr:from>
        <xdr:to>
          <xdr:col>5</xdr:col>
          <xdr:colOff>594360</xdr:colOff>
          <xdr:row>14</xdr:row>
          <xdr:rowOff>76200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4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5</xdr:row>
          <xdr:rowOff>53340</xdr:rowOff>
        </xdr:from>
        <xdr:to>
          <xdr:col>8</xdr:col>
          <xdr:colOff>701040</xdr:colOff>
          <xdr:row>10</xdr:row>
          <xdr:rowOff>99060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4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Data Processing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175260</xdr:colOff>
          <xdr:row>6</xdr:row>
          <xdr:rowOff>53340</xdr:rowOff>
        </xdr:from>
        <xdr:to>
          <xdr:col>5</xdr:col>
          <xdr:colOff>594360</xdr:colOff>
          <xdr:row>9</xdr:row>
          <xdr:rowOff>53340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4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533400</xdr:colOff>
          <xdr:row>6</xdr:row>
          <xdr:rowOff>99060</xdr:rowOff>
        </xdr:from>
        <xdr:to>
          <xdr:col>11</xdr:col>
          <xdr:colOff>251460</xdr:colOff>
          <xdr:row>8</xdr:row>
          <xdr:rowOff>167640</xdr:rowOff>
        </xdr:to>
        <xdr:sp macro="" textlink="">
          <xdr:nvSpPr>
            <xdr:cNvPr id="19464" name="Button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4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"Input Sheet"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62865</xdr:colOff>
      <xdr:row>1</xdr:row>
      <xdr:rowOff>140970</xdr:rowOff>
    </xdr:from>
    <xdr:to>
      <xdr:col>15</xdr:col>
      <xdr:colOff>396240</xdr:colOff>
      <xdr:row>3</xdr:row>
      <xdr:rowOff>81915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1511915" y="331470"/>
          <a:ext cx="1914525" cy="30289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285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" sz="1100" b="1"/>
            <a:t>API Extraction Information</a:t>
          </a:r>
        </a:p>
      </xdr:txBody>
    </xdr:sp>
    <xdr:clientData/>
  </xdr:twoCellAnchor>
  <xdr:twoCellAnchor>
    <xdr:from>
      <xdr:col>4</xdr:col>
      <xdr:colOff>702945</xdr:colOff>
      <xdr:row>4</xdr:row>
      <xdr:rowOff>97155</xdr:rowOff>
    </xdr:from>
    <xdr:to>
      <xdr:col>5</xdr:col>
      <xdr:colOff>76200</xdr:colOff>
      <xdr:row>5</xdr:row>
      <xdr:rowOff>171450</xdr:rowOff>
    </xdr:to>
    <xdr:sp macro="" textlink="">
      <xdr:nvSpPr>
        <xdr:cNvPr id="3" name="Flèche : b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3865245" y="840105"/>
          <a:ext cx="163830" cy="255270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697230</xdr:colOff>
      <xdr:row>11</xdr:row>
      <xdr:rowOff>9524</xdr:rowOff>
    </xdr:from>
    <xdr:to>
      <xdr:col>7</xdr:col>
      <xdr:colOff>659130</xdr:colOff>
      <xdr:row>13</xdr:row>
      <xdr:rowOff>78105</xdr:rowOff>
    </xdr:to>
    <xdr:sp macro="" textlink="">
      <xdr:nvSpPr>
        <xdr:cNvPr id="5" name="Flèche : angle droi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4650105" y="2019299"/>
          <a:ext cx="1543050" cy="430531"/>
        </a:xfrm>
        <a:prstGeom prst="bentUp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712470</xdr:colOff>
      <xdr:row>9</xdr:row>
      <xdr:rowOff>139065</xdr:rowOff>
    </xdr:from>
    <xdr:to>
      <xdr:col>5</xdr:col>
      <xdr:colOff>85725</xdr:colOff>
      <xdr:row>11</xdr:row>
      <xdr:rowOff>47625</xdr:rowOff>
    </xdr:to>
    <xdr:sp macro="" textlink="">
      <xdr:nvSpPr>
        <xdr:cNvPr id="12" name="Flèche : bas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3874770" y="1786890"/>
          <a:ext cx="163830" cy="270510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26670</xdr:colOff>
      <xdr:row>7</xdr:row>
      <xdr:rowOff>68580</xdr:rowOff>
    </xdr:from>
    <xdr:to>
      <xdr:col>9</xdr:col>
      <xdr:colOff>445770</xdr:colOff>
      <xdr:row>8</xdr:row>
      <xdr:rowOff>55245</xdr:rowOff>
    </xdr:to>
    <xdr:sp macro="" textlink="">
      <xdr:nvSpPr>
        <xdr:cNvPr id="6" name="Flèche : droit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7141845" y="1354455"/>
          <a:ext cx="419100" cy="167640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9</xdr:col>
      <xdr:colOff>215900</xdr:colOff>
      <xdr:row>15</xdr:row>
      <xdr:rowOff>177800</xdr:rowOff>
    </xdr:from>
    <xdr:ext cx="454660" cy="408940"/>
    <xdr:pic>
      <xdr:nvPicPr>
        <xdr:cNvPr id="13" name="image3.png">
          <a:extLst>
            <a:ext uri="{FF2B5EF4-FFF2-40B4-BE49-F238E27FC236}">
              <a16:creationId xmlns:a16="http://schemas.microsoft.com/office/drawing/2014/main" id="{BAF69F54-B039-4908-AA7F-BAFF5365C6FF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340600" y="2936240"/>
          <a:ext cx="454660" cy="408940"/>
        </a:xfrm>
        <a:prstGeom prst="rect">
          <a:avLst/>
        </a:prstGeom>
        <a:noFill/>
      </xdr:spPr>
    </xdr:pic>
    <xdr:clientData fLocksWithSheet="0"/>
  </xdr:oneCellAnchor>
  <xdr:twoCellAnchor>
    <xdr:from>
      <xdr:col>9</xdr:col>
      <xdr:colOff>60960</xdr:colOff>
      <xdr:row>15</xdr:row>
      <xdr:rowOff>129540</xdr:rowOff>
    </xdr:from>
    <xdr:to>
      <xdr:col>13</xdr:col>
      <xdr:colOff>106680</xdr:colOff>
      <xdr:row>17</xdr:row>
      <xdr:rowOff>78740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963E663E-3F97-438B-8E23-7D590940AD19}"/>
            </a:ext>
          </a:extLst>
        </xdr:cNvPr>
        <xdr:cNvSpPr/>
      </xdr:nvSpPr>
      <xdr:spPr>
        <a:xfrm>
          <a:off x="7185660" y="2887980"/>
          <a:ext cx="4389120" cy="558800"/>
        </a:xfrm>
        <a:prstGeom prst="rect">
          <a:avLst/>
        </a:prstGeom>
        <a:noFill/>
        <a:ln w="762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lyes/Desktop/FinalProject_PortfolioOpti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ckers"/>
      <sheetName val="Consolidate"/>
      <sheetName val="Summary"/>
      <sheetName val="Model"/>
      <sheetName val="Frontier"/>
      <sheetName val="Yahoo"/>
    </sheetNames>
    <sheetDataSet>
      <sheetData sheetId="0"/>
      <sheetData sheetId="1">
        <row r="2">
          <cell r="A2">
            <v>-0.15353818681752809</v>
          </cell>
          <cell r="C2">
            <v>-0.21088078768333127</v>
          </cell>
          <cell r="D2">
            <v>-8.4920719207288678E-2</v>
          </cell>
          <cell r="E2">
            <v>-5.7006632279971256E-2</v>
          </cell>
          <cell r="G2">
            <v>-0.12610418287180097</v>
          </cell>
          <cell r="H2">
            <v>-7.7872541065544462E-2</v>
          </cell>
          <cell r="I2">
            <v>-0.1599101385763573</v>
          </cell>
          <cell r="J2">
            <v>-0.15987728716993541</v>
          </cell>
          <cell r="K2">
            <v>-5.9855592546154152E-3</v>
          </cell>
          <cell r="O2">
            <v>-0.1886820092762537</v>
          </cell>
        </row>
        <row r="3">
          <cell r="A3">
            <v>4.6781009032644351E-2</v>
          </cell>
          <cell r="C3">
            <v>-3.5565520349060749E-2</v>
          </cell>
          <cell r="D3">
            <v>7.2292274882497842E-2</v>
          </cell>
          <cell r="E3">
            <v>-5.6144619181575945E-3</v>
          </cell>
          <cell r="G3">
            <v>0.11559133414805613</v>
          </cell>
          <cell r="H3">
            <v>3.9466479416687968E-2</v>
          </cell>
          <cell r="I3">
            <v>-0.10977399375208496</v>
          </cell>
          <cell r="J3">
            <v>1.8526612592739976E-2</v>
          </cell>
          <cell r="K3">
            <v>-1.58190628728603E-2</v>
          </cell>
          <cell r="O3">
            <v>2.1152383432360932E-2</v>
          </cell>
        </row>
        <row r="4">
          <cell r="A4">
            <v>3.6379517545589074E-2</v>
          </cell>
          <cell r="C4">
            <v>2.6489468518372264E-2</v>
          </cell>
          <cell r="D4">
            <v>-3.0498660845601666E-3</v>
          </cell>
          <cell r="E4">
            <v>-5.6288484924304098E-2</v>
          </cell>
          <cell r="G4">
            <v>-8.8623946584052461E-3</v>
          </cell>
          <cell r="H4">
            <v>-1.9645950810547243E-2</v>
          </cell>
          <cell r="I4">
            <v>2.4218442304261272E-2</v>
          </cell>
          <cell r="J4">
            <v>-6.0427654227786259E-2</v>
          </cell>
          <cell r="K4">
            <v>8.3713466203067424E-2</v>
          </cell>
          <cell r="O4">
            <v>-2.1888559871489761E-2</v>
          </cell>
        </row>
        <row r="5">
          <cell r="A5">
            <v>2.4216112762118863E-2</v>
          </cell>
          <cell r="C5">
            <v>5.47239409804854E-2</v>
          </cell>
          <cell r="D5">
            <v>1.721348837575537E-2</v>
          </cell>
          <cell r="E5">
            <v>3.0281606047223079E-2</v>
          </cell>
          <cell r="G5">
            <v>0.12925817028134368</v>
          </cell>
          <cell r="H5">
            <v>9.087611266490922E-3</v>
          </cell>
          <cell r="I5">
            <v>2.0682191051288955E-2</v>
          </cell>
          <cell r="J5">
            <v>2.6901894492029541E-2</v>
          </cell>
          <cell r="K5">
            <v>-2.1416967509025185E-2</v>
          </cell>
          <cell r="O5">
            <v>3.8779158554502959E-2</v>
          </cell>
        </row>
        <row r="6">
          <cell r="A6">
            <v>-4.6663025669033843E-3</v>
          </cell>
          <cell r="C6">
            <v>-4.6657515909838645E-2</v>
          </cell>
          <cell r="D6">
            <v>-8.0388441687484713E-2</v>
          </cell>
          <cell r="E6">
            <v>-5.4554880060323401E-3</v>
          </cell>
          <cell r="G6">
            <v>0.1163306136087742</v>
          </cell>
          <cell r="H6">
            <v>3.3494356572384199E-2</v>
          </cell>
          <cell r="I6">
            <v>-4.3053902453459296E-2</v>
          </cell>
          <cell r="J6">
            <v>3.9252144722118638E-2</v>
          </cell>
          <cell r="K6">
            <v>5.8767319636884773E-2</v>
          </cell>
          <cell r="O6">
            <v>7.7348870454200913E-2</v>
          </cell>
        </row>
        <row r="7">
          <cell r="A7">
            <v>-1.7363102741208065E-2</v>
          </cell>
          <cell r="C7">
            <v>-1.087831023580884E-3</v>
          </cell>
          <cell r="D7">
            <v>7.2973210955952494E-2</v>
          </cell>
          <cell r="E7">
            <v>5.704948739152526E-2</v>
          </cell>
          <cell r="G7">
            <v>8.4796909245802812E-2</v>
          </cell>
          <cell r="H7">
            <v>-2.2560944923636809E-2</v>
          </cell>
          <cell r="I7">
            <v>3.1105174477144913E-2</v>
          </cell>
          <cell r="J7">
            <v>3.2301288740176536E-2</v>
          </cell>
          <cell r="K7">
            <v>4.5849481622430861E-2</v>
          </cell>
          <cell r="O7">
            <v>-4.8987377232878486E-2</v>
          </cell>
        </row>
        <row r="8">
          <cell r="A8">
            <v>-3.216246695537351E-2</v>
          </cell>
          <cell r="C8">
            <v>-3.7769999890964301E-2</v>
          </cell>
          <cell r="D8">
            <v>-7.5167620200329938E-2</v>
          </cell>
          <cell r="E8">
            <v>-7.5309968178627215E-2</v>
          </cell>
          <cell r="G8">
            <v>-0.21052606158375131</v>
          </cell>
          <cell r="H8">
            <v>7.1748551894407112E-2</v>
          </cell>
          <cell r="I8">
            <v>-6.7567802517216391E-2</v>
          </cell>
          <cell r="J8">
            <v>1.8984001804823993E-2</v>
          </cell>
          <cell r="K8">
            <v>3.8161935590969497E-2</v>
          </cell>
          <cell r="O8">
            <v>-2.1240014257857612E-2</v>
          </cell>
        </row>
        <row r="9">
          <cell r="A9">
            <v>1.0655882278831821E-2</v>
          </cell>
          <cell r="C9">
            <v>-5.4485659498133915E-2</v>
          </cell>
          <cell r="D9">
            <v>7.4981461900773066E-2</v>
          </cell>
          <cell r="E9">
            <v>-7.713882428657115E-3</v>
          </cell>
          <cell r="G9">
            <v>-4.7624426776391908E-3</v>
          </cell>
          <cell r="H9">
            <v>4.3025624101924197E-2</v>
          </cell>
          <cell r="I9">
            <v>-2.9624324000993758E-2</v>
          </cell>
          <cell r="J9">
            <v>1.4769293247811205E-2</v>
          </cell>
          <cell r="K9">
            <v>3.2627444594197905E-2</v>
          </cell>
          <cell r="O9">
            <v>2.7109499051180017E-2</v>
          </cell>
        </row>
        <row r="10">
          <cell r="A10">
            <v>7.610587795077034E-2</v>
          </cell>
          <cell r="C10">
            <v>7.4579575920058441E-2</v>
          </cell>
          <cell r="D10">
            <v>8.5912664203134231E-2</v>
          </cell>
          <cell r="E10">
            <v>0.1258877438851172</v>
          </cell>
          <cell r="G10">
            <v>0.11334755116949287</v>
          </cell>
          <cell r="H10">
            <v>0.1030139280172382</v>
          </cell>
          <cell r="I10">
            <v>8.280493840282456E-2</v>
          </cell>
          <cell r="J10">
            <v>7.0728816738570621E-2</v>
          </cell>
          <cell r="K10">
            <v>8.8308956588250734E-2</v>
          </cell>
          <cell r="O10">
            <v>8.5495337623325215E-2</v>
          </cell>
        </row>
        <row r="11">
          <cell r="A11">
            <v>-2.149705539778872E-2</v>
          </cell>
          <cell r="C11">
            <v>-8.899519599531712E-2</v>
          </cell>
          <cell r="D11">
            <v>-8.3838097498749112E-2</v>
          </cell>
          <cell r="E11">
            <v>-8.5486980225605746E-2</v>
          </cell>
          <cell r="G11">
            <v>-7.1779497675158066E-2</v>
          </cell>
          <cell r="H11">
            <v>-2.1628492200506347E-2</v>
          </cell>
          <cell r="I11">
            <v>-0.10844297563734685</v>
          </cell>
          <cell r="J11">
            <v>-0.12225695945098966</v>
          </cell>
          <cell r="K11">
            <v>-0.10039250732673363</v>
          </cell>
          <cell r="O11">
            <v>-5.7597341413484084E-2</v>
          </cell>
        </row>
        <row r="12">
          <cell r="A12">
            <v>7.6351849824608103E-2</v>
          </cell>
          <cell r="C12">
            <v>0.20900494173631887</v>
          </cell>
          <cell r="D12">
            <v>-5.8823329689059525E-3</v>
          </cell>
          <cell r="E12">
            <v>3.4743920398320069E-2</v>
          </cell>
          <cell r="G12">
            <v>1.8018519174071181E-2</v>
          </cell>
          <cell r="H12">
            <v>1.4000502015213929E-2</v>
          </cell>
          <cell r="I12">
            <v>-6.4361613703801225E-3</v>
          </cell>
          <cell r="J12">
            <v>4.4693065010759876E-2</v>
          </cell>
          <cell r="K12">
            <v>5.8860769335000951E-2</v>
          </cell>
          <cell r="O12">
            <v>4.8341779516857544E-2</v>
          </cell>
        </row>
        <row r="13">
          <cell r="A13">
            <v>1.4478827864863037E-2</v>
          </cell>
          <cell r="C13">
            <v>1.13605824436242E-3</v>
          </cell>
          <cell r="D13">
            <v>2.1501665646411251E-2</v>
          </cell>
          <cell r="E13">
            <v>3.0309841968152739E-2</v>
          </cell>
          <cell r="G13">
            <v>-3.7495573616686748E-2</v>
          </cell>
          <cell r="H13">
            <v>0.1069758535897125</v>
          </cell>
          <cell r="I13">
            <v>2.2397129028279669E-2</v>
          </cell>
          <cell r="J13">
            <v>-7.092166383984827E-2</v>
          </cell>
          <cell r="K13">
            <v>8.9230151317922474E-2</v>
          </cell>
          <cell r="O13">
            <v>3.7853002131472829E-2</v>
          </cell>
        </row>
        <row r="14">
          <cell r="A14">
            <v>4.9075497102032149E-2</v>
          </cell>
          <cell r="C14">
            <v>-3.4087312215432385E-3</v>
          </cell>
          <cell r="D14">
            <v>3.971317660337495E-2</v>
          </cell>
          <cell r="E14">
            <v>3.7825925756206129E-2</v>
          </cell>
          <cell r="G14">
            <v>6.2956519489590634E-2</v>
          </cell>
          <cell r="H14">
            <v>2.1928080134374722E-2</v>
          </cell>
          <cell r="I14">
            <v>9.041856162799651E-2</v>
          </cell>
          <cell r="J14">
            <v>-1.2684826437509133E-2</v>
          </cell>
          <cell r="K14">
            <v>-0.10795947526774041</v>
          </cell>
          <cell r="O14">
            <v>0.13350589745009869</v>
          </cell>
        </row>
        <row r="15">
          <cell r="A15">
            <v>8.1920835836077219E-2</v>
          </cell>
          <cell r="C15">
            <v>0.17013062864143366</v>
          </cell>
          <cell r="D15">
            <v>0.18254582515122245</v>
          </cell>
          <cell r="E15">
            <v>0.11688208964946076</v>
          </cell>
          <cell r="G15">
            <v>0.34214025804480369</v>
          </cell>
          <cell r="H15">
            <v>5.3605844998010743E-2</v>
          </cell>
          <cell r="I15">
            <v>7.4644990385615242E-2</v>
          </cell>
          <cell r="J15">
            <v>0.22117153016184407</v>
          </cell>
          <cell r="K15">
            <v>1.4386394337396082E-2</v>
          </cell>
          <cell r="O15">
            <v>0.19366407129011254</v>
          </cell>
        </row>
        <row r="16">
          <cell r="A16">
            <v>-0.1509755110207387</v>
          </cell>
          <cell r="C16">
            <v>-0.18703169695074642</v>
          </cell>
          <cell r="D16">
            <v>-8.5298319348217161E-2</v>
          </cell>
          <cell r="E16">
            <v>-7.4035857921119497E-2</v>
          </cell>
          <cell r="G16">
            <v>1.0651755495628632E-2</v>
          </cell>
          <cell r="H16">
            <v>-0.11920635592468247</v>
          </cell>
          <cell r="I16">
            <v>-0.14226345610778179</v>
          </cell>
          <cell r="J16">
            <v>-0.14629582901094385</v>
          </cell>
          <cell r="K16">
            <v>-6.6359371646413159E-2</v>
          </cell>
          <cell r="O16">
            <v>-0.11266143349847479</v>
          </cell>
        </row>
        <row r="17">
          <cell r="A17">
            <v>9.2865024840961902E-2</v>
          </cell>
          <cell r="C17">
            <v>-1.4663258552616645E-2</v>
          </cell>
          <cell r="D17">
            <v>9.0282879551594378E-2</v>
          </cell>
          <cell r="E17">
            <v>-1.638769589425851E-3</v>
          </cell>
          <cell r="G17">
            <v>-0.25742602636745843</v>
          </cell>
          <cell r="H17">
            <v>1.4006606654834127E-2</v>
          </cell>
          <cell r="I17">
            <v>7.8573637836017018E-3</v>
          </cell>
          <cell r="J17">
            <v>0.11222101184140498</v>
          </cell>
          <cell r="K17">
            <v>-0.27762568809506938</v>
          </cell>
          <cell r="O17">
            <v>-3.1624709396735007E-2</v>
          </cell>
        </row>
        <row r="18">
          <cell r="A18">
            <v>-3.1816709286536494E-2</v>
          </cell>
          <cell r="C18">
            <v>5.0855587399422142E-2</v>
          </cell>
          <cell r="D18">
            <v>-0.2366245742126028</v>
          </cell>
          <cell r="E18">
            <v>-4.8933641776452409E-2</v>
          </cell>
          <cell r="G18">
            <v>-0.10540345233516327</v>
          </cell>
          <cell r="H18">
            <v>-2.6609263919372714E-2</v>
          </cell>
          <cell r="I18">
            <v>-6.2809058235389056E-2</v>
          </cell>
          <cell r="J18">
            <v>-0.21377155073780826</v>
          </cell>
          <cell r="K18">
            <v>-0.16997134501920533</v>
          </cell>
          <cell r="O18">
            <v>-9.678259421614327E-2</v>
          </cell>
        </row>
        <row r="19">
          <cell r="A19">
            <v>4.8124918992028644E-3</v>
          </cell>
          <cell r="C19">
            <v>-2.4266676027004552E-2</v>
          </cell>
          <cell r="D19">
            <v>3.2290901291652858E-2</v>
          </cell>
          <cell r="E19">
            <v>6.1341582546401929E-2</v>
          </cell>
          <cell r="G19">
            <v>-0.11925481013528849</v>
          </cell>
          <cell r="H19">
            <v>7.5064854658583305E-3</v>
          </cell>
          <cell r="I19">
            <v>6.0497029663987907E-2</v>
          </cell>
          <cell r="J19">
            <v>1.876129182659084E-2</v>
          </cell>
          <cell r="K19">
            <v>0.15381428137086442</v>
          </cell>
          <cell r="O19">
            <v>1.8068993929693192E-2</v>
          </cell>
        </row>
        <row r="20">
          <cell r="A20">
            <v>6.4911241855407739E-2</v>
          </cell>
          <cell r="C20">
            <v>-5.5769761917914294E-2</v>
          </cell>
          <cell r="D20">
            <v>2.165563769861345E-2</v>
          </cell>
          <cell r="E20">
            <v>1.8875686770651795E-2</v>
          </cell>
          <cell r="G20">
            <v>-5.0623486358342643E-2</v>
          </cell>
          <cell r="H20">
            <v>6.8564354041532521E-2</v>
          </cell>
          <cell r="I20">
            <v>-6.2855509073945354E-3</v>
          </cell>
          <cell r="J20">
            <v>5.6752414687493841E-2</v>
          </cell>
          <cell r="K20">
            <v>-1.7979647045099873E-2</v>
          </cell>
          <cell r="O20">
            <v>2.4522565799418561E-3</v>
          </cell>
        </row>
        <row r="21">
          <cell r="A21">
            <v>1.9117527048444528E-2</v>
          </cell>
          <cell r="C21">
            <v>-8.0169505304662395E-2</v>
          </cell>
          <cell r="D21">
            <v>3.7437129704616219E-2</v>
          </cell>
          <cell r="E21">
            <v>8.6404682836807106E-2</v>
          </cell>
          <cell r="G21">
            <v>1.4698720157255945E-3</v>
          </cell>
          <cell r="H21">
            <v>4.6559121444648126E-2</v>
          </cell>
          <cell r="I21">
            <v>-1.4746043653982521E-2</v>
          </cell>
          <cell r="J21">
            <v>0.14308328539418055</v>
          </cell>
          <cell r="K21">
            <v>-3.7998223195976004E-2</v>
          </cell>
          <cell r="O21">
            <v>5.7251433949532103E-2</v>
          </cell>
        </row>
        <row r="22">
          <cell r="A22">
            <v>-3.051995251262386E-3</v>
          </cell>
          <cell r="C22">
            <v>-4.1550599006525642E-2</v>
          </cell>
          <cell r="D22">
            <v>-1.1393145150670872E-2</v>
          </cell>
          <cell r="E22">
            <v>-5.6936251793067091E-2</v>
          </cell>
          <cell r="G22">
            <v>-2.4659132989301138E-2</v>
          </cell>
          <cell r="H22">
            <v>5.4176928560147851E-2</v>
          </cell>
          <cell r="I22">
            <v>1.8341088688856696E-2</v>
          </cell>
          <cell r="J22">
            <v>-7.8585224771826883E-4</v>
          </cell>
          <cell r="K22">
            <v>7.6294728487333832E-2</v>
          </cell>
          <cell r="O22">
            <v>3.0315782223164545E-2</v>
          </cell>
        </row>
        <row r="23">
          <cell r="A23">
            <v>-4.5565999835894015E-3</v>
          </cell>
          <cell r="C23">
            <v>2.7573437421808455E-2</v>
          </cell>
          <cell r="D23">
            <v>-1.4447086184162671E-2</v>
          </cell>
          <cell r="E23">
            <v>2.2992129634996E-2</v>
          </cell>
          <cell r="G23">
            <v>7.1065419243109256E-4</v>
          </cell>
          <cell r="H23">
            <v>8.4100166952093477E-3</v>
          </cell>
          <cell r="I23">
            <v>5.5427899431762052E-2</v>
          </cell>
          <cell r="J23">
            <v>-3.3125078945578548E-2</v>
          </cell>
          <cell r="K23">
            <v>6.8726853630426327E-2</v>
          </cell>
          <cell r="O23">
            <v>-9.2471825662650438E-4</v>
          </cell>
        </row>
        <row r="24">
          <cell r="A24">
            <v>6.2573245753586151E-2</v>
          </cell>
          <cell r="C24">
            <v>2.8323538795632069E-2</v>
          </cell>
          <cell r="D24">
            <v>-5.5204694042039072E-2</v>
          </cell>
          <cell r="E24">
            <v>2.3701913580963358E-3</v>
          </cell>
          <cell r="G24">
            <v>4.3768730399575205E-2</v>
          </cell>
          <cell r="H24">
            <v>4.6330053143577778E-2</v>
          </cell>
          <cell r="I24">
            <v>4.2086717402097962E-2</v>
          </cell>
          <cell r="J24">
            <v>-7.7687564971143833E-2</v>
          </cell>
          <cell r="K24">
            <v>-1.6454642046923054E-2</v>
          </cell>
          <cell r="O24">
            <v>5.5686095559823595E-2</v>
          </cell>
        </row>
        <row r="25">
          <cell r="A25">
            <v>-4.3379314453452798E-2</v>
          </cell>
          <cell r="C25">
            <v>4.4303049193366403E-2</v>
          </cell>
          <cell r="D25">
            <v>-1.5401529528988151E-2</v>
          </cell>
          <cell r="E25">
            <v>-9.709939680041961E-2</v>
          </cell>
          <cell r="G25">
            <v>-4.4649964568043626E-2</v>
          </cell>
          <cell r="H25">
            <v>-1.2938402003996367E-2</v>
          </cell>
          <cell r="I25">
            <v>-1.4919928680090988E-2</v>
          </cell>
          <cell r="J25">
            <v>-7.5561911673675836E-3</v>
          </cell>
          <cell r="K25">
            <v>-7.2779124682932211E-2</v>
          </cell>
          <cell r="O25">
            <v>-4.6166339142156385E-2</v>
          </cell>
        </row>
        <row r="26">
          <cell r="A26">
            <v>-1.9013940084943247E-2</v>
          </cell>
          <cell r="C26">
            <v>-3.2817730098338806E-2</v>
          </cell>
          <cell r="D26">
            <v>-3.8401290310597157E-2</v>
          </cell>
          <cell r="E26">
            <v>-1.7833040374712301E-2</v>
          </cell>
          <cell r="G26">
            <v>-0.12016915934325387</v>
          </cell>
          <cell r="H26">
            <v>-1.7814757305928047E-2</v>
          </cell>
          <cell r="I26">
            <v>-0.12360152993055674</v>
          </cell>
          <cell r="J26">
            <v>-4.8685272582361869E-2</v>
          </cell>
          <cell r="K26">
            <v>-1.3489058199127135E-2</v>
          </cell>
          <cell r="O26">
            <v>6.3134606507993615E-2</v>
          </cell>
        </row>
        <row r="27">
          <cell r="A27">
            <v>4.3788874232119704E-3</v>
          </cell>
          <cell r="C27">
            <v>-9.9581605623519975E-2</v>
          </cell>
          <cell r="D27">
            <v>6.7006014281337622E-2</v>
          </cell>
          <cell r="E27">
            <v>9.5385997503504336E-2</v>
          </cell>
          <cell r="G27">
            <v>-7.3353107913446347E-2</v>
          </cell>
          <cell r="H27">
            <v>4.7012698474377376E-2</v>
          </cell>
          <cell r="I27">
            <v>4.3758529052646787E-2</v>
          </cell>
          <cell r="J27">
            <v>-7.1047038776652277E-2</v>
          </cell>
          <cell r="K27">
            <v>0.17071998290841769</v>
          </cell>
          <cell r="O27">
            <v>0.1144583104561246</v>
          </cell>
        </row>
        <row r="28">
          <cell r="A28">
            <v>1.6375980449051464E-2</v>
          </cell>
          <cell r="C28">
            <v>-2.3997609576634077E-3</v>
          </cell>
          <cell r="D28">
            <v>-3.5719810547588629E-3</v>
          </cell>
          <cell r="E28">
            <v>-3.6282358059604003E-2</v>
          </cell>
          <cell r="G28">
            <v>-3.9358034464133454E-2</v>
          </cell>
          <cell r="H28">
            <v>9.1633392615351889E-3</v>
          </cell>
          <cell r="I28">
            <v>4.2028107893679733E-3</v>
          </cell>
          <cell r="J28">
            <v>8.0993454456475142E-2</v>
          </cell>
          <cell r="K28">
            <v>1.4743681338083115E-2</v>
          </cell>
          <cell r="O28">
            <v>-4.9146453773107349E-2</v>
          </cell>
        </row>
        <row r="29">
          <cell r="A29">
            <v>2.2926266897608454E-2</v>
          </cell>
          <cell r="C29">
            <v>2.0380162926968762E-2</v>
          </cell>
          <cell r="D29">
            <v>9.3896362668367504E-3</v>
          </cell>
          <cell r="E29">
            <v>-3.6149125363514563E-2</v>
          </cell>
          <cell r="G29">
            <v>-9.2757772787498333E-2</v>
          </cell>
          <cell r="H29">
            <v>0.14830722286013973</v>
          </cell>
          <cell r="I29">
            <v>8.5563474731801537E-3</v>
          </cell>
          <cell r="J29">
            <v>0.1264384537053343</v>
          </cell>
          <cell r="K29">
            <v>-4.7183039081596628E-2</v>
          </cell>
          <cell r="O29">
            <v>-5.2418596467811969E-3</v>
          </cell>
        </row>
        <row r="30">
          <cell r="A30">
            <v>5.9990755453517924E-2</v>
          </cell>
          <cell r="C30">
            <v>3.7771295792752228E-2</v>
          </cell>
          <cell r="D30">
            <v>6.1896723254731063E-2</v>
          </cell>
          <cell r="E30">
            <v>5.6888463422038738E-2</v>
          </cell>
          <cell r="G30">
            <v>-0.16625332376651333</v>
          </cell>
          <cell r="H30">
            <v>-1.9538181357797425E-2</v>
          </cell>
          <cell r="I30">
            <v>1.6711478163062406E-2</v>
          </cell>
          <cell r="J30">
            <v>-3.786931467645429E-2</v>
          </cell>
          <cell r="K30">
            <v>1.5190798462173969E-2</v>
          </cell>
          <cell r="O30">
            <v>9.1281900532177496E-2</v>
          </cell>
        </row>
        <row r="31">
          <cell r="A31">
            <v>5.0639418425185746E-2</v>
          </cell>
          <cell r="C31">
            <v>8.5220992993035954E-2</v>
          </cell>
          <cell r="D31">
            <v>1.433278433189859E-2</v>
          </cell>
          <cell r="E31">
            <v>-3.9340158254727503E-2</v>
          </cell>
          <cell r="G31">
            <v>-5.1929991921628726E-3</v>
          </cell>
          <cell r="H31">
            <v>4.8168886795868386E-2</v>
          </cell>
          <cell r="I31">
            <v>7.4021364091446898E-2</v>
          </cell>
          <cell r="J31">
            <v>7.3646767585694148E-2</v>
          </cell>
          <cell r="K31">
            <v>-1.6015194503716607E-2</v>
          </cell>
          <cell r="O31">
            <v>0.13879024487340152</v>
          </cell>
        </row>
        <row r="32">
          <cell r="A32">
            <v>1.0207546368999645E-2</v>
          </cell>
          <cell r="C32">
            <v>-1.6941106973702307E-2</v>
          </cell>
          <cell r="D32">
            <v>-9.0007633219344526E-4</v>
          </cell>
          <cell r="E32">
            <v>8.0104545766669054E-3</v>
          </cell>
          <cell r="G32">
            <v>-4.1389928817372371E-2</v>
          </cell>
          <cell r="H32">
            <v>-8.0721375571083907E-3</v>
          </cell>
          <cell r="I32">
            <v>-3.7052795293345292E-2</v>
          </cell>
          <cell r="J32">
            <v>-5.8512539465062255E-2</v>
          </cell>
          <cell r="K32">
            <v>6.1183898397868655E-2</v>
          </cell>
          <cell r="O32">
            <v>1.4176589022191503E-4</v>
          </cell>
        </row>
        <row r="33">
          <cell r="A33">
            <v>1.5565494754030219E-2</v>
          </cell>
          <cell r="C33">
            <v>1.5543985945065895E-2</v>
          </cell>
          <cell r="D33">
            <v>-5.9546145362599494E-2</v>
          </cell>
          <cell r="E33">
            <v>-4.3756166616623469E-4</v>
          </cell>
          <cell r="G33">
            <v>-5.1832855020251936E-2</v>
          </cell>
          <cell r="H33">
            <v>-8.8789245468711107E-3</v>
          </cell>
          <cell r="I33">
            <v>-8.5473191278258188E-3</v>
          </cell>
          <cell r="J33">
            <v>-0.10669433801617705</v>
          </cell>
          <cell r="K33">
            <v>7.3129657387199176E-2</v>
          </cell>
          <cell r="O33">
            <v>-1.9445027757484974E-2</v>
          </cell>
        </row>
        <row r="34">
          <cell r="A34">
            <v>9.487938637584474E-2</v>
          </cell>
          <cell r="C34">
            <v>6.2955456858262791E-3</v>
          </cell>
          <cell r="D34">
            <v>7.8620614867429151E-3</v>
          </cell>
          <cell r="E34">
            <v>0.10465061177295694</v>
          </cell>
          <cell r="G34">
            <v>-5.3325883096058905E-3</v>
          </cell>
          <cell r="H34">
            <v>-0.1136171979243885</v>
          </cell>
          <cell r="I34">
            <v>2.8567173259984322E-3</v>
          </cell>
          <cell r="J34">
            <v>3.6235430351739435E-2</v>
          </cell>
          <cell r="K34">
            <v>-1.7241168165683197E-2</v>
          </cell>
          <cell r="O34">
            <v>-1.464307415670095E-2</v>
          </cell>
        </row>
        <row r="35">
          <cell r="A35">
            <v>-2.9148154287123425E-2</v>
          </cell>
          <cell r="C35">
            <v>-3.0517118849546401E-2</v>
          </cell>
          <cell r="D35">
            <v>-3.8455209448351853E-2</v>
          </cell>
          <cell r="E35">
            <v>9.5633578437235162E-3</v>
          </cell>
          <cell r="G35">
            <v>-5.5536089447430846E-2</v>
          </cell>
          <cell r="H35">
            <v>6.0690025645267556E-2</v>
          </cell>
          <cell r="I35">
            <v>-4.815530796375876E-3</v>
          </cell>
          <cell r="J35">
            <v>6.8836081938770652E-2</v>
          </cell>
          <cell r="K35">
            <v>0.12114775063158069</v>
          </cell>
          <cell r="O35">
            <v>-1.562632233485424E-2</v>
          </cell>
        </row>
        <row r="36">
          <cell r="A36">
            <v>5.8924475820224401E-3</v>
          </cell>
          <cell r="C36">
            <v>-1.3359495679038497E-3</v>
          </cell>
          <cell r="D36">
            <v>-7.9533542387445907E-2</v>
          </cell>
          <cell r="E36">
            <v>1.2198074650860941E-2</v>
          </cell>
          <cell r="G36">
            <v>-2.7181378772194655E-2</v>
          </cell>
          <cell r="H36">
            <v>5.862019597332422E-2</v>
          </cell>
          <cell r="I36">
            <v>-4.3909292851591975E-3</v>
          </cell>
          <cell r="J36">
            <v>4.5760269962094327E-2</v>
          </cell>
          <cell r="K36">
            <v>4.793304173381116E-2</v>
          </cell>
          <cell r="O36">
            <v>6.073105492345289E-2</v>
          </cell>
        </row>
        <row r="37">
          <cell r="A37">
            <v>-1.1866061777457998E-2</v>
          </cell>
          <cell r="C37">
            <v>-7.1031045783319396E-2</v>
          </cell>
          <cell r="D37">
            <v>-3.1587523581720352E-2</v>
          </cell>
          <cell r="E37">
            <v>4.7429206165644749E-2</v>
          </cell>
          <cell r="G37">
            <v>-3.3563786069439359E-4</v>
          </cell>
          <cell r="H37">
            <v>-5.3561367397691677E-2</v>
          </cell>
          <cell r="I37">
            <v>8.4859135418398502E-3</v>
          </cell>
          <cell r="J37">
            <v>-6.8260292164674691E-2</v>
          </cell>
          <cell r="K37">
            <v>0.11147105791615169</v>
          </cell>
          <cell r="O37">
            <v>2.8995400189753863E-2</v>
          </cell>
        </row>
        <row r="38">
          <cell r="A38">
            <v>4.8180033863753038E-2</v>
          </cell>
          <cell r="C38">
            <v>1.375087233017828E-2</v>
          </cell>
          <cell r="D38">
            <v>3.8557344311722849E-2</v>
          </cell>
          <cell r="E38">
            <v>6.1827797734775973E-2</v>
          </cell>
          <cell r="G38">
            <v>1.1728009511840824E-2</v>
          </cell>
          <cell r="H38">
            <v>8.3582992619828031E-2</v>
          </cell>
          <cell r="I38">
            <v>-2.1712867882797873E-2</v>
          </cell>
          <cell r="J38">
            <v>0.10495068352984568</v>
          </cell>
          <cell r="K38">
            <v>0.12235641025641031</v>
          </cell>
          <cell r="O38">
            <v>0.10452603164227522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drawing" Target="../drawings/drawing5.xml"/><Relationship Id="rId7" Type="http://schemas.openxmlformats.org/officeDocument/2006/relationships/ctrlProp" Target="../ctrlProps/ctrlProp11.xml"/><Relationship Id="rId2" Type="http://schemas.openxmlformats.org/officeDocument/2006/relationships/hyperlink" Target="https://github.com/jardieljr/vba_project" TargetMode="External"/><Relationship Id="rId1" Type="http://schemas.openxmlformats.org/officeDocument/2006/relationships/hyperlink" Target="https://www.alphavantage.co/" TargetMode="Externa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6FB1A-0341-4C0C-B096-B1764D50F81C}">
  <sheetPr codeName="Feuil13">
    <tabColor indexed="13"/>
  </sheetPr>
  <dimension ref="A1:XFD16389"/>
  <sheetViews>
    <sheetView showGridLines="0" workbookViewId="0"/>
  </sheetViews>
  <sheetFormatPr baseColWidth="10" defaultRowHeight="14.4" x14ac:dyDescent="0.3"/>
  <cols>
    <col min="3" max="4" width="21.44140625" customWidth="1"/>
    <col min="9" max="9" width="19" customWidth="1"/>
  </cols>
  <sheetData>
    <row r="1" spans="1:10" s="16300" customFormat="1" ht="33" thickBot="1" x14ac:dyDescent="0.65">
      <c r="C1" s="16334" t="s">
        <v>39</v>
      </c>
      <c r="D1" s="16335"/>
    </row>
    <row r="2" spans="1:10" ht="19.8" customHeight="1" thickBot="1" x14ac:dyDescent="0.35">
      <c r="B2" s="16300"/>
      <c r="C2" s="16300"/>
    </row>
    <row r="3" spans="1:10" ht="17.399999999999999" x14ac:dyDescent="0.35">
      <c r="B3" s="16300"/>
      <c r="C3" s="16314" t="s">
        <v>23</v>
      </c>
      <c r="D3" s="16320">
        <v>3.0000000000000001E-3</v>
      </c>
      <c r="E3" s="16312"/>
    </row>
    <row r="4" spans="1:10" ht="18" thickBot="1" x14ac:dyDescent="0.4">
      <c r="B4" s="16300"/>
      <c r="C4" s="16315" t="s">
        <v>24</v>
      </c>
      <c r="D4" s="16321">
        <v>1500</v>
      </c>
      <c r="E4" s="16313"/>
    </row>
    <row r="5" spans="1:10" ht="17.399999999999999" x14ac:dyDescent="0.35">
      <c r="B5" s="16300"/>
      <c r="C5" s="16308" t="s">
        <v>40</v>
      </c>
      <c r="I5" s="16309" t="s">
        <v>25</v>
      </c>
      <c r="J5" s="16316">
        <f>COUNT(B7:B16)</f>
        <v>4</v>
      </c>
    </row>
    <row r="6" spans="1:10" ht="18" thickBot="1" x14ac:dyDescent="0.4">
      <c r="B6" s="16308" t="s">
        <v>22</v>
      </c>
      <c r="C6" s="16302">
        <v>1</v>
      </c>
      <c r="D6" s="16299">
        <v>2</v>
      </c>
      <c r="E6">
        <v>3</v>
      </c>
      <c r="F6">
        <v>4</v>
      </c>
    </row>
    <row r="7" spans="1:10" ht="15" thickTop="1" x14ac:dyDescent="0.3">
      <c r="A7" s="16299">
        <v>1</v>
      </c>
      <c r="B7" s="16303">
        <v>1.1482557863999938E-2</v>
      </c>
      <c r="C7" s="16301">
        <f>COVAR(AI.PA,AI.PA)</f>
        <v>1.9049751035741225E-3</v>
      </c>
      <c r="D7" s="16301">
        <f>COVAR(NVDA,AI.PA)</f>
        <v>1.2655206005145409E-3</v>
      </c>
      <c r="E7" s="16301">
        <f>COVAR(MSFT,AI.PA)</f>
        <v>6.5281326657406797E-4</v>
      </c>
      <c r="F7" s="16301">
        <f>COVAR(AAPL,AI.PA)</f>
        <v>1.3504327094240765E-3</v>
      </c>
    </row>
    <row r="8" spans="1:10" x14ac:dyDescent="0.3">
      <c r="A8" s="16299">
        <v>2</v>
      </c>
      <c r="B8" s="16304">
        <v>3.6078759612660494E-2</v>
      </c>
      <c r="C8" s="16301">
        <f>COVAR(AI.PA,NVDA)</f>
        <v>1.2655206005145409E-3</v>
      </c>
      <c r="D8" s="16301">
        <f>COVAR(NVDA,NVDA)</f>
        <v>1.490132610369436E-2</v>
      </c>
      <c r="E8" s="16301">
        <f>COVAR(MSFT,NVDA)</f>
        <v>2.975068259250431E-3</v>
      </c>
      <c r="F8" s="16301">
        <f>COVAR(AAPL,NVDA)</f>
        <v>4.0365203431051546E-3</v>
      </c>
    </row>
    <row r="9" spans="1:10" x14ac:dyDescent="0.3">
      <c r="A9">
        <v>3</v>
      </c>
      <c r="B9" s="16304">
        <v>2.0331052980086518E-2</v>
      </c>
      <c r="C9" s="16301">
        <f>COVAR(AI.PA,MSFT)</f>
        <v>6.5281326657406797E-4</v>
      </c>
      <c r="D9" s="16301">
        <f>COVAR(NVDA,MSFT)</f>
        <v>2.975068259250431E-3</v>
      </c>
      <c r="E9" s="16301">
        <f>COVAR(MSFT,MSFT)</f>
        <v>3.7395454951247012E-3</v>
      </c>
      <c r="F9" s="16301">
        <f>COVAR(AAPL,MSFT)</f>
        <v>2.1714906347116256E-3</v>
      </c>
    </row>
    <row r="10" spans="1:10" ht="15" thickBot="1" x14ac:dyDescent="0.35">
      <c r="A10">
        <v>4</v>
      </c>
      <c r="B10" s="16305">
        <v>2.755944422117839E-2</v>
      </c>
      <c r="C10" s="16301">
        <f>COVAR(AI.PA,AAPL)</f>
        <v>1.3504327094240765E-3</v>
      </c>
      <c r="D10" s="16301">
        <f>COVAR(NVDA,AAPL)</f>
        <v>4.0365203431051546E-3</v>
      </c>
      <c r="E10" s="16301">
        <f>COVAR(MSFT,AAPL)</f>
        <v>2.1714906347116256E-3</v>
      </c>
      <c r="F10" s="16301">
        <f>COVAR(AAPL,AAPL)</f>
        <v>6.0988782862030563E-3</v>
      </c>
    </row>
    <row r="11" spans="1:10" ht="15" thickTop="1" x14ac:dyDescent="0.3"/>
    <row r="38" spans="28:38" x14ac:dyDescent="0.3">
      <c r="AB38" s="11"/>
    </row>
    <row r="39" spans="28:38" x14ac:dyDescent="0.3">
      <c r="AC39" s="12"/>
    </row>
    <row r="40" spans="28:38" x14ac:dyDescent="0.3">
      <c r="AD40" s="13"/>
    </row>
    <row r="41" spans="28:38" x14ac:dyDescent="0.3">
      <c r="AE41" s="14"/>
    </row>
    <row r="42" spans="28:38" x14ac:dyDescent="0.3">
      <c r="AF42" s="15"/>
    </row>
    <row r="43" spans="28:38" x14ac:dyDescent="0.3">
      <c r="AG43" s="16"/>
    </row>
    <row r="44" spans="28:38" x14ac:dyDescent="0.3">
      <c r="AH44" s="17"/>
    </row>
    <row r="45" spans="28:38" x14ac:dyDescent="0.3">
      <c r="AI45" s="18"/>
    </row>
    <row r="46" spans="28:38" x14ac:dyDescent="0.3">
      <c r="AJ46" s="19"/>
    </row>
    <row r="47" spans="28:38" x14ac:dyDescent="0.3">
      <c r="AK47" s="20"/>
    </row>
    <row r="48" spans="28:38" x14ac:dyDescent="0.3">
      <c r="AL48" s="21"/>
    </row>
    <row r="49" spans="39:54" x14ac:dyDescent="0.3">
      <c r="AM49" s="22"/>
    </row>
    <row r="50" spans="39:54" x14ac:dyDescent="0.3">
      <c r="AN50" s="23"/>
    </row>
    <row r="51" spans="39:54" x14ac:dyDescent="0.3">
      <c r="AO51" s="24"/>
    </row>
    <row r="52" spans="39:54" x14ac:dyDescent="0.3">
      <c r="AP52" s="25"/>
    </row>
    <row r="53" spans="39:54" x14ac:dyDescent="0.3">
      <c r="AQ53" s="26"/>
    </row>
    <row r="54" spans="39:54" x14ac:dyDescent="0.3">
      <c r="AR54" s="27"/>
    </row>
    <row r="55" spans="39:54" x14ac:dyDescent="0.3">
      <c r="AS55" s="28"/>
    </row>
    <row r="56" spans="39:54" x14ac:dyDescent="0.3">
      <c r="AT56" s="29"/>
    </row>
    <row r="57" spans="39:54" x14ac:dyDescent="0.3">
      <c r="AU57" s="30"/>
    </row>
    <row r="58" spans="39:54" x14ac:dyDescent="0.3">
      <c r="AV58" s="31"/>
    </row>
    <row r="59" spans="39:54" x14ac:dyDescent="0.3">
      <c r="AW59" s="32"/>
    </row>
    <row r="60" spans="39:54" x14ac:dyDescent="0.3">
      <c r="AX60" s="33"/>
    </row>
    <row r="61" spans="39:54" x14ac:dyDescent="0.3">
      <c r="AY61" s="34"/>
    </row>
    <row r="62" spans="39:54" x14ac:dyDescent="0.3">
      <c r="AZ62" s="35"/>
    </row>
    <row r="63" spans="39:54" x14ac:dyDescent="0.3">
      <c r="BA63" s="36"/>
    </row>
    <row r="64" spans="39:54" x14ac:dyDescent="0.3">
      <c r="BB64" s="37"/>
    </row>
    <row r="65" spans="55:70" x14ac:dyDescent="0.3">
      <c r="BC65" s="38"/>
    </row>
    <row r="66" spans="55:70" x14ac:dyDescent="0.3">
      <c r="BD66" s="39"/>
    </row>
    <row r="67" spans="55:70" x14ac:dyDescent="0.3">
      <c r="BE67" s="40"/>
    </row>
    <row r="68" spans="55:70" x14ac:dyDescent="0.3">
      <c r="BF68" s="41"/>
    </row>
    <row r="69" spans="55:70" x14ac:dyDescent="0.3">
      <c r="BG69" s="42"/>
    </row>
    <row r="70" spans="55:70" x14ac:dyDescent="0.3">
      <c r="BH70" s="43"/>
    </row>
    <row r="71" spans="55:70" x14ac:dyDescent="0.3">
      <c r="BI71" s="44"/>
    </row>
    <row r="72" spans="55:70" x14ac:dyDescent="0.3">
      <c r="BJ72" s="45"/>
    </row>
    <row r="73" spans="55:70" x14ac:dyDescent="0.3">
      <c r="BK73" s="46"/>
    </row>
    <row r="74" spans="55:70" x14ac:dyDescent="0.3">
      <c r="BL74" s="47"/>
    </row>
    <row r="75" spans="55:70" x14ac:dyDescent="0.3">
      <c r="BM75" s="48"/>
    </row>
    <row r="76" spans="55:70" x14ac:dyDescent="0.3">
      <c r="BN76" s="49"/>
    </row>
    <row r="77" spans="55:70" x14ac:dyDescent="0.3">
      <c r="BO77" s="50"/>
    </row>
    <row r="78" spans="55:70" x14ac:dyDescent="0.3">
      <c r="BP78" s="51"/>
    </row>
    <row r="79" spans="55:70" x14ac:dyDescent="0.3">
      <c r="BQ79" s="52"/>
    </row>
    <row r="80" spans="55:70" x14ac:dyDescent="0.3">
      <c r="BR80" s="53"/>
    </row>
    <row r="81" spans="71:86" x14ac:dyDescent="0.3">
      <c r="BS81" s="54"/>
    </row>
    <row r="82" spans="71:86" x14ac:dyDescent="0.3">
      <c r="BT82" s="55"/>
    </row>
    <row r="83" spans="71:86" x14ac:dyDescent="0.3">
      <c r="BU83" s="56"/>
    </row>
    <row r="84" spans="71:86" x14ac:dyDescent="0.3">
      <c r="BV84" s="57"/>
    </row>
    <row r="85" spans="71:86" x14ac:dyDescent="0.3">
      <c r="BW85" s="58"/>
    </row>
    <row r="86" spans="71:86" x14ac:dyDescent="0.3">
      <c r="BX86" s="59"/>
    </row>
    <row r="87" spans="71:86" x14ac:dyDescent="0.3">
      <c r="BY87" s="60"/>
    </row>
    <row r="88" spans="71:86" x14ac:dyDescent="0.3">
      <c r="BZ88" s="61"/>
    </row>
    <row r="89" spans="71:86" x14ac:dyDescent="0.3">
      <c r="CA89" s="62"/>
    </row>
    <row r="90" spans="71:86" x14ac:dyDescent="0.3">
      <c r="CB90" s="63"/>
    </row>
    <row r="91" spans="71:86" x14ac:dyDescent="0.3">
      <c r="CC91" s="64"/>
    </row>
    <row r="92" spans="71:86" x14ac:dyDescent="0.3">
      <c r="CD92" s="65"/>
    </row>
    <row r="93" spans="71:86" x14ac:dyDescent="0.3">
      <c r="CE93" s="66"/>
    </row>
    <row r="94" spans="71:86" x14ac:dyDescent="0.3">
      <c r="CF94" s="67"/>
    </row>
    <row r="95" spans="71:86" x14ac:dyDescent="0.3">
      <c r="CG95" s="68"/>
    </row>
    <row r="96" spans="71:86" x14ac:dyDescent="0.3">
      <c r="CH96" s="69"/>
    </row>
    <row r="97" spans="87:106" x14ac:dyDescent="0.3">
      <c r="CI97" s="70"/>
    </row>
    <row r="98" spans="87:106" x14ac:dyDescent="0.3">
      <c r="CJ98" s="71"/>
    </row>
    <row r="99" spans="87:106" x14ac:dyDescent="0.3">
      <c r="CK99" s="72"/>
    </row>
    <row r="100" spans="87:106" x14ac:dyDescent="0.3">
      <c r="CP100" s="73"/>
    </row>
    <row r="101" spans="87:106" x14ac:dyDescent="0.3">
      <c r="CQ101" s="74"/>
    </row>
    <row r="102" spans="87:106" x14ac:dyDescent="0.3">
      <c r="CR102" s="75"/>
    </row>
    <row r="103" spans="87:106" x14ac:dyDescent="0.3">
      <c r="CS103" s="76"/>
    </row>
    <row r="104" spans="87:106" x14ac:dyDescent="0.3">
      <c r="CT104" s="77"/>
    </row>
    <row r="105" spans="87:106" x14ac:dyDescent="0.3">
      <c r="CU105" s="78"/>
    </row>
    <row r="106" spans="87:106" x14ac:dyDescent="0.3">
      <c r="CV106" s="79"/>
    </row>
    <row r="107" spans="87:106" x14ac:dyDescent="0.3">
      <c r="CW107" s="80"/>
    </row>
    <row r="108" spans="87:106" x14ac:dyDescent="0.3">
      <c r="CX108" s="81"/>
    </row>
    <row r="109" spans="87:106" x14ac:dyDescent="0.3">
      <c r="CY109" s="82"/>
    </row>
    <row r="110" spans="87:106" x14ac:dyDescent="0.3">
      <c r="CZ110" s="83"/>
    </row>
    <row r="111" spans="87:106" x14ac:dyDescent="0.3">
      <c r="DA111" s="84"/>
    </row>
    <row r="112" spans="87:106" x14ac:dyDescent="0.3">
      <c r="DB112" s="85"/>
    </row>
    <row r="113" spans="107:122" x14ac:dyDescent="0.3">
      <c r="DC113" s="86"/>
    </row>
    <row r="114" spans="107:122" x14ac:dyDescent="0.3">
      <c r="DD114" s="87"/>
    </row>
    <row r="115" spans="107:122" x14ac:dyDescent="0.3">
      <c r="DE115" s="88"/>
    </row>
    <row r="116" spans="107:122" x14ac:dyDescent="0.3">
      <c r="DF116" s="89"/>
    </row>
    <row r="117" spans="107:122" x14ac:dyDescent="0.3">
      <c r="DG117" s="90"/>
    </row>
    <row r="118" spans="107:122" x14ac:dyDescent="0.3">
      <c r="DH118" s="91"/>
    </row>
    <row r="119" spans="107:122" x14ac:dyDescent="0.3">
      <c r="DI119" s="92"/>
    </row>
    <row r="120" spans="107:122" x14ac:dyDescent="0.3">
      <c r="DJ120" s="93"/>
    </row>
    <row r="121" spans="107:122" x14ac:dyDescent="0.3">
      <c r="DK121" s="94"/>
    </row>
    <row r="122" spans="107:122" x14ac:dyDescent="0.3">
      <c r="DL122" s="95"/>
    </row>
    <row r="123" spans="107:122" x14ac:dyDescent="0.3">
      <c r="DM123" s="96"/>
    </row>
    <row r="124" spans="107:122" x14ac:dyDescent="0.3">
      <c r="DN124" s="97"/>
    </row>
    <row r="125" spans="107:122" x14ac:dyDescent="0.3">
      <c r="DO125" s="98"/>
    </row>
    <row r="126" spans="107:122" x14ac:dyDescent="0.3">
      <c r="DP126" s="99"/>
    </row>
    <row r="127" spans="107:122" x14ac:dyDescent="0.3">
      <c r="DQ127" s="100"/>
    </row>
    <row r="128" spans="107:122" x14ac:dyDescent="0.3">
      <c r="DR128" s="101"/>
    </row>
    <row r="129" spans="123:138" x14ac:dyDescent="0.3">
      <c r="DS129" s="102"/>
    </row>
    <row r="130" spans="123:138" x14ac:dyDescent="0.3">
      <c r="DT130" s="103"/>
    </row>
    <row r="131" spans="123:138" x14ac:dyDescent="0.3">
      <c r="DU131" s="104"/>
    </row>
    <row r="132" spans="123:138" x14ac:dyDescent="0.3">
      <c r="DV132" s="105"/>
    </row>
    <row r="133" spans="123:138" x14ac:dyDescent="0.3">
      <c r="DW133" s="106"/>
    </row>
    <row r="134" spans="123:138" x14ac:dyDescent="0.3">
      <c r="DX134" s="107"/>
    </row>
    <row r="135" spans="123:138" x14ac:dyDescent="0.3">
      <c r="DY135" s="108"/>
    </row>
    <row r="136" spans="123:138" x14ac:dyDescent="0.3">
      <c r="DZ136" s="109"/>
    </row>
    <row r="137" spans="123:138" x14ac:dyDescent="0.3">
      <c r="EA137" s="110"/>
    </row>
    <row r="138" spans="123:138" x14ac:dyDescent="0.3">
      <c r="EB138" s="111"/>
    </row>
    <row r="139" spans="123:138" x14ac:dyDescent="0.3">
      <c r="EC139" s="112"/>
    </row>
    <row r="140" spans="123:138" x14ac:dyDescent="0.3">
      <c r="ED140" s="113"/>
    </row>
    <row r="141" spans="123:138" x14ac:dyDescent="0.3">
      <c r="EE141" s="114"/>
    </row>
    <row r="142" spans="123:138" x14ac:dyDescent="0.3">
      <c r="EF142" s="115"/>
    </row>
    <row r="143" spans="123:138" x14ac:dyDescent="0.3">
      <c r="EG143" s="116"/>
    </row>
    <row r="144" spans="123:138" x14ac:dyDescent="0.3">
      <c r="EH144" s="117"/>
    </row>
    <row r="145" spans="139:154" x14ac:dyDescent="0.3">
      <c r="EI145" s="118"/>
    </row>
    <row r="146" spans="139:154" x14ac:dyDescent="0.3">
      <c r="EJ146" s="119"/>
    </row>
    <row r="147" spans="139:154" x14ac:dyDescent="0.3">
      <c r="EK147" s="120"/>
    </row>
    <row r="148" spans="139:154" x14ac:dyDescent="0.3">
      <c r="EL148" s="121"/>
    </row>
    <row r="149" spans="139:154" x14ac:dyDescent="0.3">
      <c r="EM149" s="122"/>
    </row>
    <row r="150" spans="139:154" x14ac:dyDescent="0.3">
      <c r="EN150" s="123"/>
    </row>
    <row r="151" spans="139:154" x14ac:dyDescent="0.3">
      <c r="EO151" s="124"/>
    </row>
    <row r="152" spans="139:154" x14ac:dyDescent="0.3">
      <c r="EP152" s="125"/>
    </row>
    <row r="153" spans="139:154" x14ac:dyDescent="0.3">
      <c r="EQ153" s="126"/>
    </row>
    <row r="154" spans="139:154" x14ac:dyDescent="0.3">
      <c r="ER154" s="127"/>
    </row>
    <row r="155" spans="139:154" x14ac:dyDescent="0.3">
      <c r="ES155" s="128"/>
    </row>
    <row r="156" spans="139:154" x14ac:dyDescent="0.3">
      <c r="ET156" s="129"/>
    </row>
    <row r="157" spans="139:154" x14ac:dyDescent="0.3">
      <c r="EU157" s="130"/>
    </row>
    <row r="158" spans="139:154" x14ac:dyDescent="0.3">
      <c r="EV158" s="131"/>
    </row>
    <row r="159" spans="139:154" x14ac:dyDescent="0.3">
      <c r="EW159" s="132"/>
    </row>
    <row r="160" spans="139:154" x14ac:dyDescent="0.3">
      <c r="EX160" s="133"/>
    </row>
    <row r="161" spans="155:170" x14ac:dyDescent="0.3">
      <c r="EY161" s="134"/>
    </row>
    <row r="162" spans="155:170" x14ac:dyDescent="0.3">
      <c r="EZ162" s="135"/>
    </row>
    <row r="163" spans="155:170" x14ac:dyDescent="0.3">
      <c r="FA163" s="136"/>
    </row>
    <row r="164" spans="155:170" x14ac:dyDescent="0.3">
      <c r="FB164" s="137"/>
    </row>
    <row r="165" spans="155:170" x14ac:dyDescent="0.3">
      <c r="FC165" s="138"/>
    </row>
    <row r="166" spans="155:170" x14ac:dyDescent="0.3">
      <c r="FD166" s="139"/>
    </row>
    <row r="167" spans="155:170" x14ac:dyDescent="0.3">
      <c r="FE167" s="140"/>
    </row>
    <row r="168" spans="155:170" x14ac:dyDescent="0.3">
      <c r="FF168" s="141"/>
    </row>
    <row r="169" spans="155:170" x14ac:dyDescent="0.3">
      <c r="FG169" s="142"/>
    </row>
    <row r="170" spans="155:170" x14ac:dyDescent="0.3">
      <c r="FH170" s="143"/>
    </row>
    <row r="171" spans="155:170" x14ac:dyDescent="0.3">
      <c r="FI171" s="144"/>
    </row>
    <row r="172" spans="155:170" x14ac:dyDescent="0.3">
      <c r="FJ172" s="145"/>
    </row>
    <row r="173" spans="155:170" x14ac:dyDescent="0.3">
      <c r="FK173" s="146"/>
    </row>
    <row r="174" spans="155:170" x14ac:dyDescent="0.3">
      <c r="FL174" s="147"/>
    </row>
    <row r="175" spans="155:170" x14ac:dyDescent="0.3">
      <c r="FM175" s="148"/>
    </row>
    <row r="176" spans="155:170" x14ac:dyDescent="0.3">
      <c r="FN176" s="149"/>
    </row>
    <row r="177" spans="171:186" x14ac:dyDescent="0.3">
      <c r="FO177" s="150"/>
    </row>
    <row r="178" spans="171:186" x14ac:dyDescent="0.3">
      <c r="FP178" s="151"/>
    </row>
    <row r="179" spans="171:186" x14ac:dyDescent="0.3">
      <c r="FQ179" s="152"/>
    </row>
    <row r="180" spans="171:186" x14ac:dyDescent="0.3">
      <c r="FR180" s="153"/>
    </row>
    <row r="181" spans="171:186" x14ac:dyDescent="0.3">
      <c r="FS181" s="154"/>
    </row>
    <row r="182" spans="171:186" x14ac:dyDescent="0.3">
      <c r="FT182" s="155"/>
    </row>
    <row r="183" spans="171:186" x14ac:dyDescent="0.3">
      <c r="FU183" s="156"/>
    </row>
    <row r="184" spans="171:186" x14ac:dyDescent="0.3">
      <c r="FV184" s="157"/>
    </row>
    <row r="185" spans="171:186" x14ac:dyDescent="0.3">
      <c r="FW185" s="158"/>
    </row>
    <row r="186" spans="171:186" x14ac:dyDescent="0.3">
      <c r="FX186" s="159"/>
    </row>
    <row r="187" spans="171:186" x14ac:dyDescent="0.3">
      <c r="FY187" s="160"/>
    </row>
    <row r="188" spans="171:186" x14ac:dyDescent="0.3">
      <c r="FZ188" s="161"/>
    </row>
    <row r="189" spans="171:186" x14ac:dyDescent="0.3">
      <c r="GA189" s="162"/>
    </row>
    <row r="190" spans="171:186" x14ac:dyDescent="0.3">
      <c r="GB190" s="163"/>
    </row>
    <row r="191" spans="171:186" x14ac:dyDescent="0.3">
      <c r="GC191" s="164"/>
    </row>
    <row r="192" spans="171:186" x14ac:dyDescent="0.3">
      <c r="GD192" s="165"/>
    </row>
    <row r="193" spans="187:202" x14ac:dyDescent="0.3">
      <c r="GE193" s="166"/>
    </row>
    <row r="194" spans="187:202" x14ac:dyDescent="0.3">
      <c r="GF194" s="167"/>
    </row>
    <row r="195" spans="187:202" x14ac:dyDescent="0.3">
      <c r="GG195" s="168"/>
    </row>
    <row r="196" spans="187:202" x14ac:dyDescent="0.3">
      <c r="GH196" s="169"/>
    </row>
    <row r="197" spans="187:202" x14ac:dyDescent="0.3">
      <c r="GI197" s="170"/>
    </row>
    <row r="198" spans="187:202" x14ac:dyDescent="0.3">
      <c r="GJ198" s="171"/>
    </row>
    <row r="199" spans="187:202" x14ac:dyDescent="0.3">
      <c r="GK199" s="172"/>
    </row>
    <row r="200" spans="187:202" x14ac:dyDescent="0.3">
      <c r="GL200" s="173"/>
    </row>
    <row r="201" spans="187:202" x14ac:dyDescent="0.3">
      <c r="GM201" s="174"/>
    </row>
    <row r="202" spans="187:202" x14ac:dyDescent="0.3">
      <c r="GN202" s="175"/>
    </row>
    <row r="203" spans="187:202" x14ac:dyDescent="0.3">
      <c r="GO203" s="176"/>
    </row>
    <row r="204" spans="187:202" x14ac:dyDescent="0.3">
      <c r="GP204" s="177"/>
    </row>
    <row r="205" spans="187:202" x14ac:dyDescent="0.3">
      <c r="GQ205" s="178"/>
    </row>
    <row r="206" spans="187:202" x14ac:dyDescent="0.3">
      <c r="GR206" s="179"/>
    </row>
    <row r="207" spans="187:202" x14ac:dyDescent="0.3">
      <c r="GS207" s="180"/>
    </row>
    <row r="208" spans="187:202" x14ac:dyDescent="0.3">
      <c r="GT208" s="181"/>
    </row>
    <row r="209" spans="203:218" x14ac:dyDescent="0.3">
      <c r="GU209" s="182"/>
    </row>
    <row r="210" spans="203:218" x14ac:dyDescent="0.3">
      <c r="GV210" s="183"/>
    </row>
    <row r="211" spans="203:218" x14ac:dyDescent="0.3">
      <c r="GW211" s="184"/>
    </row>
    <row r="212" spans="203:218" x14ac:dyDescent="0.3">
      <c r="GX212" s="185"/>
    </row>
    <row r="213" spans="203:218" x14ac:dyDescent="0.3">
      <c r="GY213" s="186"/>
    </row>
    <row r="214" spans="203:218" x14ac:dyDescent="0.3">
      <c r="GZ214" s="187"/>
    </row>
    <row r="215" spans="203:218" x14ac:dyDescent="0.3">
      <c r="HA215" s="188"/>
    </row>
    <row r="216" spans="203:218" x14ac:dyDescent="0.3">
      <c r="HB216" s="189"/>
    </row>
    <row r="217" spans="203:218" x14ac:dyDescent="0.3">
      <c r="HC217" s="190"/>
    </row>
    <row r="218" spans="203:218" x14ac:dyDescent="0.3">
      <c r="HD218" s="191"/>
    </row>
    <row r="219" spans="203:218" x14ac:dyDescent="0.3">
      <c r="HE219" s="192"/>
    </row>
    <row r="220" spans="203:218" x14ac:dyDescent="0.3">
      <c r="HF220" s="193"/>
    </row>
    <row r="221" spans="203:218" x14ac:dyDescent="0.3">
      <c r="HG221" s="194"/>
    </row>
    <row r="222" spans="203:218" x14ac:dyDescent="0.3">
      <c r="HH222" s="195"/>
    </row>
    <row r="223" spans="203:218" x14ac:dyDescent="0.3">
      <c r="HI223" s="196"/>
    </row>
    <row r="224" spans="203:218" x14ac:dyDescent="0.3">
      <c r="HJ224" s="197"/>
    </row>
    <row r="225" spans="219:234" x14ac:dyDescent="0.3">
      <c r="HK225" s="198"/>
    </row>
    <row r="226" spans="219:234" x14ac:dyDescent="0.3">
      <c r="HL226" s="199"/>
    </row>
    <row r="227" spans="219:234" x14ac:dyDescent="0.3">
      <c r="HM227" s="200"/>
    </row>
    <row r="228" spans="219:234" x14ac:dyDescent="0.3">
      <c r="HN228" s="201"/>
    </row>
    <row r="229" spans="219:234" x14ac:dyDescent="0.3">
      <c r="HO229" s="202"/>
    </row>
    <row r="230" spans="219:234" x14ac:dyDescent="0.3">
      <c r="HP230" s="203"/>
    </row>
    <row r="231" spans="219:234" x14ac:dyDescent="0.3">
      <c r="HQ231" s="204"/>
    </row>
    <row r="232" spans="219:234" x14ac:dyDescent="0.3">
      <c r="HR232" s="205"/>
    </row>
    <row r="233" spans="219:234" x14ac:dyDescent="0.3">
      <c r="HS233" s="206"/>
    </row>
    <row r="234" spans="219:234" x14ac:dyDescent="0.3">
      <c r="HT234" s="207"/>
    </row>
    <row r="235" spans="219:234" x14ac:dyDescent="0.3">
      <c r="HU235" s="208"/>
    </row>
    <row r="236" spans="219:234" x14ac:dyDescent="0.3">
      <c r="HV236" s="209"/>
    </row>
    <row r="237" spans="219:234" x14ac:dyDescent="0.3">
      <c r="HW237" s="210"/>
    </row>
    <row r="238" spans="219:234" x14ac:dyDescent="0.3">
      <c r="HX238" s="211"/>
    </row>
    <row r="239" spans="219:234" x14ac:dyDescent="0.3">
      <c r="HY239" s="212"/>
    </row>
    <row r="240" spans="219:234" x14ac:dyDescent="0.3">
      <c r="HZ240" s="213"/>
    </row>
    <row r="241" spans="235:250" x14ac:dyDescent="0.3">
      <c r="IA241" s="214"/>
    </row>
    <row r="242" spans="235:250" x14ac:dyDescent="0.3">
      <c r="IB242" s="215"/>
    </row>
    <row r="243" spans="235:250" x14ac:dyDescent="0.3">
      <c r="IC243" s="216"/>
    </row>
    <row r="244" spans="235:250" x14ac:dyDescent="0.3">
      <c r="ID244" s="217"/>
    </row>
    <row r="245" spans="235:250" x14ac:dyDescent="0.3">
      <c r="IE245" s="218"/>
    </row>
    <row r="246" spans="235:250" x14ac:dyDescent="0.3">
      <c r="IF246" s="219"/>
    </row>
    <row r="247" spans="235:250" x14ac:dyDescent="0.3">
      <c r="IG247" s="220"/>
    </row>
    <row r="248" spans="235:250" x14ac:dyDescent="0.3">
      <c r="IH248" s="221"/>
    </row>
    <row r="249" spans="235:250" x14ac:dyDescent="0.3">
      <c r="II249" s="222"/>
    </row>
    <row r="250" spans="235:250" x14ac:dyDescent="0.3">
      <c r="IJ250" s="223"/>
    </row>
    <row r="251" spans="235:250" x14ac:dyDescent="0.3">
      <c r="IK251" s="224"/>
    </row>
    <row r="252" spans="235:250" x14ac:dyDescent="0.3">
      <c r="IL252" s="225"/>
    </row>
    <row r="253" spans="235:250" x14ac:dyDescent="0.3">
      <c r="IM253" s="226"/>
    </row>
    <row r="254" spans="235:250" x14ac:dyDescent="0.3">
      <c r="IN254" s="227"/>
    </row>
    <row r="255" spans="235:250" x14ac:dyDescent="0.3">
      <c r="IO255" s="228"/>
    </row>
    <row r="256" spans="235:250" x14ac:dyDescent="0.3">
      <c r="IP256" s="229"/>
    </row>
    <row r="257" spans="251:266" x14ac:dyDescent="0.3">
      <c r="IQ257" s="230"/>
    </row>
    <row r="258" spans="251:266" x14ac:dyDescent="0.3">
      <c r="IR258" s="231"/>
    </row>
    <row r="259" spans="251:266" x14ac:dyDescent="0.3">
      <c r="IS259" s="232"/>
    </row>
    <row r="260" spans="251:266" x14ac:dyDescent="0.3">
      <c r="IT260" s="233"/>
    </row>
    <row r="261" spans="251:266" x14ac:dyDescent="0.3">
      <c r="IU261" s="234"/>
    </row>
    <row r="262" spans="251:266" x14ac:dyDescent="0.3">
      <c r="IV262" s="235"/>
    </row>
    <row r="263" spans="251:266" x14ac:dyDescent="0.3">
      <c r="IW263" s="235"/>
    </row>
    <row r="264" spans="251:266" x14ac:dyDescent="0.3">
      <c r="IX264" s="236"/>
    </row>
    <row r="265" spans="251:266" x14ac:dyDescent="0.3">
      <c r="IY265" s="237"/>
    </row>
    <row r="266" spans="251:266" x14ac:dyDescent="0.3">
      <c r="IZ266" s="238"/>
    </row>
    <row r="267" spans="251:266" x14ac:dyDescent="0.3">
      <c r="JA267" s="239"/>
    </row>
    <row r="268" spans="251:266" x14ac:dyDescent="0.3">
      <c r="JB268" s="240"/>
    </row>
    <row r="269" spans="251:266" x14ac:dyDescent="0.3">
      <c r="JC269" s="241"/>
    </row>
    <row r="270" spans="251:266" x14ac:dyDescent="0.3">
      <c r="JD270" s="242"/>
    </row>
    <row r="271" spans="251:266" x14ac:dyDescent="0.3">
      <c r="JE271" s="243"/>
    </row>
    <row r="272" spans="251:266" x14ac:dyDescent="0.3">
      <c r="JF272" s="244"/>
    </row>
    <row r="273" spans="267:282" x14ac:dyDescent="0.3">
      <c r="JG273" s="245"/>
    </row>
    <row r="274" spans="267:282" x14ac:dyDescent="0.3">
      <c r="JH274" s="246"/>
    </row>
    <row r="275" spans="267:282" x14ac:dyDescent="0.3">
      <c r="JI275" s="247"/>
    </row>
    <row r="276" spans="267:282" x14ac:dyDescent="0.3">
      <c r="JJ276" s="248"/>
    </row>
    <row r="277" spans="267:282" x14ac:dyDescent="0.3">
      <c r="JK277" s="249"/>
    </row>
    <row r="278" spans="267:282" x14ac:dyDescent="0.3">
      <c r="JL278" s="250"/>
    </row>
    <row r="279" spans="267:282" x14ac:dyDescent="0.3">
      <c r="JM279" s="251"/>
    </row>
    <row r="280" spans="267:282" x14ac:dyDescent="0.3">
      <c r="JN280" s="252"/>
    </row>
    <row r="281" spans="267:282" x14ac:dyDescent="0.3">
      <c r="JO281" s="253"/>
    </row>
    <row r="282" spans="267:282" x14ac:dyDescent="0.3">
      <c r="JP282" s="254"/>
    </row>
    <row r="283" spans="267:282" x14ac:dyDescent="0.3">
      <c r="JQ283" s="255"/>
    </row>
    <row r="284" spans="267:282" x14ac:dyDescent="0.3">
      <c r="JR284" s="256"/>
    </row>
    <row r="285" spans="267:282" x14ac:dyDescent="0.3">
      <c r="JS285" s="257"/>
    </row>
    <row r="286" spans="267:282" x14ac:dyDescent="0.3">
      <c r="JT286" s="258"/>
    </row>
    <row r="287" spans="267:282" x14ac:dyDescent="0.3">
      <c r="JU287" s="259"/>
    </row>
    <row r="288" spans="267:282" x14ac:dyDescent="0.3">
      <c r="JV288" s="260"/>
    </row>
    <row r="289" spans="283:298" x14ac:dyDescent="0.3">
      <c r="JW289" s="261"/>
    </row>
    <row r="290" spans="283:298" x14ac:dyDescent="0.3">
      <c r="JX290" s="262"/>
    </row>
    <row r="291" spans="283:298" x14ac:dyDescent="0.3">
      <c r="JY291" s="263"/>
    </row>
    <row r="292" spans="283:298" x14ac:dyDescent="0.3">
      <c r="JZ292" s="264"/>
    </row>
    <row r="293" spans="283:298" x14ac:dyDescent="0.3">
      <c r="KA293" s="265"/>
    </row>
    <row r="294" spans="283:298" x14ac:dyDescent="0.3">
      <c r="KB294" s="266"/>
    </row>
    <row r="295" spans="283:298" x14ac:dyDescent="0.3">
      <c r="KC295" s="267"/>
    </row>
    <row r="296" spans="283:298" x14ac:dyDescent="0.3">
      <c r="KD296" s="268"/>
    </row>
    <row r="297" spans="283:298" x14ac:dyDescent="0.3">
      <c r="KE297" s="269"/>
    </row>
    <row r="298" spans="283:298" x14ac:dyDescent="0.3">
      <c r="KF298" s="270"/>
    </row>
    <row r="299" spans="283:298" x14ac:dyDescent="0.3">
      <c r="KG299" s="271"/>
    </row>
    <row r="300" spans="283:298" x14ac:dyDescent="0.3">
      <c r="KH300" s="272"/>
    </row>
    <row r="301" spans="283:298" x14ac:dyDescent="0.3">
      <c r="KI301" s="273"/>
    </row>
    <row r="302" spans="283:298" x14ac:dyDescent="0.3">
      <c r="KJ302" s="274"/>
    </row>
    <row r="303" spans="283:298" x14ac:dyDescent="0.3">
      <c r="KK303" s="275"/>
    </row>
    <row r="304" spans="283:298" x14ac:dyDescent="0.3">
      <c r="KL304" s="276"/>
    </row>
    <row r="305" spans="299:314" x14ac:dyDescent="0.3">
      <c r="KM305" s="277"/>
    </row>
    <row r="306" spans="299:314" x14ac:dyDescent="0.3">
      <c r="KN306" s="278"/>
    </row>
    <row r="307" spans="299:314" x14ac:dyDescent="0.3">
      <c r="KO307" s="279"/>
    </row>
    <row r="308" spans="299:314" x14ac:dyDescent="0.3">
      <c r="KP308" s="280"/>
    </row>
    <row r="309" spans="299:314" x14ac:dyDescent="0.3">
      <c r="KQ309" s="281"/>
    </row>
    <row r="310" spans="299:314" x14ac:dyDescent="0.3">
      <c r="KR310" s="282"/>
    </row>
    <row r="311" spans="299:314" x14ac:dyDescent="0.3">
      <c r="KS311" s="283"/>
    </row>
    <row r="312" spans="299:314" x14ac:dyDescent="0.3">
      <c r="KT312" s="284"/>
    </row>
    <row r="313" spans="299:314" x14ac:dyDescent="0.3">
      <c r="KU313" s="285"/>
    </row>
    <row r="314" spans="299:314" x14ac:dyDescent="0.3">
      <c r="KV314" s="286"/>
    </row>
    <row r="315" spans="299:314" x14ac:dyDescent="0.3">
      <c r="KW315" s="287"/>
    </row>
    <row r="316" spans="299:314" x14ac:dyDescent="0.3">
      <c r="KX316" s="288"/>
    </row>
    <row r="317" spans="299:314" x14ac:dyDescent="0.3">
      <c r="KY317" s="289"/>
    </row>
    <row r="318" spans="299:314" x14ac:dyDescent="0.3">
      <c r="KZ318" s="290"/>
    </row>
    <row r="319" spans="299:314" x14ac:dyDescent="0.3">
      <c r="LA319" s="291"/>
    </row>
    <row r="320" spans="299:314" x14ac:dyDescent="0.3">
      <c r="LB320" s="292"/>
    </row>
    <row r="321" spans="315:330" x14ac:dyDescent="0.3">
      <c r="LC321" s="293"/>
    </row>
    <row r="322" spans="315:330" x14ac:dyDescent="0.3">
      <c r="LD322" s="294"/>
    </row>
    <row r="323" spans="315:330" x14ac:dyDescent="0.3">
      <c r="LE323" s="295"/>
    </row>
    <row r="324" spans="315:330" x14ac:dyDescent="0.3">
      <c r="LF324" s="296"/>
    </row>
    <row r="325" spans="315:330" x14ac:dyDescent="0.3">
      <c r="LG325" s="297"/>
    </row>
    <row r="326" spans="315:330" x14ac:dyDescent="0.3">
      <c r="LH326" s="298"/>
    </row>
    <row r="327" spans="315:330" x14ac:dyDescent="0.3">
      <c r="LI327" s="299"/>
    </row>
    <row r="328" spans="315:330" x14ac:dyDescent="0.3">
      <c r="LJ328" s="300"/>
    </row>
    <row r="329" spans="315:330" x14ac:dyDescent="0.3">
      <c r="LK329" s="301"/>
    </row>
    <row r="330" spans="315:330" x14ac:dyDescent="0.3">
      <c r="LL330" s="302"/>
    </row>
    <row r="331" spans="315:330" x14ac:dyDescent="0.3">
      <c r="LM331" s="303"/>
    </row>
    <row r="332" spans="315:330" x14ac:dyDescent="0.3">
      <c r="LN332" s="304"/>
    </row>
    <row r="333" spans="315:330" x14ac:dyDescent="0.3">
      <c r="LO333" s="305"/>
    </row>
    <row r="334" spans="315:330" x14ac:dyDescent="0.3">
      <c r="LP334" s="306"/>
    </row>
    <row r="335" spans="315:330" x14ac:dyDescent="0.3">
      <c r="LQ335" s="307"/>
    </row>
    <row r="336" spans="315:330" x14ac:dyDescent="0.3">
      <c r="LR336" s="308"/>
    </row>
    <row r="337" spans="331:346" x14ac:dyDescent="0.3">
      <c r="LS337" s="309"/>
    </row>
    <row r="338" spans="331:346" x14ac:dyDescent="0.3">
      <c r="LT338" s="310"/>
    </row>
    <row r="339" spans="331:346" x14ac:dyDescent="0.3">
      <c r="LU339" s="311"/>
    </row>
    <row r="340" spans="331:346" x14ac:dyDescent="0.3">
      <c r="LV340" s="312"/>
    </row>
    <row r="341" spans="331:346" x14ac:dyDescent="0.3">
      <c r="LW341" s="313"/>
    </row>
    <row r="342" spans="331:346" x14ac:dyDescent="0.3">
      <c r="LX342" s="314"/>
    </row>
    <row r="343" spans="331:346" x14ac:dyDescent="0.3">
      <c r="LY343" s="315"/>
    </row>
    <row r="344" spans="331:346" x14ac:dyDescent="0.3">
      <c r="LZ344" s="316"/>
    </row>
    <row r="345" spans="331:346" x14ac:dyDescent="0.3">
      <c r="MA345" s="317"/>
    </row>
    <row r="346" spans="331:346" x14ac:dyDescent="0.3">
      <c r="MB346" s="318"/>
    </row>
    <row r="347" spans="331:346" x14ac:dyDescent="0.3">
      <c r="MC347" s="319"/>
    </row>
    <row r="348" spans="331:346" x14ac:dyDescent="0.3">
      <c r="MD348" s="320"/>
    </row>
    <row r="349" spans="331:346" x14ac:dyDescent="0.3">
      <c r="ME349" s="321"/>
    </row>
    <row r="350" spans="331:346" x14ac:dyDescent="0.3">
      <c r="MF350" s="322"/>
    </row>
    <row r="351" spans="331:346" x14ac:dyDescent="0.3">
      <c r="MG351" s="323"/>
    </row>
    <row r="352" spans="331:346" x14ac:dyDescent="0.3">
      <c r="MH352" s="324"/>
    </row>
    <row r="353" spans="347:362" x14ac:dyDescent="0.3">
      <c r="MI353" s="325"/>
    </row>
    <row r="354" spans="347:362" x14ac:dyDescent="0.3">
      <c r="MJ354" s="326"/>
    </row>
    <row r="355" spans="347:362" x14ac:dyDescent="0.3">
      <c r="MK355" s="327"/>
    </row>
    <row r="356" spans="347:362" x14ac:dyDescent="0.3">
      <c r="ML356" s="328"/>
    </row>
    <row r="357" spans="347:362" x14ac:dyDescent="0.3">
      <c r="MM357" s="329"/>
    </row>
    <row r="358" spans="347:362" x14ac:dyDescent="0.3">
      <c r="MN358" s="330"/>
    </row>
    <row r="359" spans="347:362" x14ac:dyDescent="0.3">
      <c r="MO359" s="331"/>
    </row>
    <row r="360" spans="347:362" x14ac:dyDescent="0.3">
      <c r="MP360" s="332"/>
    </row>
    <row r="361" spans="347:362" x14ac:dyDescent="0.3">
      <c r="MQ361" s="333"/>
    </row>
    <row r="362" spans="347:362" x14ac:dyDescent="0.3">
      <c r="MR362" s="334"/>
    </row>
    <row r="363" spans="347:362" x14ac:dyDescent="0.3">
      <c r="MS363" s="335"/>
    </row>
    <row r="364" spans="347:362" x14ac:dyDescent="0.3">
      <c r="MT364" s="336"/>
    </row>
    <row r="365" spans="347:362" x14ac:dyDescent="0.3">
      <c r="MU365" s="337"/>
    </row>
    <row r="366" spans="347:362" x14ac:dyDescent="0.3">
      <c r="MV366" s="338"/>
    </row>
    <row r="367" spans="347:362" x14ac:dyDescent="0.3">
      <c r="MW367" s="339"/>
    </row>
    <row r="368" spans="347:362" x14ac:dyDescent="0.3">
      <c r="MX368" s="340"/>
    </row>
    <row r="369" spans="363:378" x14ac:dyDescent="0.3">
      <c r="MY369" s="341"/>
    </row>
    <row r="370" spans="363:378" x14ac:dyDescent="0.3">
      <c r="MZ370" s="342"/>
    </row>
    <row r="371" spans="363:378" x14ac:dyDescent="0.3">
      <c r="NA371" s="343"/>
    </row>
    <row r="372" spans="363:378" x14ac:dyDescent="0.3">
      <c r="NB372" s="344"/>
    </row>
    <row r="373" spans="363:378" x14ac:dyDescent="0.3">
      <c r="NC373" s="345"/>
    </row>
    <row r="374" spans="363:378" x14ac:dyDescent="0.3">
      <c r="ND374" s="346"/>
    </row>
    <row r="375" spans="363:378" x14ac:dyDescent="0.3">
      <c r="NE375" s="347"/>
    </row>
    <row r="376" spans="363:378" x14ac:dyDescent="0.3">
      <c r="NF376" s="348"/>
    </row>
    <row r="377" spans="363:378" x14ac:dyDescent="0.3">
      <c r="NG377" s="349"/>
    </row>
    <row r="378" spans="363:378" x14ac:dyDescent="0.3">
      <c r="NH378" s="350"/>
    </row>
    <row r="379" spans="363:378" x14ac:dyDescent="0.3">
      <c r="NI379" s="351"/>
    </row>
    <row r="380" spans="363:378" x14ac:dyDescent="0.3">
      <c r="NJ380" s="352"/>
    </row>
    <row r="381" spans="363:378" x14ac:dyDescent="0.3">
      <c r="NK381" s="353"/>
    </row>
    <row r="382" spans="363:378" x14ac:dyDescent="0.3">
      <c r="NL382" s="354"/>
    </row>
    <row r="383" spans="363:378" x14ac:dyDescent="0.3">
      <c r="NM383" s="355"/>
    </row>
    <row r="384" spans="363:378" x14ac:dyDescent="0.3">
      <c r="NN384" s="356"/>
    </row>
    <row r="385" spans="379:394" x14ac:dyDescent="0.3">
      <c r="NO385" s="357"/>
    </row>
    <row r="386" spans="379:394" x14ac:dyDescent="0.3">
      <c r="NP386" s="358"/>
    </row>
    <row r="387" spans="379:394" x14ac:dyDescent="0.3">
      <c r="NQ387" s="359"/>
    </row>
    <row r="388" spans="379:394" x14ac:dyDescent="0.3">
      <c r="NR388" s="360"/>
    </row>
    <row r="389" spans="379:394" x14ac:dyDescent="0.3">
      <c r="NS389" s="361"/>
    </row>
    <row r="390" spans="379:394" x14ac:dyDescent="0.3">
      <c r="NT390" s="362"/>
    </row>
    <row r="391" spans="379:394" x14ac:dyDescent="0.3">
      <c r="NU391" s="363"/>
    </row>
    <row r="392" spans="379:394" x14ac:dyDescent="0.3">
      <c r="NV392" s="364"/>
    </row>
    <row r="393" spans="379:394" x14ac:dyDescent="0.3">
      <c r="NW393" s="365"/>
    </row>
    <row r="394" spans="379:394" x14ac:dyDescent="0.3">
      <c r="NX394" s="366"/>
    </row>
    <row r="395" spans="379:394" x14ac:dyDescent="0.3">
      <c r="NY395" s="367"/>
    </row>
    <row r="396" spans="379:394" x14ac:dyDescent="0.3">
      <c r="NZ396" s="368"/>
    </row>
    <row r="397" spans="379:394" x14ac:dyDescent="0.3">
      <c r="OA397" s="369"/>
    </row>
    <row r="398" spans="379:394" x14ac:dyDescent="0.3">
      <c r="OB398" s="370"/>
    </row>
    <row r="399" spans="379:394" x14ac:dyDescent="0.3">
      <c r="OC399" s="371"/>
    </row>
    <row r="400" spans="379:394" x14ac:dyDescent="0.3">
      <c r="OD400" s="372"/>
    </row>
    <row r="401" spans="395:410" x14ac:dyDescent="0.3">
      <c r="OE401" s="373"/>
    </row>
    <row r="402" spans="395:410" x14ac:dyDescent="0.3">
      <c r="OF402" s="374"/>
    </row>
    <row r="403" spans="395:410" x14ac:dyDescent="0.3">
      <c r="OG403" s="375"/>
    </row>
    <row r="404" spans="395:410" x14ac:dyDescent="0.3">
      <c r="OH404" s="376"/>
    </row>
    <row r="405" spans="395:410" x14ac:dyDescent="0.3">
      <c r="OI405" s="377"/>
    </row>
    <row r="406" spans="395:410" x14ac:dyDescent="0.3">
      <c r="OJ406" s="378"/>
    </row>
    <row r="407" spans="395:410" x14ac:dyDescent="0.3">
      <c r="OK407" s="379"/>
    </row>
    <row r="408" spans="395:410" x14ac:dyDescent="0.3">
      <c r="OL408" s="380"/>
    </row>
    <row r="409" spans="395:410" x14ac:dyDescent="0.3">
      <c r="OM409" s="381"/>
    </row>
    <row r="410" spans="395:410" x14ac:dyDescent="0.3">
      <c r="ON410" s="382"/>
    </row>
    <row r="411" spans="395:410" x14ac:dyDescent="0.3">
      <c r="OO411" s="383"/>
    </row>
    <row r="412" spans="395:410" x14ac:dyDescent="0.3">
      <c r="OP412" s="384"/>
    </row>
    <row r="413" spans="395:410" x14ac:dyDescent="0.3">
      <c r="OQ413" s="385"/>
    </row>
    <row r="414" spans="395:410" x14ac:dyDescent="0.3">
      <c r="OR414" s="386"/>
    </row>
    <row r="415" spans="395:410" x14ac:dyDescent="0.3">
      <c r="OS415" s="387"/>
    </row>
    <row r="416" spans="395:410" x14ac:dyDescent="0.3">
      <c r="OT416" s="388"/>
    </row>
    <row r="417" spans="411:426" x14ac:dyDescent="0.3">
      <c r="OU417" s="389"/>
    </row>
    <row r="418" spans="411:426" x14ac:dyDescent="0.3">
      <c r="OV418" s="390"/>
    </row>
    <row r="419" spans="411:426" x14ac:dyDescent="0.3">
      <c r="OW419" s="391"/>
    </row>
    <row r="420" spans="411:426" x14ac:dyDescent="0.3">
      <c r="OX420" s="392"/>
    </row>
    <row r="421" spans="411:426" x14ac:dyDescent="0.3">
      <c r="OY421" s="393"/>
    </row>
    <row r="422" spans="411:426" x14ac:dyDescent="0.3">
      <c r="OZ422" s="394"/>
    </row>
    <row r="423" spans="411:426" x14ac:dyDescent="0.3">
      <c r="PA423" s="395"/>
    </row>
    <row r="424" spans="411:426" x14ac:dyDescent="0.3">
      <c r="PB424" s="396"/>
    </row>
    <row r="425" spans="411:426" x14ac:dyDescent="0.3">
      <c r="PC425" s="397"/>
    </row>
    <row r="426" spans="411:426" x14ac:dyDescent="0.3">
      <c r="PD426" s="398"/>
    </row>
    <row r="427" spans="411:426" x14ac:dyDescent="0.3">
      <c r="PE427" s="399"/>
    </row>
    <row r="428" spans="411:426" x14ac:dyDescent="0.3">
      <c r="PF428" s="400"/>
    </row>
    <row r="429" spans="411:426" x14ac:dyDescent="0.3">
      <c r="PG429" s="401"/>
    </row>
    <row r="430" spans="411:426" x14ac:dyDescent="0.3">
      <c r="PH430" s="402"/>
    </row>
    <row r="431" spans="411:426" x14ac:dyDescent="0.3">
      <c r="PI431" s="403"/>
    </row>
    <row r="432" spans="411:426" x14ac:dyDescent="0.3">
      <c r="PJ432" s="404"/>
    </row>
    <row r="433" spans="427:442" x14ac:dyDescent="0.3">
      <c r="PK433" s="405"/>
    </row>
    <row r="434" spans="427:442" x14ac:dyDescent="0.3">
      <c r="PL434" s="406"/>
    </row>
    <row r="435" spans="427:442" x14ac:dyDescent="0.3">
      <c r="PM435" s="407"/>
    </row>
    <row r="436" spans="427:442" x14ac:dyDescent="0.3">
      <c r="PN436" s="408"/>
    </row>
    <row r="437" spans="427:442" x14ac:dyDescent="0.3">
      <c r="PO437" s="409"/>
    </row>
    <row r="438" spans="427:442" x14ac:dyDescent="0.3">
      <c r="PP438" s="410"/>
    </row>
    <row r="439" spans="427:442" x14ac:dyDescent="0.3">
      <c r="PQ439" s="411"/>
    </row>
    <row r="440" spans="427:442" x14ac:dyDescent="0.3">
      <c r="PR440" s="412"/>
    </row>
    <row r="441" spans="427:442" x14ac:dyDescent="0.3">
      <c r="PS441" s="413"/>
    </row>
    <row r="442" spans="427:442" x14ac:dyDescent="0.3">
      <c r="PT442" s="414"/>
    </row>
    <row r="443" spans="427:442" x14ac:dyDescent="0.3">
      <c r="PU443" s="415"/>
    </row>
    <row r="444" spans="427:442" x14ac:dyDescent="0.3">
      <c r="PV444" s="416"/>
    </row>
    <row r="445" spans="427:442" x14ac:dyDescent="0.3">
      <c r="PW445" s="417"/>
    </row>
    <row r="446" spans="427:442" x14ac:dyDescent="0.3">
      <c r="PX446" s="418"/>
    </row>
    <row r="447" spans="427:442" x14ac:dyDescent="0.3">
      <c r="PY447" s="419"/>
    </row>
    <row r="448" spans="427:442" x14ac:dyDescent="0.3">
      <c r="PZ448" s="420"/>
    </row>
    <row r="449" spans="443:458" x14ac:dyDescent="0.3">
      <c r="QA449" s="421"/>
    </row>
    <row r="450" spans="443:458" x14ac:dyDescent="0.3">
      <c r="QB450" s="422"/>
    </row>
    <row r="451" spans="443:458" x14ac:dyDescent="0.3">
      <c r="QC451" s="423"/>
    </row>
    <row r="452" spans="443:458" x14ac:dyDescent="0.3">
      <c r="QD452" s="424"/>
    </row>
    <row r="453" spans="443:458" x14ac:dyDescent="0.3">
      <c r="QE453" s="425"/>
    </row>
    <row r="454" spans="443:458" x14ac:dyDescent="0.3">
      <c r="QF454" s="426"/>
    </row>
    <row r="455" spans="443:458" x14ac:dyDescent="0.3">
      <c r="QG455" s="427"/>
    </row>
    <row r="456" spans="443:458" x14ac:dyDescent="0.3">
      <c r="QH456" s="428"/>
    </row>
    <row r="457" spans="443:458" x14ac:dyDescent="0.3">
      <c r="QI457" s="429"/>
    </row>
    <row r="458" spans="443:458" x14ac:dyDescent="0.3">
      <c r="QJ458" s="430"/>
    </row>
    <row r="459" spans="443:458" x14ac:dyDescent="0.3">
      <c r="QK459" s="431"/>
    </row>
    <row r="460" spans="443:458" x14ac:dyDescent="0.3">
      <c r="QL460" s="432"/>
    </row>
    <row r="461" spans="443:458" x14ac:dyDescent="0.3">
      <c r="QM461" s="433"/>
    </row>
    <row r="462" spans="443:458" x14ac:dyDescent="0.3">
      <c r="QN462" s="434"/>
    </row>
    <row r="463" spans="443:458" x14ac:dyDescent="0.3">
      <c r="QO463" s="435"/>
    </row>
    <row r="464" spans="443:458" x14ac:dyDescent="0.3">
      <c r="QP464" s="436"/>
    </row>
    <row r="465" spans="459:474" x14ac:dyDescent="0.3">
      <c r="QQ465" s="437"/>
    </row>
    <row r="466" spans="459:474" x14ac:dyDescent="0.3">
      <c r="QR466" s="438"/>
    </row>
    <row r="467" spans="459:474" x14ac:dyDescent="0.3">
      <c r="QS467" s="439"/>
    </row>
    <row r="468" spans="459:474" x14ac:dyDescent="0.3">
      <c r="QT468" s="440"/>
    </row>
    <row r="469" spans="459:474" x14ac:dyDescent="0.3">
      <c r="QU469" s="441"/>
    </row>
    <row r="470" spans="459:474" x14ac:dyDescent="0.3">
      <c r="QV470" s="442"/>
    </row>
    <row r="471" spans="459:474" x14ac:dyDescent="0.3">
      <c r="QW471" s="443"/>
    </row>
    <row r="472" spans="459:474" x14ac:dyDescent="0.3">
      <c r="QX472" s="444"/>
    </row>
    <row r="473" spans="459:474" x14ac:dyDescent="0.3">
      <c r="QY473" s="445"/>
    </row>
    <row r="474" spans="459:474" x14ac:dyDescent="0.3">
      <c r="QZ474" s="446"/>
    </row>
    <row r="475" spans="459:474" x14ac:dyDescent="0.3">
      <c r="RA475" s="447"/>
    </row>
    <row r="476" spans="459:474" x14ac:dyDescent="0.3">
      <c r="RB476" s="448"/>
    </row>
    <row r="477" spans="459:474" x14ac:dyDescent="0.3">
      <c r="RC477" s="449"/>
    </row>
    <row r="478" spans="459:474" x14ac:dyDescent="0.3">
      <c r="RD478" s="450"/>
    </row>
    <row r="479" spans="459:474" x14ac:dyDescent="0.3">
      <c r="RE479" s="451"/>
    </row>
    <row r="480" spans="459:474" x14ac:dyDescent="0.3">
      <c r="RF480" s="452"/>
    </row>
    <row r="481" spans="475:490" x14ac:dyDescent="0.3">
      <c r="RG481" s="453"/>
    </row>
    <row r="482" spans="475:490" x14ac:dyDescent="0.3">
      <c r="RH482" s="454"/>
    </row>
    <row r="483" spans="475:490" x14ac:dyDescent="0.3">
      <c r="RI483" s="455"/>
    </row>
    <row r="484" spans="475:490" x14ac:dyDescent="0.3">
      <c r="RJ484" s="456"/>
    </row>
    <row r="485" spans="475:490" x14ac:dyDescent="0.3">
      <c r="RK485" s="457"/>
    </row>
    <row r="486" spans="475:490" x14ac:dyDescent="0.3">
      <c r="RL486" s="458"/>
    </row>
    <row r="487" spans="475:490" x14ac:dyDescent="0.3">
      <c r="RM487" s="459"/>
    </row>
    <row r="488" spans="475:490" x14ac:dyDescent="0.3">
      <c r="RN488" s="460"/>
    </row>
    <row r="489" spans="475:490" x14ac:dyDescent="0.3">
      <c r="RO489" s="461"/>
    </row>
    <row r="490" spans="475:490" x14ac:dyDescent="0.3">
      <c r="RP490" s="462"/>
    </row>
    <row r="491" spans="475:490" x14ac:dyDescent="0.3">
      <c r="RQ491" s="463"/>
    </row>
    <row r="492" spans="475:490" x14ac:dyDescent="0.3">
      <c r="RR492" s="464"/>
    </row>
    <row r="493" spans="475:490" x14ac:dyDescent="0.3">
      <c r="RS493" s="465"/>
    </row>
    <row r="494" spans="475:490" x14ac:dyDescent="0.3">
      <c r="RT494" s="466"/>
    </row>
    <row r="495" spans="475:490" x14ac:dyDescent="0.3">
      <c r="RU495" s="467"/>
    </row>
    <row r="496" spans="475:490" x14ac:dyDescent="0.3">
      <c r="RV496" s="468"/>
    </row>
    <row r="497" spans="491:506" x14ac:dyDescent="0.3">
      <c r="RW497" s="469"/>
    </row>
    <row r="498" spans="491:506" x14ac:dyDescent="0.3">
      <c r="RX498" s="470"/>
    </row>
    <row r="499" spans="491:506" x14ac:dyDescent="0.3">
      <c r="RY499" s="471"/>
    </row>
    <row r="500" spans="491:506" x14ac:dyDescent="0.3">
      <c r="RZ500" s="472"/>
    </row>
    <row r="501" spans="491:506" x14ac:dyDescent="0.3">
      <c r="SA501" s="473"/>
    </row>
    <row r="502" spans="491:506" x14ac:dyDescent="0.3">
      <c r="SB502" s="474"/>
    </row>
    <row r="503" spans="491:506" x14ac:dyDescent="0.3">
      <c r="SC503" s="475"/>
    </row>
    <row r="504" spans="491:506" x14ac:dyDescent="0.3">
      <c r="SD504" s="476"/>
    </row>
    <row r="505" spans="491:506" x14ac:dyDescent="0.3">
      <c r="SE505" s="477"/>
    </row>
    <row r="506" spans="491:506" x14ac:dyDescent="0.3">
      <c r="SF506" s="478"/>
    </row>
    <row r="507" spans="491:506" x14ac:dyDescent="0.3">
      <c r="SG507" s="479"/>
    </row>
    <row r="508" spans="491:506" x14ac:dyDescent="0.3">
      <c r="SH508" s="480"/>
    </row>
    <row r="509" spans="491:506" x14ac:dyDescent="0.3">
      <c r="SI509" s="481"/>
    </row>
    <row r="510" spans="491:506" x14ac:dyDescent="0.3">
      <c r="SJ510" s="482"/>
    </row>
    <row r="511" spans="491:506" x14ac:dyDescent="0.3">
      <c r="SK511" s="483"/>
    </row>
    <row r="512" spans="491:506" x14ac:dyDescent="0.3">
      <c r="SL512" s="484"/>
    </row>
    <row r="513" spans="507:522" x14ac:dyDescent="0.3">
      <c r="SM513" s="485"/>
    </row>
    <row r="514" spans="507:522" x14ac:dyDescent="0.3">
      <c r="SN514" s="486"/>
    </row>
    <row r="515" spans="507:522" x14ac:dyDescent="0.3">
      <c r="SO515" s="487"/>
    </row>
    <row r="516" spans="507:522" x14ac:dyDescent="0.3">
      <c r="SP516" s="488"/>
    </row>
    <row r="517" spans="507:522" x14ac:dyDescent="0.3">
      <c r="SQ517" s="489"/>
    </row>
    <row r="518" spans="507:522" x14ac:dyDescent="0.3">
      <c r="SR518" s="490"/>
    </row>
    <row r="519" spans="507:522" x14ac:dyDescent="0.3">
      <c r="SS519" s="491"/>
    </row>
    <row r="520" spans="507:522" x14ac:dyDescent="0.3">
      <c r="ST520" s="491"/>
    </row>
    <row r="521" spans="507:522" x14ac:dyDescent="0.3">
      <c r="SU521" s="492"/>
    </row>
    <row r="522" spans="507:522" x14ac:dyDescent="0.3">
      <c r="SV522" s="493"/>
    </row>
    <row r="523" spans="507:522" x14ac:dyDescent="0.3">
      <c r="SW523" s="494"/>
    </row>
    <row r="524" spans="507:522" x14ac:dyDescent="0.3">
      <c r="SX524" s="495"/>
    </row>
    <row r="525" spans="507:522" x14ac:dyDescent="0.3">
      <c r="SY525" s="496"/>
    </row>
    <row r="526" spans="507:522" x14ac:dyDescent="0.3">
      <c r="SZ526" s="497"/>
    </row>
    <row r="527" spans="507:522" x14ac:dyDescent="0.3">
      <c r="TA527" s="498"/>
    </row>
    <row r="528" spans="507:522" x14ac:dyDescent="0.3">
      <c r="TB528" s="499"/>
    </row>
    <row r="529" spans="523:538" x14ac:dyDescent="0.3">
      <c r="TC529" s="500"/>
    </row>
    <row r="530" spans="523:538" x14ac:dyDescent="0.3">
      <c r="TD530" s="501"/>
    </row>
    <row r="531" spans="523:538" x14ac:dyDescent="0.3">
      <c r="TE531" s="502"/>
    </row>
    <row r="532" spans="523:538" x14ac:dyDescent="0.3">
      <c r="TF532" s="503"/>
    </row>
    <row r="533" spans="523:538" x14ac:dyDescent="0.3">
      <c r="TG533" s="504"/>
    </row>
    <row r="534" spans="523:538" x14ac:dyDescent="0.3">
      <c r="TH534" s="505"/>
    </row>
    <row r="535" spans="523:538" x14ac:dyDescent="0.3">
      <c r="TI535" s="506"/>
    </row>
    <row r="536" spans="523:538" x14ac:dyDescent="0.3">
      <c r="TJ536" s="507"/>
    </row>
    <row r="537" spans="523:538" x14ac:dyDescent="0.3">
      <c r="TK537" s="508"/>
    </row>
    <row r="538" spans="523:538" x14ac:dyDescent="0.3">
      <c r="TL538" s="509"/>
    </row>
    <row r="539" spans="523:538" x14ac:dyDescent="0.3">
      <c r="TM539" s="510"/>
    </row>
    <row r="540" spans="523:538" x14ac:dyDescent="0.3">
      <c r="TN540" s="511"/>
    </row>
    <row r="541" spans="523:538" x14ac:dyDescent="0.3">
      <c r="TO541" s="512"/>
    </row>
    <row r="542" spans="523:538" x14ac:dyDescent="0.3">
      <c r="TP542" s="513"/>
    </row>
    <row r="543" spans="523:538" x14ac:dyDescent="0.3">
      <c r="TQ543" s="514"/>
    </row>
    <row r="544" spans="523:538" x14ac:dyDescent="0.3">
      <c r="TR544" s="515"/>
    </row>
    <row r="545" spans="539:554" x14ac:dyDescent="0.3">
      <c r="TS545" s="516"/>
    </row>
    <row r="546" spans="539:554" x14ac:dyDescent="0.3">
      <c r="TT546" s="517"/>
    </row>
    <row r="547" spans="539:554" x14ac:dyDescent="0.3">
      <c r="TU547" s="518"/>
    </row>
    <row r="548" spans="539:554" x14ac:dyDescent="0.3">
      <c r="TV548" s="519"/>
    </row>
    <row r="549" spans="539:554" x14ac:dyDescent="0.3">
      <c r="TW549" s="520"/>
    </row>
    <row r="550" spans="539:554" x14ac:dyDescent="0.3">
      <c r="TX550" s="521"/>
    </row>
    <row r="551" spans="539:554" x14ac:dyDescent="0.3">
      <c r="TY551" s="522"/>
    </row>
    <row r="552" spans="539:554" x14ac:dyDescent="0.3">
      <c r="TZ552" s="523"/>
    </row>
    <row r="553" spans="539:554" x14ac:dyDescent="0.3">
      <c r="UA553" s="524"/>
    </row>
    <row r="554" spans="539:554" x14ac:dyDescent="0.3">
      <c r="UB554" s="525"/>
    </row>
    <row r="555" spans="539:554" x14ac:dyDescent="0.3">
      <c r="UC555" s="526"/>
    </row>
    <row r="556" spans="539:554" x14ac:dyDescent="0.3">
      <c r="UD556" s="527"/>
    </row>
    <row r="557" spans="539:554" x14ac:dyDescent="0.3">
      <c r="UE557" s="528"/>
    </row>
    <row r="558" spans="539:554" x14ac:dyDescent="0.3">
      <c r="UF558" s="529"/>
    </row>
    <row r="559" spans="539:554" x14ac:dyDescent="0.3">
      <c r="UG559" s="530"/>
    </row>
    <row r="560" spans="539:554" x14ac:dyDescent="0.3">
      <c r="UH560" s="531"/>
    </row>
    <row r="561" spans="555:570" x14ac:dyDescent="0.3">
      <c r="UI561" s="532"/>
    </row>
    <row r="562" spans="555:570" x14ac:dyDescent="0.3">
      <c r="UJ562" s="533"/>
    </row>
    <row r="563" spans="555:570" x14ac:dyDescent="0.3">
      <c r="UK563" s="534"/>
    </row>
    <row r="564" spans="555:570" x14ac:dyDescent="0.3">
      <c r="UL564" s="535"/>
    </row>
    <row r="565" spans="555:570" x14ac:dyDescent="0.3">
      <c r="UM565" s="536"/>
    </row>
    <row r="566" spans="555:570" x14ac:dyDescent="0.3">
      <c r="UN566" s="537"/>
    </row>
    <row r="567" spans="555:570" x14ac:dyDescent="0.3">
      <c r="UO567" s="538"/>
    </row>
    <row r="568" spans="555:570" x14ac:dyDescent="0.3">
      <c r="UP568" s="539"/>
    </row>
    <row r="569" spans="555:570" x14ac:dyDescent="0.3">
      <c r="UQ569" s="540"/>
    </row>
    <row r="570" spans="555:570" x14ac:dyDescent="0.3">
      <c r="UR570" s="541"/>
    </row>
    <row r="571" spans="555:570" x14ac:dyDescent="0.3">
      <c r="US571" s="542"/>
    </row>
    <row r="572" spans="555:570" x14ac:dyDescent="0.3">
      <c r="UT572" s="543"/>
    </row>
    <row r="573" spans="555:570" x14ac:dyDescent="0.3">
      <c r="UU573" s="544"/>
    </row>
    <row r="574" spans="555:570" x14ac:dyDescent="0.3">
      <c r="UV574" s="545"/>
    </row>
    <row r="575" spans="555:570" x14ac:dyDescent="0.3">
      <c r="UW575" s="546"/>
    </row>
    <row r="576" spans="555:570" x14ac:dyDescent="0.3">
      <c r="UX576" s="547"/>
    </row>
    <row r="577" spans="571:586" x14ac:dyDescent="0.3">
      <c r="UY577" s="548"/>
    </row>
    <row r="578" spans="571:586" x14ac:dyDescent="0.3">
      <c r="UZ578" s="549"/>
    </row>
    <row r="579" spans="571:586" x14ac:dyDescent="0.3">
      <c r="VA579" s="550"/>
    </row>
    <row r="580" spans="571:586" x14ac:dyDescent="0.3">
      <c r="VB580" s="551"/>
    </row>
    <row r="581" spans="571:586" x14ac:dyDescent="0.3">
      <c r="VC581" s="552"/>
    </row>
    <row r="582" spans="571:586" x14ac:dyDescent="0.3">
      <c r="VD582" s="553"/>
    </row>
    <row r="583" spans="571:586" x14ac:dyDescent="0.3">
      <c r="VE583" s="554"/>
    </row>
    <row r="584" spans="571:586" x14ac:dyDescent="0.3">
      <c r="VF584" s="555"/>
    </row>
    <row r="585" spans="571:586" x14ac:dyDescent="0.3">
      <c r="VG585" s="556"/>
    </row>
    <row r="586" spans="571:586" x14ac:dyDescent="0.3">
      <c r="VH586" s="557"/>
    </row>
    <row r="587" spans="571:586" x14ac:dyDescent="0.3">
      <c r="VI587" s="558"/>
    </row>
    <row r="588" spans="571:586" x14ac:dyDescent="0.3">
      <c r="VJ588" s="559"/>
    </row>
    <row r="589" spans="571:586" x14ac:dyDescent="0.3">
      <c r="VK589" s="560"/>
    </row>
    <row r="590" spans="571:586" x14ac:dyDescent="0.3">
      <c r="VL590" s="561"/>
    </row>
    <row r="591" spans="571:586" x14ac:dyDescent="0.3">
      <c r="VM591" s="562"/>
    </row>
    <row r="592" spans="571:586" x14ac:dyDescent="0.3">
      <c r="VN592" s="563"/>
    </row>
    <row r="593" spans="587:602" x14ac:dyDescent="0.3">
      <c r="VO593" s="564"/>
    </row>
    <row r="594" spans="587:602" x14ac:dyDescent="0.3">
      <c r="VP594" s="565"/>
    </row>
    <row r="595" spans="587:602" x14ac:dyDescent="0.3">
      <c r="VQ595" s="566"/>
    </row>
    <row r="596" spans="587:602" x14ac:dyDescent="0.3">
      <c r="VR596" s="567"/>
    </row>
    <row r="597" spans="587:602" x14ac:dyDescent="0.3">
      <c r="VS597" s="568"/>
    </row>
    <row r="598" spans="587:602" x14ac:dyDescent="0.3">
      <c r="VT598" s="569"/>
    </row>
    <row r="599" spans="587:602" x14ac:dyDescent="0.3">
      <c r="VU599" s="570"/>
    </row>
    <row r="600" spans="587:602" x14ac:dyDescent="0.3">
      <c r="VV600" s="571"/>
    </row>
    <row r="601" spans="587:602" x14ac:dyDescent="0.3">
      <c r="VW601" s="572"/>
    </row>
    <row r="602" spans="587:602" x14ac:dyDescent="0.3">
      <c r="VX602" s="573"/>
    </row>
    <row r="603" spans="587:602" x14ac:dyDescent="0.3">
      <c r="VY603" s="574"/>
    </row>
    <row r="604" spans="587:602" x14ac:dyDescent="0.3">
      <c r="VZ604" s="575"/>
    </row>
    <row r="605" spans="587:602" x14ac:dyDescent="0.3">
      <c r="WA605" s="576"/>
    </row>
    <row r="606" spans="587:602" x14ac:dyDescent="0.3">
      <c r="WB606" s="577"/>
    </row>
    <row r="607" spans="587:602" x14ac:dyDescent="0.3">
      <c r="WC607" s="578"/>
    </row>
    <row r="608" spans="587:602" x14ac:dyDescent="0.3">
      <c r="WD608" s="579"/>
    </row>
    <row r="609" spans="603:618" x14ac:dyDescent="0.3">
      <c r="WE609" s="580"/>
    </row>
    <row r="610" spans="603:618" x14ac:dyDescent="0.3">
      <c r="WF610" s="581"/>
    </row>
    <row r="611" spans="603:618" x14ac:dyDescent="0.3">
      <c r="WG611" s="582"/>
    </row>
    <row r="612" spans="603:618" x14ac:dyDescent="0.3">
      <c r="WH612" s="583"/>
    </row>
    <row r="613" spans="603:618" x14ac:dyDescent="0.3">
      <c r="WI613" s="584"/>
    </row>
    <row r="614" spans="603:618" x14ac:dyDescent="0.3">
      <c r="WJ614" s="585"/>
    </row>
    <row r="615" spans="603:618" x14ac:dyDescent="0.3">
      <c r="WK615" s="586"/>
    </row>
    <row r="616" spans="603:618" x14ac:dyDescent="0.3">
      <c r="WL616" s="587"/>
    </row>
    <row r="617" spans="603:618" x14ac:dyDescent="0.3">
      <c r="WM617" s="588"/>
    </row>
    <row r="618" spans="603:618" x14ac:dyDescent="0.3">
      <c r="WN618" s="589"/>
    </row>
    <row r="619" spans="603:618" x14ac:dyDescent="0.3">
      <c r="WO619" s="590"/>
    </row>
    <row r="620" spans="603:618" x14ac:dyDescent="0.3">
      <c r="WP620" s="591"/>
    </row>
    <row r="621" spans="603:618" x14ac:dyDescent="0.3">
      <c r="WQ621" s="592"/>
    </row>
    <row r="622" spans="603:618" x14ac:dyDescent="0.3">
      <c r="WR622" s="593"/>
    </row>
    <row r="623" spans="603:618" x14ac:dyDescent="0.3">
      <c r="WS623" s="594"/>
    </row>
    <row r="624" spans="603:618" x14ac:dyDescent="0.3">
      <c r="WT624" s="595"/>
    </row>
    <row r="625" spans="619:634" x14ac:dyDescent="0.3">
      <c r="WU625" s="596"/>
    </row>
    <row r="626" spans="619:634" x14ac:dyDescent="0.3">
      <c r="WV626" s="597"/>
    </row>
    <row r="627" spans="619:634" x14ac:dyDescent="0.3">
      <c r="WW627" s="598"/>
    </row>
    <row r="628" spans="619:634" x14ac:dyDescent="0.3">
      <c r="WX628" s="599"/>
    </row>
    <row r="629" spans="619:634" x14ac:dyDescent="0.3">
      <c r="WY629" s="600"/>
    </row>
    <row r="630" spans="619:634" x14ac:dyDescent="0.3">
      <c r="WZ630" s="601"/>
    </row>
    <row r="631" spans="619:634" x14ac:dyDescent="0.3">
      <c r="XA631" s="602"/>
    </row>
    <row r="632" spans="619:634" x14ac:dyDescent="0.3">
      <c r="XB632" s="603"/>
    </row>
    <row r="633" spans="619:634" x14ac:dyDescent="0.3">
      <c r="XC633" s="604"/>
    </row>
    <row r="634" spans="619:634" x14ac:dyDescent="0.3">
      <c r="XD634" s="605"/>
    </row>
    <row r="635" spans="619:634" x14ac:dyDescent="0.3">
      <c r="XE635" s="606"/>
    </row>
    <row r="636" spans="619:634" x14ac:dyDescent="0.3">
      <c r="XF636" s="607"/>
    </row>
    <row r="637" spans="619:634" x14ac:dyDescent="0.3">
      <c r="XG637" s="608"/>
    </row>
    <row r="638" spans="619:634" x14ac:dyDescent="0.3">
      <c r="XH638" s="609"/>
    </row>
    <row r="639" spans="619:634" x14ac:dyDescent="0.3">
      <c r="XI639" s="610"/>
    </row>
    <row r="640" spans="619:634" x14ac:dyDescent="0.3">
      <c r="XJ640" s="611"/>
    </row>
    <row r="641" spans="635:650" x14ac:dyDescent="0.3">
      <c r="XK641" s="612"/>
    </row>
    <row r="642" spans="635:650" x14ac:dyDescent="0.3">
      <c r="XL642" s="613"/>
    </row>
    <row r="643" spans="635:650" x14ac:dyDescent="0.3">
      <c r="XM643" s="614"/>
    </row>
    <row r="644" spans="635:650" x14ac:dyDescent="0.3">
      <c r="XN644" s="615"/>
    </row>
    <row r="645" spans="635:650" x14ac:dyDescent="0.3">
      <c r="XO645" s="616"/>
    </row>
    <row r="646" spans="635:650" x14ac:dyDescent="0.3">
      <c r="XP646" s="617"/>
    </row>
    <row r="647" spans="635:650" x14ac:dyDescent="0.3">
      <c r="XQ647" s="618"/>
    </row>
    <row r="648" spans="635:650" x14ac:dyDescent="0.3">
      <c r="XR648" s="619"/>
    </row>
    <row r="649" spans="635:650" x14ac:dyDescent="0.3">
      <c r="XS649" s="620"/>
    </row>
    <row r="650" spans="635:650" x14ac:dyDescent="0.3">
      <c r="XT650" s="621"/>
    </row>
    <row r="651" spans="635:650" x14ac:dyDescent="0.3">
      <c r="XU651" s="622"/>
    </row>
    <row r="652" spans="635:650" x14ac:dyDescent="0.3">
      <c r="XV652" s="623"/>
    </row>
    <row r="653" spans="635:650" x14ac:dyDescent="0.3">
      <c r="XW653" s="624"/>
    </row>
    <row r="654" spans="635:650" x14ac:dyDescent="0.3">
      <c r="XX654" s="625"/>
    </row>
    <row r="655" spans="635:650" x14ac:dyDescent="0.3">
      <c r="XY655" s="626"/>
    </row>
    <row r="656" spans="635:650" x14ac:dyDescent="0.3">
      <c r="XZ656" s="627"/>
    </row>
    <row r="657" spans="651:666" x14ac:dyDescent="0.3">
      <c r="YA657" s="628"/>
    </row>
    <row r="658" spans="651:666" x14ac:dyDescent="0.3">
      <c r="YB658" s="629"/>
    </row>
    <row r="659" spans="651:666" x14ac:dyDescent="0.3">
      <c r="YC659" s="630"/>
    </row>
    <row r="660" spans="651:666" x14ac:dyDescent="0.3">
      <c r="YD660" s="631"/>
    </row>
    <row r="661" spans="651:666" x14ac:dyDescent="0.3">
      <c r="YE661" s="632"/>
    </row>
    <row r="662" spans="651:666" x14ac:dyDescent="0.3">
      <c r="YF662" s="633"/>
    </row>
    <row r="663" spans="651:666" x14ac:dyDescent="0.3">
      <c r="YG663" s="634"/>
    </row>
    <row r="664" spans="651:666" x14ac:dyDescent="0.3">
      <c r="YH664" s="635"/>
    </row>
    <row r="665" spans="651:666" x14ac:dyDescent="0.3">
      <c r="YI665" s="636"/>
    </row>
    <row r="666" spans="651:666" x14ac:dyDescent="0.3">
      <c r="YJ666" s="637"/>
    </row>
    <row r="667" spans="651:666" x14ac:dyDescent="0.3">
      <c r="YK667" s="638"/>
    </row>
    <row r="668" spans="651:666" x14ac:dyDescent="0.3">
      <c r="YL668" s="639"/>
    </row>
    <row r="669" spans="651:666" x14ac:dyDescent="0.3">
      <c r="YM669" s="640"/>
    </row>
    <row r="670" spans="651:666" x14ac:dyDescent="0.3">
      <c r="YN670" s="641"/>
    </row>
    <row r="671" spans="651:666" x14ac:dyDescent="0.3">
      <c r="YO671" s="642"/>
    </row>
    <row r="672" spans="651:666" x14ac:dyDescent="0.3">
      <c r="YP672" s="643"/>
    </row>
    <row r="673" spans="667:682" x14ac:dyDescent="0.3">
      <c r="YQ673" s="644"/>
    </row>
    <row r="674" spans="667:682" x14ac:dyDescent="0.3">
      <c r="YR674" s="645"/>
    </row>
    <row r="675" spans="667:682" x14ac:dyDescent="0.3">
      <c r="YS675" s="646"/>
    </row>
    <row r="676" spans="667:682" x14ac:dyDescent="0.3">
      <c r="YT676" s="647"/>
    </row>
    <row r="677" spans="667:682" x14ac:dyDescent="0.3">
      <c r="YU677" s="648"/>
    </row>
    <row r="678" spans="667:682" x14ac:dyDescent="0.3">
      <c r="YV678" s="649"/>
    </row>
    <row r="679" spans="667:682" x14ac:dyDescent="0.3">
      <c r="YW679" s="650"/>
    </row>
    <row r="680" spans="667:682" x14ac:dyDescent="0.3">
      <c r="YX680" s="651"/>
    </row>
    <row r="681" spans="667:682" x14ac:dyDescent="0.3">
      <c r="YY681" s="652"/>
    </row>
    <row r="682" spans="667:682" x14ac:dyDescent="0.3">
      <c r="YZ682" s="653"/>
    </row>
    <row r="683" spans="667:682" x14ac:dyDescent="0.3">
      <c r="ZA683" s="654"/>
    </row>
    <row r="684" spans="667:682" x14ac:dyDescent="0.3">
      <c r="ZB684" s="655"/>
    </row>
    <row r="685" spans="667:682" x14ac:dyDescent="0.3">
      <c r="ZC685" s="656"/>
    </row>
    <row r="686" spans="667:682" x14ac:dyDescent="0.3">
      <c r="ZD686" s="657"/>
    </row>
    <row r="687" spans="667:682" x14ac:dyDescent="0.3">
      <c r="ZE687" s="658"/>
    </row>
    <row r="688" spans="667:682" x14ac:dyDescent="0.3">
      <c r="ZF688" s="659"/>
    </row>
    <row r="689" spans="683:698" x14ac:dyDescent="0.3">
      <c r="ZG689" s="660"/>
    </row>
    <row r="690" spans="683:698" x14ac:dyDescent="0.3">
      <c r="ZH690" s="661"/>
    </row>
    <row r="691" spans="683:698" x14ac:dyDescent="0.3">
      <c r="ZI691" s="662"/>
    </row>
    <row r="692" spans="683:698" x14ac:dyDescent="0.3">
      <c r="ZJ692" s="663"/>
    </row>
    <row r="693" spans="683:698" x14ac:dyDescent="0.3">
      <c r="ZK693" s="664"/>
    </row>
    <row r="694" spans="683:698" x14ac:dyDescent="0.3">
      <c r="ZL694" s="665"/>
    </row>
    <row r="695" spans="683:698" x14ac:dyDescent="0.3">
      <c r="ZM695" s="666"/>
    </row>
    <row r="696" spans="683:698" x14ac:dyDescent="0.3">
      <c r="ZN696" s="667"/>
    </row>
    <row r="697" spans="683:698" x14ac:dyDescent="0.3">
      <c r="ZO697" s="668"/>
    </row>
    <row r="698" spans="683:698" x14ac:dyDescent="0.3">
      <c r="ZP698" s="669"/>
    </row>
    <row r="699" spans="683:698" x14ac:dyDescent="0.3">
      <c r="ZQ699" s="670"/>
    </row>
    <row r="700" spans="683:698" x14ac:dyDescent="0.3">
      <c r="ZR700" s="671"/>
    </row>
    <row r="701" spans="683:698" x14ac:dyDescent="0.3">
      <c r="ZS701" s="672"/>
    </row>
    <row r="702" spans="683:698" x14ac:dyDescent="0.3">
      <c r="ZT702" s="673"/>
    </row>
    <row r="703" spans="683:698" x14ac:dyDescent="0.3">
      <c r="ZU703" s="674"/>
    </row>
    <row r="704" spans="683:698" x14ac:dyDescent="0.3">
      <c r="ZV704" s="675"/>
    </row>
    <row r="705" spans="699:714" x14ac:dyDescent="0.3">
      <c r="ZW705" s="676"/>
    </row>
    <row r="706" spans="699:714" x14ac:dyDescent="0.3">
      <c r="ZX706" s="677"/>
    </row>
    <row r="707" spans="699:714" x14ac:dyDescent="0.3">
      <c r="ZY707" s="678"/>
    </row>
    <row r="708" spans="699:714" x14ac:dyDescent="0.3">
      <c r="ZZ708" s="679"/>
    </row>
    <row r="709" spans="699:714" x14ac:dyDescent="0.3">
      <c r="AAA709" s="680"/>
    </row>
    <row r="710" spans="699:714" x14ac:dyDescent="0.3">
      <c r="AAB710" s="681"/>
    </row>
    <row r="711" spans="699:714" x14ac:dyDescent="0.3">
      <c r="AAC711" s="682"/>
    </row>
    <row r="712" spans="699:714" x14ac:dyDescent="0.3">
      <c r="AAD712" s="683"/>
    </row>
    <row r="713" spans="699:714" x14ac:dyDescent="0.3">
      <c r="AAE713" s="684"/>
    </row>
    <row r="714" spans="699:714" x14ac:dyDescent="0.3">
      <c r="AAF714" s="685"/>
    </row>
    <row r="715" spans="699:714" x14ac:dyDescent="0.3">
      <c r="AAG715" s="686"/>
    </row>
    <row r="716" spans="699:714" x14ac:dyDescent="0.3">
      <c r="AAH716" s="687"/>
    </row>
    <row r="717" spans="699:714" x14ac:dyDescent="0.3">
      <c r="AAI717" s="688"/>
    </row>
    <row r="718" spans="699:714" x14ac:dyDescent="0.3">
      <c r="AAJ718" s="689"/>
    </row>
    <row r="719" spans="699:714" x14ac:dyDescent="0.3">
      <c r="AAK719" s="690"/>
    </row>
    <row r="720" spans="699:714" x14ac:dyDescent="0.3">
      <c r="AAL720" s="691"/>
    </row>
    <row r="721" spans="715:730" x14ac:dyDescent="0.3">
      <c r="AAM721" s="692"/>
    </row>
    <row r="722" spans="715:730" x14ac:dyDescent="0.3">
      <c r="AAN722" s="693"/>
    </row>
    <row r="723" spans="715:730" x14ac:dyDescent="0.3">
      <c r="AAO723" s="694"/>
    </row>
    <row r="724" spans="715:730" x14ac:dyDescent="0.3">
      <c r="AAP724" s="695"/>
    </row>
    <row r="725" spans="715:730" x14ac:dyDescent="0.3">
      <c r="AAQ725" s="696"/>
    </row>
    <row r="726" spans="715:730" x14ac:dyDescent="0.3">
      <c r="AAR726" s="697"/>
    </row>
    <row r="727" spans="715:730" x14ac:dyDescent="0.3">
      <c r="AAS727" s="698"/>
    </row>
    <row r="728" spans="715:730" x14ac:dyDescent="0.3">
      <c r="AAT728" s="699"/>
    </row>
    <row r="729" spans="715:730" x14ac:dyDescent="0.3">
      <c r="AAU729" s="700"/>
    </row>
    <row r="730" spans="715:730" x14ac:dyDescent="0.3">
      <c r="AAV730" s="701"/>
    </row>
    <row r="731" spans="715:730" x14ac:dyDescent="0.3">
      <c r="AAW731" s="702"/>
    </row>
    <row r="732" spans="715:730" x14ac:dyDescent="0.3">
      <c r="AAX732" s="703"/>
    </row>
    <row r="733" spans="715:730" x14ac:dyDescent="0.3">
      <c r="AAY733" s="704"/>
    </row>
    <row r="734" spans="715:730" x14ac:dyDescent="0.3">
      <c r="AAZ734" s="705"/>
    </row>
    <row r="735" spans="715:730" x14ac:dyDescent="0.3">
      <c r="ABA735" s="706"/>
    </row>
    <row r="736" spans="715:730" x14ac:dyDescent="0.3">
      <c r="ABB736" s="707"/>
    </row>
    <row r="737" spans="731:746" x14ac:dyDescent="0.3">
      <c r="ABC737" s="708"/>
    </row>
    <row r="738" spans="731:746" x14ac:dyDescent="0.3">
      <c r="ABD738" s="709"/>
    </row>
    <row r="739" spans="731:746" x14ac:dyDescent="0.3">
      <c r="ABE739" s="710"/>
    </row>
    <row r="740" spans="731:746" x14ac:dyDescent="0.3">
      <c r="ABF740" s="711"/>
    </row>
    <row r="741" spans="731:746" x14ac:dyDescent="0.3">
      <c r="ABG741" s="712"/>
    </row>
    <row r="742" spans="731:746" x14ac:dyDescent="0.3">
      <c r="ABH742" s="713"/>
    </row>
    <row r="743" spans="731:746" x14ac:dyDescent="0.3">
      <c r="ABI743" s="714"/>
    </row>
    <row r="744" spans="731:746" x14ac:dyDescent="0.3">
      <c r="ABJ744" s="715"/>
    </row>
    <row r="745" spans="731:746" x14ac:dyDescent="0.3">
      <c r="ABK745" s="716"/>
    </row>
    <row r="746" spans="731:746" x14ac:dyDescent="0.3">
      <c r="ABL746" s="717"/>
    </row>
    <row r="747" spans="731:746" x14ac:dyDescent="0.3">
      <c r="ABM747" s="718"/>
    </row>
    <row r="748" spans="731:746" x14ac:dyDescent="0.3">
      <c r="ABN748" s="719"/>
    </row>
    <row r="749" spans="731:746" x14ac:dyDescent="0.3">
      <c r="ABO749" s="720"/>
    </row>
    <row r="750" spans="731:746" x14ac:dyDescent="0.3">
      <c r="ABP750" s="721"/>
    </row>
    <row r="751" spans="731:746" x14ac:dyDescent="0.3">
      <c r="ABQ751" s="722"/>
    </row>
    <row r="752" spans="731:746" x14ac:dyDescent="0.3">
      <c r="ABR752" s="723"/>
    </row>
    <row r="753" spans="747:762" x14ac:dyDescent="0.3">
      <c r="ABS753" s="724"/>
    </row>
    <row r="754" spans="747:762" x14ac:dyDescent="0.3">
      <c r="ABT754" s="725"/>
    </row>
    <row r="755" spans="747:762" x14ac:dyDescent="0.3">
      <c r="ABU755" s="726"/>
    </row>
    <row r="756" spans="747:762" x14ac:dyDescent="0.3">
      <c r="ABV756" s="727"/>
    </row>
    <row r="757" spans="747:762" x14ac:dyDescent="0.3">
      <c r="ABW757" s="728"/>
    </row>
    <row r="758" spans="747:762" x14ac:dyDescent="0.3">
      <c r="ABX758" s="729"/>
    </row>
    <row r="759" spans="747:762" x14ac:dyDescent="0.3">
      <c r="ABY759" s="730"/>
    </row>
    <row r="760" spans="747:762" x14ac:dyDescent="0.3">
      <c r="ABZ760" s="731"/>
    </row>
    <row r="761" spans="747:762" x14ac:dyDescent="0.3">
      <c r="ACA761" s="732"/>
    </row>
    <row r="762" spans="747:762" x14ac:dyDescent="0.3">
      <c r="ACB762" s="733"/>
    </row>
    <row r="763" spans="747:762" x14ac:dyDescent="0.3">
      <c r="ACC763" s="734"/>
    </row>
    <row r="764" spans="747:762" x14ac:dyDescent="0.3">
      <c r="ACD764" s="735"/>
    </row>
    <row r="765" spans="747:762" x14ac:dyDescent="0.3">
      <c r="ACE765" s="736"/>
    </row>
    <row r="766" spans="747:762" x14ac:dyDescent="0.3">
      <c r="ACF766" s="737"/>
    </row>
    <row r="767" spans="747:762" x14ac:dyDescent="0.3">
      <c r="ACG767" s="738"/>
    </row>
    <row r="768" spans="747:762" x14ac:dyDescent="0.3">
      <c r="ACH768" s="739"/>
    </row>
    <row r="769" spans="763:778" x14ac:dyDescent="0.3">
      <c r="ACI769" s="740"/>
    </row>
    <row r="770" spans="763:778" x14ac:dyDescent="0.3">
      <c r="ACJ770" s="741"/>
    </row>
    <row r="771" spans="763:778" x14ac:dyDescent="0.3">
      <c r="ACK771" s="742"/>
    </row>
    <row r="772" spans="763:778" x14ac:dyDescent="0.3">
      <c r="ACL772" s="743"/>
    </row>
    <row r="773" spans="763:778" x14ac:dyDescent="0.3">
      <c r="ACM773" s="744"/>
    </row>
    <row r="774" spans="763:778" x14ac:dyDescent="0.3">
      <c r="ACN774" s="745"/>
    </row>
    <row r="775" spans="763:778" x14ac:dyDescent="0.3">
      <c r="ACO775" s="746"/>
    </row>
    <row r="776" spans="763:778" x14ac:dyDescent="0.3">
      <c r="ACP776" s="747"/>
    </row>
    <row r="777" spans="763:778" x14ac:dyDescent="0.3">
      <c r="ACQ777" s="747"/>
    </row>
    <row r="778" spans="763:778" x14ac:dyDescent="0.3">
      <c r="ACR778" s="748"/>
    </row>
    <row r="779" spans="763:778" x14ac:dyDescent="0.3">
      <c r="ACS779" s="749"/>
    </row>
    <row r="780" spans="763:778" x14ac:dyDescent="0.3">
      <c r="ACT780" s="750"/>
    </row>
    <row r="781" spans="763:778" x14ac:dyDescent="0.3">
      <c r="ACU781" s="751"/>
    </row>
    <row r="782" spans="763:778" x14ac:dyDescent="0.3">
      <c r="ACV782" s="752"/>
    </row>
    <row r="783" spans="763:778" x14ac:dyDescent="0.3">
      <c r="ACW783" s="753"/>
    </row>
    <row r="784" spans="763:778" x14ac:dyDescent="0.3">
      <c r="ACX784" s="754"/>
    </row>
    <row r="785" spans="779:794" x14ac:dyDescent="0.3">
      <c r="ACY785" s="755"/>
    </row>
    <row r="786" spans="779:794" x14ac:dyDescent="0.3">
      <c r="ACZ786" s="756"/>
    </row>
    <row r="787" spans="779:794" x14ac:dyDescent="0.3">
      <c r="ADA787" s="757"/>
    </row>
    <row r="788" spans="779:794" x14ac:dyDescent="0.3">
      <c r="ADB788" s="758"/>
    </row>
    <row r="789" spans="779:794" x14ac:dyDescent="0.3">
      <c r="ADC789" s="759"/>
    </row>
    <row r="790" spans="779:794" x14ac:dyDescent="0.3">
      <c r="ADD790" s="760"/>
    </row>
    <row r="791" spans="779:794" x14ac:dyDescent="0.3">
      <c r="ADE791" s="761"/>
    </row>
    <row r="792" spans="779:794" x14ac:dyDescent="0.3">
      <c r="ADF792" s="762"/>
    </row>
    <row r="793" spans="779:794" x14ac:dyDescent="0.3">
      <c r="ADG793" s="763"/>
    </row>
    <row r="794" spans="779:794" x14ac:dyDescent="0.3">
      <c r="ADH794" s="764"/>
    </row>
    <row r="795" spans="779:794" x14ac:dyDescent="0.3">
      <c r="ADI795" s="765"/>
    </row>
    <row r="796" spans="779:794" x14ac:dyDescent="0.3">
      <c r="ADJ796" s="766"/>
    </row>
    <row r="797" spans="779:794" x14ac:dyDescent="0.3">
      <c r="ADK797" s="767"/>
    </row>
    <row r="798" spans="779:794" x14ac:dyDescent="0.3">
      <c r="ADL798" s="768"/>
    </row>
    <row r="799" spans="779:794" x14ac:dyDescent="0.3">
      <c r="ADM799" s="769"/>
    </row>
    <row r="800" spans="779:794" x14ac:dyDescent="0.3">
      <c r="ADN800" s="770"/>
    </row>
    <row r="801" spans="795:810" x14ac:dyDescent="0.3">
      <c r="ADO801" s="771"/>
    </row>
    <row r="802" spans="795:810" x14ac:dyDescent="0.3">
      <c r="ADP802" s="772"/>
    </row>
    <row r="803" spans="795:810" x14ac:dyDescent="0.3">
      <c r="ADQ803" s="773"/>
    </row>
    <row r="804" spans="795:810" x14ac:dyDescent="0.3">
      <c r="ADR804" s="774"/>
    </row>
    <row r="805" spans="795:810" x14ac:dyDescent="0.3">
      <c r="ADS805" s="775"/>
    </row>
    <row r="806" spans="795:810" x14ac:dyDescent="0.3">
      <c r="ADT806" s="776"/>
    </row>
    <row r="807" spans="795:810" x14ac:dyDescent="0.3">
      <c r="ADU807" s="777"/>
    </row>
    <row r="808" spans="795:810" x14ac:dyDescent="0.3">
      <c r="ADV808" s="778"/>
    </row>
    <row r="809" spans="795:810" x14ac:dyDescent="0.3">
      <c r="ADW809" s="779"/>
    </row>
    <row r="810" spans="795:810" x14ac:dyDescent="0.3">
      <c r="ADX810" s="780"/>
    </row>
    <row r="811" spans="795:810" x14ac:dyDescent="0.3">
      <c r="ADY811" s="781"/>
    </row>
    <row r="812" spans="795:810" x14ac:dyDescent="0.3">
      <c r="ADZ812" s="782"/>
    </row>
    <row r="813" spans="795:810" x14ac:dyDescent="0.3">
      <c r="AEA813" s="783"/>
    </row>
    <row r="814" spans="795:810" x14ac:dyDescent="0.3">
      <c r="AEB814" s="784"/>
    </row>
    <row r="815" spans="795:810" x14ac:dyDescent="0.3">
      <c r="AEC815" s="785"/>
    </row>
    <row r="816" spans="795:810" x14ac:dyDescent="0.3">
      <c r="AED816" s="786"/>
    </row>
    <row r="817" spans="811:826" x14ac:dyDescent="0.3">
      <c r="AEE817" s="787"/>
    </row>
    <row r="818" spans="811:826" x14ac:dyDescent="0.3">
      <c r="AEF818" s="788"/>
    </row>
    <row r="819" spans="811:826" x14ac:dyDescent="0.3">
      <c r="AEG819" s="789"/>
    </row>
    <row r="820" spans="811:826" x14ac:dyDescent="0.3">
      <c r="AEH820" s="790"/>
    </row>
    <row r="821" spans="811:826" x14ac:dyDescent="0.3">
      <c r="AEI821" s="791"/>
    </row>
    <row r="822" spans="811:826" x14ac:dyDescent="0.3">
      <c r="AEJ822" s="792"/>
    </row>
    <row r="823" spans="811:826" x14ac:dyDescent="0.3">
      <c r="AEK823" s="793"/>
    </row>
    <row r="824" spans="811:826" x14ac:dyDescent="0.3">
      <c r="AEL824" s="794"/>
    </row>
    <row r="825" spans="811:826" x14ac:dyDescent="0.3">
      <c r="AEM825" s="795"/>
    </row>
    <row r="826" spans="811:826" x14ac:dyDescent="0.3">
      <c r="AEN826" s="796"/>
    </row>
    <row r="827" spans="811:826" x14ac:dyDescent="0.3">
      <c r="AEO827" s="797"/>
    </row>
    <row r="828" spans="811:826" x14ac:dyDescent="0.3">
      <c r="AEP828" s="798"/>
    </row>
    <row r="829" spans="811:826" x14ac:dyDescent="0.3">
      <c r="AEQ829" s="799"/>
    </row>
    <row r="830" spans="811:826" x14ac:dyDescent="0.3">
      <c r="AER830" s="800"/>
    </row>
    <row r="831" spans="811:826" x14ac:dyDescent="0.3">
      <c r="AES831" s="801"/>
    </row>
    <row r="832" spans="811:826" x14ac:dyDescent="0.3">
      <c r="AET832" s="802"/>
    </row>
    <row r="833" spans="827:842" x14ac:dyDescent="0.3">
      <c r="AEU833" s="803"/>
    </row>
    <row r="834" spans="827:842" x14ac:dyDescent="0.3">
      <c r="AEV834" s="804"/>
    </row>
    <row r="835" spans="827:842" x14ac:dyDescent="0.3">
      <c r="AEW835" s="805"/>
    </row>
    <row r="836" spans="827:842" x14ac:dyDescent="0.3">
      <c r="AEX836" s="806"/>
    </row>
    <row r="837" spans="827:842" x14ac:dyDescent="0.3">
      <c r="AEY837" s="807"/>
    </row>
    <row r="838" spans="827:842" x14ac:dyDescent="0.3">
      <c r="AEZ838" s="808"/>
    </row>
    <row r="839" spans="827:842" x14ac:dyDescent="0.3">
      <c r="AFA839" s="809"/>
    </row>
    <row r="840" spans="827:842" x14ac:dyDescent="0.3">
      <c r="AFB840" s="810"/>
    </row>
    <row r="841" spans="827:842" x14ac:dyDescent="0.3">
      <c r="AFC841" s="811"/>
    </row>
    <row r="842" spans="827:842" x14ac:dyDescent="0.3">
      <c r="AFD842" s="812"/>
    </row>
    <row r="843" spans="827:842" x14ac:dyDescent="0.3">
      <c r="AFE843" s="813"/>
    </row>
    <row r="844" spans="827:842" x14ac:dyDescent="0.3">
      <c r="AFF844" s="814"/>
    </row>
    <row r="845" spans="827:842" x14ac:dyDescent="0.3">
      <c r="AFG845" s="815"/>
    </row>
    <row r="846" spans="827:842" x14ac:dyDescent="0.3">
      <c r="AFH846" s="816"/>
    </row>
    <row r="847" spans="827:842" x14ac:dyDescent="0.3">
      <c r="AFI847" s="817"/>
    </row>
    <row r="848" spans="827:842" x14ac:dyDescent="0.3">
      <c r="AFJ848" s="818"/>
    </row>
    <row r="849" spans="843:858" x14ac:dyDescent="0.3">
      <c r="AFK849" s="819"/>
    </row>
    <row r="850" spans="843:858" x14ac:dyDescent="0.3">
      <c r="AFL850" s="820"/>
    </row>
    <row r="851" spans="843:858" x14ac:dyDescent="0.3">
      <c r="AFM851" s="821"/>
    </row>
    <row r="852" spans="843:858" x14ac:dyDescent="0.3">
      <c r="AFN852" s="822"/>
    </row>
    <row r="853" spans="843:858" x14ac:dyDescent="0.3">
      <c r="AFO853" s="823"/>
    </row>
    <row r="854" spans="843:858" x14ac:dyDescent="0.3">
      <c r="AFP854" s="824"/>
    </row>
    <row r="855" spans="843:858" x14ac:dyDescent="0.3">
      <c r="AFQ855" s="825"/>
    </row>
    <row r="856" spans="843:858" x14ac:dyDescent="0.3">
      <c r="AFR856" s="826"/>
    </row>
    <row r="857" spans="843:858" x14ac:dyDescent="0.3">
      <c r="AFS857" s="827"/>
    </row>
    <row r="858" spans="843:858" x14ac:dyDescent="0.3">
      <c r="AFT858" s="828"/>
    </row>
    <row r="859" spans="843:858" x14ac:dyDescent="0.3">
      <c r="AFU859" s="829"/>
    </row>
    <row r="860" spans="843:858" x14ac:dyDescent="0.3">
      <c r="AFV860" s="830"/>
    </row>
    <row r="861" spans="843:858" x14ac:dyDescent="0.3">
      <c r="AFW861" s="831"/>
    </row>
    <row r="862" spans="843:858" x14ac:dyDescent="0.3">
      <c r="AFX862" s="832"/>
    </row>
    <row r="863" spans="843:858" x14ac:dyDescent="0.3">
      <c r="AFY863" s="833"/>
    </row>
    <row r="864" spans="843:858" x14ac:dyDescent="0.3">
      <c r="AFZ864" s="834"/>
    </row>
    <row r="865" spans="859:874" x14ac:dyDescent="0.3">
      <c r="AGA865" s="835"/>
    </row>
    <row r="866" spans="859:874" x14ac:dyDescent="0.3">
      <c r="AGB866" s="836"/>
    </row>
    <row r="867" spans="859:874" x14ac:dyDescent="0.3">
      <c r="AGC867" s="837"/>
    </row>
    <row r="868" spans="859:874" x14ac:dyDescent="0.3">
      <c r="AGD868" s="838"/>
    </row>
    <row r="869" spans="859:874" x14ac:dyDescent="0.3">
      <c r="AGE869" s="839"/>
    </row>
    <row r="870" spans="859:874" x14ac:dyDescent="0.3">
      <c r="AGF870" s="840"/>
    </row>
    <row r="871" spans="859:874" x14ac:dyDescent="0.3">
      <c r="AGG871" s="841"/>
    </row>
    <row r="872" spans="859:874" x14ac:dyDescent="0.3">
      <c r="AGH872" s="842"/>
    </row>
    <row r="873" spans="859:874" x14ac:dyDescent="0.3">
      <c r="AGI873" s="843"/>
    </row>
    <row r="874" spans="859:874" x14ac:dyDescent="0.3">
      <c r="AGJ874" s="844"/>
    </row>
    <row r="875" spans="859:874" x14ac:dyDescent="0.3">
      <c r="AGK875" s="845"/>
    </row>
    <row r="876" spans="859:874" x14ac:dyDescent="0.3">
      <c r="AGL876" s="846"/>
    </row>
    <row r="877" spans="859:874" x14ac:dyDescent="0.3">
      <c r="AGM877" s="847"/>
    </row>
    <row r="878" spans="859:874" x14ac:dyDescent="0.3">
      <c r="AGN878" s="848"/>
    </row>
    <row r="879" spans="859:874" x14ac:dyDescent="0.3">
      <c r="AGO879" s="849"/>
    </row>
    <row r="880" spans="859:874" x14ac:dyDescent="0.3">
      <c r="AGP880" s="850"/>
    </row>
    <row r="881" spans="875:890" x14ac:dyDescent="0.3">
      <c r="AGQ881" s="851"/>
    </row>
    <row r="882" spans="875:890" x14ac:dyDescent="0.3">
      <c r="AGR882" s="852"/>
    </row>
    <row r="883" spans="875:890" x14ac:dyDescent="0.3">
      <c r="AGS883" s="853"/>
    </row>
    <row r="884" spans="875:890" x14ac:dyDescent="0.3">
      <c r="AGT884" s="854"/>
    </row>
    <row r="885" spans="875:890" x14ac:dyDescent="0.3">
      <c r="AGU885" s="855"/>
    </row>
    <row r="886" spans="875:890" x14ac:dyDescent="0.3">
      <c r="AGV886" s="856"/>
    </row>
    <row r="887" spans="875:890" x14ac:dyDescent="0.3">
      <c r="AGW887" s="857"/>
    </row>
    <row r="888" spans="875:890" x14ac:dyDescent="0.3">
      <c r="AGX888" s="858"/>
    </row>
    <row r="889" spans="875:890" x14ac:dyDescent="0.3">
      <c r="AGY889" s="859"/>
    </row>
    <row r="890" spans="875:890" x14ac:dyDescent="0.3">
      <c r="AGZ890" s="860"/>
    </row>
    <row r="891" spans="875:890" x14ac:dyDescent="0.3">
      <c r="AHA891" s="861"/>
    </row>
    <row r="892" spans="875:890" x14ac:dyDescent="0.3">
      <c r="AHB892" s="862"/>
    </row>
    <row r="893" spans="875:890" x14ac:dyDescent="0.3">
      <c r="AHC893" s="863"/>
    </row>
    <row r="894" spans="875:890" x14ac:dyDescent="0.3">
      <c r="AHD894" s="864"/>
    </row>
    <row r="895" spans="875:890" x14ac:dyDescent="0.3">
      <c r="AHE895" s="865"/>
    </row>
    <row r="896" spans="875:890" x14ac:dyDescent="0.3">
      <c r="AHF896" s="866"/>
    </row>
    <row r="897" spans="891:906" x14ac:dyDescent="0.3">
      <c r="AHG897" s="867"/>
    </row>
    <row r="898" spans="891:906" x14ac:dyDescent="0.3">
      <c r="AHH898" s="868"/>
    </row>
    <row r="899" spans="891:906" x14ac:dyDescent="0.3">
      <c r="AHI899" s="869"/>
    </row>
    <row r="900" spans="891:906" x14ac:dyDescent="0.3">
      <c r="AHJ900" s="870"/>
    </row>
    <row r="901" spans="891:906" x14ac:dyDescent="0.3">
      <c r="AHK901" s="871"/>
    </row>
    <row r="902" spans="891:906" x14ac:dyDescent="0.3">
      <c r="AHL902" s="872"/>
    </row>
    <row r="903" spans="891:906" x14ac:dyDescent="0.3">
      <c r="AHM903" s="873"/>
    </row>
    <row r="904" spans="891:906" x14ac:dyDescent="0.3">
      <c r="AHN904" s="874"/>
    </row>
    <row r="905" spans="891:906" x14ac:dyDescent="0.3">
      <c r="AHO905" s="875"/>
    </row>
    <row r="906" spans="891:906" x14ac:dyDescent="0.3">
      <c r="AHP906" s="876"/>
    </row>
    <row r="907" spans="891:906" x14ac:dyDescent="0.3">
      <c r="AHQ907" s="877"/>
    </row>
    <row r="908" spans="891:906" x14ac:dyDescent="0.3">
      <c r="AHR908" s="878"/>
    </row>
    <row r="909" spans="891:906" x14ac:dyDescent="0.3">
      <c r="AHS909" s="879"/>
    </row>
    <row r="910" spans="891:906" x14ac:dyDescent="0.3">
      <c r="AHT910" s="880"/>
    </row>
    <row r="911" spans="891:906" x14ac:dyDescent="0.3">
      <c r="AHU911" s="881"/>
    </row>
    <row r="912" spans="891:906" x14ac:dyDescent="0.3">
      <c r="AHV912" s="882"/>
    </row>
    <row r="913" spans="907:922" x14ac:dyDescent="0.3">
      <c r="AHW913" s="883"/>
    </row>
    <row r="914" spans="907:922" x14ac:dyDescent="0.3">
      <c r="AHX914" s="884"/>
    </row>
    <row r="915" spans="907:922" x14ac:dyDescent="0.3">
      <c r="AHY915" s="885"/>
    </row>
    <row r="916" spans="907:922" x14ac:dyDescent="0.3">
      <c r="AHZ916" s="886"/>
    </row>
    <row r="917" spans="907:922" x14ac:dyDescent="0.3">
      <c r="AIA917" s="887"/>
    </row>
    <row r="918" spans="907:922" x14ac:dyDescent="0.3">
      <c r="AIB918" s="888"/>
    </row>
    <row r="919" spans="907:922" x14ac:dyDescent="0.3">
      <c r="AIC919" s="889"/>
    </row>
    <row r="920" spans="907:922" x14ac:dyDescent="0.3">
      <c r="AID920" s="890"/>
    </row>
    <row r="921" spans="907:922" x14ac:dyDescent="0.3">
      <c r="AIE921" s="891"/>
    </row>
    <row r="922" spans="907:922" x14ac:dyDescent="0.3">
      <c r="AIF922" s="892"/>
    </row>
    <row r="923" spans="907:922" x14ac:dyDescent="0.3">
      <c r="AIG923" s="893"/>
    </row>
    <row r="924" spans="907:922" x14ac:dyDescent="0.3">
      <c r="AIH924" s="894"/>
    </row>
    <row r="925" spans="907:922" x14ac:dyDescent="0.3">
      <c r="AII925" s="895"/>
    </row>
    <row r="926" spans="907:922" x14ac:dyDescent="0.3">
      <c r="AIJ926" s="896"/>
    </row>
    <row r="927" spans="907:922" x14ac:dyDescent="0.3">
      <c r="AIK927" s="897"/>
    </row>
    <row r="928" spans="907:922" x14ac:dyDescent="0.3">
      <c r="AIL928" s="898"/>
    </row>
    <row r="929" spans="923:938" x14ac:dyDescent="0.3">
      <c r="AIM929" s="899"/>
    </row>
    <row r="930" spans="923:938" x14ac:dyDescent="0.3">
      <c r="AIN930" s="900"/>
    </row>
    <row r="931" spans="923:938" x14ac:dyDescent="0.3">
      <c r="AIO931" s="901"/>
    </row>
    <row r="932" spans="923:938" x14ac:dyDescent="0.3">
      <c r="AIP932" s="902"/>
    </row>
    <row r="933" spans="923:938" x14ac:dyDescent="0.3">
      <c r="AIQ933" s="903"/>
    </row>
    <row r="934" spans="923:938" x14ac:dyDescent="0.3">
      <c r="AIR934" s="904"/>
    </row>
    <row r="935" spans="923:938" x14ac:dyDescent="0.3">
      <c r="AIS935" s="905"/>
    </row>
    <row r="936" spans="923:938" x14ac:dyDescent="0.3">
      <c r="AIT936" s="906"/>
    </row>
    <row r="937" spans="923:938" x14ac:dyDescent="0.3">
      <c r="AIU937" s="907"/>
    </row>
    <row r="938" spans="923:938" x14ac:dyDescent="0.3">
      <c r="AIV938" s="908"/>
    </row>
    <row r="939" spans="923:938" x14ac:dyDescent="0.3">
      <c r="AIW939" s="909"/>
    </row>
    <row r="940" spans="923:938" x14ac:dyDescent="0.3">
      <c r="AIX940" s="910"/>
    </row>
    <row r="941" spans="923:938" x14ac:dyDescent="0.3">
      <c r="AIY941" s="911"/>
    </row>
    <row r="942" spans="923:938" x14ac:dyDescent="0.3">
      <c r="AIZ942" s="912"/>
    </row>
    <row r="943" spans="923:938" x14ac:dyDescent="0.3">
      <c r="AJA943" s="913"/>
    </row>
    <row r="944" spans="923:938" x14ac:dyDescent="0.3">
      <c r="AJB944" s="914"/>
    </row>
    <row r="945" spans="939:954" x14ac:dyDescent="0.3">
      <c r="AJC945" s="915"/>
    </row>
    <row r="946" spans="939:954" x14ac:dyDescent="0.3">
      <c r="AJD946" s="916"/>
    </row>
    <row r="947" spans="939:954" x14ac:dyDescent="0.3">
      <c r="AJE947" s="917"/>
    </row>
    <row r="948" spans="939:954" x14ac:dyDescent="0.3">
      <c r="AJF948" s="918"/>
    </row>
    <row r="949" spans="939:954" x14ac:dyDescent="0.3">
      <c r="AJG949" s="919"/>
    </row>
    <row r="950" spans="939:954" x14ac:dyDescent="0.3">
      <c r="AJH950" s="920"/>
    </row>
    <row r="951" spans="939:954" x14ac:dyDescent="0.3">
      <c r="AJI951" s="921"/>
    </row>
    <row r="952" spans="939:954" x14ac:dyDescent="0.3">
      <c r="AJJ952" s="922"/>
    </row>
    <row r="953" spans="939:954" x14ac:dyDescent="0.3">
      <c r="AJK953" s="923"/>
    </row>
    <row r="954" spans="939:954" x14ac:dyDescent="0.3">
      <c r="AJL954" s="924"/>
    </row>
    <row r="955" spans="939:954" x14ac:dyDescent="0.3">
      <c r="AJM955" s="925"/>
    </row>
    <row r="956" spans="939:954" x14ac:dyDescent="0.3">
      <c r="AJN956" s="926"/>
    </row>
    <row r="957" spans="939:954" x14ac:dyDescent="0.3">
      <c r="AJO957" s="927"/>
    </row>
    <row r="958" spans="939:954" x14ac:dyDescent="0.3">
      <c r="AJP958" s="928"/>
    </row>
    <row r="959" spans="939:954" x14ac:dyDescent="0.3">
      <c r="AJQ959" s="929"/>
    </row>
    <row r="960" spans="939:954" x14ac:dyDescent="0.3">
      <c r="AJR960" s="930"/>
    </row>
    <row r="961" spans="955:970" x14ac:dyDescent="0.3">
      <c r="AJS961" s="931"/>
    </row>
    <row r="962" spans="955:970" x14ac:dyDescent="0.3">
      <c r="AJT962" s="932"/>
    </row>
    <row r="963" spans="955:970" x14ac:dyDescent="0.3">
      <c r="AJU963" s="933"/>
    </row>
    <row r="964" spans="955:970" x14ac:dyDescent="0.3">
      <c r="AJV964" s="934"/>
    </row>
    <row r="965" spans="955:970" x14ac:dyDescent="0.3">
      <c r="AJW965" s="935"/>
    </row>
    <row r="966" spans="955:970" x14ac:dyDescent="0.3">
      <c r="AJX966" s="936"/>
    </row>
    <row r="967" spans="955:970" x14ac:dyDescent="0.3">
      <c r="AJY967" s="937"/>
    </row>
    <row r="968" spans="955:970" x14ac:dyDescent="0.3">
      <c r="AJZ968" s="938"/>
    </row>
    <row r="969" spans="955:970" x14ac:dyDescent="0.3">
      <c r="AKA969" s="939"/>
    </row>
    <row r="970" spans="955:970" x14ac:dyDescent="0.3">
      <c r="AKB970" s="940"/>
    </row>
    <row r="971" spans="955:970" x14ac:dyDescent="0.3">
      <c r="AKC971" s="941"/>
    </row>
    <row r="972" spans="955:970" x14ac:dyDescent="0.3">
      <c r="AKD972" s="942"/>
    </row>
    <row r="973" spans="955:970" x14ac:dyDescent="0.3">
      <c r="AKE973" s="943"/>
    </row>
    <row r="974" spans="955:970" x14ac:dyDescent="0.3">
      <c r="AKF974" s="944"/>
    </row>
    <row r="975" spans="955:970" x14ac:dyDescent="0.3">
      <c r="AKG975" s="945"/>
    </row>
    <row r="976" spans="955:970" x14ac:dyDescent="0.3">
      <c r="AKH976" s="946"/>
    </row>
    <row r="977" spans="971:986" x14ac:dyDescent="0.3">
      <c r="AKI977" s="947"/>
    </row>
    <row r="978" spans="971:986" x14ac:dyDescent="0.3">
      <c r="AKJ978" s="948"/>
    </row>
    <row r="979" spans="971:986" x14ac:dyDescent="0.3">
      <c r="AKK979" s="949"/>
    </row>
    <row r="980" spans="971:986" x14ac:dyDescent="0.3">
      <c r="AKL980" s="950"/>
    </row>
    <row r="981" spans="971:986" x14ac:dyDescent="0.3">
      <c r="AKM981" s="951"/>
    </row>
    <row r="982" spans="971:986" x14ac:dyDescent="0.3">
      <c r="AKN982" s="952"/>
    </row>
    <row r="983" spans="971:986" x14ac:dyDescent="0.3">
      <c r="AKO983" s="953"/>
    </row>
    <row r="984" spans="971:986" x14ac:dyDescent="0.3">
      <c r="AKP984" s="954"/>
    </row>
    <row r="985" spans="971:986" x14ac:dyDescent="0.3">
      <c r="AKQ985" s="955"/>
    </row>
    <row r="986" spans="971:986" x14ac:dyDescent="0.3">
      <c r="AKR986" s="956"/>
    </row>
    <row r="987" spans="971:986" x14ac:dyDescent="0.3">
      <c r="AKS987" s="957"/>
    </row>
    <row r="988" spans="971:986" x14ac:dyDescent="0.3">
      <c r="AKT988" s="958"/>
    </row>
    <row r="989" spans="971:986" x14ac:dyDescent="0.3">
      <c r="AKU989" s="959"/>
    </row>
    <row r="990" spans="971:986" x14ac:dyDescent="0.3">
      <c r="AKV990" s="960"/>
    </row>
    <row r="991" spans="971:986" x14ac:dyDescent="0.3">
      <c r="AKW991" s="961"/>
    </row>
    <row r="992" spans="971:986" x14ac:dyDescent="0.3">
      <c r="AKX992" s="962"/>
    </row>
    <row r="993" spans="987:1002" x14ac:dyDescent="0.3">
      <c r="AKY993" s="963"/>
    </row>
    <row r="994" spans="987:1002" x14ac:dyDescent="0.3">
      <c r="AKZ994" s="964"/>
    </row>
    <row r="995" spans="987:1002" x14ac:dyDescent="0.3">
      <c r="ALA995" s="965"/>
    </row>
    <row r="996" spans="987:1002" x14ac:dyDescent="0.3">
      <c r="ALB996" s="966"/>
    </row>
    <row r="997" spans="987:1002" x14ac:dyDescent="0.3">
      <c r="ALC997" s="967"/>
    </row>
    <row r="998" spans="987:1002" x14ac:dyDescent="0.3">
      <c r="ALD998" s="968"/>
    </row>
    <row r="999" spans="987:1002" x14ac:dyDescent="0.3">
      <c r="ALE999" s="969"/>
    </row>
    <row r="1000" spans="987:1002" x14ac:dyDescent="0.3">
      <c r="ALF1000" s="970"/>
    </row>
    <row r="1001" spans="987:1002" x14ac:dyDescent="0.3">
      <c r="ALG1001" s="971"/>
    </row>
    <row r="1002" spans="987:1002" x14ac:dyDescent="0.3">
      <c r="ALH1002" s="972"/>
    </row>
    <row r="1003" spans="987:1002" x14ac:dyDescent="0.3">
      <c r="ALI1003" s="973"/>
    </row>
    <row r="1004" spans="987:1002" x14ac:dyDescent="0.3">
      <c r="ALJ1004" s="974"/>
    </row>
    <row r="1005" spans="987:1002" x14ac:dyDescent="0.3">
      <c r="ALK1005" s="975"/>
    </row>
    <row r="1006" spans="987:1002" x14ac:dyDescent="0.3">
      <c r="ALL1006" s="976"/>
    </row>
    <row r="1007" spans="987:1002" x14ac:dyDescent="0.3">
      <c r="ALM1007" s="977"/>
    </row>
    <row r="1008" spans="987:1002" x14ac:dyDescent="0.3">
      <c r="ALN1008" s="978"/>
    </row>
    <row r="1009" spans="1003:1018" x14ac:dyDescent="0.3">
      <c r="ALO1009" s="979"/>
    </row>
    <row r="1010" spans="1003:1018" x14ac:dyDescent="0.3">
      <c r="ALP1010" s="980"/>
    </row>
    <row r="1011" spans="1003:1018" x14ac:dyDescent="0.3">
      <c r="ALQ1011" s="981"/>
    </row>
    <row r="1012" spans="1003:1018" x14ac:dyDescent="0.3">
      <c r="ALR1012" s="982"/>
    </row>
    <row r="1013" spans="1003:1018" x14ac:dyDescent="0.3">
      <c r="ALS1013" s="983"/>
    </row>
    <row r="1014" spans="1003:1018" x14ac:dyDescent="0.3">
      <c r="ALT1014" s="984"/>
    </row>
    <row r="1015" spans="1003:1018" x14ac:dyDescent="0.3">
      <c r="ALU1015" s="985"/>
    </row>
    <row r="1016" spans="1003:1018" x14ac:dyDescent="0.3">
      <c r="ALV1016" s="986"/>
    </row>
    <row r="1017" spans="1003:1018" x14ac:dyDescent="0.3">
      <c r="ALW1017" s="987"/>
    </row>
    <row r="1018" spans="1003:1018" x14ac:dyDescent="0.3">
      <c r="ALX1018" s="988"/>
    </row>
    <row r="1019" spans="1003:1018" x14ac:dyDescent="0.3">
      <c r="ALY1019" s="989"/>
    </row>
    <row r="1020" spans="1003:1018" x14ac:dyDescent="0.3">
      <c r="ALZ1020" s="990"/>
    </row>
    <row r="1021" spans="1003:1018" x14ac:dyDescent="0.3">
      <c r="AMA1021" s="991"/>
    </row>
    <row r="1022" spans="1003:1018" x14ac:dyDescent="0.3">
      <c r="AMB1022" s="992"/>
    </row>
    <row r="1023" spans="1003:1018" x14ac:dyDescent="0.3">
      <c r="AMC1023" s="993"/>
    </row>
    <row r="1024" spans="1003:1018" x14ac:dyDescent="0.3">
      <c r="AMD1024" s="994"/>
    </row>
    <row r="1025" spans="1019:1034" x14ac:dyDescent="0.3">
      <c r="AME1025" s="995"/>
    </row>
    <row r="1026" spans="1019:1034" x14ac:dyDescent="0.3">
      <c r="AMF1026" s="996"/>
    </row>
    <row r="1027" spans="1019:1034" x14ac:dyDescent="0.3">
      <c r="AMG1027" s="997"/>
    </row>
    <row r="1028" spans="1019:1034" x14ac:dyDescent="0.3">
      <c r="AMH1028" s="998"/>
    </row>
    <row r="1029" spans="1019:1034" x14ac:dyDescent="0.3">
      <c r="AMI1029" s="999"/>
    </row>
    <row r="1030" spans="1019:1034" x14ac:dyDescent="0.3">
      <c r="AMJ1030" s="1000"/>
    </row>
    <row r="1031" spans="1019:1034" x14ac:dyDescent="0.3">
      <c r="AMK1031" s="1001"/>
    </row>
    <row r="1032" spans="1019:1034" x14ac:dyDescent="0.3">
      <c r="AML1032" s="1002"/>
    </row>
    <row r="1033" spans="1019:1034" x14ac:dyDescent="0.3">
      <c r="AMM1033" s="1003"/>
    </row>
    <row r="1034" spans="1019:1034" x14ac:dyDescent="0.3">
      <c r="AMN1034" s="1003"/>
    </row>
    <row r="1035" spans="1019:1034" x14ac:dyDescent="0.3">
      <c r="AMO1035" s="1004"/>
    </row>
    <row r="1036" spans="1019:1034" x14ac:dyDescent="0.3">
      <c r="AMP1036" s="1005"/>
    </row>
    <row r="1037" spans="1019:1034" x14ac:dyDescent="0.3">
      <c r="AMQ1037" s="1006"/>
    </row>
    <row r="1038" spans="1019:1034" x14ac:dyDescent="0.3">
      <c r="AMR1038" s="1007"/>
    </row>
    <row r="1039" spans="1019:1034" x14ac:dyDescent="0.3">
      <c r="AMS1039" s="1008"/>
    </row>
    <row r="1040" spans="1019:1034" x14ac:dyDescent="0.3">
      <c r="AMT1040" s="1009"/>
    </row>
    <row r="1041" spans="1035:1050" x14ac:dyDescent="0.3">
      <c r="AMU1041" s="1010"/>
    </row>
    <row r="1042" spans="1035:1050" x14ac:dyDescent="0.3">
      <c r="AMV1042" s="1011"/>
    </row>
    <row r="1043" spans="1035:1050" x14ac:dyDescent="0.3">
      <c r="AMW1043" s="1012"/>
    </row>
    <row r="1044" spans="1035:1050" x14ac:dyDescent="0.3">
      <c r="AMX1044" s="1013"/>
    </row>
    <row r="1045" spans="1035:1050" x14ac:dyDescent="0.3">
      <c r="AMY1045" s="1014"/>
    </row>
    <row r="1046" spans="1035:1050" x14ac:dyDescent="0.3">
      <c r="AMZ1046" s="1015"/>
    </row>
    <row r="1047" spans="1035:1050" x14ac:dyDescent="0.3">
      <c r="ANA1047" s="1016"/>
    </row>
    <row r="1048" spans="1035:1050" x14ac:dyDescent="0.3">
      <c r="ANB1048" s="1017"/>
    </row>
    <row r="1049" spans="1035:1050" x14ac:dyDescent="0.3">
      <c r="ANC1049" s="1018"/>
    </row>
    <row r="1050" spans="1035:1050" x14ac:dyDescent="0.3">
      <c r="AND1050" s="1019"/>
    </row>
    <row r="1051" spans="1035:1050" x14ac:dyDescent="0.3">
      <c r="ANE1051" s="1020"/>
    </row>
    <row r="1052" spans="1035:1050" x14ac:dyDescent="0.3">
      <c r="ANF1052" s="1021"/>
    </row>
    <row r="1053" spans="1035:1050" x14ac:dyDescent="0.3">
      <c r="ANG1053" s="1022"/>
    </row>
    <row r="1054" spans="1035:1050" x14ac:dyDescent="0.3">
      <c r="ANH1054" s="1023"/>
    </row>
    <row r="1055" spans="1035:1050" x14ac:dyDescent="0.3">
      <c r="ANI1055" s="1024"/>
    </row>
    <row r="1056" spans="1035:1050" x14ac:dyDescent="0.3">
      <c r="ANJ1056" s="1025"/>
    </row>
    <row r="1057" spans="1051:1066" x14ac:dyDescent="0.3">
      <c r="ANK1057" s="1026"/>
    </row>
    <row r="1058" spans="1051:1066" x14ac:dyDescent="0.3">
      <c r="ANL1058" s="1027"/>
    </row>
    <row r="1059" spans="1051:1066" x14ac:dyDescent="0.3">
      <c r="ANM1059" s="1028"/>
    </row>
    <row r="1060" spans="1051:1066" x14ac:dyDescent="0.3">
      <c r="ANN1060" s="1029"/>
    </row>
    <row r="1061" spans="1051:1066" x14ac:dyDescent="0.3">
      <c r="ANO1061" s="1030"/>
    </row>
    <row r="1062" spans="1051:1066" x14ac:dyDescent="0.3">
      <c r="ANP1062" s="1031"/>
    </row>
    <row r="1063" spans="1051:1066" x14ac:dyDescent="0.3">
      <c r="ANQ1063" s="1032"/>
    </row>
    <row r="1064" spans="1051:1066" x14ac:dyDescent="0.3">
      <c r="ANR1064" s="1033"/>
    </row>
    <row r="1065" spans="1051:1066" x14ac:dyDescent="0.3">
      <c r="ANS1065" s="1034"/>
    </row>
    <row r="1066" spans="1051:1066" x14ac:dyDescent="0.3">
      <c r="ANT1066" s="1035"/>
    </row>
    <row r="1067" spans="1051:1066" x14ac:dyDescent="0.3">
      <c r="ANU1067" s="1036"/>
    </row>
    <row r="1068" spans="1051:1066" x14ac:dyDescent="0.3">
      <c r="ANV1068" s="1037"/>
    </row>
    <row r="1069" spans="1051:1066" x14ac:dyDescent="0.3">
      <c r="ANW1069" s="1038"/>
    </row>
    <row r="1070" spans="1051:1066" x14ac:dyDescent="0.3">
      <c r="ANX1070" s="1039"/>
    </row>
    <row r="1071" spans="1051:1066" x14ac:dyDescent="0.3">
      <c r="ANY1071" s="1040"/>
    </row>
    <row r="1072" spans="1051:1066" x14ac:dyDescent="0.3">
      <c r="ANZ1072" s="1041"/>
    </row>
    <row r="1073" spans="1067:1082" x14ac:dyDescent="0.3">
      <c r="AOA1073" s="1042"/>
    </row>
    <row r="1074" spans="1067:1082" x14ac:dyDescent="0.3">
      <c r="AOB1074" s="1043"/>
    </row>
    <row r="1075" spans="1067:1082" x14ac:dyDescent="0.3">
      <c r="AOC1075" s="1044"/>
    </row>
    <row r="1076" spans="1067:1082" x14ac:dyDescent="0.3">
      <c r="AOD1076" s="1045"/>
    </row>
    <row r="1077" spans="1067:1082" x14ac:dyDescent="0.3">
      <c r="AOE1077" s="1046"/>
    </row>
    <row r="1078" spans="1067:1082" x14ac:dyDescent="0.3">
      <c r="AOF1078" s="1047"/>
    </row>
    <row r="1079" spans="1067:1082" x14ac:dyDescent="0.3">
      <c r="AOG1079" s="1048"/>
    </row>
    <row r="1080" spans="1067:1082" x14ac:dyDescent="0.3">
      <c r="AOH1080" s="1049"/>
    </row>
    <row r="1081" spans="1067:1082" x14ac:dyDescent="0.3">
      <c r="AOI1081" s="1050"/>
    </row>
    <row r="1082" spans="1067:1082" x14ac:dyDescent="0.3">
      <c r="AOJ1082" s="1051"/>
    </row>
    <row r="1083" spans="1067:1082" x14ac:dyDescent="0.3">
      <c r="AOK1083" s="1052"/>
    </row>
    <row r="1084" spans="1067:1082" x14ac:dyDescent="0.3">
      <c r="AOL1084" s="1053"/>
    </row>
    <row r="1085" spans="1067:1082" x14ac:dyDescent="0.3">
      <c r="AOM1085" s="1054"/>
    </row>
    <row r="1086" spans="1067:1082" x14ac:dyDescent="0.3">
      <c r="AON1086" s="1055"/>
    </row>
    <row r="1087" spans="1067:1082" x14ac:dyDescent="0.3">
      <c r="AOO1087" s="1056"/>
    </row>
    <row r="1088" spans="1067:1082" x14ac:dyDescent="0.3">
      <c r="AOP1088" s="1057"/>
    </row>
    <row r="1089" spans="1083:1098" x14ac:dyDescent="0.3">
      <c r="AOQ1089" s="1058"/>
    </row>
    <row r="1090" spans="1083:1098" x14ac:dyDescent="0.3">
      <c r="AOR1090" s="1059"/>
    </row>
    <row r="1091" spans="1083:1098" x14ac:dyDescent="0.3">
      <c r="AOS1091" s="1060"/>
    </row>
    <row r="1092" spans="1083:1098" x14ac:dyDescent="0.3">
      <c r="AOT1092" s="1061"/>
    </row>
    <row r="1093" spans="1083:1098" x14ac:dyDescent="0.3">
      <c r="AOU1093" s="1062"/>
    </row>
    <row r="1094" spans="1083:1098" x14ac:dyDescent="0.3">
      <c r="AOV1094" s="1063"/>
    </row>
    <row r="1095" spans="1083:1098" x14ac:dyDescent="0.3">
      <c r="AOW1095" s="1064"/>
    </row>
    <row r="1096" spans="1083:1098" x14ac:dyDescent="0.3">
      <c r="AOX1096" s="1065"/>
    </row>
    <row r="1097" spans="1083:1098" x14ac:dyDescent="0.3">
      <c r="AOY1097" s="1066"/>
    </row>
    <row r="1098" spans="1083:1098" x14ac:dyDescent="0.3">
      <c r="AOZ1098" s="1067"/>
    </row>
    <row r="1099" spans="1083:1098" x14ac:dyDescent="0.3">
      <c r="APA1099" s="1068"/>
    </row>
    <row r="1100" spans="1083:1098" x14ac:dyDescent="0.3">
      <c r="APB1100" s="1069"/>
    </row>
    <row r="1101" spans="1083:1098" x14ac:dyDescent="0.3">
      <c r="APC1101" s="1070"/>
    </row>
    <row r="1102" spans="1083:1098" x14ac:dyDescent="0.3">
      <c r="APD1102" s="1071"/>
    </row>
    <row r="1103" spans="1083:1098" x14ac:dyDescent="0.3">
      <c r="APE1103" s="1072"/>
    </row>
    <row r="1104" spans="1083:1098" x14ac:dyDescent="0.3">
      <c r="APF1104" s="1073"/>
    </row>
    <row r="1105" spans="1099:1114" x14ac:dyDescent="0.3">
      <c r="APG1105" s="1074"/>
    </row>
    <row r="1106" spans="1099:1114" x14ac:dyDescent="0.3">
      <c r="APH1106" s="1075"/>
    </row>
    <row r="1107" spans="1099:1114" x14ac:dyDescent="0.3">
      <c r="API1107" s="1076"/>
    </row>
    <row r="1108" spans="1099:1114" x14ac:dyDescent="0.3">
      <c r="APJ1108" s="1077"/>
    </row>
    <row r="1109" spans="1099:1114" x14ac:dyDescent="0.3">
      <c r="APK1109" s="1078"/>
    </row>
    <row r="1110" spans="1099:1114" x14ac:dyDescent="0.3">
      <c r="APL1110" s="1079"/>
    </row>
    <row r="1111" spans="1099:1114" x14ac:dyDescent="0.3">
      <c r="APM1111" s="1080"/>
    </row>
    <row r="1112" spans="1099:1114" x14ac:dyDescent="0.3">
      <c r="APN1112" s="1081"/>
    </row>
    <row r="1113" spans="1099:1114" x14ac:dyDescent="0.3">
      <c r="APO1113" s="1082"/>
    </row>
    <row r="1114" spans="1099:1114" x14ac:dyDescent="0.3">
      <c r="APP1114" s="1083"/>
    </row>
    <row r="1115" spans="1099:1114" x14ac:dyDescent="0.3">
      <c r="APQ1115" s="1084"/>
    </row>
    <row r="1116" spans="1099:1114" x14ac:dyDescent="0.3">
      <c r="APR1116" s="1085"/>
    </row>
    <row r="1117" spans="1099:1114" x14ac:dyDescent="0.3">
      <c r="APS1117" s="1086"/>
    </row>
    <row r="1118" spans="1099:1114" x14ac:dyDescent="0.3">
      <c r="APT1118" s="1087"/>
    </row>
    <row r="1119" spans="1099:1114" x14ac:dyDescent="0.3">
      <c r="APU1119" s="1088"/>
    </row>
    <row r="1120" spans="1099:1114" x14ac:dyDescent="0.3">
      <c r="APV1120" s="1089"/>
    </row>
    <row r="1121" spans="1115:1130" x14ac:dyDescent="0.3">
      <c r="APW1121" s="1090"/>
    </row>
    <row r="1122" spans="1115:1130" x14ac:dyDescent="0.3">
      <c r="APX1122" s="1091"/>
    </row>
    <row r="1123" spans="1115:1130" x14ac:dyDescent="0.3">
      <c r="APY1123" s="1092"/>
    </row>
    <row r="1124" spans="1115:1130" x14ac:dyDescent="0.3">
      <c r="APZ1124" s="1093"/>
    </row>
    <row r="1125" spans="1115:1130" x14ac:dyDescent="0.3">
      <c r="AQA1125" s="1094"/>
    </row>
    <row r="1126" spans="1115:1130" x14ac:dyDescent="0.3">
      <c r="AQB1126" s="1095"/>
    </row>
    <row r="1127" spans="1115:1130" x14ac:dyDescent="0.3">
      <c r="AQC1127" s="1096"/>
    </row>
    <row r="1128" spans="1115:1130" x14ac:dyDescent="0.3">
      <c r="AQD1128" s="1097"/>
    </row>
    <row r="1129" spans="1115:1130" x14ac:dyDescent="0.3">
      <c r="AQE1129" s="1098"/>
    </row>
    <row r="1130" spans="1115:1130" x14ac:dyDescent="0.3">
      <c r="AQF1130" s="1099"/>
    </row>
    <row r="1131" spans="1115:1130" x14ac:dyDescent="0.3">
      <c r="AQG1131" s="1100"/>
    </row>
    <row r="1132" spans="1115:1130" x14ac:dyDescent="0.3">
      <c r="AQH1132" s="1101"/>
    </row>
    <row r="1133" spans="1115:1130" x14ac:dyDescent="0.3">
      <c r="AQI1133" s="1102"/>
    </row>
    <row r="1134" spans="1115:1130" x14ac:dyDescent="0.3">
      <c r="AQJ1134" s="1103"/>
    </row>
    <row r="1135" spans="1115:1130" x14ac:dyDescent="0.3">
      <c r="AQK1135" s="1104"/>
    </row>
    <row r="1136" spans="1115:1130" x14ac:dyDescent="0.3">
      <c r="AQL1136" s="1105"/>
    </row>
    <row r="1137" spans="1131:1146" x14ac:dyDescent="0.3">
      <c r="AQM1137" s="1106"/>
    </row>
    <row r="1138" spans="1131:1146" x14ac:dyDescent="0.3">
      <c r="AQN1138" s="1107"/>
    </row>
    <row r="1139" spans="1131:1146" x14ac:dyDescent="0.3">
      <c r="AQO1139" s="1108"/>
    </row>
    <row r="1140" spans="1131:1146" x14ac:dyDescent="0.3">
      <c r="AQP1140" s="1109"/>
    </row>
    <row r="1141" spans="1131:1146" x14ac:dyDescent="0.3">
      <c r="AQQ1141" s="1110"/>
    </row>
    <row r="1142" spans="1131:1146" x14ac:dyDescent="0.3">
      <c r="AQR1142" s="1111"/>
    </row>
    <row r="1143" spans="1131:1146" x14ac:dyDescent="0.3">
      <c r="AQS1143" s="1112"/>
    </row>
    <row r="1144" spans="1131:1146" x14ac:dyDescent="0.3">
      <c r="AQT1144" s="1113"/>
    </row>
    <row r="1145" spans="1131:1146" x14ac:dyDescent="0.3">
      <c r="AQU1145" s="1114"/>
    </row>
    <row r="1146" spans="1131:1146" x14ac:dyDescent="0.3">
      <c r="AQV1146" s="1115"/>
    </row>
    <row r="1147" spans="1131:1146" x14ac:dyDescent="0.3">
      <c r="AQW1147" s="1116"/>
    </row>
    <row r="1148" spans="1131:1146" x14ac:dyDescent="0.3">
      <c r="AQX1148" s="1117"/>
    </row>
    <row r="1149" spans="1131:1146" x14ac:dyDescent="0.3">
      <c r="AQY1149" s="1118"/>
    </row>
    <row r="1150" spans="1131:1146" x14ac:dyDescent="0.3">
      <c r="AQZ1150" s="1119"/>
    </row>
    <row r="1151" spans="1131:1146" x14ac:dyDescent="0.3">
      <c r="ARA1151" s="1120"/>
    </row>
    <row r="1152" spans="1131:1146" x14ac:dyDescent="0.3">
      <c r="ARB1152" s="1121"/>
    </row>
    <row r="1153" spans="1147:1162" x14ac:dyDescent="0.3">
      <c r="ARC1153" s="1122"/>
    </row>
    <row r="1154" spans="1147:1162" x14ac:dyDescent="0.3">
      <c r="ARD1154" s="1123"/>
    </row>
    <row r="1155" spans="1147:1162" x14ac:dyDescent="0.3">
      <c r="ARE1155" s="1124"/>
    </row>
    <row r="1156" spans="1147:1162" x14ac:dyDescent="0.3">
      <c r="ARF1156" s="1125"/>
    </row>
    <row r="1157" spans="1147:1162" x14ac:dyDescent="0.3">
      <c r="ARG1157" s="1126"/>
    </row>
    <row r="1158" spans="1147:1162" x14ac:dyDescent="0.3">
      <c r="ARH1158" s="1127"/>
    </row>
    <row r="1159" spans="1147:1162" x14ac:dyDescent="0.3">
      <c r="ARI1159" s="1128"/>
    </row>
    <row r="1160" spans="1147:1162" x14ac:dyDescent="0.3">
      <c r="ARJ1160" s="1129"/>
    </row>
    <row r="1161" spans="1147:1162" x14ac:dyDescent="0.3">
      <c r="ARK1161" s="1130"/>
    </row>
    <row r="1162" spans="1147:1162" x14ac:dyDescent="0.3">
      <c r="ARL1162" s="1131"/>
    </row>
    <row r="1163" spans="1147:1162" x14ac:dyDescent="0.3">
      <c r="ARM1163" s="1132"/>
    </row>
    <row r="1164" spans="1147:1162" x14ac:dyDescent="0.3">
      <c r="ARN1164" s="1133"/>
    </row>
    <row r="1165" spans="1147:1162" x14ac:dyDescent="0.3">
      <c r="ARO1165" s="1134"/>
    </row>
    <row r="1166" spans="1147:1162" x14ac:dyDescent="0.3">
      <c r="ARP1166" s="1135"/>
    </row>
    <row r="1167" spans="1147:1162" x14ac:dyDescent="0.3">
      <c r="ARQ1167" s="1136"/>
    </row>
    <row r="1168" spans="1147:1162" x14ac:dyDescent="0.3">
      <c r="ARR1168" s="1137"/>
    </row>
    <row r="1169" spans="1163:1178" x14ac:dyDescent="0.3">
      <c r="ARS1169" s="1138"/>
    </row>
    <row r="1170" spans="1163:1178" x14ac:dyDescent="0.3">
      <c r="ART1170" s="1139"/>
    </row>
    <row r="1171" spans="1163:1178" x14ac:dyDescent="0.3">
      <c r="ARU1171" s="1140"/>
    </row>
    <row r="1172" spans="1163:1178" x14ac:dyDescent="0.3">
      <c r="ARV1172" s="1141"/>
    </row>
    <row r="1173" spans="1163:1178" x14ac:dyDescent="0.3">
      <c r="ARW1173" s="1142"/>
    </row>
    <row r="1174" spans="1163:1178" x14ac:dyDescent="0.3">
      <c r="ARX1174" s="1143"/>
    </row>
    <row r="1175" spans="1163:1178" x14ac:dyDescent="0.3">
      <c r="ARY1175" s="1144"/>
    </row>
    <row r="1176" spans="1163:1178" x14ac:dyDescent="0.3">
      <c r="ARZ1176" s="1145"/>
    </row>
    <row r="1177" spans="1163:1178" x14ac:dyDescent="0.3">
      <c r="ASA1177" s="1146"/>
    </row>
    <row r="1178" spans="1163:1178" x14ac:dyDescent="0.3">
      <c r="ASB1178" s="1147"/>
    </row>
    <row r="1179" spans="1163:1178" x14ac:dyDescent="0.3">
      <c r="ASC1179" s="1148"/>
    </row>
    <row r="1180" spans="1163:1178" x14ac:dyDescent="0.3">
      <c r="ASD1180" s="1149"/>
    </row>
    <row r="1181" spans="1163:1178" x14ac:dyDescent="0.3">
      <c r="ASE1181" s="1150"/>
    </row>
    <row r="1182" spans="1163:1178" x14ac:dyDescent="0.3">
      <c r="ASF1182" s="1151"/>
    </row>
    <row r="1183" spans="1163:1178" x14ac:dyDescent="0.3">
      <c r="ASG1183" s="1152"/>
    </row>
    <row r="1184" spans="1163:1178" x14ac:dyDescent="0.3">
      <c r="ASH1184" s="1153"/>
    </row>
    <row r="1185" spans="1179:1194" x14ac:dyDescent="0.3">
      <c r="ASI1185" s="1154"/>
    </row>
    <row r="1186" spans="1179:1194" x14ac:dyDescent="0.3">
      <c r="ASJ1186" s="1155"/>
    </row>
    <row r="1187" spans="1179:1194" x14ac:dyDescent="0.3">
      <c r="ASK1187" s="1156"/>
    </row>
    <row r="1188" spans="1179:1194" x14ac:dyDescent="0.3">
      <c r="ASL1188" s="1157"/>
    </row>
    <row r="1189" spans="1179:1194" x14ac:dyDescent="0.3">
      <c r="ASM1189" s="1158"/>
    </row>
    <row r="1190" spans="1179:1194" x14ac:dyDescent="0.3">
      <c r="ASN1190" s="1159"/>
    </row>
    <row r="1191" spans="1179:1194" x14ac:dyDescent="0.3">
      <c r="ASO1191" s="1160"/>
    </row>
    <row r="1192" spans="1179:1194" x14ac:dyDescent="0.3">
      <c r="ASP1192" s="1161"/>
    </row>
    <row r="1193" spans="1179:1194" x14ac:dyDescent="0.3">
      <c r="ASQ1193" s="1162"/>
    </row>
    <row r="1194" spans="1179:1194" x14ac:dyDescent="0.3">
      <c r="ASR1194" s="1163"/>
    </row>
    <row r="1195" spans="1179:1194" x14ac:dyDescent="0.3">
      <c r="ASS1195" s="1164"/>
    </row>
    <row r="1196" spans="1179:1194" x14ac:dyDescent="0.3">
      <c r="AST1196" s="1165"/>
    </row>
    <row r="1197" spans="1179:1194" x14ac:dyDescent="0.3">
      <c r="ASU1197" s="1166"/>
    </row>
    <row r="1198" spans="1179:1194" x14ac:dyDescent="0.3">
      <c r="ASV1198" s="1167"/>
    </row>
    <row r="1199" spans="1179:1194" x14ac:dyDescent="0.3">
      <c r="ASW1199" s="1168"/>
    </row>
    <row r="1200" spans="1179:1194" x14ac:dyDescent="0.3">
      <c r="ASX1200" s="1169"/>
    </row>
    <row r="1201" spans="1195:1210" x14ac:dyDescent="0.3">
      <c r="ASY1201" s="1170"/>
    </row>
    <row r="1202" spans="1195:1210" x14ac:dyDescent="0.3">
      <c r="ASZ1202" s="1171"/>
    </row>
    <row r="1203" spans="1195:1210" x14ac:dyDescent="0.3">
      <c r="ATA1203" s="1172"/>
    </row>
    <row r="1204" spans="1195:1210" x14ac:dyDescent="0.3">
      <c r="ATB1204" s="1173"/>
    </row>
    <row r="1205" spans="1195:1210" x14ac:dyDescent="0.3">
      <c r="ATC1205" s="1174"/>
    </row>
    <row r="1206" spans="1195:1210" x14ac:dyDescent="0.3">
      <c r="ATD1206" s="1175"/>
    </row>
    <row r="1207" spans="1195:1210" x14ac:dyDescent="0.3">
      <c r="ATE1207" s="1176"/>
    </row>
    <row r="1208" spans="1195:1210" x14ac:dyDescent="0.3">
      <c r="ATF1208" s="1177"/>
    </row>
    <row r="1209" spans="1195:1210" x14ac:dyDescent="0.3">
      <c r="ATG1209" s="1178"/>
    </row>
    <row r="1210" spans="1195:1210" x14ac:dyDescent="0.3">
      <c r="ATH1210" s="1179"/>
    </row>
    <row r="1211" spans="1195:1210" x14ac:dyDescent="0.3">
      <c r="ATI1211" s="1180"/>
    </row>
    <row r="1212" spans="1195:1210" x14ac:dyDescent="0.3">
      <c r="ATJ1212" s="1181"/>
    </row>
    <row r="1213" spans="1195:1210" x14ac:dyDescent="0.3">
      <c r="ATK1213" s="1182"/>
    </row>
    <row r="1214" spans="1195:1210" x14ac:dyDescent="0.3">
      <c r="ATL1214" s="1183"/>
    </row>
    <row r="1215" spans="1195:1210" x14ac:dyDescent="0.3">
      <c r="ATM1215" s="1184"/>
    </row>
    <row r="1216" spans="1195:1210" x14ac:dyDescent="0.3">
      <c r="ATN1216" s="1185"/>
    </row>
    <row r="1217" spans="1211:1226" x14ac:dyDescent="0.3">
      <c r="ATO1217" s="1186"/>
    </row>
    <row r="1218" spans="1211:1226" x14ac:dyDescent="0.3">
      <c r="ATP1218" s="1187"/>
    </row>
    <row r="1219" spans="1211:1226" x14ac:dyDescent="0.3">
      <c r="ATQ1219" s="1188"/>
    </row>
    <row r="1220" spans="1211:1226" x14ac:dyDescent="0.3">
      <c r="ATR1220" s="1189"/>
    </row>
    <row r="1221" spans="1211:1226" x14ac:dyDescent="0.3">
      <c r="ATS1221" s="1190"/>
    </row>
    <row r="1222" spans="1211:1226" x14ac:dyDescent="0.3">
      <c r="ATT1222" s="1191"/>
    </row>
    <row r="1223" spans="1211:1226" x14ac:dyDescent="0.3">
      <c r="ATU1223" s="1192"/>
    </row>
    <row r="1224" spans="1211:1226" x14ac:dyDescent="0.3">
      <c r="ATV1224" s="1193"/>
    </row>
    <row r="1225" spans="1211:1226" x14ac:dyDescent="0.3">
      <c r="ATW1225" s="1194"/>
    </row>
    <row r="1226" spans="1211:1226" x14ac:dyDescent="0.3">
      <c r="ATX1226" s="1195"/>
    </row>
    <row r="1227" spans="1211:1226" x14ac:dyDescent="0.3">
      <c r="ATY1227" s="1196"/>
    </row>
    <row r="1228" spans="1211:1226" x14ac:dyDescent="0.3">
      <c r="ATZ1228" s="1197"/>
    </row>
    <row r="1229" spans="1211:1226" x14ac:dyDescent="0.3">
      <c r="AUA1229" s="1198"/>
    </row>
    <row r="1230" spans="1211:1226" x14ac:dyDescent="0.3">
      <c r="AUB1230" s="1199"/>
    </row>
    <row r="1231" spans="1211:1226" x14ac:dyDescent="0.3">
      <c r="AUC1231" s="1200"/>
    </row>
    <row r="1232" spans="1211:1226" x14ac:dyDescent="0.3">
      <c r="AUD1232" s="1201"/>
    </row>
    <row r="1233" spans="1227:1242" x14ac:dyDescent="0.3">
      <c r="AUE1233" s="1202"/>
    </row>
    <row r="1234" spans="1227:1242" x14ac:dyDescent="0.3">
      <c r="AUF1234" s="1203"/>
    </row>
    <row r="1235" spans="1227:1242" x14ac:dyDescent="0.3">
      <c r="AUG1235" s="1204"/>
    </row>
    <row r="1236" spans="1227:1242" x14ac:dyDescent="0.3">
      <c r="AUH1236" s="1205"/>
    </row>
    <row r="1237" spans="1227:1242" x14ac:dyDescent="0.3">
      <c r="AUI1237" s="1206"/>
    </row>
    <row r="1238" spans="1227:1242" x14ac:dyDescent="0.3">
      <c r="AUJ1238" s="1207"/>
    </row>
    <row r="1239" spans="1227:1242" x14ac:dyDescent="0.3">
      <c r="AUK1239" s="1208"/>
    </row>
    <row r="1240" spans="1227:1242" x14ac:dyDescent="0.3">
      <c r="AUL1240" s="1209"/>
    </row>
    <row r="1241" spans="1227:1242" x14ac:dyDescent="0.3">
      <c r="AUM1241" s="1210"/>
    </row>
    <row r="1242" spans="1227:1242" x14ac:dyDescent="0.3">
      <c r="AUN1242" s="1211"/>
    </row>
    <row r="1243" spans="1227:1242" x14ac:dyDescent="0.3">
      <c r="AUO1243" s="1212"/>
    </row>
    <row r="1244" spans="1227:1242" x14ac:dyDescent="0.3">
      <c r="AUP1244" s="1213"/>
    </row>
    <row r="1245" spans="1227:1242" x14ac:dyDescent="0.3">
      <c r="AUQ1245" s="1214"/>
    </row>
    <row r="1246" spans="1227:1242" x14ac:dyDescent="0.3">
      <c r="AUR1246" s="1215"/>
    </row>
    <row r="1247" spans="1227:1242" x14ac:dyDescent="0.3">
      <c r="AUS1247" s="1216"/>
    </row>
    <row r="1248" spans="1227:1242" x14ac:dyDescent="0.3">
      <c r="AUT1248" s="1217"/>
    </row>
    <row r="1249" spans="1243:1258" x14ac:dyDescent="0.3">
      <c r="AUU1249" s="1218"/>
    </row>
    <row r="1250" spans="1243:1258" x14ac:dyDescent="0.3">
      <c r="AUV1250" s="1219"/>
    </row>
    <row r="1251" spans="1243:1258" x14ac:dyDescent="0.3">
      <c r="AUW1251" s="1220"/>
    </row>
    <row r="1252" spans="1243:1258" x14ac:dyDescent="0.3">
      <c r="AUX1252" s="1221"/>
    </row>
    <row r="1253" spans="1243:1258" x14ac:dyDescent="0.3">
      <c r="AUY1253" s="1222"/>
    </row>
    <row r="1254" spans="1243:1258" x14ac:dyDescent="0.3">
      <c r="AUZ1254" s="1223"/>
    </row>
    <row r="1255" spans="1243:1258" x14ac:dyDescent="0.3">
      <c r="AVA1255" s="1224"/>
    </row>
    <row r="1256" spans="1243:1258" x14ac:dyDescent="0.3">
      <c r="AVB1256" s="1225"/>
    </row>
    <row r="1257" spans="1243:1258" x14ac:dyDescent="0.3">
      <c r="AVC1257" s="1226"/>
    </row>
    <row r="1258" spans="1243:1258" x14ac:dyDescent="0.3">
      <c r="AVD1258" s="1227"/>
    </row>
    <row r="1259" spans="1243:1258" x14ac:dyDescent="0.3">
      <c r="AVE1259" s="1228"/>
    </row>
    <row r="1260" spans="1243:1258" x14ac:dyDescent="0.3">
      <c r="AVF1260" s="1229"/>
    </row>
    <row r="1261" spans="1243:1258" x14ac:dyDescent="0.3">
      <c r="AVG1261" s="1230"/>
    </row>
    <row r="1262" spans="1243:1258" x14ac:dyDescent="0.3">
      <c r="AVH1262" s="1231"/>
    </row>
    <row r="1263" spans="1243:1258" x14ac:dyDescent="0.3">
      <c r="AVI1263" s="1232"/>
    </row>
    <row r="1264" spans="1243:1258" x14ac:dyDescent="0.3">
      <c r="AVJ1264" s="1233"/>
    </row>
    <row r="1265" spans="1259:1274" x14ac:dyDescent="0.3">
      <c r="AVK1265" s="1234"/>
    </row>
    <row r="1266" spans="1259:1274" x14ac:dyDescent="0.3">
      <c r="AVL1266" s="1235"/>
    </row>
    <row r="1267" spans="1259:1274" x14ac:dyDescent="0.3">
      <c r="AVM1267" s="1236"/>
    </row>
    <row r="1268" spans="1259:1274" x14ac:dyDescent="0.3">
      <c r="AVN1268" s="1237"/>
    </row>
    <row r="1269" spans="1259:1274" x14ac:dyDescent="0.3">
      <c r="AVO1269" s="1238"/>
    </row>
    <row r="1270" spans="1259:1274" x14ac:dyDescent="0.3">
      <c r="AVP1270" s="1239"/>
    </row>
    <row r="1271" spans="1259:1274" x14ac:dyDescent="0.3">
      <c r="AVQ1271" s="1240"/>
    </row>
    <row r="1272" spans="1259:1274" x14ac:dyDescent="0.3">
      <c r="AVR1272" s="1241"/>
    </row>
    <row r="1273" spans="1259:1274" x14ac:dyDescent="0.3">
      <c r="AVS1273" s="1242"/>
    </row>
    <row r="1274" spans="1259:1274" x14ac:dyDescent="0.3">
      <c r="AVT1274" s="1243"/>
    </row>
    <row r="1275" spans="1259:1274" x14ac:dyDescent="0.3">
      <c r="AVU1275" s="1244"/>
    </row>
    <row r="1276" spans="1259:1274" x14ac:dyDescent="0.3">
      <c r="AVV1276" s="1245"/>
    </row>
    <row r="1277" spans="1259:1274" x14ac:dyDescent="0.3">
      <c r="AVW1277" s="1246"/>
    </row>
    <row r="1278" spans="1259:1274" x14ac:dyDescent="0.3">
      <c r="AVX1278" s="1247"/>
    </row>
    <row r="1279" spans="1259:1274" x14ac:dyDescent="0.3">
      <c r="AVY1279" s="1248"/>
    </row>
    <row r="1280" spans="1259:1274" x14ac:dyDescent="0.3">
      <c r="AVZ1280" s="1249"/>
    </row>
    <row r="1281" spans="1275:1290" x14ac:dyDescent="0.3">
      <c r="AWA1281" s="1250"/>
    </row>
    <row r="1282" spans="1275:1290" x14ac:dyDescent="0.3">
      <c r="AWB1282" s="1251"/>
    </row>
    <row r="1283" spans="1275:1290" x14ac:dyDescent="0.3">
      <c r="AWC1283" s="1252"/>
    </row>
    <row r="1284" spans="1275:1290" x14ac:dyDescent="0.3">
      <c r="AWD1284" s="1253"/>
    </row>
    <row r="1285" spans="1275:1290" x14ac:dyDescent="0.3">
      <c r="AWE1285" s="1254"/>
    </row>
    <row r="1286" spans="1275:1290" x14ac:dyDescent="0.3">
      <c r="AWF1286" s="1255"/>
    </row>
    <row r="1287" spans="1275:1290" x14ac:dyDescent="0.3">
      <c r="AWG1287" s="1256"/>
    </row>
    <row r="1288" spans="1275:1290" x14ac:dyDescent="0.3">
      <c r="AWH1288" s="1257"/>
    </row>
    <row r="1289" spans="1275:1290" x14ac:dyDescent="0.3">
      <c r="AWI1289" s="1258"/>
    </row>
    <row r="1290" spans="1275:1290" x14ac:dyDescent="0.3">
      <c r="AWJ1290" s="1259"/>
    </row>
    <row r="1291" spans="1275:1290" x14ac:dyDescent="0.3">
      <c r="AWK1291" s="1259"/>
    </row>
    <row r="1292" spans="1275:1290" x14ac:dyDescent="0.3">
      <c r="AWL1292" s="1260"/>
    </row>
    <row r="1293" spans="1275:1290" x14ac:dyDescent="0.3">
      <c r="AWM1293" s="1261"/>
    </row>
    <row r="1294" spans="1275:1290" x14ac:dyDescent="0.3">
      <c r="AWN1294" s="1262"/>
    </row>
    <row r="1295" spans="1275:1290" x14ac:dyDescent="0.3">
      <c r="AWO1295" s="1263"/>
    </row>
    <row r="1296" spans="1275:1290" x14ac:dyDescent="0.3">
      <c r="AWP1296" s="1264"/>
    </row>
    <row r="1297" spans="1291:1306" x14ac:dyDescent="0.3">
      <c r="AWQ1297" s="1265"/>
    </row>
    <row r="1298" spans="1291:1306" x14ac:dyDescent="0.3">
      <c r="AWR1298" s="1266"/>
    </row>
    <row r="1299" spans="1291:1306" x14ac:dyDescent="0.3">
      <c r="AWS1299" s="1267"/>
    </row>
    <row r="1300" spans="1291:1306" x14ac:dyDescent="0.3">
      <c r="AWT1300" s="1268"/>
    </row>
    <row r="1301" spans="1291:1306" x14ac:dyDescent="0.3">
      <c r="AWU1301" s="1269"/>
    </row>
    <row r="1302" spans="1291:1306" x14ac:dyDescent="0.3">
      <c r="AWV1302" s="1270"/>
    </row>
    <row r="1303" spans="1291:1306" x14ac:dyDescent="0.3">
      <c r="AWW1303" s="1271"/>
    </row>
    <row r="1304" spans="1291:1306" x14ac:dyDescent="0.3">
      <c r="AWX1304" s="1272"/>
    </row>
    <row r="1305" spans="1291:1306" x14ac:dyDescent="0.3">
      <c r="AWY1305" s="1273"/>
    </row>
    <row r="1306" spans="1291:1306" x14ac:dyDescent="0.3">
      <c r="AWZ1306" s="1274"/>
    </row>
    <row r="1307" spans="1291:1306" x14ac:dyDescent="0.3">
      <c r="AXA1307" s="1275"/>
    </row>
    <row r="1308" spans="1291:1306" x14ac:dyDescent="0.3">
      <c r="AXB1308" s="1276"/>
    </row>
    <row r="1309" spans="1291:1306" x14ac:dyDescent="0.3">
      <c r="AXC1309" s="1277"/>
    </row>
    <row r="1310" spans="1291:1306" x14ac:dyDescent="0.3">
      <c r="AXD1310" s="1278"/>
    </row>
    <row r="1311" spans="1291:1306" x14ac:dyDescent="0.3">
      <c r="AXE1311" s="1279"/>
    </row>
    <row r="1312" spans="1291:1306" x14ac:dyDescent="0.3">
      <c r="AXF1312" s="1280"/>
    </row>
    <row r="1313" spans="1307:1322" x14ac:dyDescent="0.3">
      <c r="AXG1313" s="1281"/>
    </row>
    <row r="1314" spans="1307:1322" x14ac:dyDescent="0.3">
      <c r="AXH1314" s="1282"/>
    </row>
    <row r="1315" spans="1307:1322" x14ac:dyDescent="0.3">
      <c r="AXI1315" s="1283"/>
    </row>
    <row r="1316" spans="1307:1322" x14ac:dyDescent="0.3">
      <c r="AXJ1316" s="1284"/>
    </row>
    <row r="1317" spans="1307:1322" x14ac:dyDescent="0.3">
      <c r="AXK1317" s="1285"/>
    </row>
    <row r="1318" spans="1307:1322" x14ac:dyDescent="0.3">
      <c r="AXL1318" s="1286"/>
    </row>
    <row r="1319" spans="1307:1322" x14ac:dyDescent="0.3">
      <c r="AXM1319" s="1287"/>
    </row>
    <row r="1320" spans="1307:1322" x14ac:dyDescent="0.3">
      <c r="AXN1320" s="1288"/>
    </row>
    <row r="1321" spans="1307:1322" x14ac:dyDescent="0.3">
      <c r="AXO1321" s="1289"/>
    </row>
    <row r="1322" spans="1307:1322" x14ac:dyDescent="0.3">
      <c r="AXP1322" s="1290"/>
    </row>
    <row r="1323" spans="1307:1322" x14ac:dyDescent="0.3">
      <c r="AXQ1323" s="1291"/>
    </row>
    <row r="1324" spans="1307:1322" x14ac:dyDescent="0.3">
      <c r="AXR1324" s="1292"/>
    </row>
    <row r="1325" spans="1307:1322" x14ac:dyDescent="0.3">
      <c r="AXS1325" s="1293"/>
    </row>
    <row r="1326" spans="1307:1322" x14ac:dyDescent="0.3">
      <c r="AXT1326" s="1294"/>
    </row>
    <row r="1327" spans="1307:1322" x14ac:dyDescent="0.3">
      <c r="AXU1327" s="1295"/>
    </row>
    <row r="1328" spans="1307:1322" x14ac:dyDescent="0.3">
      <c r="AXV1328" s="1296"/>
    </row>
    <row r="1329" spans="1323:1338" x14ac:dyDescent="0.3">
      <c r="AXW1329" s="1297"/>
    </row>
    <row r="1330" spans="1323:1338" x14ac:dyDescent="0.3">
      <c r="AXX1330" s="1298"/>
    </row>
    <row r="1331" spans="1323:1338" x14ac:dyDescent="0.3">
      <c r="AXY1331" s="1299"/>
    </row>
    <row r="1332" spans="1323:1338" x14ac:dyDescent="0.3">
      <c r="AXZ1332" s="1300"/>
    </row>
    <row r="1333" spans="1323:1338" x14ac:dyDescent="0.3">
      <c r="AYA1333" s="1301"/>
    </row>
    <row r="1334" spans="1323:1338" x14ac:dyDescent="0.3">
      <c r="AYB1334" s="1302"/>
    </row>
    <row r="1335" spans="1323:1338" x14ac:dyDescent="0.3">
      <c r="AYC1335" s="1303"/>
    </row>
    <row r="1336" spans="1323:1338" x14ac:dyDescent="0.3">
      <c r="AYD1336" s="1304"/>
    </row>
    <row r="1337" spans="1323:1338" x14ac:dyDescent="0.3">
      <c r="AYE1337" s="1305"/>
    </row>
    <row r="1338" spans="1323:1338" x14ac:dyDescent="0.3">
      <c r="AYF1338" s="1306"/>
    </row>
    <row r="1339" spans="1323:1338" x14ac:dyDescent="0.3">
      <c r="AYG1339" s="1307"/>
    </row>
    <row r="1340" spans="1323:1338" x14ac:dyDescent="0.3">
      <c r="AYH1340" s="1308"/>
    </row>
    <row r="1341" spans="1323:1338" x14ac:dyDescent="0.3">
      <c r="AYI1341" s="1309"/>
    </row>
    <row r="1342" spans="1323:1338" x14ac:dyDescent="0.3">
      <c r="AYJ1342" s="1310"/>
    </row>
    <row r="1343" spans="1323:1338" x14ac:dyDescent="0.3">
      <c r="AYK1343" s="1311"/>
    </row>
    <row r="1344" spans="1323:1338" x14ac:dyDescent="0.3">
      <c r="AYL1344" s="1312"/>
    </row>
    <row r="1345" spans="1339:1354" x14ac:dyDescent="0.3">
      <c r="AYM1345" s="1313"/>
    </row>
    <row r="1346" spans="1339:1354" x14ac:dyDescent="0.3">
      <c r="AYN1346" s="1314"/>
    </row>
    <row r="1347" spans="1339:1354" x14ac:dyDescent="0.3">
      <c r="AYO1347" s="1315"/>
    </row>
    <row r="1348" spans="1339:1354" x14ac:dyDescent="0.3">
      <c r="AYP1348" s="1316"/>
    </row>
    <row r="1349" spans="1339:1354" x14ac:dyDescent="0.3">
      <c r="AYQ1349" s="1317"/>
    </row>
    <row r="1350" spans="1339:1354" x14ac:dyDescent="0.3">
      <c r="AYR1350" s="1318"/>
    </row>
    <row r="1351" spans="1339:1354" x14ac:dyDescent="0.3">
      <c r="AYS1351" s="1319"/>
    </row>
    <row r="1352" spans="1339:1354" x14ac:dyDescent="0.3">
      <c r="AYT1352" s="1320"/>
    </row>
    <row r="1353" spans="1339:1354" x14ac:dyDescent="0.3">
      <c r="AYU1353" s="1321"/>
    </row>
    <row r="1354" spans="1339:1354" x14ac:dyDescent="0.3">
      <c r="AYV1354" s="1322"/>
    </row>
    <row r="1355" spans="1339:1354" x14ac:dyDescent="0.3">
      <c r="AYW1355" s="1323"/>
    </row>
    <row r="1356" spans="1339:1354" x14ac:dyDescent="0.3">
      <c r="AYX1356" s="1324"/>
    </row>
    <row r="1357" spans="1339:1354" x14ac:dyDescent="0.3">
      <c r="AYY1357" s="1325"/>
    </row>
    <row r="1358" spans="1339:1354" x14ac:dyDescent="0.3">
      <c r="AYZ1358" s="1326"/>
    </row>
    <row r="1359" spans="1339:1354" x14ac:dyDescent="0.3">
      <c r="AZA1359" s="1327"/>
    </row>
    <row r="1360" spans="1339:1354" x14ac:dyDescent="0.3">
      <c r="AZB1360" s="1328"/>
    </row>
    <row r="1361" spans="1355:1370" x14ac:dyDescent="0.3">
      <c r="AZC1361" s="1329"/>
    </row>
    <row r="1362" spans="1355:1370" x14ac:dyDescent="0.3">
      <c r="AZD1362" s="1330"/>
    </row>
    <row r="1363" spans="1355:1370" x14ac:dyDescent="0.3">
      <c r="AZE1363" s="1331"/>
    </row>
    <row r="1364" spans="1355:1370" x14ac:dyDescent="0.3">
      <c r="AZF1364" s="1332"/>
    </row>
    <row r="1365" spans="1355:1370" x14ac:dyDescent="0.3">
      <c r="AZG1365" s="1333"/>
    </row>
    <row r="1366" spans="1355:1370" x14ac:dyDescent="0.3">
      <c r="AZH1366" s="1334"/>
    </row>
    <row r="1367" spans="1355:1370" x14ac:dyDescent="0.3">
      <c r="AZI1367" s="1335"/>
    </row>
    <row r="1368" spans="1355:1370" x14ac:dyDescent="0.3">
      <c r="AZJ1368" s="1336"/>
    </row>
    <row r="1369" spans="1355:1370" x14ac:dyDescent="0.3">
      <c r="AZK1369" s="1337"/>
    </row>
    <row r="1370" spans="1355:1370" x14ac:dyDescent="0.3">
      <c r="AZL1370" s="1338"/>
    </row>
    <row r="1371" spans="1355:1370" x14ac:dyDescent="0.3">
      <c r="AZM1371" s="1339"/>
    </row>
    <row r="1372" spans="1355:1370" x14ac:dyDescent="0.3">
      <c r="AZN1372" s="1340"/>
    </row>
    <row r="1373" spans="1355:1370" x14ac:dyDescent="0.3">
      <c r="AZO1373" s="1341"/>
    </row>
    <row r="1374" spans="1355:1370" x14ac:dyDescent="0.3">
      <c r="AZP1374" s="1342"/>
    </row>
    <row r="1375" spans="1355:1370" x14ac:dyDescent="0.3">
      <c r="AZQ1375" s="1343"/>
    </row>
    <row r="1376" spans="1355:1370" x14ac:dyDescent="0.3">
      <c r="AZR1376" s="1344"/>
    </row>
    <row r="1377" spans="1371:1386" x14ac:dyDescent="0.3">
      <c r="AZS1377" s="1345"/>
    </row>
    <row r="1378" spans="1371:1386" x14ac:dyDescent="0.3">
      <c r="AZT1378" s="1346"/>
    </row>
    <row r="1379" spans="1371:1386" x14ac:dyDescent="0.3">
      <c r="AZU1379" s="1347"/>
    </row>
    <row r="1380" spans="1371:1386" x14ac:dyDescent="0.3">
      <c r="AZV1380" s="1348"/>
    </row>
    <row r="1381" spans="1371:1386" x14ac:dyDescent="0.3">
      <c r="AZW1381" s="1349"/>
    </row>
    <row r="1382" spans="1371:1386" x14ac:dyDescent="0.3">
      <c r="AZX1382" s="1350"/>
    </row>
    <row r="1383" spans="1371:1386" x14ac:dyDescent="0.3">
      <c r="AZY1383" s="1351"/>
    </row>
    <row r="1384" spans="1371:1386" x14ac:dyDescent="0.3">
      <c r="AZZ1384" s="1352"/>
    </row>
    <row r="1385" spans="1371:1386" x14ac:dyDescent="0.3">
      <c r="BAA1385" s="1353"/>
    </row>
    <row r="1386" spans="1371:1386" x14ac:dyDescent="0.3">
      <c r="BAB1386" s="1354"/>
    </row>
    <row r="1387" spans="1371:1386" x14ac:dyDescent="0.3">
      <c r="BAC1387" s="1355"/>
    </row>
    <row r="1388" spans="1371:1386" x14ac:dyDescent="0.3">
      <c r="BAD1388" s="1356"/>
    </row>
    <row r="1389" spans="1371:1386" x14ac:dyDescent="0.3">
      <c r="BAE1389" s="1357"/>
    </row>
    <row r="1390" spans="1371:1386" x14ac:dyDescent="0.3">
      <c r="BAF1390" s="1358"/>
    </row>
    <row r="1391" spans="1371:1386" x14ac:dyDescent="0.3">
      <c r="BAG1391" s="1359"/>
    </row>
    <row r="1392" spans="1371:1386" x14ac:dyDescent="0.3">
      <c r="BAH1392" s="1360"/>
    </row>
    <row r="1393" spans="1387:1402" x14ac:dyDescent="0.3">
      <c r="BAI1393" s="1361"/>
    </row>
    <row r="1394" spans="1387:1402" x14ac:dyDescent="0.3">
      <c r="BAJ1394" s="1362"/>
    </row>
    <row r="1395" spans="1387:1402" x14ac:dyDescent="0.3">
      <c r="BAK1395" s="1363"/>
    </row>
    <row r="1396" spans="1387:1402" x14ac:dyDescent="0.3">
      <c r="BAL1396" s="1364"/>
    </row>
    <row r="1397" spans="1387:1402" x14ac:dyDescent="0.3">
      <c r="BAM1397" s="1365"/>
    </row>
    <row r="1398" spans="1387:1402" x14ac:dyDescent="0.3">
      <c r="BAN1398" s="1366"/>
    </row>
    <row r="1399" spans="1387:1402" x14ac:dyDescent="0.3">
      <c r="BAO1399" s="1367"/>
    </row>
    <row r="1400" spans="1387:1402" x14ac:dyDescent="0.3">
      <c r="BAP1400" s="1368"/>
    </row>
    <row r="1401" spans="1387:1402" x14ac:dyDescent="0.3">
      <c r="BAQ1401" s="1369"/>
    </row>
    <row r="1402" spans="1387:1402" x14ac:dyDescent="0.3">
      <c r="BAR1402" s="1370"/>
    </row>
    <row r="1403" spans="1387:1402" x14ac:dyDescent="0.3">
      <c r="BAS1403" s="1371"/>
    </row>
    <row r="1404" spans="1387:1402" x14ac:dyDescent="0.3">
      <c r="BAT1404" s="1372"/>
    </row>
    <row r="1405" spans="1387:1402" x14ac:dyDescent="0.3">
      <c r="BAU1405" s="1373"/>
    </row>
    <row r="1406" spans="1387:1402" x14ac:dyDescent="0.3">
      <c r="BAV1406" s="1374"/>
    </row>
    <row r="1407" spans="1387:1402" x14ac:dyDescent="0.3">
      <c r="BAW1407" s="1375"/>
    </row>
    <row r="1408" spans="1387:1402" x14ac:dyDescent="0.3">
      <c r="BAX1408" s="1376"/>
    </row>
    <row r="1409" spans="1403:1418" x14ac:dyDescent="0.3">
      <c r="BAY1409" s="1377"/>
    </row>
    <row r="1410" spans="1403:1418" x14ac:dyDescent="0.3">
      <c r="BAZ1410" s="1378"/>
    </row>
    <row r="1411" spans="1403:1418" x14ac:dyDescent="0.3">
      <c r="BBA1411" s="1379"/>
    </row>
    <row r="1412" spans="1403:1418" x14ac:dyDescent="0.3">
      <c r="BBB1412" s="1380"/>
    </row>
    <row r="1413" spans="1403:1418" x14ac:dyDescent="0.3">
      <c r="BBC1413" s="1381"/>
    </row>
    <row r="1414" spans="1403:1418" x14ac:dyDescent="0.3">
      <c r="BBD1414" s="1382"/>
    </row>
    <row r="1415" spans="1403:1418" x14ac:dyDescent="0.3">
      <c r="BBE1415" s="1383"/>
    </row>
    <row r="1416" spans="1403:1418" x14ac:dyDescent="0.3">
      <c r="BBF1416" s="1384"/>
    </row>
    <row r="1417" spans="1403:1418" x14ac:dyDescent="0.3">
      <c r="BBG1417" s="1385"/>
    </row>
    <row r="1418" spans="1403:1418" x14ac:dyDescent="0.3">
      <c r="BBH1418" s="1386"/>
    </row>
    <row r="1419" spans="1403:1418" x14ac:dyDescent="0.3">
      <c r="BBI1419" s="1387"/>
    </row>
    <row r="1420" spans="1403:1418" x14ac:dyDescent="0.3">
      <c r="BBJ1420" s="1388"/>
    </row>
    <row r="1421" spans="1403:1418" x14ac:dyDescent="0.3">
      <c r="BBK1421" s="1389"/>
    </row>
    <row r="1422" spans="1403:1418" x14ac:dyDescent="0.3">
      <c r="BBL1422" s="1390"/>
    </row>
    <row r="1423" spans="1403:1418" x14ac:dyDescent="0.3">
      <c r="BBM1423" s="1391"/>
    </row>
    <row r="1424" spans="1403:1418" x14ac:dyDescent="0.3">
      <c r="BBN1424" s="1392"/>
    </row>
    <row r="1425" spans="1419:1434" x14ac:dyDescent="0.3">
      <c r="BBO1425" s="1393"/>
    </row>
    <row r="1426" spans="1419:1434" x14ac:dyDescent="0.3">
      <c r="BBP1426" s="1394"/>
    </row>
    <row r="1427" spans="1419:1434" x14ac:dyDescent="0.3">
      <c r="BBQ1427" s="1395"/>
    </row>
    <row r="1428" spans="1419:1434" x14ac:dyDescent="0.3">
      <c r="BBR1428" s="1396"/>
    </row>
    <row r="1429" spans="1419:1434" x14ac:dyDescent="0.3">
      <c r="BBS1429" s="1397"/>
    </row>
    <row r="1430" spans="1419:1434" x14ac:dyDescent="0.3">
      <c r="BBT1430" s="1398"/>
    </row>
    <row r="1431" spans="1419:1434" x14ac:dyDescent="0.3">
      <c r="BBU1431" s="1399"/>
    </row>
    <row r="1432" spans="1419:1434" x14ac:dyDescent="0.3">
      <c r="BBV1432" s="1400"/>
    </row>
    <row r="1433" spans="1419:1434" x14ac:dyDescent="0.3">
      <c r="BBW1433" s="1401"/>
    </row>
    <row r="1434" spans="1419:1434" x14ac:dyDescent="0.3">
      <c r="BBX1434" s="1402"/>
    </row>
    <row r="1435" spans="1419:1434" x14ac:dyDescent="0.3">
      <c r="BBY1435" s="1403"/>
    </row>
    <row r="1436" spans="1419:1434" x14ac:dyDescent="0.3">
      <c r="BBZ1436" s="1404"/>
    </row>
    <row r="1437" spans="1419:1434" x14ac:dyDescent="0.3">
      <c r="BCA1437" s="1405"/>
    </row>
    <row r="1438" spans="1419:1434" x14ac:dyDescent="0.3">
      <c r="BCB1438" s="1406"/>
    </row>
    <row r="1439" spans="1419:1434" x14ac:dyDescent="0.3">
      <c r="BCC1439" s="1407"/>
    </row>
    <row r="1440" spans="1419:1434" x14ac:dyDescent="0.3">
      <c r="BCD1440" s="1408"/>
    </row>
    <row r="1441" spans="1435:1450" x14ac:dyDescent="0.3">
      <c r="BCE1441" s="1409"/>
    </row>
    <row r="1442" spans="1435:1450" x14ac:dyDescent="0.3">
      <c r="BCF1442" s="1410"/>
    </row>
    <row r="1443" spans="1435:1450" x14ac:dyDescent="0.3">
      <c r="BCG1443" s="1411"/>
    </row>
    <row r="1444" spans="1435:1450" x14ac:dyDescent="0.3">
      <c r="BCH1444" s="1412"/>
    </row>
    <row r="1445" spans="1435:1450" x14ac:dyDescent="0.3">
      <c r="BCI1445" s="1413"/>
    </row>
    <row r="1446" spans="1435:1450" x14ac:dyDescent="0.3">
      <c r="BCJ1446" s="1414"/>
    </row>
    <row r="1447" spans="1435:1450" x14ac:dyDescent="0.3">
      <c r="BCK1447" s="1415"/>
    </row>
    <row r="1448" spans="1435:1450" x14ac:dyDescent="0.3">
      <c r="BCL1448" s="1416"/>
    </row>
    <row r="1449" spans="1435:1450" x14ac:dyDescent="0.3">
      <c r="BCM1449" s="1417"/>
    </row>
    <row r="1450" spans="1435:1450" x14ac:dyDescent="0.3">
      <c r="BCN1450" s="1418"/>
    </row>
    <row r="1451" spans="1435:1450" x14ac:dyDescent="0.3">
      <c r="BCO1451" s="1419"/>
    </row>
    <row r="1452" spans="1435:1450" x14ac:dyDescent="0.3">
      <c r="BCP1452" s="1420"/>
    </row>
    <row r="1453" spans="1435:1450" x14ac:dyDescent="0.3">
      <c r="BCQ1453" s="1421"/>
    </row>
    <row r="1454" spans="1435:1450" x14ac:dyDescent="0.3">
      <c r="BCR1454" s="1422"/>
    </row>
    <row r="1455" spans="1435:1450" x14ac:dyDescent="0.3">
      <c r="BCS1455" s="1423"/>
    </row>
    <row r="1456" spans="1435:1450" x14ac:dyDescent="0.3">
      <c r="BCT1456" s="1424"/>
    </row>
    <row r="1457" spans="1451:1466" x14ac:dyDescent="0.3">
      <c r="BCU1457" s="1425"/>
    </row>
    <row r="1458" spans="1451:1466" x14ac:dyDescent="0.3">
      <c r="BCV1458" s="1426"/>
    </row>
    <row r="1459" spans="1451:1466" x14ac:dyDescent="0.3">
      <c r="BCW1459" s="1427"/>
    </row>
    <row r="1460" spans="1451:1466" x14ac:dyDescent="0.3">
      <c r="BCX1460" s="1428"/>
    </row>
    <row r="1461" spans="1451:1466" x14ac:dyDescent="0.3">
      <c r="BCY1461" s="1429"/>
    </row>
    <row r="1462" spans="1451:1466" x14ac:dyDescent="0.3">
      <c r="BCZ1462" s="1430"/>
    </row>
    <row r="1463" spans="1451:1466" x14ac:dyDescent="0.3">
      <c r="BDA1463" s="1431"/>
    </row>
    <row r="1464" spans="1451:1466" x14ac:dyDescent="0.3">
      <c r="BDB1464" s="1432"/>
    </row>
    <row r="1465" spans="1451:1466" x14ac:dyDescent="0.3">
      <c r="BDC1465" s="1433"/>
    </row>
    <row r="1466" spans="1451:1466" x14ac:dyDescent="0.3">
      <c r="BDD1466" s="1434"/>
    </row>
    <row r="1467" spans="1451:1466" x14ac:dyDescent="0.3">
      <c r="BDE1467" s="1435"/>
    </row>
    <row r="1468" spans="1451:1466" x14ac:dyDescent="0.3">
      <c r="BDF1468" s="1436"/>
    </row>
    <row r="1469" spans="1451:1466" x14ac:dyDescent="0.3">
      <c r="BDG1469" s="1437"/>
    </row>
    <row r="1470" spans="1451:1466" x14ac:dyDescent="0.3">
      <c r="BDH1470" s="1438"/>
    </row>
    <row r="1471" spans="1451:1466" x14ac:dyDescent="0.3">
      <c r="BDI1471" s="1439"/>
    </row>
    <row r="1472" spans="1451:1466" x14ac:dyDescent="0.3">
      <c r="BDJ1472" s="1440"/>
    </row>
    <row r="1473" spans="1467:1482" x14ac:dyDescent="0.3">
      <c r="BDK1473" s="1441"/>
    </row>
    <row r="1474" spans="1467:1482" x14ac:dyDescent="0.3">
      <c r="BDL1474" s="1442"/>
    </row>
    <row r="1475" spans="1467:1482" x14ac:dyDescent="0.3">
      <c r="BDM1475" s="1443"/>
    </row>
    <row r="1476" spans="1467:1482" x14ac:dyDescent="0.3">
      <c r="BDN1476" s="1444"/>
    </row>
    <row r="1477" spans="1467:1482" x14ac:dyDescent="0.3">
      <c r="BDO1477" s="1445"/>
    </row>
    <row r="1478" spans="1467:1482" x14ac:dyDescent="0.3">
      <c r="BDP1478" s="1446"/>
    </row>
    <row r="1479" spans="1467:1482" x14ac:dyDescent="0.3">
      <c r="BDQ1479" s="1447"/>
    </row>
    <row r="1480" spans="1467:1482" x14ac:dyDescent="0.3">
      <c r="BDR1480" s="1448"/>
    </row>
    <row r="1481" spans="1467:1482" x14ac:dyDescent="0.3">
      <c r="BDS1481" s="1449"/>
    </row>
    <row r="1482" spans="1467:1482" x14ac:dyDescent="0.3">
      <c r="BDT1482" s="1450"/>
    </row>
    <row r="1483" spans="1467:1482" x14ac:dyDescent="0.3">
      <c r="BDU1483" s="1451"/>
    </row>
    <row r="1484" spans="1467:1482" x14ac:dyDescent="0.3">
      <c r="BDV1484" s="1452"/>
    </row>
    <row r="1485" spans="1467:1482" x14ac:dyDescent="0.3">
      <c r="BDW1485" s="1453"/>
    </row>
    <row r="1486" spans="1467:1482" x14ac:dyDescent="0.3">
      <c r="BDX1486" s="1454"/>
    </row>
    <row r="1487" spans="1467:1482" x14ac:dyDescent="0.3">
      <c r="BDY1487" s="1455"/>
    </row>
    <row r="1488" spans="1467:1482" x14ac:dyDescent="0.3">
      <c r="BDZ1488" s="1456"/>
    </row>
    <row r="1489" spans="1483:1498" x14ac:dyDescent="0.3">
      <c r="BEA1489" s="1457"/>
    </row>
    <row r="1490" spans="1483:1498" x14ac:dyDescent="0.3">
      <c r="BEB1490" s="1458"/>
    </row>
    <row r="1491" spans="1483:1498" x14ac:dyDescent="0.3">
      <c r="BEC1491" s="1459"/>
    </row>
    <row r="1492" spans="1483:1498" x14ac:dyDescent="0.3">
      <c r="BED1492" s="1460"/>
    </row>
    <row r="1493" spans="1483:1498" x14ac:dyDescent="0.3">
      <c r="BEE1493" s="1461"/>
    </row>
    <row r="1494" spans="1483:1498" x14ac:dyDescent="0.3">
      <c r="BEF1494" s="1462"/>
    </row>
    <row r="1495" spans="1483:1498" x14ac:dyDescent="0.3">
      <c r="BEG1495" s="1463"/>
    </row>
    <row r="1496" spans="1483:1498" x14ac:dyDescent="0.3">
      <c r="BEH1496" s="1464"/>
    </row>
    <row r="1497" spans="1483:1498" x14ac:dyDescent="0.3">
      <c r="BEI1497" s="1465"/>
    </row>
    <row r="1498" spans="1483:1498" x14ac:dyDescent="0.3">
      <c r="BEJ1498" s="1466"/>
    </row>
    <row r="1499" spans="1483:1498" x14ac:dyDescent="0.3">
      <c r="BEK1499" s="1467"/>
    </row>
    <row r="1500" spans="1483:1498" x14ac:dyDescent="0.3">
      <c r="BEL1500" s="1468"/>
    </row>
    <row r="1501" spans="1483:1498" x14ac:dyDescent="0.3">
      <c r="BEM1501" s="1469"/>
    </row>
    <row r="1502" spans="1483:1498" x14ac:dyDescent="0.3">
      <c r="BEN1502" s="1470"/>
    </row>
    <row r="1503" spans="1483:1498" x14ac:dyDescent="0.3">
      <c r="BEO1503" s="1471"/>
    </row>
    <row r="1504" spans="1483:1498" x14ac:dyDescent="0.3">
      <c r="BEP1504" s="1472"/>
    </row>
    <row r="1505" spans="1499:1514" x14ac:dyDescent="0.3">
      <c r="BEQ1505" s="1473"/>
    </row>
    <row r="1506" spans="1499:1514" x14ac:dyDescent="0.3">
      <c r="BER1506" s="1474"/>
    </row>
    <row r="1507" spans="1499:1514" x14ac:dyDescent="0.3">
      <c r="BES1507" s="1475"/>
    </row>
    <row r="1508" spans="1499:1514" x14ac:dyDescent="0.3">
      <c r="BET1508" s="1476"/>
    </row>
    <row r="1509" spans="1499:1514" x14ac:dyDescent="0.3">
      <c r="BEU1509" s="1477"/>
    </row>
    <row r="1510" spans="1499:1514" x14ac:dyDescent="0.3">
      <c r="BEV1510" s="1478"/>
    </row>
    <row r="1511" spans="1499:1514" x14ac:dyDescent="0.3">
      <c r="BEW1511" s="1479"/>
    </row>
    <row r="1512" spans="1499:1514" x14ac:dyDescent="0.3">
      <c r="BEX1512" s="1480"/>
    </row>
    <row r="1513" spans="1499:1514" x14ac:dyDescent="0.3">
      <c r="BEY1513" s="1481"/>
    </row>
    <row r="1514" spans="1499:1514" x14ac:dyDescent="0.3">
      <c r="BEZ1514" s="1482"/>
    </row>
    <row r="1515" spans="1499:1514" x14ac:dyDescent="0.3">
      <c r="BFA1515" s="1483"/>
    </row>
    <row r="1516" spans="1499:1514" x14ac:dyDescent="0.3">
      <c r="BFB1516" s="1484"/>
    </row>
    <row r="1517" spans="1499:1514" x14ac:dyDescent="0.3">
      <c r="BFC1517" s="1485"/>
    </row>
    <row r="1518" spans="1499:1514" x14ac:dyDescent="0.3">
      <c r="BFD1518" s="1486"/>
    </row>
    <row r="1519" spans="1499:1514" x14ac:dyDescent="0.3">
      <c r="BFE1519" s="1487"/>
    </row>
    <row r="1520" spans="1499:1514" x14ac:dyDescent="0.3">
      <c r="BFF1520" s="1488"/>
    </row>
    <row r="1521" spans="1515:1530" x14ac:dyDescent="0.3">
      <c r="BFG1521" s="1489"/>
    </row>
    <row r="1522" spans="1515:1530" x14ac:dyDescent="0.3">
      <c r="BFH1522" s="1490"/>
    </row>
    <row r="1523" spans="1515:1530" x14ac:dyDescent="0.3">
      <c r="BFI1523" s="1491"/>
    </row>
    <row r="1524" spans="1515:1530" x14ac:dyDescent="0.3">
      <c r="BFJ1524" s="1492"/>
    </row>
    <row r="1525" spans="1515:1530" x14ac:dyDescent="0.3">
      <c r="BFK1525" s="1493"/>
    </row>
    <row r="1526" spans="1515:1530" x14ac:dyDescent="0.3">
      <c r="BFL1526" s="1494"/>
    </row>
    <row r="1527" spans="1515:1530" x14ac:dyDescent="0.3">
      <c r="BFM1527" s="1495"/>
    </row>
    <row r="1528" spans="1515:1530" x14ac:dyDescent="0.3">
      <c r="BFN1528" s="1496"/>
    </row>
    <row r="1529" spans="1515:1530" x14ac:dyDescent="0.3">
      <c r="BFO1529" s="1497"/>
    </row>
    <row r="1530" spans="1515:1530" x14ac:dyDescent="0.3">
      <c r="BFP1530" s="1498"/>
    </row>
    <row r="1531" spans="1515:1530" x14ac:dyDescent="0.3">
      <c r="BFQ1531" s="1499"/>
    </row>
    <row r="1532" spans="1515:1530" x14ac:dyDescent="0.3">
      <c r="BFR1532" s="1500"/>
    </row>
    <row r="1533" spans="1515:1530" x14ac:dyDescent="0.3">
      <c r="BFS1533" s="1501"/>
    </row>
    <row r="1534" spans="1515:1530" x14ac:dyDescent="0.3">
      <c r="BFT1534" s="1502"/>
    </row>
    <row r="1535" spans="1515:1530" x14ac:dyDescent="0.3">
      <c r="BFU1535" s="1503"/>
    </row>
    <row r="1536" spans="1515:1530" x14ac:dyDescent="0.3">
      <c r="BFV1536" s="1504"/>
    </row>
    <row r="1537" spans="1531:1546" x14ac:dyDescent="0.3">
      <c r="BFW1537" s="1505"/>
    </row>
    <row r="1538" spans="1531:1546" x14ac:dyDescent="0.3">
      <c r="BFX1538" s="1506"/>
    </row>
    <row r="1539" spans="1531:1546" x14ac:dyDescent="0.3">
      <c r="BFY1539" s="1507"/>
    </row>
    <row r="1540" spans="1531:1546" x14ac:dyDescent="0.3">
      <c r="BFZ1540" s="1508"/>
    </row>
    <row r="1541" spans="1531:1546" x14ac:dyDescent="0.3">
      <c r="BGA1541" s="1509"/>
    </row>
    <row r="1542" spans="1531:1546" x14ac:dyDescent="0.3">
      <c r="BGB1542" s="1510"/>
    </row>
    <row r="1543" spans="1531:1546" x14ac:dyDescent="0.3">
      <c r="BGC1543" s="1511"/>
    </row>
    <row r="1544" spans="1531:1546" x14ac:dyDescent="0.3">
      <c r="BGD1544" s="1512"/>
    </row>
    <row r="1545" spans="1531:1546" x14ac:dyDescent="0.3">
      <c r="BGE1545" s="1513"/>
    </row>
    <row r="1546" spans="1531:1546" x14ac:dyDescent="0.3">
      <c r="BGF1546" s="1514"/>
    </row>
    <row r="1547" spans="1531:1546" x14ac:dyDescent="0.3">
      <c r="BGG1547" s="1515"/>
    </row>
    <row r="1548" spans="1531:1546" x14ac:dyDescent="0.3">
      <c r="BGH1548" s="1515"/>
    </row>
    <row r="1549" spans="1531:1546" x14ac:dyDescent="0.3">
      <c r="BGI1549" s="1516"/>
    </row>
    <row r="1550" spans="1531:1546" x14ac:dyDescent="0.3">
      <c r="BGJ1550" s="1517"/>
    </row>
    <row r="1551" spans="1531:1546" x14ac:dyDescent="0.3">
      <c r="BGK1551" s="1518"/>
    </row>
    <row r="1552" spans="1531:1546" x14ac:dyDescent="0.3">
      <c r="BGL1552" s="1519"/>
    </row>
    <row r="1553" spans="1547:1562" x14ac:dyDescent="0.3">
      <c r="BGM1553" s="1520"/>
    </row>
    <row r="1554" spans="1547:1562" x14ac:dyDescent="0.3">
      <c r="BGN1554" s="1521"/>
    </row>
    <row r="1555" spans="1547:1562" x14ac:dyDescent="0.3">
      <c r="BGO1555" s="1522"/>
    </row>
    <row r="1556" spans="1547:1562" x14ac:dyDescent="0.3">
      <c r="BGP1556" s="1523"/>
    </row>
    <row r="1557" spans="1547:1562" x14ac:dyDescent="0.3">
      <c r="BGQ1557" s="1524"/>
    </row>
    <row r="1558" spans="1547:1562" x14ac:dyDescent="0.3">
      <c r="BGR1558" s="1525"/>
    </row>
    <row r="1559" spans="1547:1562" x14ac:dyDescent="0.3">
      <c r="BGS1559" s="1526"/>
    </row>
    <row r="1560" spans="1547:1562" x14ac:dyDescent="0.3">
      <c r="BGT1560" s="1527"/>
    </row>
    <row r="1561" spans="1547:1562" x14ac:dyDescent="0.3">
      <c r="BGU1561" s="1528"/>
    </row>
    <row r="1562" spans="1547:1562" x14ac:dyDescent="0.3">
      <c r="BGV1562" s="1529"/>
    </row>
    <row r="1563" spans="1547:1562" x14ac:dyDescent="0.3">
      <c r="BGW1563" s="1530"/>
    </row>
    <row r="1564" spans="1547:1562" x14ac:dyDescent="0.3">
      <c r="BGX1564" s="1531"/>
    </row>
    <row r="1565" spans="1547:1562" x14ac:dyDescent="0.3">
      <c r="BGY1565" s="1532"/>
    </row>
    <row r="1566" spans="1547:1562" x14ac:dyDescent="0.3">
      <c r="BGZ1566" s="1533"/>
    </row>
    <row r="1567" spans="1547:1562" x14ac:dyDescent="0.3">
      <c r="BHA1567" s="1534"/>
    </row>
    <row r="1568" spans="1547:1562" x14ac:dyDescent="0.3">
      <c r="BHB1568" s="1535"/>
    </row>
    <row r="1569" spans="1563:1578" x14ac:dyDescent="0.3">
      <c r="BHC1569" s="1536"/>
    </row>
    <row r="1570" spans="1563:1578" x14ac:dyDescent="0.3">
      <c r="BHD1570" s="1537"/>
    </row>
    <row r="1571" spans="1563:1578" x14ac:dyDescent="0.3">
      <c r="BHE1571" s="1538"/>
    </row>
    <row r="1572" spans="1563:1578" x14ac:dyDescent="0.3">
      <c r="BHF1572" s="1539"/>
    </row>
    <row r="1573" spans="1563:1578" x14ac:dyDescent="0.3">
      <c r="BHG1573" s="1540"/>
    </row>
    <row r="1574" spans="1563:1578" x14ac:dyDescent="0.3">
      <c r="BHH1574" s="1541"/>
    </row>
    <row r="1575" spans="1563:1578" x14ac:dyDescent="0.3">
      <c r="BHI1575" s="1542"/>
    </row>
    <row r="1576" spans="1563:1578" x14ac:dyDescent="0.3">
      <c r="BHJ1576" s="1543"/>
    </row>
    <row r="1577" spans="1563:1578" x14ac:dyDescent="0.3">
      <c r="BHK1577" s="1544"/>
    </row>
    <row r="1578" spans="1563:1578" x14ac:dyDescent="0.3">
      <c r="BHL1578" s="1545"/>
    </row>
    <row r="1579" spans="1563:1578" x14ac:dyDescent="0.3">
      <c r="BHM1579" s="1546"/>
    </row>
    <row r="1580" spans="1563:1578" x14ac:dyDescent="0.3">
      <c r="BHN1580" s="1547"/>
    </row>
    <row r="1581" spans="1563:1578" x14ac:dyDescent="0.3">
      <c r="BHO1581" s="1548"/>
    </row>
    <row r="1582" spans="1563:1578" x14ac:dyDescent="0.3">
      <c r="BHP1582" s="1549"/>
    </row>
    <row r="1583" spans="1563:1578" x14ac:dyDescent="0.3">
      <c r="BHQ1583" s="1550"/>
    </row>
    <row r="1584" spans="1563:1578" x14ac:dyDescent="0.3">
      <c r="BHR1584" s="1551"/>
    </row>
    <row r="1585" spans="1579:1594" x14ac:dyDescent="0.3">
      <c r="BHS1585" s="1552"/>
    </row>
    <row r="1586" spans="1579:1594" x14ac:dyDescent="0.3">
      <c r="BHT1586" s="1553"/>
    </row>
    <row r="1587" spans="1579:1594" x14ac:dyDescent="0.3">
      <c r="BHU1587" s="1554"/>
    </row>
    <row r="1588" spans="1579:1594" x14ac:dyDescent="0.3">
      <c r="BHV1588" s="1555"/>
    </row>
    <row r="1589" spans="1579:1594" x14ac:dyDescent="0.3">
      <c r="BHW1589" s="1556"/>
    </row>
    <row r="1590" spans="1579:1594" x14ac:dyDescent="0.3">
      <c r="BHX1590" s="1557"/>
    </row>
    <row r="1591" spans="1579:1594" x14ac:dyDescent="0.3">
      <c r="BHY1591" s="1558"/>
    </row>
    <row r="1592" spans="1579:1594" x14ac:dyDescent="0.3">
      <c r="BHZ1592" s="1559"/>
    </row>
    <row r="1593" spans="1579:1594" x14ac:dyDescent="0.3">
      <c r="BIA1593" s="1560"/>
    </row>
    <row r="1594" spans="1579:1594" x14ac:dyDescent="0.3">
      <c r="BIB1594" s="1561"/>
    </row>
    <row r="1595" spans="1579:1594" x14ac:dyDescent="0.3">
      <c r="BIC1595" s="1562"/>
    </row>
    <row r="1596" spans="1579:1594" x14ac:dyDescent="0.3">
      <c r="BID1596" s="1563"/>
    </row>
    <row r="1597" spans="1579:1594" x14ac:dyDescent="0.3">
      <c r="BIE1597" s="1564"/>
    </row>
    <row r="1598" spans="1579:1594" x14ac:dyDescent="0.3">
      <c r="BIF1598" s="1565"/>
    </row>
    <row r="1599" spans="1579:1594" x14ac:dyDescent="0.3">
      <c r="BIG1599" s="1566"/>
    </row>
    <row r="1600" spans="1579:1594" x14ac:dyDescent="0.3">
      <c r="BIH1600" s="1567"/>
    </row>
    <row r="1601" spans="1595:1610" x14ac:dyDescent="0.3">
      <c r="BII1601" s="1568"/>
    </row>
    <row r="1602" spans="1595:1610" x14ac:dyDescent="0.3">
      <c r="BIJ1602" s="1569"/>
    </row>
    <row r="1603" spans="1595:1610" x14ac:dyDescent="0.3">
      <c r="BIK1603" s="1570"/>
    </row>
    <row r="1604" spans="1595:1610" x14ac:dyDescent="0.3">
      <c r="BIL1604" s="1571"/>
    </row>
    <row r="1605" spans="1595:1610" x14ac:dyDescent="0.3">
      <c r="BIM1605" s="1572"/>
    </row>
    <row r="1606" spans="1595:1610" x14ac:dyDescent="0.3">
      <c r="BIN1606" s="1573"/>
    </row>
    <row r="1607" spans="1595:1610" x14ac:dyDescent="0.3">
      <c r="BIO1607" s="1574"/>
    </row>
    <row r="1608" spans="1595:1610" x14ac:dyDescent="0.3">
      <c r="BIP1608" s="1575"/>
    </row>
    <row r="1609" spans="1595:1610" x14ac:dyDescent="0.3">
      <c r="BIQ1609" s="1576"/>
    </row>
    <row r="1610" spans="1595:1610" x14ac:dyDescent="0.3">
      <c r="BIR1610" s="1577"/>
    </row>
    <row r="1611" spans="1595:1610" x14ac:dyDescent="0.3">
      <c r="BIS1611" s="1578"/>
    </row>
    <row r="1612" spans="1595:1610" x14ac:dyDescent="0.3">
      <c r="BIT1612" s="1579"/>
    </row>
    <row r="1613" spans="1595:1610" x14ac:dyDescent="0.3">
      <c r="BIU1613" s="1580"/>
    </row>
    <row r="1614" spans="1595:1610" x14ac:dyDescent="0.3">
      <c r="BIV1614" s="1581"/>
    </row>
    <row r="1615" spans="1595:1610" x14ac:dyDescent="0.3">
      <c r="BIW1615" s="1582"/>
    </row>
    <row r="1616" spans="1595:1610" x14ac:dyDescent="0.3">
      <c r="BIX1616" s="1583"/>
    </row>
    <row r="1617" spans="1611:1626" x14ac:dyDescent="0.3">
      <c r="BIY1617" s="1584"/>
    </row>
    <row r="1618" spans="1611:1626" x14ac:dyDescent="0.3">
      <c r="BIZ1618" s="1585"/>
    </row>
    <row r="1619" spans="1611:1626" x14ac:dyDescent="0.3">
      <c r="BJA1619" s="1586"/>
    </row>
    <row r="1620" spans="1611:1626" x14ac:dyDescent="0.3">
      <c r="BJB1620" s="1587"/>
    </row>
    <row r="1621" spans="1611:1626" x14ac:dyDescent="0.3">
      <c r="BJC1621" s="1588"/>
    </row>
    <row r="1622" spans="1611:1626" x14ac:dyDescent="0.3">
      <c r="BJD1622" s="1589"/>
    </row>
    <row r="1623" spans="1611:1626" x14ac:dyDescent="0.3">
      <c r="BJE1623" s="1590"/>
    </row>
    <row r="1624" spans="1611:1626" x14ac:dyDescent="0.3">
      <c r="BJF1624" s="1591"/>
    </row>
    <row r="1625" spans="1611:1626" x14ac:dyDescent="0.3">
      <c r="BJG1625" s="1592"/>
    </row>
    <row r="1626" spans="1611:1626" x14ac:dyDescent="0.3">
      <c r="BJH1626" s="1593"/>
    </row>
    <row r="1627" spans="1611:1626" x14ac:dyDescent="0.3">
      <c r="BJI1627" s="1594"/>
    </row>
    <row r="1628" spans="1611:1626" x14ac:dyDescent="0.3">
      <c r="BJJ1628" s="1595"/>
    </row>
    <row r="1629" spans="1611:1626" x14ac:dyDescent="0.3">
      <c r="BJK1629" s="1596"/>
    </row>
    <row r="1630" spans="1611:1626" x14ac:dyDescent="0.3">
      <c r="BJL1630" s="1597"/>
    </row>
    <row r="1631" spans="1611:1626" x14ac:dyDescent="0.3">
      <c r="BJM1631" s="1598"/>
    </row>
    <row r="1632" spans="1611:1626" x14ac:dyDescent="0.3">
      <c r="BJN1632" s="1599"/>
    </row>
    <row r="1633" spans="1627:1642" x14ac:dyDescent="0.3">
      <c r="BJO1633" s="1600"/>
    </row>
    <row r="1634" spans="1627:1642" x14ac:dyDescent="0.3">
      <c r="BJP1634" s="1601"/>
    </row>
    <row r="1635" spans="1627:1642" x14ac:dyDescent="0.3">
      <c r="BJQ1635" s="1602"/>
    </row>
    <row r="1636" spans="1627:1642" x14ac:dyDescent="0.3">
      <c r="BJR1636" s="1603"/>
    </row>
    <row r="1637" spans="1627:1642" x14ac:dyDescent="0.3">
      <c r="BJS1637" s="1604"/>
    </row>
    <row r="1638" spans="1627:1642" x14ac:dyDescent="0.3">
      <c r="BJT1638" s="1605"/>
    </row>
    <row r="1639" spans="1627:1642" x14ac:dyDescent="0.3">
      <c r="BJU1639" s="1606"/>
    </row>
    <row r="1640" spans="1627:1642" x14ac:dyDescent="0.3">
      <c r="BJV1640" s="1607"/>
    </row>
    <row r="1641" spans="1627:1642" x14ac:dyDescent="0.3">
      <c r="BJW1641" s="1608"/>
    </row>
    <row r="1642" spans="1627:1642" x14ac:dyDescent="0.3">
      <c r="BJX1642" s="1609"/>
    </row>
    <row r="1643" spans="1627:1642" x14ac:dyDescent="0.3">
      <c r="BJY1643" s="1610"/>
    </row>
    <row r="1644" spans="1627:1642" x14ac:dyDescent="0.3">
      <c r="BJZ1644" s="1611"/>
    </row>
    <row r="1645" spans="1627:1642" x14ac:dyDescent="0.3">
      <c r="BKA1645" s="1612"/>
    </row>
    <row r="1646" spans="1627:1642" x14ac:dyDescent="0.3">
      <c r="BKB1646" s="1613"/>
    </row>
    <row r="1647" spans="1627:1642" x14ac:dyDescent="0.3">
      <c r="BKC1647" s="1614"/>
    </row>
    <row r="1648" spans="1627:1642" x14ac:dyDescent="0.3">
      <c r="BKD1648" s="1615"/>
    </row>
    <row r="1649" spans="1643:1658" x14ac:dyDescent="0.3">
      <c r="BKE1649" s="1616"/>
    </row>
    <row r="1650" spans="1643:1658" x14ac:dyDescent="0.3">
      <c r="BKF1650" s="1617"/>
    </row>
    <row r="1651" spans="1643:1658" x14ac:dyDescent="0.3">
      <c r="BKG1651" s="1618"/>
    </row>
    <row r="1652" spans="1643:1658" x14ac:dyDescent="0.3">
      <c r="BKH1652" s="1619"/>
    </row>
    <row r="1653" spans="1643:1658" x14ac:dyDescent="0.3">
      <c r="BKI1653" s="1620"/>
    </row>
    <row r="1654" spans="1643:1658" x14ac:dyDescent="0.3">
      <c r="BKJ1654" s="1621"/>
    </row>
    <row r="1655" spans="1643:1658" x14ac:dyDescent="0.3">
      <c r="BKK1655" s="1622"/>
    </row>
    <row r="1656" spans="1643:1658" x14ac:dyDescent="0.3">
      <c r="BKL1656" s="1623"/>
    </row>
    <row r="1657" spans="1643:1658" x14ac:dyDescent="0.3">
      <c r="BKM1657" s="1624"/>
    </row>
    <row r="1658" spans="1643:1658" x14ac:dyDescent="0.3">
      <c r="BKN1658" s="1625"/>
    </row>
    <row r="1659" spans="1643:1658" x14ac:dyDescent="0.3">
      <c r="BKO1659" s="1626"/>
    </row>
    <row r="1660" spans="1643:1658" x14ac:dyDescent="0.3">
      <c r="BKP1660" s="1627"/>
    </row>
    <row r="1661" spans="1643:1658" x14ac:dyDescent="0.3">
      <c r="BKQ1661" s="1628"/>
    </row>
    <row r="1662" spans="1643:1658" x14ac:dyDescent="0.3">
      <c r="BKR1662" s="1629"/>
    </row>
    <row r="1663" spans="1643:1658" x14ac:dyDescent="0.3">
      <c r="BKS1663" s="1630"/>
    </row>
    <row r="1664" spans="1643:1658" x14ac:dyDescent="0.3">
      <c r="BKT1664" s="1631"/>
    </row>
    <row r="1665" spans="1659:1674" x14ac:dyDescent="0.3">
      <c r="BKU1665" s="1632"/>
    </row>
    <row r="1666" spans="1659:1674" x14ac:dyDescent="0.3">
      <c r="BKV1666" s="1633"/>
    </row>
    <row r="1667" spans="1659:1674" x14ac:dyDescent="0.3">
      <c r="BKW1667" s="1634"/>
    </row>
    <row r="1668" spans="1659:1674" x14ac:dyDescent="0.3">
      <c r="BKX1668" s="1635"/>
    </row>
    <row r="1669" spans="1659:1674" x14ac:dyDescent="0.3">
      <c r="BKY1669" s="1636"/>
    </row>
    <row r="1670" spans="1659:1674" x14ac:dyDescent="0.3">
      <c r="BKZ1670" s="1637"/>
    </row>
    <row r="1671" spans="1659:1674" x14ac:dyDescent="0.3">
      <c r="BLA1671" s="1638"/>
    </row>
    <row r="1672" spans="1659:1674" x14ac:dyDescent="0.3">
      <c r="BLB1672" s="1639"/>
    </row>
    <row r="1673" spans="1659:1674" x14ac:dyDescent="0.3">
      <c r="BLC1673" s="1640"/>
    </row>
    <row r="1674" spans="1659:1674" x14ac:dyDescent="0.3">
      <c r="BLD1674" s="1641"/>
    </row>
    <row r="1675" spans="1659:1674" x14ac:dyDescent="0.3">
      <c r="BLE1675" s="1642"/>
    </row>
    <row r="1676" spans="1659:1674" x14ac:dyDescent="0.3">
      <c r="BLF1676" s="1643"/>
    </row>
    <row r="1677" spans="1659:1674" x14ac:dyDescent="0.3">
      <c r="BLG1677" s="1644"/>
    </row>
    <row r="1678" spans="1659:1674" x14ac:dyDescent="0.3">
      <c r="BLH1678" s="1645"/>
    </row>
    <row r="1679" spans="1659:1674" x14ac:dyDescent="0.3">
      <c r="BLI1679" s="1646"/>
    </row>
    <row r="1680" spans="1659:1674" x14ac:dyDescent="0.3">
      <c r="BLJ1680" s="1647"/>
    </row>
    <row r="1681" spans="1675:1690" x14ac:dyDescent="0.3">
      <c r="BLK1681" s="1648"/>
    </row>
    <row r="1682" spans="1675:1690" x14ac:dyDescent="0.3">
      <c r="BLL1682" s="1649"/>
    </row>
    <row r="1683" spans="1675:1690" x14ac:dyDescent="0.3">
      <c r="BLM1683" s="1650"/>
    </row>
    <row r="1684" spans="1675:1690" x14ac:dyDescent="0.3">
      <c r="BLN1684" s="1651"/>
    </row>
    <row r="1685" spans="1675:1690" x14ac:dyDescent="0.3">
      <c r="BLO1685" s="1652"/>
    </row>
    <row r="1686" spans="1675:1690" x14ac:dyDescent="0.3">
      <c r="BLP1686" s="1653"/>
    </row>
    <row r="1687" spans="1675:1690" x14ac:dyDescent="0.3">
      <c r="BLQ1687" s="1654"/>
    </row>
    <row r="1688" spans="1675:1690" x14ac:dyDescent="0.3">
      <c r="BLR1688" s="1655"/>
    </row>
    <row r="1689" spans="1675:1690" x14ac:dyDescent="0.3">
      <c r="BLS1689" s="1656"/>
    </row>
    <row r="1690" spans="1675:1690" x14ac:dyDescent="0.3">
      <c r="BLT1690" s="1657"/>
    </row>
    <row r="1691" spans="1675:1690" x14ac:dyDescent="0.3">
      <c r="BLU1691" s="1658"/>
    </row>
    <row r="1692" spans="1675:1690" x14ac:dyDescent="0.3">
      <c r="BLV1692" s="1659"/>
    </row>
    <row r="1693" spans="1675:1690" x14ac:dyDescent="0.3">
      <c r="BLW1693" s="1660"/>
    </row>
    <row r="1694" spans="1675:1690" x14ac:dyDescent="0.3">
      <c r="BLX1694" s="1661"/>
    </row>
    <row r="1695" spans="1675:1690" x14ac:dyDescent="0.3">
      <c r="BLY1695" s="1662"/>
    </row>
    <row r="1696" spans="1675:1690" x14ac:dyDescent="0.3">
      <c r="BLZ1696" s="1663"/>
    </row>
    <row r="1697" spans="1691:1706" x14ac:dyDescent="0.3">
      <c r="BMA1697" s="1664"/>
    </row>
    <row r="1698" spans="1691:1706" x14ac:dyDescent="0.3">
      <c r="BMB1698" s="1665"/>
    </row>
    <row r="1699" spans="1691:1706" x14ac:dyDescent="0.3">
      <c r="BMC1699" s="1666"/>
    </row>
    <row r="1700" spans="1691:1706" x14ac:dyDescent="0.3">
      <c r="BMD1700" s="1667"/>
    </row>
    <row r="1701" spans="1691:1706" x14ac:dyDescent="0.3">
      <c r="BME1701" s="1668"/>
    </row>
    <row r="1702" spans="1691:1706" x14ac:dyDescent="0.3">
      <c r="BMF1702" s="1669"/>
    </row>
    <row r="1703" spans="1691:1706" x14ac:dyDescent="0.3">
      <c r="BMG1703" s="1670"/>
    </row>
    <row r="1704" spans="1691:1706" x14ac:dyDescent="0.3">
      <c r="BMH1704" s="1671"/>
    </row>
    <row r="1705" spans="1691:1706" x14ac:dyDescent="0.3">
      <c r="BMI1705" s="1672"/>
    </row>
    <row r="1706" spans="1691:1706" x14ac:dyDescent="0.3">
      <c r="BMJ1706" s="1673"/>
    </row>
    <row r="1707" spans="1691:1706" x14ac:dyDescent="0.3">
      <c r="BMK1707" s="1674"/>
    </row>
    <row r="1708" spans="1691:1706" x14ac:dyDescent="0.3">
      <c r="BML1708" s="1675"/>
    </row>
    <row r="1709" spans="1691:1706" x14ac:dyDescent="0.3">
      <c r="BMM1709" s="1676"/>
    </row>
    <row r="1710" spans="1691:1706" x14ac:dyDescent="0.3">
      <c r="BMN1710" s="1677"/>
    </row>
    <row r="1711" spans="1691:1706" x14ac:dyDescent="0.3">
      <c r="BMO1711" s="1678"/>
    </row>
    <row r="1712" spans="1691:1706" x14ac:dyDescent="0.3">
      <c r="BMP1712" s="1679"/>
    </row>
    <row r="1713" spans="1707:1722" x14ac:dyDescent="0.3">
      <c r="BMQ1713" s="1680"/>
    </row>
    <row r="1714" spans="1707:1722" x14ac:dyDescent="0.3">
      <c r="BMR1714" s="1681"/>
    </row>
    <row r="1715" spans="1707:1722" x14ac:dyDescent="0.3">
      <c r="BMS1715" s="1682"/>
    </row>
    <row r="1716" spans="1707:1722" x14ac:dyDescent="0.3">
      <c r="BMT1716" s="1683"/>
    </row>
    <row r="1717" spans="1707:1722" x14ac:dyDescent="0.3">
      <c r="BMU1717" s="1684"/>
    </row>
    <row r="1718" spans="1707:1722" x14ac:dyDescent="0.3">
      <c r="BMV1718" s="1685"/>
    </row>
    <row r="1719" spans="1707:1722" x14ac:dyDescent="0.3">
      <c r="BMW1719" s="1686"/>
    </row>
    <row r="1720" spans="1707:1722" x14ac:dyDescent="0.3">
      <c r="BMX1720" s="1687"/>
    </row>
    <row r="1721" spans="1707:1722" x14ac:dyDescent="0.3">
      <c r="BMY1721" s="1688"/>
    </row>
    <row r="1722" spans="1707:1722" x14ac:dyDescent="0.3">
      <c r="BMZ1722" s="1689"/>
    </row>
    <row r="1723" spans="1707:1722" x14ac:dyDescent="0.3">
      <c r="BNA1723" s="1690"/>
    </row>
    <row r="1724" spans="1707:1722" x14ac:dyDescent="0.3">
      <c r="BNB1724" s="1691"/>
    </row>
    <row r="1725" spans="1707:1722" x14ac:dyDescent="0.3">
      <c r="BNC1725" s="1692"/>
    </row>
    <row r="1726" spans="1707:1722" x14ac:dyDescent="0.3">
      <c r="BND1726" s="1693"/>
    </row>
    <row r="1727" spans="1707:1722" x14ac:dyDescent="0.3">
      <c r="BNE1727" s="1694"/>
    </row>
    <row r="1728" spans="1707:1722" x14ac:dyDescent="0.3">
      <c r="BNF1728" s="1695"/>
    </row>
    <row r="1729" spans="1723:1738" x14ac:dyDescent="0.3">
      <c r="BNG1729" s="1696"/>
    </row>
    <row r="1730" spans="1723:1738" x14ac:dyDescent="0.3">
      <c r="BNH1730" s="1697"/>
    </row>
    <row r="1731" spans="1723:1738" x14ac:dyDescent="0.3">
      <c r="BNI1731" s="1698"/>
    </row>
    <row r="1732" spans="1723:1738" x14ac:dyDescent="0.3">
      <c r="BNJ1732" s="1699"/>
    </row>
    <row r="1733" spans="1723:1738" x14ac:dyDescent="0.3">
      <c r="BNK1733" s="1700"/>
    </row>
    <row r="1734" spans="1723:1738" x14ac:dyDescent="0.3">
      <c r="BNL1734" s="1701"/>
    </row>
    <row r="1735" spans="1723:1738" x14ac:dyDescent="0.3">
      <c r="BNM1735" s="1702"/>
    </row>
    <row r="1736" spans="1723:1738" x14ac:dyDescent="0.3">
      <c r="BNN1736" s="1703"/>
    </row>
    <row r="1737" spans="1723:1738" x14ac:dyDescent="0.3">
      <c r="BNO1737" s="1704"/>
    </row>
    <row r="1738" spans="1723:1738" x14ac:dyDescent="0.3">
      <c r="BNP1738" s="1705"/>
    </row>
    <row r="1739" spans="1723:1738" x14ac:dyDescent="0.3">
      <c r="BNQ1739" s="1706"/>
    </row>
    <row r="1740" spans="1723:1738" x14ac:dyDescent="0.3">
      <c r="BNR1740" s="1707"/>
    </row>
    <row r="1741" spans="1723:1738" x14ac:dyDescent="0.3">
      <c r="BNS1741" s="1708"/>
    </row>
    <row r="1742" spans="1723:1738" x14ac:dyDescent="0.3">
      <c r="BNT1742" s="1709"/>
    </row>
    <row r="1743" spans="1723:1738" x14ac:dyDescent="0.3">
      <c r="BNU1743" s="1710"/>
    </row>
    <row r="1744" spans="1723:1738" x14ac:dyDescent="0.3">
      <c r="BNV1744" s="1711"/>
    </row>
    <row r="1745" spans="1739:1754" x14ac:dyDescent="0.3">
      <c r="BNW1745" s="1712"/>
    </row>
    <row r="1746" spans="1739:1754" x14ac:dyDescent="0.3">
      <c r="BNX1746" s="1713"/>
    </row>
    <row r="1747" spans="1739:1754" x14ac:dyDescent="0.3">
      <c r="BNY1747" s="1714"/>
    </row>
    <row r="1748" spans="1739:1754" x14ac:dyDescent="0.3">
      <c r="BNZ1748" s="1715"/>
    </row>
    <row r="1749" spans="1739:1754" x14ac:dyDescent="0.3">
      <c r="BOA1749" s="1716"/>
    </row>
    <row r="1750" spans="1739:1754" x14ac:dyDescent="0.3">
      <c r="BOB1750" s="1717"/>
    </row>
    <row r="1751" spans="1739:1754" x14ac:dyDescent="0.3">
      <c r="BOC1751" s="1718"/>
    </row>
    <row r="1752" spans="1739:1754" x14ac:dyDescent="0.3">
      <c r="BOD1752" s="1719"/>
    </row>
    <row r="1753" spans="1739:1754" x14ac:dyDescent="0.3">
      <c r="BOE1753" s="1720"/>
    </row>
    <row r="1754" spans="1739:1754" x14ac:dyDescent="0.3">
      <c r="BOF1754" s="1721"/>
    </row>
    <row r="1755" spans="1739:1754" x14ac:dyDescent="0.3">
      <c r="BOG1755" s="1722"/>
    </row>
    <row r="1756" spans="1739:1754" x14ac:dyDescent="0.3">
      <c r="BOH1756" s="1723"/>
    </row>
    <row r="1757" spans="1739:1754" x14ac:dyDescent="0.3">
      <c r="BOI1757" s="1724"/>
    </row>
    <row r="1758" spans="1739:1754" x14ac:dyDescent="0.3">
      <c r="BOJ1758" s="1725"/>
    </row>
    <row r="1759" spans="1739:1754" x14ac:dyDescent="0.3">
      <c r="BOK1759" s="1726"/>
    </row>
    <row r="1760" spans="1739:1754" x14ac:dyDescent="0.3">
      <c r="BOL1760" s="1727"/>
    </row>
    <row r="1761" spans="1755:1770" x14ac:dyDescent="0.3">
      <c r="BOM1761" s="1728"/>
    </row>
    <row r="1762" spans="1755:1770" x14ac:dyDescent="0.3">
      <c r="BON1762" s="1729"/>
    </row>
    <row r="1763" spans="1755:1770" x14ac:dyDescent="0.3">
      <c r="BOO1763" s="1730"/>
    </row>
    <row r="1764" spans="1755:1770" x14ac:dyDescent="0.3">
      <c r="BOP1764" s="1731"/>
    </row>
    <row r="1765" spans="1755:1770" x14ac:dyDescent="0.3">
      <c r="BOQ1765" s="1732"/>
    </row>
    <row r="1766" spans="1755:1770" x14ac:dyDescent="0.3">
      <c r="BOR1766" s="1733"/>
    </row>
    <row r="1767" spans="1755:1770" x14ac:dyDescent="0.3">
      <c r="BOS1767" s="1734"/>
    </row>
    <row r="1768" spans="1755:1770" x14ac:dyDescent="0.3">
      <c r="BOT1768" s="1735"/>
    </row>
    <row r="1769" spans="1755:1770" x14ac:dyDescent="0.3">
      <c r="BOU1769" s="1736"/>
    </row>
    <row r="1770" spans="1755:1770" x14ac:dyDescent="0.3">
      <c r="BOV1770" s="1737"/>
    </row>
    <row r="1771" spans="1755:1770" x14ac:dyDescent="0.3">
      <c r="BOW1771" s="1738"/>
    </row>
    <row r="1772" spans="1755:1770" x14ac:dyDescent="0.3">
      <c r="BOX1772" s="1739"/>
    </row>
    <row r="1773" spans="1755:1770" x14ac:dyDescent="0.3">
      <c r="BOY1773" s="1740"/>
    </row>
    <row r="1774" spans="1755:1770" x14ac:dyDescent="0.3">
      <c r="BOZ1774" s="1741"/>
    </row>
    <row r="1775" spans="1755:1770" x14ac:dyDescent="0.3">
      <c r="BPA1775" s="1742"/>
    </row>
    <row r="1776" spans="1755:1770" x14ac:dyDescent="0.3">
      <c r="BPB1776" s="1743"/>
    </row>
    <row r="1777" spans="1771:1786" x14ac:dyDescent="0.3">
      <c r="BPC1777" s="1744"/>
    </row>
    <row r="1778" spans="1771:1786" x14ac:dyDescent="0.3">
      <c r="BPD1778" s="1745"/>
    </row>
    <row r="1779" spans="1771:1786" x14ac:dyDescent="0.3">
      <c r="BPE1779" s="1746"/>
    </row>
    <row r="1780" spans="1771:1786" x14ac:dyDescent="0.3">
      <c r="BPF1780" s="1747"/>
    </row>
    <row r="1781" spans="1771:1786" x14ac:dyDescent="0.3">
      <c r="BPG1781" s="1748"/>
    </row>
    <row r="1782" spans="1771:1786" x14ac:dyDescent="0.3">
      <c r="BPH1782" s="1749"/>
    </row>
    <row r="1783" spans="1771:1786" x14ac:dyDescent="0.3">
      <c r="BPI1783" s="1750"/>
    </row>
    <row r="1784" spans="1771:1786" x14ac:dyDescent="0.3">
      <c r="BPJ1784" s="1751"/>
    </row>
    <row r="1785" spans="1771:1786" x14ac:dyDescent="0.3">
      <c r="BPK1785" s="1752"/>
    </row>
    <row r="1786" spans="1771:1786" x14ac:dyDescent="0.3">
      <c r="BPL1786" s="1753"/>
    </row>
    <row r="1787" spans="1771:1786" x14ac:dyDescent="0.3">
      <c r="BPM1787" s="1754"/>
    </row>
    <row r="1788" spans="1771:1786" x14ac:dyDescent="0.3">
      <c r="BPN1788" s="1755"/>
    </row>
    <row r="1789" spans="1771:1786" x14ac:dyDescent="0.3">
      <c r="BPO1789" s="1756"/>
    </row>
    <row r="1790" spans="1771:1786" x14ac:dyDescent="0.3">
      <c r="BPP1790" s="1757"/>
    </row>
    <row r="1791" spans="1771:1786" x14ac:dyDescent="0.3">
      <c r="BPQ1791" s="1758"/>
    </row>
    <row r="1792" spans="1771:1786" x14ac:dyDescent="0.3">
      <c r="BPR1792" s="1759"/>
    </row>
    <row r="1793" spans="1787:1802" x14ac:dyDescent="0.3">
      <c r="BPS1793" s="1760"/>
    </row>
    <row r="1794" spans="1787:1802" x14ac:dyDescent="0.3">
      <c r="BPT1794" s="1761"/>
    </row>
    <row r="1795" spans="1787:1802" x14ac:dyDescent="0.3">
      <c r="BPU1795" s="1762"/>
    </row>
    <row r="1796" spans="1787:1802" x14ac:dyDescent="0.3">
      <c r="BPV1796" s="1763"/>
    </row>
    <row r="1797" spans="1787:1802" x14ac:dyDescent="0.3">
      <c r="BPW1797" s="1764"/>
    </row>
    <row r="1798" spans="1787:1802" x14ac:dyDescent="0.3">
      <c r="BPX1798" s="1765"/>
    </row>
    <row r="1799" spans="1787:1802" x14ac:dyDescent="0.3">
      <c r="BPY1799" s="1766"/>
    </row>
    <row r="1800" spans="1787:1802" x14ac:dyDescent="0.3">
      <c r="BPZ1800" s="1767"/>
    </row>
    <row r="1801" spans="1787:1802" x14ac:dyDescent="0.3">
      <c r="BQA1801" s="1768"/>
    </row>
    <row r="1802" spans="1787:1802" x14ac:dyDescent="0.3">
      <c r="BQB1802" s="1769"/>
    </row>
    <row r="1803" spans="1787:1802" x14ac:dyDescent="0.3">
      <c r="BQC1803" s="1770"/>
    </row>
    <row r="1804" spans="1787:1802" x14ac:dyDescent="0.3">
      <c r="BQD1804" s="1771"/>
    </row>
    <row r="1805" spans="1787:1802" x14ac:dyDescent="0.3">
      <c r="BQE1805" s="1771"/>
    </row>
    <row r="1806" spans="1787:1802" x14ac:dyDescent="0.3">
      <c r="BQF1806" s="1772"/>
    </row>
    <row r="1807" spans="1787:1802" x14ac:dyDescent="0.3">
      <c r="BQG1807" s="1773"/>
    </row>
    <row r="1808" spans="1787:1802" x14ac:dyDescent="0.3">
      <c r="BQH1808" s="1774"/>
    </row>
    <row r="1809" spans="1803:1818" x14ac:dyDescent="0.3">
      <c r="BQI1809" s="1775"/>
    </row>
    <row r="1810" spans="1803:1818" x14ac:dyDescent="0.3">
      <c r="BQJ1810" s="1776"/>
    </row>
    <row r="1811" spans="1803:1818" x14ac:dyDescent="0.3">
      <c r="BQK1811" s="1777"/>
    </row>
    <row r="1812" spans="1803:1818" x14ac:dyDescent="0.3">
      <c r="BQL1812" s="1778"/>
    </row>
    <row r="1813" spans="1803:1818" x14ac:dyDescent="0.3">
      <c r="BQM1813" s="1779"/>
    </row>
    <row r="1814" spans="1803:1818" x14ac:dyDescent="0.3">
      <c r="BQN1814" s="1780"/>
    </row>
    <row r="1815" spans="1803:1818" x14ac:dyDescent="0.3">
      <c r="BQO1815" s="1781"/>
    </row>
    <row r="1816" spans="1803:1818" x14ac:dyDescent="0.3">
      <c r="BQP1816" s="1782"/>
    </row>
    <row r="1817" spans="1803:1818" x14ac:dyDescent="0.3">
      <c r="BQQ1817" s="1783"/>
    </row>
    <row r="1818" spans="1803:1818" x14ac:dyDescent="0.3">
      <c r="BQR1818" s="1784"/>
    </row>
    <row r="1819" spans="1803:1818" x14ac:dyDescent="0.3">
      <c r="BQS1819" s="1785"/>
    </row>
    <row r="1820" spans="1803:1818" x14ac:dyDescent="0.3">
      <c r="BQT1820" s="1786"/>
    </row>
    <row r="1821" spans="1803:1818" x14ac:dyDescent="0.3">
      <c r="BQU1821" s="1787"/>
    </row>
    <row r="1822" spans="1803:1818" x14ac:dyDescent="0.3">
      <c r="BQV1822" s="1788"/>
    </row>
    <row r="1823" spans="1803:1818" x14ac:dyDescent="0.3">
      <c r="BQW1823" s="1789"/>
    </row>
    <row r="1824" spans="1803:1818" x14ac:dyDescent="0.3">
      <c r="BQX1824" s="1790"/>
    </row>
    <row r="1825" spans="1819:1834" x14ac:dyDescent="0.3">
      <c r="BQY1825" s="1791"/>
    </row>
    <row r="1826" spans="1819:1834" x14ac:dyDescent="0.3">
      <c r="BQZ1826" s="1792"/>
    </row>
    <row r="1827" spans="1819:1834" x14ac:dyDescent="0.3">
      <c r="BRA1827" s="1793"/>
    </row>
    <row r="1828" spans="1819:1834" x14ac:dyDescent="0.3">
      <c r="BRB1828" s="1794"/>
    </row>
    <row r="1829" spans="1819:1834" x14ac:dyDescent="0.3">
      <c r="BRC1829" s="1795"/>
    </row>
    <row r="1830" spans="1819:1834" x14ac:dyDescent="0.3">
      <c r="BRD1830" s="1796"/>
    </row>
    <row r="1831" spans="1819:1834" x14ac:dyDescent="0.3">
      <c r="BRE1831" s="1797"/>
    </row>
    <row r="1832" spans="1819:1834" x14ac:dyDescent="0.3">
      <c r="BRF1832" s="1798"/>
    </row>
    <row r="1833" spans="1819:1834" x14ac:dyDescent="0.3">
      <c r="BRG1833" s="1799"/>
    </row>
    <row r="1834" spans="1819:1834" x14ac:dyDescent="0.3">
      <c r="BRH1834" s="1800"/>
    </row>
    <row r="1835" spans="1819:1834" x14ac:dyDescent="0.3">
      <c r="BRI1835" s="1801"/>
    </row>
    <row r="1836" spans="1819:1834" x14ac:dyDescent="0.3">
      <c r="BRJ1836" s="1802"/>
    </row>
    <row r="1837" spans="1819:1834" x14ac:dyDescent="0.3">
      <c r="BRK1837" s="1803"/>
    </row>
    <row r="1838" spans="1819:1834" x14ac:dyDescent="0.3">
      <c r="BRL1838" s="1804"/>
    </row>
    <row r="1839" spans="1819:1834" x14ac:dyDescent="0.3">
      <c r="BRM1839" s="1805"/>
    </row>
    <row r="1840" spans="1819:1834" x14ac:dyDescent="0.3">
      <c r="BRN1840" s="1806"/>
    </row>
    <row r="1841" spans="1835:1850" x14ac:dyDescent="0.3">
      <c r="BRO1841" s="1807"/>
    </row>
    <row r="1842" spans="1835:1850" x14ac:dyDescent="0.3">
      <c r="BRP1842" s="1808"/>
    </row>
    <row r="1843" spans="1835:1850" x14ac:dyDescent="0.3">
      <c r="BRQ1843" s="1809"/>
    </row>
    <row r="1844" spans="1835:1850" x14ac:dyDescent="0.3">
      <c r="BRR1844" s="1810"/>
    </row>
    <row r="1845" spans="1835:1850" x14ac:dyDescent="0.3">
      <c r="BRS1845" s="1811"/>
    </row>
    <row r="1846" spans="1835:1850" x14ac:dyDescent="0.3">
      <c r="BRT1846" s="1812"/>
    </row>
    <row r="1847" spans="1835:1850" x14ac:dyDescent="0.3">
      <c r="BRU1847" s="1813"/>
    </row>
    <row r="1848" spans="1835:1850" x14ac:dyDescent="0.3">
      <c r="BRV1848" s="1814"/>
    </row>
    <row r="1849" spans="1835:1850" x14ac:dyDescent="0.3">
      <c r="BRW1849" s="1815"/>
    </row>
    <row r="1850" spans="1835:1850" x14ac:dyDescent="0.3">
      <c r="BRX1850" s="1816"/>
    </row>
    <row r="1851" spans="1835:1850" x14ac:dyDescent="0.3">
      <c r="BRY1851" s="1817"/>
    </row>
    <row r="1852" spans="1835:1850" x14ac:dyDescent="0.3">
      <c r="BRZ1852" s="1818"/>
    </row>
    <row r="1853" spans="1835:1850" x14ac:dyDescent="0.3">
      <c r="BSA1853" s="1819"/>
    </row>
    <row r="1854" spans="1835:1850" x14ac:dyDescent="0.3">
      <c r="BSB1854" s="1820"/>
    </row>
    <row r="1855" spans="1835:1850" x14ac:dyDescent="0.3">
      <c r="BSC1855" s="1821"/>
    </row>
    <row r="1856" spans="1835:1850" x14ac:dyDescent="0.3">
      <c r="BSD1856" s="1822"/>
    </row>
    <row r="1857" spans="1851:1866" x14ac:dyDescent="0.3">
      <c r="BSE1857" s="1823"/>
    </row>
    <row r="1858" spans="1851:1866" x14ac:dyDescent="0.3">
      <c r="BSF1858" s="1824"/>
    </row>
    <row r="1859" spans="1851:1866" x14ac:dyDescent="0.3">
      <c r="BSG1859" s="1825"/>
    </row>
    <row r="1860" spans="1851:1866" x14ac:dyDescent="0.3">
      <c r="BSH1860" s="1826"/>
    </row>
    <row r="1861" spans="1851:1866" x14ac:dyDescent="0.3">
      <c r="BSI1861" s="1827"/>
    </row>
    <row r="1862" spans="1851:1866" x14ac:dyDescent="0.3">
      <c r="BSJ1862" s="1828"/>
    </row>
    <row r="1863" spans="1851:1866" x14ac:dyDescent="0.3">
      <c r="BSK1863" s="1829"/>
    </row>
    <row r="1864" spans="1851:1866" x14ac:dyDescent="0.3">
      <c r="BSL1864" s="1830"/>
    </row>
    <row r="1865" spans="1851:1866" x14ac:dyDescent="0.3">
      <c r="BSM1865" s="1831"/>
    </row>
    <row r="1866" spans="1851:1866" x14ac:dyDescent="0.3">
      <c r="BSN1866" s="1832"/>
    </row>
    <row r="1867" spans="1851:1866" x14ac:dyDescent="0.3">
      <c r="BSO1867" s="1833"/>
    </row>
    <row r="1868" spans="1851:1866" x14ac:dyDescent="0.3">
      <c r="BSP1868" s="1834"/>
    </row>
    <row r="1869" spans="1851:1866" x14ac:dyDescent="0.3">
      <c r="BSQ1869" s="1835"/>
    </row>
    <row r="1870" spans="1851:1866" x14ac:dyDescent="0.3">
      <c r="BSR1870" s="1836"/>
    </row>
    <row r="1871" spans="1851:1866" x14ac:dyDescent="0.3">
      <c r="BSS1871" s="1837"/>
    </row>
    <row r="1872" spans="1851:1866" x14ac:dyDescent="0.3">
      <c r="BST1872" s="1838"/>
    </row>
    <row r="1873" spans="1867:1882" x14ac:dyDescent="0.3">
      <c r="BSU1873" s="1839"/>
    </row>
    <row r="1874" spans="1867:1882" x14ac:dyDescent="0.3">
      <c r="BSV1874" s="1840"/>
    </row>
    <row r="1875" spans="1867:1882" x14ac:dyDescent="0.3">
      <c r="BSW1875" s="1841"/>
    </row>
    <row r="1876" spans="1867:1882" x14ac:dyDescent="0.3">
      <c r="BSX1876" s="1842"/>
    </row>
    <row r="1877" spans="1867:1882" x14ac:dyDescent="0.3">
      <c r="BSY1877" s="1843"/>
    </row>
    <row r="1878" spans="1867:1882" x14ac:dyDescent="0.3">
      <c r="BSZ1878" s="1844"/>
    </row>
    <row r="1879" spans="1867:1882" x14ac:dyDescent="0.3">
      <c r="BTA1879" s="1845"/>
    </row>
    <row r="1880" spans="1867:1882" x14ac:dyDescent="0.3">
      <c r="BTB1880" s="1846"/>
    </row>
    <row r="1881" spans="1867:1882" x14ac:dyDescent="0.3">
      <c r="BTC1881" s="1847"/>
    </row>
    <row r="1882" spans="1867:1882" x14ac:dyDescent="0.3">
      <c r="BTD1882" s="1848"/>
    </row>
    <row r="1883" spans="1867:1882" x14ac:dyDescent="0.3">
      <c r="BTE1883" s="1849"/>
    </row>
    <row r="1884" spans="1867:1882" x14ac:dyDescent="0.3">
      <c r="BTF1884" s="1850"/>
    </row>
    <row r="1885" spans="1867:1882" x14ac:dyDescent="0.3">
      <c r="BTG1885" s="1851"/>
    </row>
    <row r="1886" spans="1867:1882" x14ac:dyDescent="0.3">
      <c r="BTH1886" s="1852"/>
    </row>
    <row r="1887" spans="1867:1882" x14ac:dyDescent="0.3">
      <c r="BTI1887" s="1853"/>
    </row>
    <row r="1888" spans="1867:1882" x14ac:dyDescent="0.3">
      <c r="BTJ1888" s="1854"/>
    </row>
    <row r="1889" spans="1883:1898" x14ac:dyDescent="0.3">
      <c r="BTK1889" s="1855"/>
    </row>
    <row r="1890" spans="1883:1898" x14ac:dyDescent="0.3">
      <c r="BTL1890" s="1856"/>
    </row>
    <row r="1891" spans="1883:1898" x14ac:dyDescent="0.3">
      <c r="BTM1891" s="1857"/>
    </row>
    <row r="1892" spans="1883:1898" x14ac:dyDescent="0.3">
      <c r="BTN1892" s="1858"/>
    </row>
    <row r="1893" spans="1883:1898" x14ac:dyDescent="0.3">
      <c r="BTO1893" s="1859"/>
    </row>
    <row r="1894" spans="1883:1898" x14ac:dyDescent="0.3">
      <c r="BTP1894" s="1860"/>
    </row>
    <row r="1895" spans="1883:1898" x14ac:dyDescent="0.3">
      <c r="BTQ1895" s="1861"/>
    </row>
    <row r="1896" spans="1883:1898" x14ac:dyDescent="0.3">
      <c r="BTR1896" s="1862"/>
    </row>
    <row r="1897" spans="1883:1898" x14ac:dyDescent="0.3">
      <c r="BTS1897" s="1863"/>
    </row>
    <row r="1898" spans="1883:1898" x14ac:dyDescent="0.3">
      <c r="BTT1898" s="1864"/>
    </row>
    <row r="1899" spans="1883:1898" x14ac:dyDescent="0.3">
      <c r="BTU1899" s="1865"/>
    </row>
    <row r="1900" spans="1883:1898" x14ac:dyDescent="0.3">
      <c r="BTV1900" s="1866"/>
    </row>
    <row r="1901" spans="1883:1898" x14ac:dyDescent="0.3">
      <c r="BTW1901" s="1867"/>
    </row>
    <row r="1902" spans="1883:1898" x14ac:dyDescent="0.3">
      <c r="BTX1902" s="1868"/>
    </row>
    <row r="1903" spans="1883:1898" x14ac:dyDescent="0.3">
      <c r="BTY1903" s="1869"/>
    </row>
    <row r="1904" spans="1883:1898" x14ac:dyDescent="0.3">
      <c r="BTZ1904" s="1870"/>
    </row>
    <row r="1905" spans="1899:1914" x14ac:dyDescent="0.3">
      <c r="BUA1905" s="1871"/>
    </row>
    <row r="1906" spans="1899:1914" x14ac:dyDescent="0.3">
      <c r="BUB1906" s="1872"/>
    </row>
    <row r="1907" spans="1899:1914" x14ac:dyDescent="0.3">
      <c r="BUC1907" s="1873"/>
    </row>
    <row r="1908" spans="1899:1914" x14ac:dyDescent="0.3">
      <c r="BUD1908" s="1874"/>
    </row>
    <row r="1909" spans="1899:1914" x14ac:dyDescent="0.3">
      <c r="BUE1909" s="1875"/>
    </row>
    <row r="1910" spans="1899:1914" x14ac:dyDescent="0.3">
      <c r="BUF1910" s="1876"/>
    </row>
    <row r="1911" spans="1899:1914" x14ac:dyDescent="0.3">
      <c r="BUG1911" s="1877"/>
    </row>
    <row r="1912" spans="1899:1914" x14ac:dyDescent="0.3">
      <c r="BUH1912" s="1878"/>
    </row>
    <row r="1913" spans="1899:1914" x14ac:dyDescent="0.3">
      <c r="BUI1913" s="1879"/>
    </row>
    <row r="1914" spans="1899:1914" x14ac:dyDescent="0.3">
      <c r="BUJ1914" s="1880"/>
    </row>
    <row r="1915" spans="1899:1914" x14ac:dyDescent="0.3">
      <c r="BUK1915" s="1881"/>
    </row>
    <row r="1916" spans="1899:1914" x14ac:dyDescent="0.3">
      <c r="BUL1916" s="1882"/>
    </row>
    <row r="1917" spans="1899:1914" x14ac:dyDescent="0.3">
      <c r="BUM1917" s="1883"/>
    </row>
    <row r="1918" spans="1899:1914" x14ac:dyDescent="0.3">
      <c r="BUN1918" s="1884"/>
    </row>
    <row r="1919" spans="1899:1914" x14ac:dyDescent="0.3">
      <c r="BUO1919" s="1885"/>
    </row>
    <row r="1920" spans="1899:1914" x14ac:dyDescent="0.3">
      <c r="BUP1920" s="1886"/>
    </row>
    <row r="1921" spans="1915:1930" x14ac:dyDescent="0.3">
      <c r="BUQ1921" s="1887"/>
    </row>
    <row r="1922" spans="1915:1930" x14ac:dyDescent="0.3">
      <c r="BUR1922" s="1888"/>
    </row>
    <row r="1923" spans="1915:1930" x14ac:dyDescent="0.3">
      <c r="BUS1923" s="1889"/>
    </row>
    <row r="1924" spans="1915:1930" x14ac:dyDescent="0.3">
      <c r="BUT1924" s="1890"/>
    </row>
    <row r="1925" spans="1915:1930" x14ac:dyDescent="0.3">
      <c r="BUU1925" s="1891"/>
    </row>
    <row r="1926" spans="1915:1930" x14ac:dyDescent="0.3">
      <c r="BUV1926" s="1892"/>
    </row>
    <row r="1927" spans="1915:1930" x14ac:dyDescent="0.3">
      <c r="BUW1927" s="1893"/>
    </row>
    <row r="1928" spans="1915:1930" x14ac:dyDescent="0.3">
      <c r="BUX1928" s="1894"/>
    </row>
    <row r="1929" spans="1915:1930" x14ac:dyDescent="0.3">
      <c r="BUY1929" s="1895"/>
    </row>
    <row r="1930" spans="1915:1930" x14ac:dyDescent="0.3">
      <c r="BUZ1930" s="1896"/>
    </row>
    <row r="1931" spans="1915:1930" x14ac:dyDescent="0.3">
      <c r="BVA1931" s="1897"/>
    </row>
    <row r="1932" spans="1915:1930" x14ac:dyDescent="0.3">
      <c r="BVB1932" s="1898"/>
    </row>
    <row r="1933" spans="1915:1930" x14ac:dyDescent="0.3">
      <c r="BVC1933" s="1899"/>
    </row>
    <row r="1934" spans="1915:1930" x14ac:dyDescent="0.3">
      <c r="BVD1934" s="1900"/>
    </row>
    <row r="1935" spans="1915:1930" x14ac:dyDescent="0.3">
      <c r="BVE1935" s="1901"/>
    </row>
    <row r="1936" spans="1915:1930" x14ac:dyDescent="0.3">
      <c r="BVF1936" s="1902"/>
    </row>
    <row r="1937" spans="1931:1946" x14ac:dyDescent="0.3">
      <c r="BVG1937" s="1903"/>
    </row>
    <row r="1938" spans="1931:1946" x14ac:dyDescent="0.3">
      <c r="BVH1938" s="1904"/>
    </row>
    <row r="1939" spans="1931:1946" x14ac:dyDescent="0.3">
      <c r="BVI1939" s="1905"/>
    </row>
    <row r="1940" spans="1931:1946" x14ac:dyDescent="0.3">
      <c r="BVJ1940" s="1906"/>
    </row>
    <row r="1941" spans="1931:1946" x14ac:dyDescent="0.3">
      <c r="BVK1941" s="1907"/>
    </row>
    <row r="1942" spans="1931:1946" x14ac:dyDescent="0.3">
      <c r="BVL1942" s="1908"/>
    </row>
    <row r="1943" spans="1931:1946" x14ac:dyDescent="0.3">
      <c r="BVM1943" s="1909"/>
    </row>
    <row r="1944" spans="1931:1946" x14ac:dyDescent="0.3">
      <c r="BVN1944" s="1910"/>
    </row>
    <row r="1945" spans="1931:1946" x14ac:dyDescent="0.3">
      <c r="BVO1945" s="1911"/>
    </row>
    <row r="1946" spans="1931:1946" x14ac:dyDescent="0.3">
      <c r="BVP1946" s="1912"/>
    </row>
    <row r="1947" spans="1931:1946" x14ac:dyDescent="0.3">
      <c r="BVQ1947" s="1913"/>
    </row>
    <row r="1948" spans="1931:1946" x14ac:dyDescent="0.3">
      <c r="BVR1948" s="1914"/>
    </row>
    <row r="1949" spans="1931:1946" x14ac:dyDescent="0.3">
      <c r="BVS1949" s="1915"/>
    </row>
    <row r="1950" spans="1931:1946" x14ac:dyDescent="0.3">
      <c r="BVT1950" s="1916"/>
    </row>
    <row r="1951" spans="1931:1946" x14ac:dyDescent="0.3">
      <c r="BVU1951" s="1917"/>
    </row>
    <row r="1952" spans="1931:1946" x14ac:dyDescent="0.3">
      <c r="BVV1952" s="1918"/>
    </row>
    <row r="1953" spans="1947:1962" x14ac:dyDescent="0.3">
      <c r="BVW1953" s="1919"/>
    </row>
    <row r="1954" spans="1947:1962" x14ac:dyDescent="0.3">
      <c r="BVX1954" s="1920"/>
    </row>
    <row r="1955" spans="1947:1962" x14ac:dyDescent="0.3">
      <c r="BVY1955" s="1921"/>
    </row>
    <row r="1956" spans="1947:1962" x14ac:dyDescent="0.3">
      <c r="BVZ1956" s="1922"/>
    </row>
    <row r="1957" spans="1947:1962" x14ac:dyDescent="0.3">
      <c r="BWA1957" s="1923"/>
    </row>
    <row r="1958" spans="1947:1962" x14ac:dyDescent="0.3">
      <c r="BWB1958" s="1924"/>
    </row>
    <row r="1959" spans="1947:1962" x14ac:dyDescent="0.3">
      <c r="BWC1959" s="1925"/>
    </row>
    <row r="1960" spans="1947:1962" x14ac:dyDescent="0.3">
      <c r="BWD1960" s="1926"/>
    </row>
    <row r="1961" spans="1947:1962" x14ac:dyDescent="0.3">
      <c r="BWE1961" s="1927"/>
    </row>
    <row r="1962" spans="1947:1962" x14ac:dyDescent="0.3">
      <c r="BWF1962" s="1928"/>
    </row>
    <row r="1963" spans="1947:1962" x14ac:dyDescent="0.3">
      <c r="BWG1963" s="1929"/>
    </row>
    <row r="1964" spans="1947:1962" x14ac:dyDescent="0.3">
      <c r="BWH1964" s="1930"/>
    </row>
    <row r="1965" spans="1947:1962" x14ac:dyDescent="0.3">
      <c r="BWI1965" s="1931"/>
    </row>
    <row r="1966" spans="1947:1962" x14ac:dyDescent="0.3">
      <c r="BWJ1966" s="1932"/>
    </row>
    <row r="1967" spans="1947:1962" x14ac:dyDescent="0.3">
      <c r="BWK1967" s="1933"/>
    </row>
    <row r="1968" spans="1947:1962" x14ac:dyDescent="0.3">
      <c r="BWL1968" s="1934"/>
    </row>
    <row r="1969" spans="1963:1978" x14ac:dyDescent="0.3">
      <c r="BWM1969" s="1935"/>
    </row>
    <row r="1970" spans="1963:1978" x14ac:dyDescent="0.3">
      <c r="BWN1970" s="1936"/>
    </row>
    <row r="1971" spans="1963:1978" x14ac:dyDescent="0.3">
      <c r="BWO1971" s="1937"/>
    </row>
    <row r="1972" spans="1963:1978" x14ac:dyDescent="0.3">
      <c r="BWP1972" s="1938"/>
    </row>
    <row r="1973" spans="1963:1978" x14ac:dyDescent="0.3">
      <c r="BWQ1973" s="1939"/>
    </row>
    <row r="1974" spans="1963:1978" x14ac:dyDescent="0.3">
      <c r="BWR1974" s="1940"/>
    </row>
    <row r="1975" spans="1963:1978" x14ac:dyDescent="0.3">
      <c r="BWS1975" s="1941"/>
    </row>
    <row r="1976" spans="1963:1978" x14ac:dyDescent="0.3">
      <c r="BWT1976" s="1942"/>
    </row>
    <row r="1977" spans="1963:1978" x14ac:dyDescent="0.3">
      <c r="BWU1977" s="1943"/>
    </row>
    <row r="1978" spans="1963:1978" x14ac:dyDescent="0.3">
      <c r="BWV1978" s="1944"/>
    </row>
    <row r="1979" spans="1963:1978" x14ac:dyDescent="0.3">
      <c r="BWW1979" s="1945"/>
    </row>
    <row r="1980" spans="1963:1978" x14ac:dyDescent="0.3">
      <c r="BWX1980" s="1946"/>
    </row>
    <row r="1981" spans="1963:1978" x14ac:dyDescent="0.3">
      <c r="BWY1981" s="1947"/>
    </row>
    <row r="1982" spans="1963:1978" x14ac:dyDescent="0.3">
      <c r="BWZ1982" s="1948"/>
    </row>
    <row r="1983" spans="1963:1978" x14ac:dyDescent="0.3">
      <c r="BXA1983" s="1949"/>
    </row>
    <row r="1984" spans="1963:1978" x14ac:dyDescent="0.3">
      <c r="BXB1984" s="1950"/>
    </row>
    <row r="1985" spans="1979:1994" x14ac:dyDescent="0.3">
      <c r="BXC1985" s="1951"/>
    </row>
    <row r="1986" spans="1979:1994" x14ac:dyDescent="0.3">
      <c r="BXD1986" s="1952"/>
    </row>
    <row r="1987" spans="1979:1994" x14ac:dyDescent="0.3">
      <c r="BXE1987" s="1953"/>
    </row>
    <row r="1988" spans="1979:1994" x14ac:dyDescent="0.3">
      <c r="BXF1988" s="1954"/>
    </row>
    <row r="1989" spans="1979:1994" x14ac:dyDescent="0.3">
      <c r="BXG1989" s="1955"/>
    </row>
    <row r="1990" spans="1979:1994" x14ac:dyDescent="0.3">
      <c r="BXH1990" s="1956"/>
    </row>
    <row r="1991" spans="1979:1994" x14ac:dyDescent="0.3">
      <c r="BXI1991" s="1957"/>
    </row>
    <row r="1992" spans="1979:1994" x14ac:dyDescent="0.3">
      <c r="BXJ1992" s="1958"/>
    </row>
    <row r="1993" spans="1979:1994" x14ac:dyDescent="0.3">
      <c r="BXK1993" s="1959"/>
    </row>
    <row r="1994" spans="1979:1994" x14ac:dyDescent="0.3">
      <c r="BXL1994" s="1960"/>
    </row>
    <row r="1995" spans="1979:1994" x14ac:dyDescent="0.3">
      <c r="BXM1995" s="1961"/>
    </row>
    <row r="1996" spans="1979:1994" x14ac:dyDescent="0.3">
      <c r="BXN1996" s="1962"/>
    </row>
    <row r="1997" spans="1979:1994" x14ac:dyDescent="0.3">
      <c r="BXO1997" s="1963"/>
    </row>
    <row r="1998" spans="1979:1994" x14ac:dyDescent="0.3">
      <c r="BXP1998" s="1964"/>
    </row>
    <row r="1999" spans="1979:1994" x14ac:dyDescent="0.3">
      <c r="BXQ1999" s="1965"/>
    </row>
    <row r="2000" spans="1979:1994" x14ac:dyDescent="0.3">
      <c r="BXR2000" s="1966"/>
    </row>
    <row r="2001" spans="1995:2010" x14ac:dyDescent="0.3">
      <c r="BXS2001" s="1967"/>
    </row>
    <row r="2002" spans="1995:2010" x14ac:dyDescent="0.3">
      <c r="BXT2002" s="1968"/>
    </row>
    <row r="2003" spans="1995:2010" x14ac:dyDescent="0.3">
      <c r="BXU2003" s="1969"/>
    </row>
    <row r="2004" spans="1995:2010" x14ac:dyDescent="0.3">
      <c r="BXV2004" s="1970"/>
    </row>
    <row r="2005" spans="1995:2010" x14ac:dyDescent="0.3">
      <c r="BXW2005" s="1971"/>
    </row>
    <row r="2006" spans="1995:2010" x14ac:dyDescent="0.3">
      <c r="BXX2006" s="1972"/>
    </row>
    <row r="2007" spans="1995:2010" x14ac:dyDescent="0.3">
      <c r="BXY2007" s="1973"/>
    </row>
    <row r="2008" spans="1995:2010" x14ac:dyDescent="0.3">
      <c r="BXZ2008" s="1974"/>
    </row>
    <row r="2009" spans="1995:2010" x14ac:dyDescent="0.3">
      <c r="BYA2009" s="1975"/>
    </row>
    <row r="2010" spans="1995:2010" x14ac:dyDescent="0.3">
      <c r="BYB2010" s="1976"/>
    </row>
    <row r="2011" spans="1995:2010" x14ac:dyDescent="0.3">
      <c r="BYC2011" s="1977"/>
    </row>
    <row r="2012" spans="1995:2010" x14ac:dyDescent="0.3">
      <c r="BYD2012" s="1978"/>
    </row>
    <row r="2013" spans="1995:2010" x14ac:dyDescent="0.3">
      <c r="BYE2013" s="1979"/>
    </row>
    <row r="2014" spans="1995:2010" x14ac:dyDescent="0.3">
      <c r="BYF2014" s="1980"/>
    </row>
    <row r="2015" spans="1995:2010" x14ac:dyDescent="0.3">
      <c r="BYG2015" s="1981"/>
    </row>
    <row r="2016" spans="1995:2010" x14ac:dyDescent="0.3">
      <c r="BYH2016" s="1982"/>
    </row>
    <row r="2017" spans="2011:2026" x14ac:dyDescent="0.3">
      <c r="BYI2017" s="1983"/>
    </row>
    <row r="2018" spans="2011:2026" x14ac:dyDescent="0.3">
      <c r="BYJ2018" s="1984"/>
    </row>
    <row r="2019" spans="2011:2026" x14ac:dyDescent="0.3">
      <c r="BYK2019" s="1985"/>
    </row>
    <row r="2020" spans="2011:2026" x14ac:dyDescent="0.3">
      <c r="BYL2020" s="1986"/>
    </row>
    <row r="2021" spans="2011:2026" x14ac:dyDescent="0.3">
      <c r="BYM2021" s="1987"/>
    </row>
    <row r="2022" spans="2011:2026" x14ac:dyDescent="0.3">
      <c r="BYN2022" s="1988"/>
    </row>
    <row r="2023" spans="2011:2026" x14ac:dyDescent="0.3">
      <c r="BYO2023" s="1989"/>
    </row>
    <row r="2024" spans="2011:2026" x14ac:dyDescent="0.3">
      <c r="BYP2024" s="1990"/>
    </row>
    <row r="2025" spans="2011:2026" x14ac:dyDescent="0.3">
      <c r="BYQ2025" s="1991"/>
    </row>
    <row r="2026" spans="2011:2026" x14ac:dyDescent="0.3">
      <c r="BYR2026" s="1992"/>
    </row>
    <row r="2027" spans="2011:2026" x14ac:dyDescent="0.3">
      <c r="BYS2027" s="1993"/>
    </row>
    <row r="2028" spans="2011:2026" x14ac:dyDescent="0.3">
      <c r="BYT2028" s="1994"/>
    </row>
    <row r="2029" spans="2011:2026" x14ac:dyDescent="0.3">
      <c r="BYU2029" s="1995"/>
    </row>
    <row r="2030" spans="2011:2026" x14ac:dyDescent="0.3">
      <c r="BYV2030" s="1996"/>
    </row>
    <row r="2031" spans="2011:2026" x14ac:dyDescent="0.3">
      <c r="BYW2031" s="1997"/>
    </row>
    <row r="2032" spans="2011:2026" x14ac:dyDescent="0.3">
      <c r="BYX2032" s="1998"/>
    </row>
    <row r="2033" spans="2027:2042" x14ac:dyDescent="0.3">
      <c r="BYY2033" s="1999"/>
    </row>
    <row r="2034" spans="2027:2042" x14ac:dyDescent="0.3">
      <c r="BYZ2034" s="2000"/>
    </row>
    <row r="2035" spans="2027:2042" x14ac:dyDescent="0.3">
      <c r="BZA2035" s="2001"/>
    </row>
    <row r="2036" spans="2027:2042" x14ac:dyDescent="0.3">
      <c r="BZB2036" s="2002"/>
    </row>
    <row r="2037" spans="2027:2042" x14ac:dyDescent="0.3">
      <c r="BZC2037" s="2003"/>
    </row>
    <row r="2038" spans="2027:2042" x14ac:dyDescent="0.3">
      <c r="BZD2038" s="2004"/>
    </row>
    <row r="2039" spans="2027:2042" x14ac:dyDescent="0.3">
      <c r="BZE2039" s="2005"/>
    </row>
    <row r="2040" spans="2027:2042" x14ac:dyDescent="0.3">
      <c r="BZF2040" s="2006"/>
    </row>
    <row r="2041" spans="2027:2042" x14ac:dyDescent="0.3">
      <c r="BZG2041" s="2007"/>
    </row>
    <row r="2042" spans="2027:2042" x14ac:dyDescent="0.3">
      <c r="BZH2042" s="2008"/>
    </row>
    <row r="2043" spans="2027:2042" x14ac:dyDescent="0.3">
      <c r="BZI2043" s="2009"/>
    </row>
    <row r="2044" spans="2027:2042" x14ac:dyDescent="0.3">
      <c r="BZJ2044" s="2010"/>
    </row>
    <row r="2045" spans="2027:2042" x14ac:dyDescent="0.3">
      <c r="BZK2045" s="2011"/>
    </row>
    <row r="2046" spans="2027:2042" x14ac:dyDescent="0.3">
      <c r="BZL2046" s="2012"/>
    </row>
    <row r="2047" spans="2027:2042" x14ac:dyDescent="0.3">
      <c r="BZM2047" s="2013"/>
    </row>
    <row r="2048" spans="2027:2042" x14ac:dyDescent="0.3">
      <c r="BZN2048" s="2014"/>
    </row>
    <row r="2049" spans="2043:2058" x14ac:dyDescent="0.3">
      <c r="BZO2049" s="2015"/>
    </row>
    <row r="2050" spans="2043:2058" x14ac:dyDescent="0.3">
      <c r="BZP2050" s="2016"/>
    </row>
    <row r="2051" spans="2043:2058" x14ac:dyDescent="0.3">
      <c r="BZQ2051" s="2017"/>
    </row>
    <row r="2052" spans="2043:2058" x14ac:dyDescent="0.3">
      <c r="BZR2052" s="2018"/>
    </row>
    <row r="2053" spans="2043:2058" x14ac:dyDescent="0.3">
      <c r="BZS2053" s="2019"/>
    </row>
    <row r="2054" spans="2043:2058" x14ac:dyDescent="0.3">
      <c r="BZT2054" s="2020"/>
    </row>
    <row r="2055" spans="2043:2058" x14ac:dyDescent="0.3">
      <c r="BZU2055" s="2021"/>
    </row>
    <row r="2056" spans="2043:2058" x14ac:dyDescent="0.3">
      <c r="BZV2056" s="2022"/>
    </row>
    <row r="2057" spans="2043:2058" x14ac:dyDescent="0.3">
      <c r="BZW2057" s="2023"/>
    </row>
    <row r="2058" spans="2043:2058" x14ac:dyDescent="0.3">
      <c r="BZX2058" s="2024"/>
    </row>
    <row r="2059" spans="2043:2058" x14ac:dyDescent="0.3">
      <c r="BZY2059" s="2025"/>
    </row>
    <row r="2060" spans="2043:2058" x14ac:dyDescent="0.3">
      <c r="BZZ2060" s="2026"/>
    </row>
    <row r="2061" spans="2043:2058" x14ac:dyDescent="0.3">
      <c r="CAA2061" s="2027"/>
    </row>
    <row r="2062" spans="2043:2058" x14ac:dyDescent="0.3">
      <c r="CAB2062" s="2027"/>
    </row>
    <row r="2063" spans="2043:2058" x14ac:dyDescent="0.3">
      <c r="CAC2063" s="2028"/>
    </row>
    <row r="2064" spans="2043:2058" x14ac:dyDescent="0.3">
      <c r="CAD2064" s="2029"/>
    </row>
    <row r="2065" spans="2059:2074" x14ac:dyDescent="0.3">
      <c r="CAE2065" s="2030"/>
    </row>
    <row r="2066" spans="2059:2074" x14ac:dyDescent="0.3">
      <c r="CAF2066" s="2031"/>
    </row>
    <row r="2067" spans="2059:2074" x14ac:dyDescent="0.3">
      <c r="CAG2067" s="2032"/>
    </row>
    <row r="2068" spans="2059:2074" x14ac:dyDescent="0.3">
      <c r="CAH2068" s="2033"/>
    </row>
    <row r="2069" spans="2059:2074" x14ac:dyDescent="0.3">
      <c r="CAI2069" s="2034"/>
    </row>
    <row r="2070" spans="2059:2074" x14ac:dyDescent="0.3">
      <c r="CAJ2070" s="2035"/>
    </row>
    <row r="2071" spans="2059:2074" x14ac:dyDescent="0.3">
      <c r="CAK2071" s="2036"/>
    </row>
    <row r="2072" spans="2059:2074" x14ac:dyDescent="0.3">
      <c r="CAL2072" s="2037"/>
    </row>
    <row r="2073" spans="2059:2074" x14ac:dyDescent="0.3">
      <c r="CAM2073" s="2038"/>
    </row>
    <row r="2074" spans="2059:2074" x14ac:dyDescent="0.3">
      <c r="CAN2074" s="2039"/>
    </row>
    <row r="2075" spans="2059:2074" x14ac:dyDescent="0.3">
      <c r="CAO2075" s="2040"/>
    </row>
    <row r="2076" spans="2059:2074" x14ac:dyDescent="0.3">
      <c r="CAP2076" s="2041"/>
    </row>
    <row r="2077" spans="2059:2074" x14ac:dyDescent="0.3">
      <c r="CAQ2077" s="2042"/>
    </row>
    <row r="2078" spans="2059:2074" x14ac:dyDescent="0.3">
      <c r="CAR2078" s="2043"/>
    </row>
    <row r="2079" spans="2059:2074" x14ac:dyDescent="0.3">
      <c r="CAS2079" s="2044"/>
    </row>
    <row r="2080" spans="2059:2074" x14ac:dyDescent="0.3">
      <c r="CAT2080" s="2045"/>
    </row>
    <row r="2081" spans="2075:2090" x14ac:dyDescent="0.3">
      <c r="CAU2081" s="2046"/>
    </row>
    <row r="2082" spans="2075:2090" x14ac:dyDescent="0.3">
      <c r="CAV2082" s="2047"/>
    </row>
    <row r="2083" spans="2075:2090" x14ac:dyDescent="0.3">
      <c r="CAW2083" s="2048"/>
    </row>
    <row r="2084" spans="2075:2090" x14ac:dyDescent="0.3">
      <c r="CAX2084" s="2049"/>
    </row>
    <row r="2085" spans="2075:2090" x14ac:dyDescent="0.3">
      <c r="CAY2085" s="2050"/>
    </row>
    <row r="2086" spans="2075:2090" x14ac:dyDescent="0.3">
      <c r="CAZ2086" s="2051"/>
    </row>
    <row r="2087" spans="2075:2090" x14ac:dyDescent="0.3">
      <c r="CBA2087" s="2052"/>
    </row>
    <row r="2088" spans="2075:2090" x14ac:dyDescent="0.3">
      <c r="CBB2088" s="2053"/>
    </row>
    <row r="2089" spans="2075:2090" x14ac:dyDescent="0.3">
      <c r="CBC2089" s="2054"/>
    </row>
    <row r="2090" spans="2075:2090" x14ac:dyDescent="0.3">
      <c r="CBD2090" s="2055"/>
    </row>
    <row r="2091" spans="2075:2090" x14ac:dyDescent="0.3">
      <c r="CBE2091" s="2056"/>
    </row>
    <row r="2092" spans="2075:2090" x14ac:dyDescent="0.3">
      <c r="CBF2092" s="2057"/>
    </row>
    <row r="2093" spans="2075:2090" x14ac:dyDescent="0.3">
      <c r="CBG2093" s="2058"/>
    </row>
    <row r="2094" spans="2075:2090" x14ac:dyDescent="0.3">
      <c r="CBH2094" s="2059"/>
    </row>
    <row r="2095" spans="2075:2090" x14ac:dyDescent="0.3">
      <c r="CBI2095" s="2060"/>
    </row>
    <row r="2096" spans="2075:2090" x14ac:dyDescent="0.3">
      <c r="CBJ2096" s="2061"/>
    </row>
    <row r="2097" spans="2091:2106" x14ac:dyDescent="0.3">
      <c r="CBK2097" s="2062"/>
    </row>
    <row r="2098" spans="2091:2106" x14ac:dyDescent="0.3">
      <c r="CBL2098" s="2063"/>
    </row>
    <row r="2099" spans="2091:2106" x14ac:dyDescent="0.3">
      <c r="CBM2099" s="2064"/>
    </row>
    <row r="2100" spans="2091:2106" x14ac:dyDescent="0.3">
      <c r="CBN2100" s="2065"/>
    </row>
    <row r="2101" spans="2091:2106" x14ac:dyDescent="0.3">
      <c r="CBO2101" s="2066"/>
    </row>
    <row r="2102" spans="2091:2106" x14ac:dyDescent="0.3">
      <c r="CBP2102" s="2067"/>
    </row>
    <row r="2103" spans="2091:2106" x14ac:dyDescent="0.3">
      <c r="CBQ2103" s="2068"/>
    </row>
    <row r="2104" spans="2091:2106" x14ac:dyDescent="0.3">
      <c r="CBR2104" s="2069"/>
    </row>
    <row r="2105" spans="2091:2106" x14ac:dyDescent="0.3">
      <c r="CBS2105" s="2070"/>
    </row>
    <row r="2106" spans="2091:2106" x14ac:dyDescent="0.3">
      <c r="CBT2106" s="2071"/>
    </row>
    <row r="2107" spans="2091:2106" x14ac:dyDescent="0.3">
      <c r="CBU2107" s="2072"/>
    </row>
    <row r="2108" spans="2091:2106" x14ac:dyDescent="0.3">
      <c r="CBV2108" s="2073"/>
    </row>
    <row r="2109" spans="2091:2106" x14ac:dyDescent="0.3">
      <c r="CBW2109" s="2074"/>
    </row>
    <row r="2110" spans="2091:2106" x14ac:dyDescent="0.3">
      <c r="CBX2110" s="2075"/>
    </row>
    <row r="2111" spans="2091:2106" x14ac:dyDescent="0.3">
      <c r="CBY2111" s="2076"/>
    </row>
    <row r="2112" spans="2091:2106" x14ac:dyDescent="0.3">
      <c r="CBZ2112" s="2077"/>
    </row>
    <row r="2113" spans="2107:2122" x14ac:dyDescent="0.3">
      <c r="CCA2113" s="2078"/>
    </row>
    <row r="2114" spans="2107:2122" x14ac:dyDescent="0.3">
      <c r="CCB2114" s="2079"/>
    </row>
    <row r="2115" spans="2107:2122" x14ac:dyDescent="0.3">
      <c r="CCC2115" s="2080"/>
    </row>
    <row r="2116" spans="2107:2122" x14ac:dyDescent="0.3">
      <c r="CCD2116" s="2081"/>
    </row>
    <row r="2117" spans="2107:2122" x14ac:dyDescent="0.3">
      <c r="CCE2117" s="2082"/>
    </row>
    <row r="2118" spans="2107:2122" x14ac:dyDescent="0.3">
      <c r="CCF2118" s="2083"/>
    </row>
    <row r="2119" spans="2107:2122" x14ac:dyDescent="0.3">
      <c r="CCG2119" s="2084"/>
    </row>
    <row r="2120" spans="2107:2122" x14ac:dyDescent="0.3">
      <c r="CCH2120" s="2085"/>
    </row>
    <row r="2121" spans="2107:2122" x14ac:dyDescent="0.3">
      <c r="CCI2121" s="2086"/>
    </row>
    <row r="2122" spans="2107:2122" x14ac:dyDescent="0.3">
      <c r="CCJ2122" s="2087"/>
    </row>
    <row r="2123" spans="2107:2122" x14ac:dyDescent="0.3">
      <c r="CCK2123" s="2088"/>
    </row>
    <row r="2124" spans="2107:2122" x14ac:dyDescent="0.3">
      <c r="CCL2124" s="2089"/>
    </row>
    <row r="2125" spans="2107:2122" x14ac:dyDescent="0.3">
      <c r="CCM2125" s="2090"/>
    </row>
    <row r="2126" spans="2107:2122" x14ac:dyDescent="0.3">
      <c r="CCN2126" s="2091"/>
    </row>
    <row r="2127" spans="2107:2122" x14ac:dyDescent="0.3">
      <c r="CCO2127" s="2092"/>
    </row>
    <row r="2128" spans="2107:2122" x14ac:dyDescent="0.3">
      <c r="CCP2128" s="2093"/>
    </row>
    <row r="2129" spans="2123:2138" x14ac:dyDescent="0.3">
      <c r="CCQ2129" s="2094"/>
    </row>
    <row r="2130" spans="2123:2138" x14ac:dyDescent="0.3">
      <c r="CCR2130" s="2095"/>
    </row>
    <row r="2131" spans="2123:2138" x14ac:dyDescent="0.3">
      <c r="CCS2131" s="2096"/>
    </row>
    <row r="2132" spans="2123:2138" x14ac:dyDescent="0.3">
      <c r="CCT2132" s="2097"/>
    </row>
    <row r="2133" spans="2123:2138" x14ac:dyDescent="0.3">
      <c r="CCU2133" s="2098"/>
    </row>
    <row r="2134" spans="2123:2138" x14ac:dyDescent="0.3">
      <c r="CCV2134" s="2099"/>
    </row>
    <row r="2135" spans="2123:2138" x14ac:dyDescent="0.3">
      <c r="CCW2135" s="2100"/>
    </row>
    <row r="2136" spans="2123:2138" x14ac:dyDescent="0.3">
      <c r="CCX2136" s="2101"/>
    </row>
    <row r="2137" spans="2123:2138" x14ac:dyDescent="0.3">
      <c r="CCY2137" s="2102"/>
    </row>
    <row r="2138" spans="2123:2138" x14ac:dyDescent="0.3">
      <c r="CCZ2138" s="2103"/>
    </row>
    <row r="2139" spans="2123:2138" x14ac:dyDescent="0.3">
      <c r="CDA2139" s="2104"/>
    </row>
    <row r="2140" spans="2123:2138" x14ac:dyDescent="0.3">
      <c r="CDB2140" s="2105"/>
    </row>
    <row r="2141" spans="2123:2138" x14ac:dyDescent="0.3">
      <c r="CDC2141" s="2106"/>
    </row>
    <row r="2142" spans="2123:2138" x14ac:dyDescent="0.3">
      <c r="CDD2142" s="2107"/>
    </row>
    <row r="2143" spans="2123:2138" x14ac:dyDescent="0.3">
      <c r="CDE2143" s="2108"/>
    </row>
    <row r="2144" spans="2123:2138" x14ac:dyDescent="0.3">
      <c r="CDF2144" s="2109"/>
    </row>
    <row r="2145" spans="2139:2154" x14ac:dyDescent="0.3">
      <c r="CDG2145" s="2110"/>
    </row>
    <row r="2146" spans="2139:2154" x14ac:dyDescent="0.3">
      <c r="CDH2146" s="2111"/>
    </row>
    <row r="2147" spans="2139:2154" x14ac:dyDescent="0.3">
      <c r="CDI2147" s="2112"/>
    </row>
    <row r="2148" spans="2139:2154" x14ac:dyDescent="0.3">
      <c r="CDJ2148" s="2113"/>
    </row>
    <row r="2149" spans="2139:2154" x14ac:dyDescent="0.3">
      <c r="CDK2149" s="2114"/>
    </row>
    <row r="2150" spans="2139:2154" x14ac:dyDescent="0.3">
      <c r="CDL2150" s="2115"/>
    </row>
    <row r="2151" spans="2139:2154" x14ac:dyDescent="0.3">
      <c r="CDM2151" s="2116"/>
    </row>
    <row r="2152" spans="2139:2154" x14ac:dyDescent="0.3">
      <c r="CDN2152" s="2117"/>
    </row>
    <row r="2153" spans="2139:2154" x14ac:dyDescent="0.3">
      <c r="CDO2153" s="2118"/>
    </row>
    <row r="2154" spans="2139:2154" x14ac:dyDescent="0.3">
      <c r="CDP2154" s="2119"/>
    </row>
    <row r="2155" spans="2139:2154" x14ac:dyDescent="0.3">
      <c r="CDQ2155" s="2120"/>
    </row>
    <row r="2156" spans="2139:2154" x14ac:dyDescent="0.3">
      <c r="CDR2156" s="2121"/>
    </row>
    <row r="2157" spans="2139:2154" x14ac:dyDescent="0.3">
      <c r="CDS2157" s="2122"/>
    </row>
    <row r="2158" spans="2139:2154" x14ac:dyDescent="0.3">
      <c r="CDT2158" s="2123"/>
    </row>
    <row r="2159" spans="2139:2154" x14ac:dyDescent="0.3">
      <c r="CDU2159" s="2124"/>
    </row>
    <row r="2160" spans="2139:2154" x14ac:dyDescent="0.3">
      <c r="CDV2160" s="2125"/>
    </row>
    <row r="2161" spans="2155:2170" x14ac:dyDescent="0.3">
      <c r="CDW2161" s="2126"/>
    </row>
    <row r="2162" spans="2155:2170" x14ac:dyDescent="0.3">
      <c r="CDX2162" s="2127"/>
    </row>
    <row r="2163" spans="2155:2170" x14ac:dyDescent="0.3">
      <c r="CDY2163" s="2128"/>
    </row>
    <row r="2164" spans="2155:2170" x14ac:dyDescent="0.3">
      <c r="CDZ2164" s="2129"/>
    </row>
    <row r="2165" spans="2155:2170" x14ac:dyDescent="0.3">
      <c r="CEA2165" s="2130"/>
    </row>
    <row r="2166" spans="2155:2170" x14ac:dyDescent="0.3">
      <c r="CEB2166" s="2131"/>
    </row>
    <row r="2167" spans="2155:2170" x14ac:dyDescent="0.3">
      <c r="CEC2167" s="2132"/>
    </row>
    <row r="2168" spans="2155:2170" x14ac:dyDescent="0.3">
      <c r="CED2168" s="2133"/>
    </row>
    <row r="2169" spans="2155:2170" x14ac:dyDescent="0.3">
      <c r="CEE2169" s="2134"/>
    </row>
    <row r="2170" spans="2155:2170" x14ac:dyDescent="0.3">
      <c r="CEF2170" s="2135"/>
    </row>
    <row r="2171" spans="2155:2170" x14ac:dyDescent="0.3">
      <c r="CEG2171" s="2136"/>
    </row>
    <row r="2172" spans="2155:2170" x14ac:dyDescent="0.3">
      <c r="CEH2172" s="2137"/>
    </row>
    <row r="2173" spans="2155:2170" x14ac:dyDescent="0.3">
      <c r="CEI2173" s="2138"/>
    </row>
    <row r="2174" spans="2155:2170" x14ac:dyDescent="0.3">
      <c r="CEJ2174" s="2139"/>
    </row>
    <row r="2175" spans="2155:2170" x14ac:dyDescent="0.3">
      <c r="CEK2175" s="2140"/>
    </row>
    <row r="2176" spans="2155:2170" x14ac:dyDescent="0.3">
      <c r="CEL2176" s="2141"/>
    </row>
    <row r="2177" spans="2171:2186" x14ac:dyDescent="0.3">
      <c r="CEM2177" s="2142"/>
    </row>
    <row r="2178" spans="2171:2186" x14ac:dyDescent="0.3">
      <c r="CEN2178" s="2143"/>
    </row>
    <row r="2179" spans="2171:2186" x14ac:dyDescent="0.3">
      <c r="CEO2179" s="2144"/>
    </row>
    <row r="2180" spans="2171:2186" x14ac:dyDescent="0.3">
      <c r="CEP2180" s="2145"/>
    </row>
    <row r="2181" spans="2171:2186" x14ac:dyDescent="0.3">
      <c r="CEQ2181" s="2146"/>
    </row>
    <row r="2182" spans="2171:2186" x14ac:dyDescent="0.3">
      <c r="CER2182" s="2147"/>
    </row>
    <row r="2183" spans="2171:2186" x14ac:dyDescent="0.3">
      <c r="CES2183" s="2148"/>
    </row>
    <row r="2184" spans="2171:2186" x14ac:dyDescent="0.3">
      <c r="CET2184" s="2149"/>
    </row>
    <row r="2185" spans="2171:2186" x14ac:dyDescent="0.3">
      <c r="CEU2185" s="2150"/>
    </row>
    <row r="2186" spans="2171:2186" x14ac:dyDescent="0.3">
      <c r="CEV2186" s="2151"/>
    </row>
    <row r="2187" spans="2171:2186" x14ac:dyDescent="0.3">
      <c r="CEW2187" s="2152"/>
    </row>
    <row r="2188" spans="2171:2186" x14ac:dyDescent="0.3">
      <c r="CEX2188" s="2153"/>
    </row>
    <row r="2189" spans="2171:2186" x14ac:dyDescent="0.3">
      <c r="CEY2189" s="2154"/>
    </row>
    <row r="2190" spans="2171:2186" x14ac:dyDescent="0.3">
      <c r="CEZ2190" s="2155"/>
    </row>
    <row r="2191" spans="2171:2186" x14ac:dyDescent="0.3">
      <c r="CFA2191" s="2156"/>
    </row>
    <row r="2192" spans="2171:2186" x14ac:dyDescent="0.3">
      <c r="CFB2192" s="2157"/>
    </row>
    <row r="2193" spans="2187:2202" x14ac:dyDescent="0.3">
      <c r="CFC2193" s="2158"/>
    </row>
    <row r="2194" spans="2187:2202" x14ac:dyDescent="0.3">
      <c r="CFD2194" s="2159"/>
    </row>
    <row r="2195" spans="2187:2202" x14ac:dyDescent="0.3">
      <c r="CFE2195" s="2160"/>
    </row>
    <row r="2196" spans="2187:2202" x14ac:dyDescent="0.3">
      <c r="CFF2196" s="2161"/>
    </row>
    <row r="2197" spans="2187:2202" x14ac:dyDescent="0.3">
      <c r="CFG2197" s="2162"/>
    </row>
    <row r="2198" spans="2187:2202" x14ac:dyDescent="0.3">
      <c r="CFH2198" s="2163"/>
    </row>
    <row r="2199" spans="2187:2202" x14ac:dyDescent="0.3">
      <c r="CFI2199" s="2164"/>
    </row>
    <row r="2200" spans="2187:2202" x14ac:dyDescent="0.3">
      <c r="CFJ2200" s="2165"/>
    </row>
    <row r="2201" spans="2187:2202" x14ac:dyDescent="0.3">
      <c r="CFK2201" s="2166"/>
    </row>
    <row r="2202" spans="2187:2202" x14ac:dyDescent="0.3">
      <c r="CFL2202" s="2167"/>
    </row>
    <row r="2203" spans="2187:2202" x14ac:dyDescent="0.3">
      <c r="CFM2203" s="2168"/>
    </row>
    <row r="2204" spans="2187:2202" x14ac:dyDescent="0.3">
      <c r="CFN2204" s="2169"/>
    </row>
    <row r="2205" spans="2187:2202" x14ac:dyDescent="0.3">
      <c r="CFO2205" s="2170"/>
    </row>
    <row r="2206" spans="2187:2202" x14ac:dyDescent="0.3">
      <c r="CFP2206" s="2171"/>
    </row>
    <row r="2207" spans="2187:2202" x14ac:dyDescent="0.3">
      <c r="CFQ2207" s="2172"/>
    </row>
    <row r="2208" spans="2187:2202" x14ac:dyDescent="0.3">
      <c r="CFR2208" s="2173"/>
    </row>
    <row r="2209" spans="2203:2218" x14ac:dyDescent="0.3">
      <c r="CFS2209" s="2174"/>
    </row>
    <row r="2210" spans="2203:2218" x14ac:dyDescent="0.3">
      <c r="CFT2210" s="2175"/>
    </row>
    <row r="2211" spans="2203:2218" x14ac:dyDescent="0.3">
      <c r="CFU2211" s="2176"/>
    </row>
    <row r="2212" spans="2203:2218" x14ac:dyDescent="0.3">
      <c r="CFV2212" s="2177"/>
    </row>
    <row r="2213" spans="2203:2218" x14ac:dyDescent="0.3">
      <c r="CFW2213" s="2178"/>
    </row>
    <row r="2214" spans="2203:2218" x14ac:dyDescent="0.3">
      <c r="CFX2214" s="2179"/>
    </row>
    <row r="2215" spans="2203:2218" x14ac:dyDescent="0.3">
      <c r="CFY2215" s="2180"/>
    </row>
    <row r="2216" spans="2203:2218" x14ac:dyDescent="0.3">
      <c r="CFZ2216" s="2181"/>
    </row>
    <row r="2217" spans="2203:2218" x14ac:dyDescent="0.3">
      <c r="CGA2217" s="2182"/>
    </row>
    <row r="2218" spans="2203:2218" x14ac:dyDescent="0.3">
      <c r="CGB2218" s="2183"/>
    </row>
    <row r="2219" spans="2203:2218" x14ac:dyDescent="0.3">
      <c r="CGC2219" s="2184"/>
    </row>
    <row r="2220" spans="2203:2218" x14ac:dyDescent="0.3">
      <c r="CGD2220" s="2185"/>
    </row>
    <row r="2221" spans="2203:2218" x14ac:dyDescent="0.3">
      <c r="CGE2221" s="2186"/>
    </row>
    <row r="2222" spans="2203:2218" x14ac:dyDescent="0.3">
      <c r="CGF2222" s="2187"/>
    </row>
    <row r="2223" spans="2203:2218" x14ac:dyDescent="0.3">
      <c r="CGG2223" s="2188"/>
    </row>
    <row r="2224" spans="2203:2218" x14ac:dyDescent="0.3">
      <c r="CGH2224" s="2189"/>
    </row>
    <row r="2225" spans="2219:2234" x14ac:dyDescent="0.3">
      <c r="CGI2225" s="2190"/>
    </row>
    <row r="2226" spans="2219:2234" x14ac:dyDescent="0.3">
      <c r="CGJ2226" s="2191"/>
    </row>
    <row r="2227" spans="2219:2234" x14ac:dyDescent="0.3">
      <c r="CGK2227" s="2192"/>
    </row>
    <row r="2228" spans="2219:2234" x14ac:dyDescent="0.3">
      <c r="CGL2228" s="2193"/>
    </row>
    <row r="2229" spans="2219:2234" x14ac:dyDescent="0.3">
      <c r="CGM2229" s="2194"/>
    </row>
    <row r="2230" spans="2219:2234" x14ac:dyDescent="0.3">
      <c r="CGN2230" s="2195"/>
    </row>
    <row r="2231" spans="2219:2234" x14ac:dyDescent="0.3">
      <c r="CGO2231" s="2196"/>
    </row>
    <row r="2232" spans="2219:2234" x14ac:dyDescent="0.3">
      <c r="CGP2232" s="2197"/>
    </row>
    <row r="2233" spans="2219:2234" x14ac:dyDescent="0.3">
      <c r="CGQ2233" s="2198"/>
    </row>
    <row r="2234" spans="2219:2234" x14ac:dyDescent="0.3">
      <c r="CGR2234" s="2199"/>
    </row>
    <row r="2235" spans="2219:2234" x14ac:dyDescent="0.3">
      <c r="CGS2235" s="2200"/>
    </row>
    <row r="2236" spans="2219:2234" x14ac:dyDescent="0.3">
      <c r="CGT2236" s="2201"/>
    </row>
    <row r="2237" spans="2219:2234" x14ac:dyDescent="0.3">
      <c r="CGU2237" s="2202"/>
    </row>
    <row r="2238" spans="2219:2234" x14ac:dyDescent="0.3">
      <c r="CGV2238" s="2203"/>
    </row>
    <row r="2239" spans="2219:2234" x14ac:dyDescent="0.3">
      <c r="CGW2239" s="2204"/>
    </row>
    <row r="2240" spans="2219:2234" x14ac:dyDescent="0.3">
      <c r="CGX2240" s="2205"/>
    </row>
    <row r="2241" spans="2235:2250" x14ac:dyDescent="0.3">
      <c r="CGY2241" s="2206"/>
    </row>
    <row r="2242" spans="2235:2250" x14ac:dyDescent="0.3">
      <c r="CGZ2242" s="2207"/>
    </row>
    <row r="2243" spans="2235:2250" x14ac:dyDescent="0.3">
      <c r="CHA2243" s="2208"/>
    </row>
    <row r="2244" spans="2235:2250" x14ac:dyDescent="0.3">
      <c r="CHB2244" s="2209"/>
    </row>
    <row r="2245" spans="2235:2250" x14ac:dyDescent="0.3">
      <c r="CHC2245" s="2210"/>
    </row>
    <row r="2246" spans="2235:2250" x14ac:dyDescent="0.3">
      <c r="CHD2246" s="2211"/>
    </row>
    <row r="2247" spans="2235:2250" x14ac:dyDescent="0.3">
      <c r="CHE2247" s="2212"/>
    </row>
    <row r="2248" spans="2235:2250" x14ac:dyDescent="0.3">
      <c r="CHF2248" s="2213"/>
    </row>
    <row r="2249" spans="2235:2250" x14ac:dyDescent="0.3">
      <c r="CHG2249" s="2214"/>
    </row>
    <row r="2250" spans="2235:2250" x14ac:dyDescent="0.3">
      <c r="CHH2250" s="2215"/>
    </row>
    <row r="2251" spans="2235:2250" x14ac:dyDescent="0.3">
      <c r="CHI2251" s="2216"/>
    </row>
    <row r="2252" spans="2235:2250" x14ac:dyDescent="0.3">
      <c r="CHJ2252" s="2217"/>
    </row>
    <row r="2253" spans="2235:2250" x14ac:dyDescent="0.3">
      <c r="CHK2253" s="2218"/>
    </row>
    <row r="2254" spans="2235:2250" x14ac:dyDescent="0.3">
      <c r="CHL2254" s="2219"/>
    </row>
    <row r="2255" spans="2235:2250" x14ac:dyDescent="0.3">
      <c r="CHM2255" s="2220"/>
    </row>
    <row r="2256" spans="2235:2250" x14ac:dyDescent="0.3">
      <c r="CHN2256" s="2221"/>
    </row>
    <row r="2257" spans="2251:2266" x14ac:dyDescent="0.3">
      <c r="CHO2257" s="2222"/>
    </row>
    <row r="2258" spans="2251:2266" x14ac:dyDescent="0.3">
      <c r="CHP2258" s="2223"/>
    </row>
    <row r="2259" spans="2251:2266" x14ac:dyDescent="0.3">
      <c r="CHQ2259" s="2224"/>
    </row>
    <row r="2260" spans="2251:2266" x14ac:dyDescent="0.3">
      <c r="CHR2260" s="2225"/>
    </row>
    <row r="2261" spans="2251:2266" x14ac:dyDescent="0.3">
      <c r="CHS2261" s="2226"/>
    </row>
    <row r="2262" spans="2251:2266" x14ac:dyDescent="0.3">
      <c r="CHT2262" s="2227"/>
    </row>
    <row r="2263" spans="2251:2266" x14ac:dyDescent="0.3">
      <c r="CHU2263" s="2228"/>
    </row>
    <row r="2264" spans="2251:2266" x14ac:dyDescent="0.3">
      <c r="CHV2264" s="2229"/>
    </row>
    <row r="2265" spans="2251:2266" x14ac:dyDescent="0.3">
      <c r="CHW2265" s="2230"/>
    </row>
    <row r="2266" spans="2251:2266" x14ac:dyDescent="0.3">
      <c r="CHX2266" s="2231"/>
    </row>
    <row r="2267" spans="2251:2266" x14ac:dyDescent="0.3">
      <c r="CHY2267" s="2232"/>
    </row>
    <row r="2268" spans="2251:2266" x14ac:dyDescent="0.3">
      <c r="CHZ2268" s="2233"/>
    </row>
    <row r="2269" spans="2251:2266" x14ac:dyDescent="0.3">
      <c r="CIA2269" s="2234"/>
    </row>
    <row r="2270" spans="2251:2266" x14ac:dyDescent="0.3">
      <c r="CIB2270" s="2235"/>
    </row>
    <row r="2271" spans="2251:2266" x14ac:dyDescent="0.3">
      <c r="CIC2271" s="2236"/>
    </row>
    <row r="2272" spans="2251:2266" x14ac:dyDescent="0.3">
      <c r="CID2272" s="2237"/>
    </row>
    <row r="2273" spans="2267:2282" x14ac:dyDescent="0.3">
      <c r="CIE2273" s="2238"/>
    </row>
    <row r="2274" spans="2267:2282" x14ac:dyDescent="0.3">
      <c r="CIF2274" s="2239"/>
    </row>
    <row r="2275" spans="2267:2282" x14ac:dyDescent="0.3">
      <c r="CIG2275" s="2240"/>
    </row>
    <row r="2276" spans="2267:2282" x14ac:dyDescent="0.3">
      <c r="CIH2276" s="2241"/>
    </row>
    <row r="2277" spans="2267:2282" x14ac:dyDescent="0.3">
      <c r="CII2277" s="2242"/>
    </row>
    <row r="2278" spans="2267:2282" x14ac:dyDescent="0.3">
      <c r="CIJ2278" s="2243"/>
    </row>
    <row r="2279" spans="2267:2282" x14ac:dyDescent="0.3">
      <c r="CIK2279" s="2244"/>
    </row>
    <row r="2280" spans="2267:2282" x14ac:dyDescent="0.3">
      <c r="CIL2280" s="2245"/>
    </row>
    <row r="2281" spans="2267:2282" x14ac:dyDescent="0.3">
      <c r="CIM2281" s="2246"/>
    </row>
    <row r="2282" spans="2267:2282" x14ac:dyDescent="0.3">
      <c r="CIN2282" s="2247"/>
    </row>
    <row r="2283" spans="2267:2282" x14ac:dyDescent="0.3">
      <c r="CIO2283" s="2248"/>
    </row>
    <row r="2284" spans="2267:2282" x14ac:dyDescent="0.3">
      <c r="CIP2284" s="2249"/>
    </row>
    <row r="2285" spans="2267:2282" x14ac:dyDescent="0.3">
      <c r="CIQ2285" s="2250"/>
    </row>
    <row r="2286" spans="2267:2282" x14ac:dyDescent="0.3">
      <c r="CIR2286" s="2251"/>
    </row>
    <row r="2287" spans="2267:2282" x14ac:dyDescent="0.3">
      <c r="CIS2287" s="2252"/>
    </row>
    <row r="2288" spans="2267:2282" x14ac:dyDescent="0.3">
      <c r="CIT2288" s="2253"/>
    </row>
    <row r="2289" spans="2283:2298" x14ac:dyDescent="0.3">
      <c r="CIU2289" s="2254"/>
    </row>
    <row r="2290" spans="2283:2298" x14ac:dyDescent="0.3">
      <c r="CIV2290" s="2255"/>
    </row>
    <row r="2291" spans="2283:2298" x14ac:dyDescent="0.3">
      <c r="CIW2291" s="2256"/>
    </row>
    <row r="2292" spans="2283:2298" x14ac:dyDescent="0.3">
      <c r="CIX2292" s="2257"/>
    </row>
    <row r="2293" spans="2283:2298" x14ac:dyDescent="0.3">
      <c r="CIY2293" s="2258"/>
    </row>
    <row r="2294" spans="2283:2298" x14ac:dyDescent="0.3">
      <c r="CIZ2294" s="2259"/>
    </row>
    <row r="2295" spans="2283:2298" x14ac:dyDescent="0.3">
      <c r="CJA2295" s="2260"/>
    </row>
    <row r="2296" spans="2283:2298" x14ac:dyDescent="0.3">
      <c r="CJB2296" s="2261"/>
    </row>
    <row r="2297" spans="2283:2298" x14ac:dyDescent="0.3">
      <c r="CJC2297" s="2262"/>
    </row>
    <row r="2298" spans="2283:2298" x14ac:dyDescent="0.3">
      <c r="CJD2298" s="2263"/>
    </row>
    <row r="2299" spans="2283:2298" x14ac:dyDescent="0.3">
      <c r="CJE2299" s="2264"/>
    </row>
    <row r="2300" spans="2283:2298" x14ac:dyDescent="0.3">
      <c r="CJF2300" s="2265"/>
    </row>
    <row r="2301" spans="2283:2298" x14ac:dyDescent="0.3">
      <c r="CJG2301" s="2266"/>
    </row>
    <row r="2302" spans="2283:2298" x14ac:dyDescent="0.3">
      <c r="CJH2302" s="2267"/>
    </row>
    <row r="2303" spans="2283:2298" x14ac:dyDescent="0.3">
      <c r="CJI2303" s="2268"/>
    </row>
    <row r="2304" spans="2283:2298" x14ac:dyDescent="0.3">
      <c r="CJJ2304" s="2269"/>
    </row>
    <row r="2305" spans="2299:2314" x14ac:dyDescent="0.3">
      <c r="CJK2305" s="2270"/>
    </row>
    <row r="2306" spans="2299:2314" x14ac:dyDescent="0.3">
      <c r="CJL2306" s="2271"/>
    </row>
    <row r="2307" spans="2299:2314" x14ac:dyDescent="0.3">
      <c r="CJM2307" s="2272"/>
    </row>
    <row r="2308" spans="2299:2314" x14ac:dyDescent="0.3">
      <c r="CJN2308" s="2273"/>
    </row>
    <row r="2309" spans="2299:2314" x14ac:dyDescent="0.3">
      <c r="CJO2309" s="2274"/>
    </row>
    <row r="2310" spans="2299:2314" x14ac:dyDescent="0.3">
      <c r="CJP2310" s="2275"/>
    </row>
    <row r="2311" spans="2299:2314" x14ac:dyDescent="0.3">
      <c r="CJQ2311" s="2276"/>
    </row>
    <row r="2312" spans="2299:2314" x14ac:dyDescent="0.3">
      <c r="CJR2312" s="2277"/>
    </row>
    <row r="2313" spans="2299:2314" x14ac:dyDescent="0.3">
      <c r="CJS2313" s="2278"/>
    </row>
    <row r="2314" spans="2299:2314" x14ac:dyDescent="0.3">
      <c r="CJT2314" s="2279"/>
    </row>
    <row r="2315" spans="2299:2314" x14ac:dyDescent="0.3">
      <c r="CJU2315" s="2280"/>
    </row>
    <row r="2316" spans="2299:2314" x14ac:dyDescent="0.3">
      <c r="CJV2316" s="2281"/>
    </row>
    <row r="2317" spans="2299:2314" x14ac:dyDescent="0.3">
      <c r="CJW2317" s="2282"/>
    </row>
    <row r="2318" spans="2299:2314" x14ac:dyDescent="0.3">
      <c r="CJX2318" s="2283"/>
    </row>
    <row r="2319" spans="2299:2314" x14ac:dyDescent="0.3">
      <c r="CJY2319" s="2283"/>
    </row>
    <row r="2320" spans="2299:2314" x14ac:dyDescent="0.3">
      <c r="CJZ2320" s="2284"/>
    </row>
    <row r="2321" spans="2315:2330" x14ac:dyDescent="0.3">
      <c r="CKA2321" s="2285"/>
    </row>
    <row r="2322" spans="2315:2330" x14ac:dyDescent="0.3">
      <c r="CKB2322" s="2286"/>
    </row>
    <row r="2323" spans="2315:2330" x14ac:dyDescent="0.3">
      <c r="CKC2323" s="2287"/>
    </row>
    <row r="2324" spans="2315:2330" x14ac:dyDescent="0.3">
      <c r="CKD2324" s="2288"/>
    </row>
    <row r="2325" spans="2315:2330" x14ac:dyDescent="0.3">
      <c r="CKE2325" s="2289"/>
    </row>
    <row r="2326" spans="2315:2330" x14ac:dyDescent="0.3">
      <c r="CKF2326" s="2290"/>
    </row>
    <row r="2327" spans="2315:2330" x14ac:dyDescent="0.3">
      <c r="CKG2327" s="2291"/>
    </row>
    <row r="2328" spans="2315:2330" x14ac:dyDescent="0.3">
      <c r="CKH2328" s="2292"/>
    </row>
    <row r="2329" spans="2315:2330" x14ac:dyDescent="0.3">
      <c r="CKI2329" s="2293"/>
    </row>
    <row r="2330" spans="2315:2330" x14ac:dyDescent="0.3">
      <c r="CKJ2330" s="2294"/>
    </row>
    <row r="2331" spans="2315:2330" x14ac:dyDescent="0.3">
      <c r="CKK2331" s="2295"/>
    </row>
    <row r="2332" spans="2315:2330" x14ac:dyDescent="0.3">
      <c r="CKL2332" s="2296"/>
    </row>
    <row r="2333" spans="2315:2330" x14ac:dyDescent="0.3">
      <c r="CKM2333" s="2297"/>
    </row>
    <row r="2334" spans="2315:2330" x14ac:dyDescent="0.3">
      <c r="CKN2334" s="2298"/>
    </row>
    <row r="2335" spans="2315:2330" x14ac:dyDescent="0.3">
      <c r="CKO2335" s="2299"/>
    </row>
    <row r="2336" spans="2315:2330" x14ac:dyDescent="0.3">
      <c r="CKP2336" s="2300"/>
    </row>
    <row r="2337" spans="2331:2346" x14ac:dyDescent="0.3">
      <c r="CKQ2337" s="2301"/>
    </row>
    <row r="2338" spans="2331:2346" x14ac:dyDescent="0.3">
      <c r="CKR2338" s="2302"/>
    </row>
    <row r="2339" spans="2331:2346" x14ac:dyDescent="0.3">
      <c r="CKS2339" s="2303"/>
    </row>
    <row r="2340" spans="2331:2346" x14ac:dyDescent="0.3">
      <c r="CKT2340" s="2304"/>
    </row>
    <row r="2341" spans="2331:2346" x14ac:dyDescent="0.3">
      <c r="CKU2341" s="2305"/>
    </row>
    <row r="2342" spans="2331:2346" x14ac:dyDescent="0.3">
      <c r="CKV2342" s="2306"/>
    </row>
    <row r="2343" spans="2331:2346" x14ac:dyDescent="0.3">
      <c r="CKW2343" s="2307"/>
    </row>
    <row r="2344" spans="2331:2346" x14ac:dyDescent="0.3">
      <c r="CKX2344" s="2308"/>
    </row>
    <row r="2345" spans="2331:2346" x14ac:dyDescent="0.3">
      <c r="CKY2345" s="2309"/>
    </row>
    <row r="2346" spans="2331:2346" x14ac:dyDescent="0.3">
      <c r="CKZ2346" s="2310"/>
    </row>
    <row r="2347" spans="2331:2346" x14ac:dyDescent="0.3">
      <c r="CLA2347" s="2311"/>
    </row>
    <row r="2348" spans="2331:2346" x14ac:dyDescent="0.3">
      <c r="CLB2348" s="2312"/>
    </row>
    <row r="2349" spans="2331:2346" x14ac:dyDescent="0.3">
      <c r="CLC2349" s="2313"/>
    </row>
    <row r="2350" spans="2331:2346" x14ac:dyDescent="0.3">
      <c r="CLD2350" s="2314"/>
    </row>
    <row r="2351" spans="2331:2346" x14ac:dyDescent="0.3">
      <c r="CLE2351" s="2315"/>
    </row>
    <row r="2352" spans="2331:2346" x14ac:dyDescent="0.3">
      <c r="CLF2352" s="2316"/>
    </row>
    <row r="2353" spans="2347:2362" x14ac:dyDescent="0.3">
      <c r="CLG2353" s="2317"/>
    </row>
    <row r="2354" spans="2347:2362" x14ac:dyDescent="0.3">
      <c r="CLH2354" s="2318"/>
    </row>
    <row r="2355" spans="2347:2362" x14ac:dyDescent="0.3">
      <c r="CLI2355" s="2319"/>
    </row>
    <row r="2356" spans="2347:2362" x14ac:dyDescent="0.3">
      <c r="CLJ2356" s="2320"/>
    </row>
    <row r="2357" spans="2347:2362" x14ac:dyDescent="0.3">
      <c r="CLK2357" s="2321"/>
    </row>
    <row r="2358" spans="2347:2362" x14ac:dyDescent="0.3">
      <c r="CLL2358" s="2322"/>
    </row>
    <row r="2359" spans="2347:2362" x14ac:dyDescent="0.3">
      <c r="CLM2359" s="2323"/>
    </row>
    <row r="2360" spans="2347:2362" x14ac:dyDescent="0.3">
      <c r="CLN2360" s="2324"/>
    </row>
    <row r="2361" spans="2347:2362" x14ac:dyDescent="0.3">
      <c r="CLO2361" s="2325"/>
    </row>
    <row r="2362" spans="2347:2362" x14ac:dyDescent="0.3">
      <c r="CLP2362" s="2326"/>
    </row>
    <row r="2363" spans="2347:2362" x14ac:dyDescent="0.3">
      <c r="CLQ2363" s="2327"/>
    </row>
    <row r="2364" spans="2347:2362" x14ac:dyDescent="0.3">
      <c r="CLR2364" s="2328"/>
    </row>
    <row r="2365" spans="2347:2362" x14ac:dyDescent="0.3">
      <c r="CLS2365" s="2329"/>
    </row>
    <row r="2366" spans="2347:2362" x14ac:dyDescent="0.3">
      <c r="CLT2366" s="2330"/>
    </row>
    <row r="2367" spans="2347:2362" x14ac:dyDescent="0.3">
      <c r="CLU2367" s="2331"/>
    </row>
    <row r="2368" spans="2347:2362" x14ac:dyDescent="0.3">
      <c r="CLV2368" s="2332"/>
    </row>
    <row r="2369" spans="2363:2378" x14ac:dyDescent="0.3">
      <c r="CLW2369" s="2333"/>
    </row>
    <row r="2370" spans="2363:2378" x14ac:dyDescent="0.3">
      <c r="CLX2370" s="2334"/>
    </row>
    <row r="2371" spans="2363:2378" x14ac:dyDescent="0.3">
      <c r="CLY2371" s="2335"/>
    </row>
    <row r="2372" spans="2363:2378" x14ac:dyDescent="0.3">
      <c r="CLZ2372" s="2336"/>
    </row>
    <row r="2373" spans="2363:2378" x14ac:dyDescent="0.3">
      <c r="CMA2373" s="2337"/>
    </row>
    <row r="2374" spans="2363:2378" x14ac:dyDescent="0.3">
      <c r="CMB2374" s="2338"/>
    </row>
    <row r="2375" spans="2363:2378" x14ac:dyDescent="0.3">
      <c r="CMC2375" s="2339"/>
    </row>
    <row r="2376" spans="2363:2378" x14ac:dyDescent="0.3">
      <c r="CMD2376" s="2340"/>
    </row>
    <row r="2377" spans="2363:2378" x14ac:dyDescent="0.3">
      <c r="CME2377" s="2341"/>
    </row>
    <row r="2378" spans="2363:2378" x14ac:dyDescent="0.3">
      <c r="CMF2378" s="2342"/>
    </row>
    <row r="2379" spans="2363:2378" x14ac:dyDescent="0.3">
      <c r="CMG2379" s="2343"/>
    </row>
    <row r="2380" spans="2363:2378" x14ac:dyDescent="0.3">
      <c r="CMH2380" s="2344"/>
    </row>
    <row r="2381" spans="2363:2378" x14ac:dyDescent="0.3">
      <c r="CMI2381" s="2345"/>
    </row>
    <row r="2382" spans="2363:2378" x14ac:dyDescent="0.3">
      <c r="CMJ2382" s="2346"/>
    </row>
    <row r="2383" spans="2363:2378" x14ac:dyDescent="0.3">
      <c r="CMK2383" s="2347"/>
    </row>
    <row r="2384" spans="2363:2378" x14ac:dyDescent="0.3">
      <c r="CML2384" s="2348"/>
    </row>
    <row r="2385" spans="2379:2394" x14ac:dyDescent="0.3">
      <c r="CMM2385" s="2349"/>
    </row>
    <row r="2386" spans="2379:2394" x14ac:dyDescent="0.3">
      <c r="CMN2386" s="2350"/>
    </row>
    <row r="2387" spans="2379:2394" x14ac:dyDescent="0.3">
      <c r="CMO2387" s="2351"/>
    </row>
    <row r="2388" spans="2379:2394" x14ac:dyDescent="0.3">
      <c r="CMP2388" s="2352"/>
    </row>
    <row r="2389" spans="2379:2394" x14ac:dyDescent="0.3">
      <c r="CMQ2389" s="2353"/>
    </row>
    <row r="2390" spans="2379:2394" x14ac:dyDescent="0.3">
      <c r="CMR2390" s="2354"/>
    </row>
    <row r="2391" spans="2379:2394" x14ac:dyDescent="0.3">
      <c r="CMS2391" s="2355"/>
    </row>
    <row r="2392" spans="2379:2394" x14ac:dyDescent="0.3">
      <c r="CMT2392" s="2356"/>
    </row>
    <row r="2393" spans="2379:2394" x14ac:dyDescent="0.3">
      <c r="CMU2393" s="2357"/>
    </row>
    <row r="2394" spans="2379:2394" x14ac:dyDescent="0.3">
      <c r="CMV2394" s="2358"/>
    </row>
    <row r="2395" spans="2379:2394" x14ac:dyDescent="0.3">
      <c r="CMW2395" s="2359"/>
    </row>
    <row r="2396" spans="2379:2394" x14ac:dyDescent="0.3">
      <c r="CMX2396" s="2360"/>
    </row>
    <row r="2397" spans="2379:2394" x14ac:dyDescent="0.3">
      <c r="CMY2397" s="2361"/>
    </row>
    <row r="2398" spans="2379:2394" x14ac:dyDescent="0.3">
      <c r="CMZ2398" s="2362"/>
    </row>
    <row r="2399" spans="2379:2394" x14ac:dyDescent="0.3">
      <c r="CNA2399" s="2363"/>
    </row>
    <row r="2400" spans="2379:2394" x14ac:dyDescent="0.3">
      <c r="CNB2400" s="2364"/>
    </row>
    <row r="2401" spans="2395:2410" x14ac:dyDescent="0.3">
      <c r="CNC2401" s="2365"/>
    </row>
    <row r="2402" spans="2395:2410" x14ac:dyDescent="0.3">
      <c r="CND2402" s="2366"/>
    </row>
    <row r="2403" spans="2395:2410" x14ac:dyDescent="0.3">
      <c r="CNE2403" s="2367"/>
    </row>
    <row r="2404" spans="2395:2410" x14ac:dyDescent="0.3">
      <c r="CNF2404" s="2368"/>
    </row>
    <row r="2405" spans="2395:2410" x14ac:dyDescent="0.3">
      <c r="CNG2405" s="2369"/>
    </row>
    <row r="2406" spans="2395:2410" x14ac:dyDescent="0.3">
      <c r="CNH2406" s="2370"/>
    </row>
    <row r="2407" spans="2395:2410" x14ac:dyDescent="0.3">
      <c r="CNI2407" s="2371"/>
    </row>
    <row r="2408" spans="2395:2410" x14ac:dyDescent="0.3">
      <c r="CNJ2408" s="2372"/>
    </row>
    <row r="2409" spans="2395:2410" x14ac:dyDescent="0.3">
      <c r="CNK2409" s="2373"/>
    </row>
    <row r="2410" spans="2395:2410" x14ac:dyDescent="0.3">
      <c r="CNL2410" s="2374"/>
    </row>
    <row r="2411" spans="2395:2410" x14ac:dyDescent="0.3">
      <c r="CNM2411" s="2375"/>
    </row>
    <row r="2412" spans="2395:2410" x14ac:dyDescent="0.3">
      <c r="CNN2412" s="2376"/>
    </row>
    <row r="2413" spans="2395:2410" x14ac:dyDescent="0.3">
      <c r="CNO2413" s="2377"/>
    </row>
    <row r="2414" spans="2395:2410" x14ac:dyDescent="0.3">
      <c r="CNP2414" s="2378"/>
    </row>
    <row r="2415" spans="2395:2410" x14ac:dyDescent="0.3">
      <c r="CNQ2415" s="2379"/>
    </row>
    <row r="2416" spans="2395:2410" x14ac:dyDescent="0.3">
      <c r="CNR2416" s="2380"/>
    </row>
    <row r="2417" spans="2411:2426" x14ac:dyDescent="0.3">
      <c r="CNS2417" s="2381"/>
    </row>
    <row r="2418" spans="2411:2426" x14ac:dyDescent="0.3">
      <c r="CNT2418" s="2382"/>
    </row>
    <row r="2419" spans="2411:2426" x14ac:dyDescent="0.3">
      <c r="CNU2419" s="2383"/>
    </row>
    <row r="2420" spans="2411:2426" x14ac:dyDescent="0.3">
      <c r="CNV2420" s="2384"/>
    </row>
    <row r="2421" spans="2411:2426" x14ac:dyDescent="0.3">
      <c r="CNW2421" s="2385"/>
    </row>
    <row r="2422" spans="2411:2426" x14ac:dyDescent="0.3">
      <c r="CNX2422" s="2386"/>
    </row>
    <row r="2423" spans="2411:2426" x14ac:dyDescent="0.3">
      <c r="CNY2423" s="2387"/>
    </row>
    <row r="2424" spans="2411:2426" x14ac:dyDescent="0.3">
      <c r="CNZ2424" s="2388"/>
    </row>
    <row r="2425" spans="2411:2426" x14ac:dyDescent="0.3">
      <c r="COA2425" s="2389"/>
    </row>
    <row r="2426" spans="2411:2426" x14ac:dyDescent="0.3">
      <c r="COB2426" s="2390"/>
    </row>
    <row r="2427" spans="2411:2426" x14ac:dyDescent="0.3">
      <c r="COC2427" s="2391"/>
    </row>
    <row r="2428" spans="2411:2426" x14ac:dyDescent="0.3">
      <c r="COD2428" s="2392"/>
    </row>
    <row r="2429" spans="2411:2426" x14ac:dyDescent="0.3">
      <c r="COE2429" s="2393"/>
    </row>
    <row r="2430" spans="2411:2426" x14ac:dyDescent="0.3">
      <c r="COF2430" s="2394"/>
    </row>
    <row r="2431" spans="2411:2426" x14ac:dyDescent="0.3">
      <c r="COG2431" s="2395"/>
    </row>
    <row r="2432" spans="2411:2426" x14ac:dyDescent="0.3">
      <c r="COH2432" s="2396"/>
    </row>
    <row r="2433" spans="2427:2442" x14ac:dyDescent="0.3">
      <c r="COI2433" s="2397"/>
    </row>
    <row r="2434" spans="2427:2442" x14ac:dyDescent="0.3">
      <c r="COJ2434" s="2398"/>
    </row>
    <row r="2435" spans="2427:2442" x14ac:dyDescent="0.3">
      <c r="COK2435" s="2399"/>
    </row>
    <row r="2436" spans="2427:2442" x14ac:dyDescent="0.3">
      <c r="COL2436" s="2400"/>
    </row>
    <row r="2437" spans="2427:2442" x14ac:dyDescent="0.3">
      <c r="COM2437" s="2401"/>
    </row>
    <row r="2438" spans="2427:2442" x14ac:dyDescent="0.3">
      <c r="CON2438" s="2402"/>
    </row>
    <row r="2439" spans="2427:2442" x14ac:dyDescent="0.3">
      <c r="COO2439" s="2403"/>
    </row>
    <row r="2440" spans="2427:2442" x14ac:dyDescent="0.3">
      <c r="COP2440" s="2404"/>
    </row>
    <row r="2441" spans="2427:2442" x14ac:dyDescent="0.3">
      <c r="COQ2441" s="2405"/>
    </row>
    <row r="2442" spans="2427:2442" x14ac:dyDescent="0.3">
      <c r="COR2442" s="2406"/>
    </row>
    <row r="2443" spans="2427:2442" x14ac:dyDescent="0.3">
      <c r="COS2443" s="2407"/>
    </row>
    <row r="2444" spans="2427:2442" x14ac:dyDescent="0.3">
      <c r="COT2444" s="2408"/>
    </row>
    <row r="2445" spans="2427:2442" x14ac:dyDescent="0.3">
      <c r="COU2445" s="2409"/>
    </row>
    <row r="2446" spans="2427:2442" x14ac:dyDescent="0.3">
      <c r="COV2446" s="2410"/>
    </row>
    <row r="2447" spans="2427:2442" x14ac:dyDescent="0.3">
      <c r="COW2447" s="2411"/>
    </row>
    <row r="2448" spans="2427:2442" x14ac:dyDescent="0.3">
      <c r="COX2448" s="2412"/>
    </row>
    <row r="2449" spans="2443:2458" x14ac:dyDescent="0.3">
      <c r="COY2449" s="2413"/>
    </row>
    <row r="2450" spans="2443:2458" x14ac:dyDescent="0.3">
      <c r="COZ2450" s="2414"/>
    </row>
    <row r="2451" spans="2443:2458" x14ac:dyDescent="0.3">
      <c r="CPA2451" s="2415"/>
    </row>
    <row r="2452" spans="2443:2458" x14ac:dyDescent="0.3">
      <c r="CPB2452" s="2416"/>
    </row>
    <row r="2453" spans="2443:2458" x14ac:dyDescent="0.3">
      <c r="CPC2453" s="2417"/>
    </row>
    <row r="2454" spans="2443:2458" x14ac:dyDescent="0.3">
      <c r="CPD2454" s="2418"/>
    </row>
    <row r="2455" spans="2443:2458" x14ac:dyDescent="0.3">
      <c r="CPE2455" s="2419"/>
    </row>
    <row r="2456" spans="2443:2458" x14ac:dyDescent="0.3">
      <c r="CPF2456" s="2420"/>
    </row>
    <row r="2457" spans="2443:2458" x14ac:dyDescent="0.3">
      <c r="CPG2457" s="2421"/>
    </row>
    <row r="2458" spans="2443:2458" x14ac:dyDescent="0.3">
      <c r="CPH2458" s="2422"/>
    </row>
    <row r="2459" spans="2443:2458" x14ac:dyDescent="0.3">
      <c r="CPI2459" s="2423"/>
    </row>
    <row r="2460" spans="2443:2458" x14ac:dyDescent="0.3">
      <c r="CPJ2460" s="2424"/>
    </row>
    <row r="2461" spans="2443:2458" x14ac:dyDescent="0.3">
      <c r="CPK2461" s="2425"/>
    </row>
    <row r="2462" spans="2443:2458" x14ac:dyDescent="0.3">
      <c r="CPL2462" s="2426"/>
    </row>
    <row r="2463" spans="2443:2458" x14ac:dyDescent="0.3">
      <c r="CPM2463" s="2427"/>
    </row>
    <row r="2464" spans="2443:2458" x14ac:dyDescent="0.3">
      <c r="CPN2464" s="2428"/>
    </row>
    <row r="2465" spans="2459:2474" x14ac:dyDescent="0.3">
      <c r="CPO2465" s="2429"/>
    </row>
    <row r="2466" spans="2459:2474" x14ac:dyDescent="0.3">
      <c r="CPP2466" s="2430"/>
    </row>
    <row r="2467" spans="2459:2474" x14ac:dyDescent="0.3">
      <c r="CPQ2467" s="2431"/>
    </row>
    <row r="2468" spans="2459:2474" x14ac:dyDescent="0.3">
      <c r="CPR2468" s="2432"/>
    </row>
    <row r="2469" spans="2459:2474" x14ac:dyDescent="0.3">
      <c r="CPS2469" s="2433"/>
    </row>
    <row r="2470" spans="2459:2474" x14ac:dyDescent="0.3">
      <c r="CPT2470" s="2434"/>
    </row>
    <row r="2471" spans="2459:2474" x14ac:dyDescent="0.3">
      <c r="CPU2471" s="2435"/>
    </row>
    <row r="2472" spans="2459:2474" x14ac:dyDescent="0.3">
      <c r="CPV2472" s="2436"/>
    </row>
    <row r="2473" spans="2459:2474" x14ac:dyDescent="0.3">
      <c r="CPW2473" s="2437"/>
    </row>
    <row r="2474" spans="2459:2474" x14ac:dyDescent="0.3">
      <c r="CPX2474" s="2438"/>
    </row>
    <row r="2475" spans="2459:2474" x14ac:dyDescent="0.3">
      <c r="CPY2475" s="2439"/>
    </row>
    <row r="2476" spans="2459:2474" x14ac:dyDescent="0.3">
      <c r="CPZ2476" s="2440"/>
    </row>
    <row r="2477" spans="2459:2474" x14ac:dyDescent="0.3">
      <c r="CQA2477" s="2441"/>
    </row>
    <row r="2478" spans="2459:2474" x14ac:dyDescent="0.3">
      <c r="CQB2478" s="2442"/>
    </row>
    <row r="2479" spans="2459:2474" x14ac:dyDescent="0.3">
      <c r="CQC2479" s="2443"/>
    </row>
    <row r="2480" spans="2459:2474" x14ac:dyDescent="0.3">
      <c r="CQD2480" s="2444"/>
    </row>
    <row r="2481" spans="2475:2490" x14ac:dyDescent="0.3">
      <c r="CQE2481" s="2445"/>
    </row>
    <row r="2482" spans="2475:2490" x14ac:dyDescent="0.3">
      <c r="CQF2482" s="2446"/>
    </row>
    <row r="2483" spans="2475:2490" x14ac:dyDescent="0.3">
      <c r="CQG2483" s="2447"/>
    </row>
    <row r="2484" spans="2475:2490" x14ac:dyDescent="0.3">
      <c r="CQH2484" s="2448"/>
    </row>
    <row r="2485" spans="2475:2490" x14ac:dyDescent="0.3">
      <c r="CQI2485" s="2449"/>
    </row>
    <row r="2486" spans="2475:2490" x14ac:dyDescent="0.3">
      <c r="CQJ2486" s="2450"/>
    </row>
    <row r="2487" spans="2475:2490" x14ac:dyDescent="0.3">
      <c r="CQK2487" s="2451"/>
    </row>
    <row r="2488" spans="2475:2490" x14ac:dyDescent="0.3">
      <c r="CQL2488" s="2452"/>
    </row>
    <row r="2489" spans="2475:2490" x14ac:dyDescent="0.3">
      <c r="CQM2489" s="2453"/>
    </row>
    <row r="2490" spans="2475:2490" x14ac:dyDescent="0.3">
      <c r="CQN2490" s="2454"/>
    </row>
    <row r="2491" spans="2475:2490" x14ac:dyDescent="0.3">
      <c r="CQO2491" s="2455"/>
    </row>
    <row r="2492" spans="2475:2490" x14ac:dyDescent="0.3">
      <c r="CQP2492" s="2456"/>
    </row>
    <row r="2493" spans="2475:2490" x14ac:dyDescent="0.3">
      <c r="CQQ2493" s="2457"/>
    </row>
    <row r="2494" spans="2475:2490" x14ac:dyDescent="0.3">
      <c r="CQR2494" s="2458"/>
    </row>
    <row r="2495" spans="2475:2490" x14ac:dyDescent="0.3">
      <c r="CQS2495" s="2459"/>
    </row>
    <row r="2496" spans="2475:2490" x14ac:dyDescent="0.3">
      <c r="CQT2496" s="2460"/>
    </row>
    <row r="2497" spans="2491:2506" x14ac:dyDescent="0.3">
      <c r="CQU2497" s="2461"/>
    </row>
    <row r="2498" spans="2491:2506" x14ac:dyDescent="0.3">
      <c r="CQV2498" s="2462"/>
    </row>
    <row r="2499" spans="2491:2506" x14ac:dyDescent="0.3">
      <c r="CQW2499" s="2463"/>
    </row>
    <row r="2500" spans="2491:2506" x14ac:dyDescent="0.3">
      <c r="CQX2500" s="2464"/>
    </row>
    <row r="2501" spans="2491:2506" x14ac:dyDescent="0.3">
      <c r="CQY2501" s="2465"/>
    </row>
    <row r="2502" spans="2491:2506" x14ac:dyDescent="0.3">
      <c r="CQZ2502" s="2466"/>
    </row>
    <row r="2503" spans="2491:2506" x14ac:dyDescent="0.3">
      <c r="CRA2503" s="2467"/>
    </row>
    <row r="2504" spans="2491:2506" x14ac:dyDescent="0.3">
      <c r="CRB2504" s="2468"/>
    </row>
    <row r="2505" spans="2491:2506" x14ac:dyDescent="0.3">
      <c r="CRC2505" s="2469"/>
    </row>
    <row r="2506" spans="2491:2506" x14ac:dyDescent="0.3">
      <c r="CRD2506" s="2470"/>
    </row>
    <row r="2507" spans="2491:2506" x14ac:dyDescent="0.3">
      <c r="CRE2507" s="2471"/>
    </row>
    <row r="2508" spans="2491:2506" x14ac:dyDescent="0.3">
      <c r="CRF2508" s="2472"/>
    </row>
    <row r="2509" spans="2491:2506" x14ac:dyDescent="0.3">
      <c r="CRG2509" s="2473"/>
    </row>
    <row r="2510" spans="2491:2506" x14ac:dyDescent="0.3">
      <c r="CRH2510" s="2474"/>
    </row>
    <row r="2511" spans="2491:2506" x14ac:dyDescent="0.3">
      <c r="CRI2511" s="2475"/>
    </row>
    <row r="2512" spans="2491:2506" x14ac:dyDescent="0.3">
      <c r="CRJ2512" s="2476"/>
    </row>
    <row r="2513" spans="2507:2522" x14ac:dyDescent="0.3">
      <c r="CRK2513" s="2477"/>
    </row>
    <row r="2514" spans="2507:2522" x14ac:dyDescent="0.3">
      <c r="CRL2514" s="2478"/>
    </row>
    <row r="2515" spans="2507:2522" x14ac:dyDescent="0.3">
      <c r="CRM2515" s="2479"/>
    </row>
    <row r="2516" spans="2507:2522" x14ac:dyDescent="0.3">
      <c r="CRN2516" s="2480"/>
    </row>
    <row r="2517" spans="2507:2522" x14ac:dyDescent="0.3">
      <c r="CRO2517" s="2481"/>
    </row>
    <row r="2518" spans="2507:2522" x14ac:dyDescent="0.3">
      <c r="CRP2518" s="2482"/>
    </row>
    <row r="2519" spans="2507:2522" x14ac:dyDescent="0.3">
      <c r="CRQ2519" s="2483"/>
    </row>
    <row r="2520" spans="2507:2522" x14ac:dyDescent="0.3">
      <c r="CRR2520" s="2484"/>
    </row>
    <row r="2521" spans="2507:2522" x14ac:dyDescent="0.3">
      <c r="CRS2521" s="2485"/>
    </row>
    <row r="2522" spans="2507:2522" x14ac:dyDescent="0.3">
      <c r="CRT2522" s="2486"/>
    </row>
    <row r="2523" spans="2507:2522" x14ac:dyDescent="0.3">
      <c r="CRU2523" s="2487"/>
    </row>
    <row r="2524" spans="2507:2522" x14ac:dyDescent="0.3">
      <c r="CRV2524" s="2488"/>
    </row>
    <row r="2525" spans="2507:2522" x14ac:dyDescent="0.3">
      <c r="CRW2525" s="2489"/>
    </row>
    <row r="2526" spans="2507:2522" x14ac:dyDescent="0.3">
      <c r="CRX2526" s="2490"/>
    </row>
    <row r="2527" spans="2507:2522" x14ac:dyDescent="0.3">
      <c r="CRY2527" s="2491"/>
    </row>
    <row r="2528" spans="2507:2522" x14ac:dyDescent="0.3">
      <c r="CRZ2528" s="2492"/>
    </row>
    <row r="2529" spans="2523:2538" x14ac:dyDescent="0.3">
      <c r="CSA2529" s="2493"/>
    </row>
    <row r="2530" spans="2523:2538" x14ac:dyDescent="0.3">
      <c r="CSB2530" s="2494"/>
    </row>
    <row r="2531" spans="2523:2538" x14ac:dyDescent="0.3">
      <c r="CSC2531" s="2495"/>
    </row>
    <row r="2532" spans="2523:2538" x14ac:dyDescent="0.3">
      <c r="CSD2532" s="2496"/>
    </row>
    <row r="2533" spans="2523:2538" x14ac:dyDescent="0.3">
      <c r="CSE2533" s="2497"/>
    </row>
    <row r="2534" spans="2523:2538" x14ac:dyDescent="0.3">
      <c r="CSF2534" s="2498"/>
    </row>
    <row r="2535" spans="2523:2538" x14ac:dyDescent="0.3">
      <c r="CSG2535" s="2499"/>
    </row>
    <row r="2536" spans="2523:2538" x14ac:dyDescent="0.3">
      <c r="CSH2536" s="2500"/>
    </row>
    <row r="2537" spans="2523:2538" x14ac:dyDescent="0.3">
      <c r="CSI2537" s="2501"/>
    </row>
    <row r="2538" spans="2523:2538" x14ac:dyDescent="0.3">
      <c r="CSJ2538" s="2502"/>
    </row>
    <row r="2539" spans="2523:2538" x14ac:dyDescent="0.3">
      <c r="CSK2539" s="2503"/>
    </row>
    <row r="2540" spans="2523:2538" x14ac:dyDescent="0.3">
      <c r="CSL2540" s="2504"/>
    </row>
    <row r="2541" spans="2523:2538" x14ac:dyDescent="0.3">
      <c r="CSM2541" s="2505"/>
    </row>
    <row r="2542" spans="2523:2538" x14ac:dyDescent="0.3">
      <c r="CSN2542" s="2506"/>
    </row>
    <row r="2543" spans="2523:2538" x14ac:dyDescent="0.3">
      <c r="CSO2543" s="2507"/>
    </row>
    <row r="2544" spans="2523:2538" x14ac:dyDescent="0.3">
      <c r="CSP2544" s="2508"/>
    </row>
    <row r="2545" spans="2539:2554" x14ac:dyDescent="0.3">
      <c r="CSQ2545" s="2509"/>
    </row>
    <row r="2546" spans="2539:2554" x14ac:dyDescent="0.3">
      <c r="CSR2546" s="2510"/>
    </row>
    <row r="2547" spans="2539:2554" x14ac:dyDescent="0.3">
      <c r="CSS2547" s="2511"/>
    </row>
    <row r="2548" spans="2539:2554" x14ac:dyDescent="0.3">
      <c r="CST2548" s="2512"/>
    </row>
    <row r="2549" spans="2539:2554" x14ac:dyDescent="0.3">
      <c r="CSU2549" s="2513"/>
    </row>
    <row r="2550" spans="2539:2554" x14ac:dyDescent="0.3">
      <c r="CSV2550" s="2514"/>
    </row>
    <row r="2551" spans="2539:2554" x14ac:dyDescent="0.3">
      <c r="CSW2551" s="2515"/>
    </row>
    <row r="2552" spans="2539:2554" x14ac:dyDescent="0.3">
      <c r="CSX2552" s="2516"/>
    </row>
    <row r="2553" spans="2539:2554" x14ac:dyDescent="0.3">
      <c r="CSY2553" s="2517"/>
    </row>
    <row r="2554" spans="2539:2554" x14ac:dyDescent="0.3">
      <c r="CSZ2554" s="2518"/>
    </row>
    <row r="2555" spans="2539:2554" x14ac:dyDescent="0.3">
      <c r="CTA2555" s="2519"/>
    </row>
    <row r="2556" spans="2539:2554" x14ac:dyDescent="0.3">
      <c r="CTB2556" s="2520"/>
    </row>
    <row r="2557" spans="2539:2554" x14ac:dyDescent="0.3">
      <c r="CTC2557" s="2521"/>
    </row>
    <row r="2558" spans="2539:2554" x14ac:dyDescent="0.3">
      <c r="CTD2558" s="2522"/>
    </row>
    <row r="2559" spans="2539:2554" x14ac:dyDescent="0.3">
      <c r="CTE2559" s="2523"/>
    </row>
    <row r="2560" spans="2539:2554" x14ac:dyDescent="0.3">
      <c r="CTF2560" s="2524"/>
    </row>
    <row r="2561" spans="2555:2570" x14ac:dyDescent="0.3">
      <c r="CTG2561" s="2525"/>
    </row>
    <row r="2562" spans="2555:2570" x14ac:dyDescent="0.3">
      <c r="CTH2562" s="2526"/>
    </row>
    <row r="2563" spans="2555:2570" x14ac:dyDescent="0.3">
      <c r="CTI2563" s="2527"/>
    </row>
    <row r="2564" spans="2555:2570" x14ac:dyDescent="0.3">
      <c r="CTJ2564" s="2528"/>
    </row>
    <row r="2565" spans="2555:2570" x14ac:dyDescent="0.3">
      <c r="CTK2565" s="2529"/>
    </row>
    <row r="2566" spans="2555:2570" x14ac:dyDescent="0.3">
      <c r="CTL2566" s="2530"/>
    </row>
    <row r="2567" spans="2555:2570" x14ac:dyDescent="0.3">
      <c r="CTM2567" s="2531"/>
    </row>
    <row r="2568" spans="2555:2570" x14ac:dyDescent="0.3">
      <c r="CTN2568" s="2532"/>
    </row>
    <row r="2569" spans="2555:2570" x14ac:dyDescent="0.3">
      <c r="CTO2569" s="2533"/>
    </row>
    <row r="2570" spans="2555:2570" x14ac:dyDescent="0.3">
      <c r="CTP2570" s="2534"/>
    </row>
    <row r="2571" spans="2555:2570" x14ac:dyDescent="0.3">
      <c r="CTQ2571" s="2535"/>
    </row>
    <row r="2572" spans="2555:2570" x14ac:dyDescent="0.3">
      <c r="CTR2572" s="2536"/>
    </row>
    <row r="2573" spans="2555:2570" x14ac:dyDescent="0.3">
      <c r="CTS2573" s="2537"/>
    </row>
    <row r="2574" spans="2555:2570" x14ac:dyDescent="0.3">
      <c r="CTT2574" s="2538"/>
    </row>
    <row r="2575" spans="2555:2570" x14ac:dyDescent="0.3">
      <c r="CTU2575" s="2539"/>
    </row>
    <row r="2576" spans="2555:2570" x14ac:dyDescent="0.3">
      <c r="CTV2576" s="2539"/>
    </row>
    <row r="2577" spans="2571:2586" x14ac:dyDescent="0.3">
      <c r="CTW2577" s="2540"/>
    </row>
    <row r="2578" spans="2571:2586" x14ac:dyDescent="0.3">
      <c r="CTX2578" s="2541"/>
    </row>
    <row r="2579" spans="2571:2586" x14ac:dyDescent="0.3">
      <c r="CTY2579" s="2542"/>
    </row>
    <row r="2580" spans="2571:2586" x14ac:dyDescent="0.3">
      <c r="CTZ2580" s="2543"/>
    </row>
    <row r="2581" spans="2571:2586" x14ac:dyDescent="0.3">
      <c r="CUA2581" s="2544"/>
    </row>
    <row r="2582" spans="2571:2586" x14ac:dyDescent="0.3">
      <c r="CUB2582" s="2545"/>
    </row>
    <row r="2583" spans="2571:2586" x14ac:dyDescent="0.3">
      <c r="CUC2583" s="2546"/>
    </row>
    <row r="2584" spans="2571:2586" x14ac:dyDescent="0.3">
      <c r="CUD2584" s="2547"/>
    </row>
    <row r="2585" spans="2571:2586" x14ac:dyDescent="0.3">
      <c r="CUE2585" s="2548"/>
    </row>
    <row r="2586" spans="2571:2586" x14ac:dyDescent="0.3">
      <c r="CUF2586" s="2549"/>
    </row>
    <row r="2587" spans="2571:2586" x14ac:dyDescent="0.3">
      <c r="CUG2587" s="2550"/>
    </row>
    <row r="2588" spans="2571:2586" x14ac:dyDescent="0.3">
      <c r="CUH2588" s="2551"/>
    </row>
    <row r="2589" spans="2571:2586" x14ac:dyDescent="0.3">
      <c r="CUI2589" s="2552"/>
    </row>
    <row r="2590" spans="2571:2586" x14ac:dyDescent="0.3">
      <c r="CUJ2590" s="2553"/>
    </row>
    <row r="2591" spans="2571:2586" x14ac:dyDescent="0.3">
      <c r="CUK2591" s="2554"/>
    </row>
    <row r="2592" spans="2571:2586" x14ac:dyDescent="0.3">
      <c r="CUL2592" s="2555"/>
    </row>
    <row r="2593" spans="2587:2602" x14ac:dyDescent="0.3">
      <c r="CUM2593" s="2556"/>
    </row>
    <row r="2594" spans="2587:2602" x14ac:dyDescent="0.3">
      <c r="CUN2594" s="2557"/>
    </row>
    <row r="2595" spans="2587:2602" x14ac:dyDescent="0.3">
      <c r="CUO2595" s="2558"/>
    </row>
    <row r="2596" spans="2587:2602" x14ac:dyDescent="0.3">
      <c r="CUP2596" s="2559"/>
    </row>
    <row r="2597" spans="2587:2602" x14ac:dyDescent="0.3">
      <c r="CUQ2597" s="2560"/>
    </row>
    <row r="2598" spans="2587:2602" x14ac:dyDescent="0.3">
      <c r="CUR2598" s="2561"/>
    </row>
    <row r="2599" spans="2587:2602" x14ac:dyDescent="0.3">
      <c r="CUS2599" s="2562"/>
    </row>
    <row r="2600" spans="2587:2602" x14ac:dyDescent="0.3">
      <c r="CUT2600" s="2563"/>
    </row>
    <row r="2601" spans="2587:2602" x14ac:dyDescent="0.3">
      <c r="CUU2601" s="2564"/>
    </row>
    <row r="2602" spans="2587:2602" x14ac:dyDescent="0.3">
      <c r="CUV2602" s="2565"/>
    </row>
    <row r="2603" spans="2587:2602" x14ac:dyDescent="0.3">
      <c r="CUW2603" s="2566"/>
    </row>
    <row r="2604" spans="2587:2602" x14ac:dyDescent="0.3">
      <c r="CUX2604" s="2567"/>
    </row>
    <row r="2605" spans="2587:2602" x14ac:dyDescent="0.3">
      <c r="CUY2605" s="2568"/>
    </row>
    <row r="2606" spans="2587:2602" x14ac:dyDescent="0.3">
      <c r="CUZ2606" s="2569"/>
    </row>
    <row r="2607" spans="2587:2602" x14ac:dyDescent="0.3">
      <c r="CVA2607" s="2570"/>
    </row>
    <row r="2608" spans="2587:2602" x14ac:dyDescent="0.3">
      <c r="CVB2608" s="2571"/>
    </row>
    <row r="2609" spans="2603:2618" x14ac:dyDescent="0.3">
      <c r="CVC2609" s="2572"/>
    </row>
    <row r="2610" spans="2603:2618" x14ac:dyDescent="0.3">
      <c r="CVD2610" s="2573"/>
    </row>
    <row r="2611" spans="2603:2618" x14ac:dyDescent="0.3">
      <c r="CVE2611" s="2574"/>
    </row>
    <row r="2612" spans="2603:2618" x14ac:dyDescent="0.3">
      <c r="CVF2612" s="2575"/>
    </row>
    <row r="2613" spans="2603:2618" x14ac:dyDescent="0.3">
      <c r="CVG2613" s="2576"/>
    </row>
    <row r="2614" spans="2603:2618" x14ac:dyDescent="0.3">
      <c r="CVH2614" s="2577"/>
    </row>
    <row r="2615" spans="2603:2618" x14ac:dyDescent="0.3">
      <c r="CVI2615" s="2578"/>
    </row>
    <row r="2616" spans="2603:2618" x14ac:dyDescent="0.3">
      <c r="CVJ2616" s="2579"/>
    </row>
    <row r="2617" spans="2603:2618" x14ac:dyDescent="0.3">
      <c r="CVK2617" s="2580"/>
    </row>
    <row r="2618" spans="2603:2618" x14ac:dyDescent="0.3">
      <c r="CVL2618" s="2581"/>
    </row>
    <row r="2619" spans="2603:2618" x14ac:dyDescent="0.3">
      <c r="CVM2619" s="2582"/>
    </row>
    <row r="2620" spans="2603:2618" x14ac:dyDescent="0.3">
      <c r="CVN2620" s="2583"/>
    </row>
    <row r="2621" spans="2603:2618" x14ac:dyDescent="0.3">
      <c r="CVO2621" s="2584"/>
    </row>
    <row r="2622" spans="2603:2618" x14ac:dyDescent="0.3">
      <c r="CVP2622" s="2585"/>
    </row>
    <row r="2623" spans="2603:2618" x14ac:dyDescent="0.3">
      <c r="CVQ2623" s="2586"/>
    </row>
    <row r="2624" spans="2603:2618" x14ac:dyDescent="0.3">
      <c r="CVR2624" s="2587"/>
    </row>
    <row r="2625" spans="2619:2634" x14ac:dyDescent="0.3">
      <c r="CVS2625" s="2588"/>
    </row>
    <row r="2626" spans="2619:2634" x14ac:dyDescent="0.3">
      <c r="CVT2626" s="2589"/>
    </row>
    <row r="2627" spans="2619:2634" x14ac:dyDescent="0.3">
      <c r="CVU2627" s="2590"/>
    </row>
    <row r="2628" spans="2619:2634" x14ac:dyDescent="0.3">
      <c r="CVV2628" s="2591"/>
    </row>
    <row r="2629" spans="2619:2634" x14ac:dyDescent="0.3">
      <c r="CVW2629" s="2592"/>
    </row>
    <row r="2630" spans="2619:2634" x14ac:dyDescent="0.3">
      <c r="CVX2630" s="2593"/>
    </row>
    <row r="2631" spans="2619:2634" x14ac:dyDescent="0.3">
      <c r="CVY2631" s="2594"/>
    </row>
    <row r="2632" spans="2619:2634" x14ac:dyDescent="0.3">
      <c r="CVZ2632" s="2595"/>
    </row>
    <row r="2633" spans="2619:2634" x14ac:dyDescent="0.3">
      <c r="CWA2633" s="2596"/>
    </row>
    <row r="2634" spans="2619:2634" x14ac:dyDescent="0.3">
      <c r="CWB2634" s="2597"/>
    </row>
    <row r="2635" spans="2619:2634" x14ac:dyDescent="0.3">
      <c r="CWC2635" s="2598"/>
    </row>
    <row r="2636" spans="2619:2634" x14ac:dyDescent="0.3">
      <c r="CWD2636" s="2599"/>
    </row>
    <row r="2637" spans="2619:2634" x14ac:dyDescent="0.3">
      <c r="CWE2637" s="2600"/>
    </row>
    <row r="2638" spans="2619:2634" x14ac:dyDescent="0.3">
      <c r="CWF2638" s="2601"/>
    </row>
    <row r="2639" spans="2619:2634" x14ac:dyDescent="0.3">
      <c r="CWG2639" s="2602"/>
    </row>
    <row r="2640" spans="2619:2634" x14ac:dyDescent="0.3">
      <c r="CWH2640" s="2603"/>
    </row>
    <row r="2641" spans="2635:2650" x14ac:dyDescent="0.3">
      <c r="CWI2641" s="2604"/>
    </row>
    <row r="2642" spans="2635:2650" x14ac:dyDescent="0.3">
      <c r="CWJ2642" s="2605"/>
    </row>
    <row r="2643" spans="2635:2650" x14ac:dyDescent="0.3">
      <c r="CWK2643" s="2606"/>
    </row>
    <row r="2644" spans="2635:2650" x14ac:dyDescent="0.3">
      <c r="CWL2644" s="2607"/>
    </row>
    <row r="2645" spans="2635:2650" x14ac:dyDescent="0.3">
      <c r="CWM2645" s="2608"/>
    </row>
    <row r="2646" spans="2635:2650" x14ac:dyDescent="0.3">
      <c r="CWN2646" s="2609"/>
    </row>
    <row r="2647" spans="2635:2650" x14ac:dyDescent="0.3">
      <c r="CWO2647" s="2610"/>
    </row>
    <row r="2648" spans="2635:2650" x14ac:dyDescent="0.3">
      <c r="CWP2648" s="2611"/>
    </row>
    <row r="2649" spans="2635:2650" x14ac:dyDescent="0.3">
      <c r="CWQ2649" s="2612"/>
    </row>
    <row r="2650" spans="2635:2650" x14ac:dyDescent="0.3">
      <c r="CWR2650" s="2613"/>
    </row>
    <row r="2651" spans="2635:2650" x14ac:dyDescent="0.3">
      <c r="CWS2651" s="2614"/>
    </row>
    <row r="2652" spans="2635:2650" x14ac:dyDescent="0.3">
      <c r="CWT2652" s="2615"/>
    </row>
    <row r="2653" spans="2635:2650" x14ac:dyDescent="0.3">
      <c r="CWU2653" s="2616"/>
    </row>
    <row r="2654" spans="2635:2650" x14ac:dyDescent="0.3">
      <c r="CWV2654" s="2617"/>
    </row>
    <row r="2655" spans="2635:2650" x14ac:dyDescent="0.3">
      <c r="CWW2655" s="2618"/>
    </row>
    <row r="2656" spans="2635:2650" x14ac:dyDescent="0.3">
      <c r="CWX2656" s="2619"/>
    </row>
    <row r="2657" spans="2651:2666" x14ac:dyDescent="0.3">
      <c r="CWY2657" s="2620"/>
    </row>
    <row r="2658" spans="2651:2666" x14ac:dyDescent="0.3">
      <c r="CWZ2658" s="2621"/>
    </row>
    <row r="2659" spans="2651:2666" x14ac:dyDescent="0.3">
      <c r="CXA2659" s="2622"/>
    </row>
    <row r="2660" spans="2651:2666" x14ac:dyDescent="0.3">
      <c r="CXB2660" s="2623"/>
    </row>
    <row r="2661" spans="2651:2666" x14ac:dyDescent="0.3">
      <c r="CXC2661" s="2624"/>
    </row>
    <row r="2662" spans="2651:2666" x14ac:dyDescent="0.3">
      <c r="CXD2662" s="2625"/>
    </row>
    <row r="2663" spans="2651:2666" x14ac:dyDescent="0.3">
      <c r="CXE2663" s="2626"/>
    </row>
    <row r="2664" spans="2651:2666" x14ac:dyDescent="0.3">
      <c r="CXF2664" s="2627"/>
    </row>
    <row r="2665" spans="2651:2666" x14ac:dyDescent="0.3">
      <c r="CXG2665" s="2628"/>
    </row>
    <row r="2666" spans="2651:2666" x14ac:dyDescent="0.3">
      <c r="CXH2666" s="2629"/>
    </row>
    <row r="2667" spans="2651:2666" x14ac:dyDescent="0.3">
      <c r="CXI2667" s="2630"/>
    </row>
    <row r="2668" spans="2651:2666" x14ac:dyDescent="0.3">
      <c r="CXJ2668" s="2631"/>
    </row>
    <row r="2669" spans="2651:2666" x14ac:dyDescent="0.3">
      <c r="CXK2669" s="2632"/>
    </row>
    <row r="2670" spans="2651:2666" x14ac:dyDescent="0.3">
      <c r="CXL2670" s="2633"/>
    </row>
    <row r="2671" spans="2651:2666" x14ac:dyDescent="0.3">
      <c r="CXM2671" s="2634"/>
    </row>
    <row r="2672" spans="2651:2666" x14ac:dyDescent="0.3">
      <c r="CXN2672" s="2635"/>
    </row>
    <row r="2673" spans="2667:2682" x14ac:dyDescent="0.3">
      <c r="CXO2673" s="2636"/>
    </row>
    <row r="2674" spans="2667:2682" x14ac:dyDescent="0.3">
      <c r="CXP2674" s="2637"/>
    </row>
    <row r="2675" spans="2667:2682" x14ac:dyDescent="0.3">
      <c r="CXQ2675" s="2638"/>
    </row>
    <row r="2676" spans="2667:2682" x14ac:dyDescent="0.3">
      <c r="CXR2676" s="2639"/>
    </row>
    <row r="2677" spans="2667:2682" x14ac:dyDescent="0.3">
      <c r="CXS2677" s="2640"/>
    </row>
    <row r="2678" spans="2667:2682" x14ac:dyDescent="0.3">
      <c r="CXT2678" s="2641"/>
    </row>
    <row r="2679" spans="2667:2682" x14ac:dyDescent="0.3">
      <c r="CXU2679" s="2642"/>
    </row>
    <row r="2680" spans="2667:2682" x14ac:dyDescent="0.3">
      <c r="CXV2680" s="2643"/>
    </row>
    <row r="2681" spans="2667:2682" x14ac:dyDescent="0.3">
      <c r="CXW2681" s="2644"/>
    </row>
    <row r="2682" spans="2667:2682" x14ac:dyDescent="0.3">
      <c r="CXX2682" s="2645"/>
    </row>
    <row r="2683" spans="2667:2682" x14ac:dyDescent="0.3">
      <c r="CXY2683" s="2646"/>
    </row>
    <row r="2684" spans="2667:2682" x14ac:dyDescent="0.3">
      <c r="CXZ2684" s="2647"/>
    </row>
    <row r="2685" spans="2667:2682" x14ac:dyDescent="0.3">
      <c r="CYA2685" s="2648"/>
    </row>
    <row r="2686" spans="2667:2682" x14ac:dyDescent="0.3">
      <c r="CYB2686" s="2649"/>
    </row>
    <row r="2687" spans="2667:2682" x14ac:dyDescent="0.3">
      <c r="CYC2687" s="2650"/>
    </row>
    <row r="2688" spans="2667:2682" x14ac:dyDescent="0.3">
      <c r="CYD2688" s="2651"/>
    </row>
    <row r="2689" spans="2683:2698" x14ac:dyDescent="0.3">
      <c r="CYE2689" s="2652"/>
    </row>
    <row r="2690" spans="2683:2698" x14ac:dyDescent="0.3">
      <c r="CYF2690" s="2653"/>
    </row>
    <row r="2691" spans="2683:2698" x14ac:dyDescent="0.3">
      <c r="CYG2691" s="2654"/>
    </row>
    <row r="2692" spans="2683:2698" x14ac:dyDescent="0.3">
      <c r="CYH2692" s="2655"/>
    </row>
    <row r="2693" spans="2683:2698" x14ac:dyDescent="0.3">
      <c r="CYI2693" s="2656"/>
    </row>
    <row r="2694" spans="2683:2698" x14ac:dyDescent="0.3">
      <c r="CYJ2694" s="2657"/>
    </row>
    <row r="2695" spans="2683:2698" x14ac:dyDescent="0.3">
      <c r="CYK2695" s="2658"/>
    </row>
    <row r="2696" spans="2683:2698" x14ac:dyDescent="0.3">
      <c r="CYL2696" s="2659"/>
    </row>
    <row r="2697" spans="2683:2698" x14ac:dyDescent="0.3">
      <c r="CYM2697" s="2660"/>
    </row>
    <row r="2698" spans="2683:2698" x14ac:dyDescent="0.3">
      <c r="CYN2698" s="2661"/>
    </row>
    <row r="2699" spans="2683:2698" x14ac:dyDescent="0.3">
      <c r="CYO2699" s="2662"/>
    </row>
    <row r="2700" spans="2683:2698" x14ac:dyDescent="0.3">
      <c r="CYP2700" s="2663"/>
    </row>
    <row r="2701" spans="2683:2698" x14ac:dyDescent="0.3">
      <c r="CYQ2701" s="2664"/>
    </row>
    <row r="2702" spans="2683:2698" x14ac:dyDescent="0.3">
      <c r="CYR2702" s="2665"/>
    </row>
    <row r="2703" spans="2683:2698" x14ac:dyDescent="0.3">
      <c r="CYS2703" s="2666"/>
    </row>
    <row r="2704" spans="2683:2698" x14ac:dyDescent="0.3">
      <c r="CYT2704" s="2667"/>
    </row>
    <row r="2705" spans="2699:2714" x14ac:dyDescent="0.3">
      <c r="CYU2705" s="2668"/>
    </row>
    <row r="2706" spans="2699:2714" x14ac:dyDescent="0.3">
      <c r="CYV2706" s="2669"/>
    </row>
    <row r="2707" spans="2699:2714" x14ac:dyDescent="0.3">
      <c r="CYW2707" s="2670"/>
    </row>
    <row r="2708" spans="2699:2714" x14ac:dyDescent="0.3">
      <c r="CYX2708" s="2671"/>
    </row>
    <row r="2709" spans="2699:2714" x14ac:dyDescent="0.3">
      <c r="CYY2709" s="2672"/>
    </row>
    <row r="2710" spans="2699:2714" x14ac:dyDescent="0.3">
      <c r="CYZ2710" s="2673"/>
    </row>
    <row r="2711" spans="2699:2714" x14ac:dyDescent="0.3">
      <c r="CZA2711" s="2674"/>
    </row>
    <row r="2712" spans="2699:2714" x14ac:dyDescent="0.3">
      <c r="CZB2712" s="2675"/>
    </row>
    <row r="2713" spans="2699:2714" x14ac:dyDescent="0.3">
      <c r="CZC2713" s="2676"/>
    </row>
    <row r="2714" spans="2699:2714" x14ac:dyDescent="0.3">
      <c r="CZD2714" s="2677"/>
    </row>
    <row r="2715" spans="2699:2714" x14ac:dyDescent="0.3">
      <c r="CZE2715" s="2678"/>
    </row>
    <row r="2716" spans="2699:2714" x14ac:dyDescent="0.3">
      <c r="CZF2716" s="2679"/>
    </row>
    <row r="2717" spans="2699:2714" x14ac:dyDescent="0.3">
      <c r="CZG2717" s="2680"/>
    </row>
    <row r="2718" spans="2699:2714" x14ac:dyDescent="0.3">
      <c r="CZH2718" s="2681"/>
    </row>
    <row r="2719" spans="2699:2714" x14ac:dyDescent="0.3">
      <c r="CZI2719" s="2682"/>
    </row>
    <row r="2720" spans="2699:2714" x14ac:dyDescent="0.3">
      <c r="CZJ2720" s="2683"/>
    </row>
    <row r="2721" spans="2715:2730" x14ac:dyDescent="0.3">
      <c r="CZK2721" s="2684"/>
    </row>
    <row r="2722" spans="2715:2730" x14ac:dyDescent="0.3">
      <c r="CZL2722" s="2685"/>
    </row>
    <row r="2723" spans="2715:2730" x14ac:dyDescent="0.3">
      <c r="CZM2723" s="2686"/>
    </row>
    <row r="2724" spans="2715:2730" x14ac:dyDescent="0.3">
      <c r="CZN2724" s="2687"/>
    </row>
    <row r="2725" spans="2715:2730" x14ac:dyDescent="0.3">
      <c r="CZO2725" s="2688"/>
    </row>
    <row r="2726" spans="2715:2730" x14ac:dyDescent="0.3">
      <c r="CZP2726" s="2689"/>
    </row>
    <row r="2727" spans="2715:2730" x14ac:dyDescent="0.3">
      <c r="CZQ2727" s="2690"/>
    </row>
    <row r="2728" spans="2715:2730" x14ac:dyDescent="0.3">
      <c r="CZR2728" s="2691"/>
    </row>
    <row r="2729" spans="2715:2730" x14ac:dyDescent="0.3">
      <c r="CZS2729" s="2692"/>
    </row>
    <row r="2730" spans="2715:2730" x14ac:dyDescent="0.3">
      <c r="CZT2730" s="2693"/>
    </row>
    <row r="2731" spans="2715:2730" x14ac:dyDescent="0.3">
      <c r="CZU2731" s="2694"/>
    </row>
    <row r="2732" spans="2715:2730" x14ac:dyDescent="0.3">
      <c r="CZV2732" s="2695"/>
    </row>
    <row r="2733" spans="2715:2730" x14ac:dyDescent="0.3">
      <c r="CZW2733" s="2696"/>
    </row>
    <row r="2734" spans="2715:2730" x14ac:dyDescent="0.3">
      <c r="CZX2734" s="2697"/>
    </row>
    <row r="2735" spans="2715:2730" x14ac:dyDescent="0.3">
      <c r="CZY2735" s="2698"/>
    </row>
    <row r="2736" spans="2715:2730" x14ac:dyDescent="0.3">
      <c r="CZZ2736" s="2699"/>
    </row>
    <row r="2737" spans="2731:2746" x14ac:dyDescent="0.3">
      <c r="DAA2737" s="2700"/>
    </row>
    <row r="2738" spans="2731:2746" x14ac:dyDescent="0.3">
      <c r="DAB2738" s="2701"/>
    </row>
    <row r="2739" spans="2731:2746" x14ac:dyDescent="0.3">
      <c r="DAC2739" s="2702"/>
    </row>
    <row r="2740" spans="2731:2746" x14ac:dyDescent="0.3">
      <c r="DAD2740" s="2703"/>
    </row>
    <row r="2741" spans="2731:2746" x14ac:dyDescent="0.3">
      <c r="DAE2741" s="2704"/>
    </row>
    <row r="2742" spans="2731:2746" x14ac:dyDescent="0.3">
      <c r="DAF2742" s="2705"/>
    </row>
    <row r="2743" spans="2731:2746" x14ac:dyDescent="0.3">
      <c r="DAG2743" s="2706"/>
    </row>
    <row r="2744" spans="2731:2746" x14ac:dyDescent="0.3">
      <c r="DAH2744" s="2707"/>
    </row>
    <row r="2745" spans="2731:2746" x14ac:dyDescent="0.3">
      <c r="DAI2745" s="2708"/>
    </row>
    <row r="2746" spans="2731:2746" x14ac:dyDescent="0.3">
      <c r="DAJ2746" s="2709"/>
    </row>
    <row r="2747" spans="2731:2746" x14ac:dyDescent="0.3">
      <c r="DAK2747" s="2710"/>
    </row>
    <row r="2748" spans="2731:2746" x14ac:dyDescent="0.3">
      <c r="DAL2748" s="2711"/>
    </row>
    <row r="2749" spans="2731:2746" x14ac:dyDescent="0.3">
      <c r="DAM2749" s="2712"/>
    </row>
    <row r="2750" spans="2731:2746" x14ac:dyDescent="0.3">
      <c r="DAN2750" s="2713"/>
    </row>
    <row r="2751" spans="2731:2746" x14ac:dyDescent="0.3">
      <c r="DAO2751" s="2714"/>
    </row>
    <row r="2752" spans="2731:2746" x14ac:dyDescent="0.3">
      <c r="DAP2752" s="2715"/>
    </row>
    <row r="2753" spans="2747:2762" x14ac:dyDescent="0.3">
      <c r="DAQ2753" s="2716"/>
    </row>
    <row r="2754" spans="2747:2762" x14ac:dyDescent="0.3">
      <c r="DAR2754" s="2717"/>
    </row>
    <row r="2755" spans="2747:2762" x14ac:dyDescent="0.3">
      <c r="DAS2755" s="2718"/>
    </row>
    <row r="2756" spans="2747:2762" x14ac:dyDescent="0.3">
      <c r="DAT2756" s="2719"/>
    </row>
    <row r="2757" spans="2747:2762" x14ac:dyDescent="0.3">
      <c r="DAU2757" s="2720"/>
    </row>
    <row r="2758" spans="2747:2762" x14ac:dyDescent="0.3">
      <c r="DAV2758" s="2721"/>
    </row>
    <row r="2759" spans="2747:2762" x14ac:dyDescent="0.3">
      <c r="DAW2759" s="2722"/>
    </row>
    <row r="2760" spans="2747:2762" x14ac:dyDescent="0.3">
      <c r="DAX2760" s="2723"/>
    </row>
    <row r="2761" spans="2747:2762" x14ac:dyDescent="0.3">
      <c r="DAY2761" s="2724"/>
    </row>
    <row r="2762" spans="2747:2762" x14ac:dyDescent="0.3">
      <c r="DAZ2762" s="2725"/>
    </row>
    <row r="2763" spans="2747:2762" x14ac:dyDescent="0.3">
      <c r="DBA2763" s="2726"/>
    </row>
    <row r="2764" spans="2747:2762" x14ac:dyDescent="0.3">
      <c r="DBB2764" s="2727"/>
    </row>
    <row r="2765" spans="2747:2762" x14ac:dyDescent="0.3">
      <c r="DBC2765" s="2728"/>
    </row>
    <row r="2766" spans="2747:2762" x14ac:dyDescent="0.3">
      <c r="DBD2766" s="2729"/>
    </row>
    <row r="2767" spans="2747:2762" x14ac:dyDescent="0.3">
      <c r="DBE2767" s="2730"/>
    </row>
    <row r="2768" spans="2747:2762" x14ac:dyDescent="0.3">
      <c r="DBF2768" s="2731"/>
    </row>
    <row r="2769" spans="2763:2778" x14ac:dyDescent="0.3">
      <c r="DBG2769" s="2732"/>
    </row>
    <row r="2770" spans="2763:2778" x14ac:dyDescent="0.3">
      <c r="DBH2770" s="2733"/>
    </row>
    <row r="2771" spans="2763:2778" x14ac:dyDescent="0.3">
      <c r="DBI2771" s="2734"/>
    </row>
    <row r="2772" spans="2763:2778" x14ac:dyDescent="0.3">
      <c r="DBJ2772" s="2735"/>
    </row>
    <row r="2773" spans="2763:2778" x14ac:dyDescent="0.3">
      <c r="DBK2773" s="2736"/>
    </row>
    <row r="2774" spans="2763:2778" x14ac:dyDescent="0.3">
      <c r="DBL2774" s="2737"/>
    </row>
    <row r="2775" spans="2763:2778" x14ac:dyDescent="0.3">
      <c r="DBM2775" s="2738"/>
    </row>
    <row r="2776" spans="2763:2778" x14ac:dyDescent="0.3">
      <c r="DBN2776" s="2739"/>
    </row>
    <row r="2777" spans="2763:2778" x14ac:dyDescent="0.3">
      <c r="DBO2777" s="2740"/>
    </row>
    <row r="2778" spans="2763:2778" x14ac:dyDescent="0.3">
      <c r="DBP2778" s="2741"/>
    </row>
    <row r="2779" spans="2763:2778" x14ac:dyDescent="0.3">
      <c r="DBQ2779" s="2742"/>
    </row>
    <row r="2780" spans="2763:2778" x14ac:dyDescent="0.3">
      <c r="DBR2780" s="2743"/>
    </row>
    <row r="2781" spans="2763:2778" x14ac:dyDescent="0.3">
      <c r="DBS2781" s="2744"/>
    </row>
    <row r="2782" spans="2763:2778" x14ac:dyDescent="0.3">
      <c r="DBT2782" s="2745"/>
    </row>
    <row r="2783" spans="2763:2778" x14ac:dyDescent="0.3">
      <c r="DBU2783" s="2746"/>
    </row>
    <row r="2784" spans="2763:2778" x14ac:dyDescent="0.3">
      <c r="DBV2784" s="2747"/>
    </row>
    <row r="2785" spans="2779:2794" x14ac:dyDescent="0.3">
      <c r="DBW2785" s="2748"/>
    </row>
    <row r="2786" spans="2779:2794" x14ac:dyDescent="0.3">
      <c r="DBX2786" s="2749"/>
    </row>
    <row r="2787" spans="2779:2794" x14ac:dyDescent="0.3">
      <c r="DBY2787" s="2750"/>
    </row>
    <row r="2788" spans="2779:2794" x14ac:dyDescent="0.3">
      <c r="DBZ2788" s="2751"/>
    </row>
    <row r="2789" spans="2779:2794" x14ac:dyDescent="0.3">
      <c r="DCA2789" s="2752"/>
    </row>
    <row r="2790" spans="2779:2794" x14ac:dyDescent="0.3">
      <c r="DCB2790" s="2753"/>
    </row>
    <row r="2791" spans="2779:2794" x14ac:dyDescent="0.3">
      <c r="DCC2791" s="2754"/>
    </row>
    <row r="2792" spans="2779:2794" x14ac:dyDescent="0.3">
      <c r="DCD2792" s="2755"/>
    </row>
    <row r="2793" spans="2779:2794" x14ac:dyDescent="0.3">
      <c r="DCE2793" s="2756"/>
    </row>
    <row r="2794" spans="2779:2794" x14ac:dyDescent="0.3">
      <c r="DCF2794" s="2757"/>
    </row>
    <row r="2795" spans="2779:2794" x14ac:dyDescent="0.3">
      <c r="DCG2795" s="2758"/>
    </row>
    <row r="2796" spans="2779:2794" x14ac:dyDescent="0.3">
      <c r="DCH2796" s="2759"/>
    </row>
    <row r="2797" spans="2779:2794" x14ac:dyDescent="0.3">
      <c r="DCI2797" s="2760"/>
    </row>
    <row r="2798" spans="2779:2794" x14ac:dyDescent="0.3">
      <c r="DCJ2798" s="2761"/>
    </row>
    <row r="2799" spans="2779:2794" x14ac:dyDescent="0.3">
      <c r="DCK2799" s="2762"/>
    </row>
    <row r="2800" spans="2779:2794" x14ac:dyDescent="0.3">
      <c r="DCL2800" s="2763"/>
    </row>
    <row r="2801" spans="2795:2810" x14ac:dyDescent="0.3">
      <c r="DCM2801" s="2764"/>
    </row>
    <row r="2802" spans="2795:2810" x14ac:dyDescent="0.3">
      <c r="DCN2802" s="2765"/>
    </row>
    <row r="2803" spans="2795:2810" x14ac:dyDescent="0.3">
      <c r="DCO2803" s="2766"/>
    </row>
    <row r="2804" spans="2795:2810" x14ac:dyDescent="0.3">
      <c r="DCP2804" s="2767"/>
    </row>
    <row r="2805" spans="2795:2810" x14ac:dyDescent="0.3">
      <c r="DCQ2805" s="2768"/>
    </row>
    <row r="2806" spans="2795:2810" x14ac:dyDescent="0.3">
      <c r="DCR2806" s="2769"/>
    </row>
    <row r="2807" spans="2795:2810" x14ac:dyDescent="0.3">
      <c r="DCS2807" s="2770"/>
    </row>
    <row r="2808" spans="2795:2810" x14ac:dyDescent="0.3">
      <c r="DCT2808" s="2771"/>
    </row>
    <row r="2809" spans="2795:2810" x14ac:dyDescent="0.3">
      <c r="DCU2809" s="2772"/>
    </row>
    <row r="2810" spans="2795:2810" x14ac:dyDescent="0.3">
      <c r="DCV2810" s="2773"/>
    </row>
    <row r="2811" spans="2795:2810" x14ac:dyDescent="0.3">
      <c r="DCW2811" s="2774"/>
    </row>
    <row r="2812" spans="2795:2810" x14ac:dyDescent="0.3">
      <c r="DCX2812" s="2775"/>
    </row>
    <row r="2813" spans="2795:2810" x14ac:dyDescent="0.3">
      <c r="DCY2813" s="2776"/>
    </row>
    <row r="2814" spans="2795:2810" x14ac:dyDescent="0.3">
      <c r="DCZ2814" s="2777"/>
    </row>
    <row r="2815" spans="2795:2810" x14ac:dyDescent="0.3">
      <c r="DDA2815" s="2778"/>
    </row>
    <row r="2816" spans="2795:2810" x14ac:dyDescent="0.3">
      <c r="DDB2816" s="2779"/>
    </row>
    <row r="2817" spans="2811:2826" x14ac:dyDescent="0.3">
      <c r="DDC2817" s="2780"/>
    </row>
    <row r="2818" spans="2811:2826" x14ac:dyDescent="0.3">
      <c r="DDD2818" s="2781"/>
    </row>
    <row r="2819" spans="2811:2826" x14ac:dyDescent="0.3">
      <c r="DDE2819" s="2782"/>
    </row>
    <row r="2820" spans="2811:2826" x14ac:dyDescent="0.3">
      <c r="DDF2820" s="2783"/>
    </row>
    <row r="2821" spans="2811:2826" x14ac:dyDescent="0.3">
      <c r="DDG2821" s="2784"/>
    </row>
    <row r="2822" spans="2811:2826" x14ac:dyDescent="0.3">
      <c r="DDH2822" s="2785"/>
    </row>
    <row r="2823" spans="2811:2826" x14ac:dyDescent="0.3">
      <c r="DDI2823" s="2786"/>
    </row>
    <row r="2824" spans="2811:2826" x14ac:dyDescent="0.3">
      <c r="DDJ2824" s="2787"/>
    </row>
    <row r="2825" spans="2811:2826" x14ac:dyDescent="0.3">
      <c r="DDK2825" s="2788"/>
    </row>
    <row r="2826" spans="2811:2826" x14ac:dyDescent="0.3">
      <c r="DDL2826" s="2789"/>
    </row>
    <row r="2827" spans="2811:2826" x14ac:dyDescent="0.3">
      <c r="DDM2827" s="2790"/>
    </row>
    <row r="2828" spans="2811:2826" x14ac:dyDescent="0.3">
      <c r="DDN2828" s="2791"/>
    </row>
    <row r="2829" spans="2811:2826" x14ac:dyDescent="0.3">
      <c r="DDO2829" s="2792"/>
    </row>
    <row r="2830" spans="2811:2826" x14ac:dyDescent="0.3">
      <c r="DDP2830" s="2793"/>
    </row>
    <row r="2831" spans="2811:2826" x14ac:dyDescent="0.3">
      <c r="DDQ2831" s="2794"/>
    </row>
    <row r="2832" spans="2811:2826" x14ac:dyDescent="0.3">
      <c r="DDR2832" s="2795"/>
    </row>
    <row r="2833" spans="2827:2842" x14ac:dyDescent="0.3">
      <c r="DDS2833" s="2795"/>
    </row>
    <row r="2834" spans="2827:2842" x14ac:dyDescent="0.3">
      <c r="DDT2834" s="2796"/>
    </row>
    <row r="2835" spans="2827:2842" x14ac:dyDescent="0.3">
      <c r="DDU2835" s="2797"/>
    </row>
    <row r="2836" spans="2827:2842" x14ac:dyDescent="0.3">
      <c r="DDV2836" s="2798"/>
    </row>
    <row r="2837" spans="2827:2842" x14ac:dyDescent="0.3">
      <c r="DDW2837" s="2799"/>
    </row>
    <row r="2838" spans="2827:2842" x14ac:dyDescent="0.3">
      <c r="DDX2838" s="2800"/>
    </row>
    <row r="2839" spans="2827:2842" x14ac:dyDescent="0.3">
      <c r="DDY2839" s="2801"/>
    </row>
    <row r="2840" spans="2827:2842" x14ac:dyDescent="0.3">
      <c r="DDZ2840" s="2802"/>
    </row>
    <row r="2841" spans="2827:2842" x14ac:dyDescent="0.3">
      <c r="DEA2841" s="2803"/>
    </row>
    <row r="2842" spans="2827:2842" x14ac:dyDescent="0.3">
      <c r="DEB2842" s="2804"/>
    </row>
    <row r="2843" spans="2827:2842" x14ac:dyDescent="0.3">
      <c r="DEC2843" s="2805"/>
    </row>
    <row r="2844" spans="2827:2842" x14ac:dyDescent="0.3">
      <c r="DED2844" s="2806"/>
    </row>
    <row r="2845" spans="2827:2842" x14ac:dyDescent="0.3">
      <c r="DEE2845" s="2807"/>
    </row>
    <row r="2846" spans="2827:2842" x14ac:dyDescent="0.3">
      <c r="DEF2846" s="2808"/>
    </row>
    <row r="2847" spans="2827:2842" x14ac:dyDescent="0.3">
      <c r="DEG2847" s="2809"/>
    </row>
    <row r="2848" spans="2827:2842" x14ac:dyDescent="0.3">
      <c r="DEH2848" s="2810"/>
    </row>
    <row r="2849" spans="2843:2858" x14ac:dyDescent="0.3">
      <c r="DEI2849" s="2811"/>
    </row>
    <row r="2850" spans="2843:2858" x14ac:dyDescent="0.3">
      <c r="DEJ2850" s="2812"/>
    </row>
    <row r="2851" spans="2843:2858" x14ac:dyDescent="0.3">
      <c r="DEK2851" s="2813"/>
    </row>
    <row r="2852" spans="2843:2858" x14ac:dyDescent="0.3">
      <c r="DEL2852" s="2814"/>
    </row>
    <row r="2853" spans="2843:2858" x14ac:dyDescent="0.3">
      <c r="DEM2853" s="2815"/>
    </row>
    <row r="2854" spans="2843:2858" x14ac:dyDescent="0.3">
      <c r="DEN2854" s="2816"/>
    </row>
    <row r="2855" spans="2843:2858" x14ac:dyDescent="0.3">
      <c r="DEO2855" s="2817"/>
    </row>
    <row r="2856" spans="2843:2858" x14ac:dyDescent="0.3">
      <c r="DEP2856" s="2818"/>
    </row>
    <row r="2857" spans="2843:2858" x14ac:dyDescent="0.3">
      <c r="DEQ2857" s="2819"/>
    </row>
    <row r="2858" spans="2843:2858" x14ac:dyDescent="0.3">
      <c r="DER2858" s="2820"/>
    </row>
    <row r="2859" spans="2843:2858" x14ac:dyDescent="0.3">
      <c r="DES2859" s="2821"/>
    </row>
    <row r="2860" spans="2843:2858" x14ac:dyDescent="0.3">
      <c r="DET2860" s="2822"/>
    </row>
    <row r="2861" spans="2843:2858" x14ac:dyDescent="0.3">
      <c r="DEU2861" s="2823"/>
    </row>
    <row r="2862" spans="2843:2858" x14ac:dyDescent="0.3">
      <c r="DEV2862" s="2824"/>
    </row>
    <row r="2863" spans="2843:2858" x14ac:dyDescent="0.3">
      <c r="DEW2863" s="2825"/>
    </row>
    <row r="2864" spans="2843:2858" x14ac:dyDescent="0.3">
      <c r="DEX2864" s="2826"/>
    </row>
    <row r="2865" spans="2859:2874" x14ac:dyDescent="0.3">
      <c r="DEY2865" s="2827"/>
    </row>
    <row r="2866" spans="2859:2874" x14ac:dyDescent="0.3">
      <c r="DEZ2866" s="2828"/>
    </row>
    <row r="2867" spans="2859:2874" x14ac:dyDescent="0.3">
      <c r="DFA2867" s="2829"/>
    </row>
    <row r="2868" spans="2859:2874" x14ac:dyDescent="0.3">
      <c r="DFB2868" s="2830"/>
    </row>
    <row r="2869" spans="2859:2874" x14ac:dyDescent="0.3">
      <c r="DFC2869" s="2831"/>
    </row>
    <row r="2870" spans="2859:2874" x14ac:dyDescent="0.3">
      <c r="DFD2870" s="2832"/>
    </row>
    <row r="2871" spans="2859:2874" x14ac:dyDescent="0.3">
      <c r="DFE2871" s="2833"/>
    </row>
    <row r="2872" spans="2859:2874" x14ac:dyDescent="0.3">
      <c r="DFF2872" s="2834"/>
    </row>
    <row r="2873" spans="2859:2874" x14ac:dyDescent="0.3">
      <c r="DFG2873" s="2835"/>
    </row>
    <row r="2874" spans="2859:2874" x14ac:dyDescent="0.3">
      <c r="DFH2874" s="2836"/>
    </row>
    <row r="2875" spans="2859:2874" x14ac:dyDescent="0.3">
      <c r="DFI2875" s="2837"/>
    </row>
    <row r="2876" spans="2859:2874" x14ac:dyDescent="0.3">
      <c r="DFJ2876" s="2838"/>
    </row>
    <row r="2877" spans="2859:2874" x14ac:dyDescent="0.3">
      <c r="DFK2877" s="2839"/>
    </row>
    <row r="2878" spans="2859:2874" x14ac:dyDescent="0.3">
      <c r="DFL2878" s="2840"/>
    </row>
    <row r="2879" spans="2859:2874" x14ac:dyDescent="0.3">
      <c r="DFM2879" s="2841"/>
    </row>
    <row r="2880" spans="2859:2874" x14ac:dyDescent="0.3">
      <c r="DFN2880" s="2842"/>
    </row>
    <row r="2881" spans="2875:2890" x14ac:dyDescent="0.3">
      <c r="DFO2881" s="2843"/>
    </row>
    <row r="2882" spans="2875:2890" x14ac:dyDescent="0.3">
      <c r="DFP2882" s="2844"/>
    </row>
    <row r="2883" spans="2875:2890" x14ac:dyDescent="0.3">
      <c r="DFQ2883" s="2845"/>
    </row>
    <row r="2884" spans="2875:2890" x14ac:dyDescent="0.3">
      <c r="DFR2884" s="2846"/>
    </row>
    <row r="2885" spans="2875:2890" x14ac:dyDescent="0.3">
      <c r="DFS2885" s="2847"/>
    </row>
    <row r="2886" spans="2875:2890" x14ac:dyDescent="0.3">
      <c r="DFT2886" s="2848"/>
    </row>
    <row r="2887" spans="2875:2890" x14ac:dyDescent="0.3">
      <c r="DFU2887" s="2849"/>
    </row>
    <row r="2888" spans="2875:2890" x14ac:dyDescent="0.3">
      <c r="DFV2888" s="2850"/>
    </row>
    <row r="2889" spans="2875:2890" x14ac:dyDescent="0.3">
      <c r="DFW2889" s="2851"/>
    </row>
    <row r="2890" spans="2875:2890" x14ac:dyDescent="0.3">
      <c r="DFX2890" s="2852"/>
    </row>
    <row r="2891" spans="2875:2890" x14ac:dyDescent="0.3">
      <c r="DFY2891" s="2853"/>
    </row>
    <row r="2892" spans="2875:2890" x14ac:dyDescent="0.3">
      <c r="DFZ2892" s="2854"/>
    </row>
    <row r="2893" spans="2875:2890" x14ac:dyDescent="0.3">
      <c r="DGA2893" s="2855"/>
    </row>
    <row r="2894" spans="2875:2890" x14ac:dyDescent="0.3">
      <c r="DGB2894" s="2856"/>
    </row>
    <row r="2895" spans="2875:2890" x14ac:dyDescent="0.3">
      <c r="DGC2895" s="2857"/>
    </row>
    <row r="2896" spans="2875:2890" x14ac:dyDescent="0.3">
      <c r="DGD2896" s="2858"/>
    </row>
    <row r="2897" spans="2891:2906" x14ac:dyDescent="0.3">
      <c r="DGE2897" s="2859"/>
    </row>
    <row r="2898" spans="2891:2906" x14ac:dyDescent="0.3">
      <c r="DGF2898" s="2860"/>
    </row>
    <row r="2899" spans="2891:2906" x14ac:dyDescent="0.3">
      <c r="DGG2899" s="2861"/>
    </row>
    <row r="2900" spans="2891:2906" x14ac:dyDescent="0.3">
      <c r="DGH2900" s="2862"/>
    </row>
    <row r="2901" spans="2891:2906" x14ac:dyDescent="0.3">
      <c r="DGI2901" s="2863"/>
    </row>
    <row r="2902" spans="2891:2906" x14ac:dyDescent="0.3">
      <c r="DGJ2902" s="2864"/>
    </row>
    <row r="2903" spans="2891:2906" x14ac:dyDescent="0.3">
      <c r="DGK2903" s="2865"/>
    </row>
    <row r="2904" spans="2891:2906" x14ac:dyDescent="0.3">
      <c r="DGL2904" s="2866"/>
    </row>
    <row r="2905" spans="2891:2906" x14ac:dyDescent="0.3">
      <c r="DGM2905" s="2867"/>
    </row>
    <row r="2906" spans="2891:2906" x14ac:dyDescent="0.3">
      <c r="DGN2906" s="2868"/>
    </row>
    <row r="2907" spans="2891:2906" x14ac:dyDescent="0.3">
      <c r="DGO2907" s="2869"/>
    </row>
    <row r="2908" spans="2891:2906" x14ac:dyDescent="0.3">
      <c r="DGP2908" s="2870"/>
    </row>
    <row r="2909" spans="2891:2906" x14ac:dyDescent="0.3">
      <c r="DGQ2909" s="2871"/>
    </row>
    <row r="2910" spans="2891:2906" x14ac:dyDescent="0.3">
      <c r="DGR2910" s="2872"/>
    </row>
    <row r="2911" spans="2891:2906" x14ac:dyDescent="0.3">
      <c r="DGS2911" s="2873"/>
    </row>
    <row r="2912" spans="2891:2906" x14ac:dyDescent="0.3">
      <c r="DGT2912" s="2874"/>
    </row>
    <row r="2913" spans="2907:2922" x14ac:dyDescent="0.3">
      <c r="DGU2913" s="2875"/>
    </row>
    <row r="2914" spans="2907:2922" x14ac:dyDescent="0.3">
      <c r="DGV2914" s="2876"/>
    </row>
    <row r="2915" spans="2907:2922" x14ac:dyDescent="0.3">
      <c r="DGW2915" s="2877"/>
    </row>
    <row r="2916" spans="2907:2922" x14ac:dyDescent="0.3">
      <c r="DGX2916" s="2878"/>
    </row>
    <row r="2917" spans="2907:2922" x14ac:dyDescent="0.3">
      <c r="DGY2917" s="2879"/>
    </row>
    <row r="2918" spans="2907:2922" x14ac:dyDescent="0.3">
      <c r="DGZ2918" s="2880"/>
    </row>
    <row r="2919" spans="2907:2922" x14ac:dyDescent="0.3">
      <c r="DHA2919" s="2881"/>
    </row>
    <row r="2920" spans="2907:2922" x14ac:dyDescent="0.3">
      <c r="DHB2920" s="2882"/>
    </row>
    <row r="2921" spans="2907:2922" x14ac:dyDescent="0.3">
      <c r="DHC2921" s="2883"/>
    </row>
    <row r="2922" spans="2907:2922" x14ac:dyDescent="0.3">
      <c r="DHD2922" s="2884"/>
    </row>
    <row r="2923" spans="2907:2922" x14ac:dyDescent="0.3">
      <c r="DHE2923" s="2885"/>
    </row>
    <row r="2924" spans="2907:2922" x14ac:dyDescent="0.3">
      <c r="DHF2924" s="2886"/>
    </row>
    <row r="2925" spans="2907:2922" x14ac:dyDescent="0.3">
      <c r="DHG2925" s="2887"/>
    </row>
    <row r="2926" spans="2907:2922" x14ac:dyDescent="0.3">
      <c r="DHH2926" s="2888"/>
    </row>
    <row r="2927" spans="2907:2922" x14ac:dyDescent="0.3">
      <c r="DHI2927" s="2889"/>
    </row>
    <row r="2928" spans="2907:2922" x14ac:dyDescent="0.3">
      <c r="DHJ2928" s="2890"/>
    </row>
    <row r="2929" spans="2923:2938" x14ac:dyDescent="0.3">
      <c r="DHK2929" s="2891"/>
    </row>
    <row r="2930" spans="2923:2938" x14ac:dyDescent="0.3">
      <c r="DHL2930" s="2892"/>
    </row>
    <row r="2931" spans="2923:2938" x14ac:dyDescent="0.3">
      <c r="DHM2931" s="2893"/>
    </row>
    <row r="2932" spans="2923:2938" x14ac:dyDescent="0.3">
      <c r="DHN2932" s="2894"/>
    </row>
    <row r="2933" spans="2923:2938" x14ac:dyDescent="0.3">
      <c r="DHO2933" s="2895"/>
    </row>
    <row r="2934" spans="2923:2938" x14ac:dyDescent="0.3">
      <c r="DHP2934" s="2896"/>
    </row>
    <row r="2935" spans="2923:2938" x14ac:dyDescent="0.3">
      <c r="DHQ2935" s="2897"/>
    </row>
    <row r="2936" spans="2923:2938" x14ac:dyDescent="0.3">
      <c r="DHR2936" s="2898"/>
    </row>
    <row r="2937" spans="2923:2938" x14ac:dyDescent="0.3">
      <c r="DHS2937" s="2899"/>
    </row>
    <row r="2938" spans="2923:2938" x14ac:dyDescent="0.3">
      <c r="DHT2938" s="2900"/>
    </row>
    <row r="2939" spans="2923:2938" x14ac:dyDescent="0.3">
      <c r="DHU2939" s="2901"/>
    </row>
    <row r="2940" spans="2923:2938" x14ac:dyDescent="0.3">
      <c r="DHV2940" s="2902"/>
    </row>
    <row r="2941" spans="2923:2938" x14ac:dyDescent="0.3">
      <c r="DHW2941" s="2903"/>
    </row>
    <row r="2942" spans="2923:2938" x14ac:dyDescent="0.3">
      <c r="DHX2942" s="2904"/>
    </row>
    <row r="2943" spans="2923:2938" x14ac:dyDescent="0.3">
      <c r="DHY2943" s="2905"/>
    </row>
    <row r="2944" spans="2923:2938" x14ac:dyDescent="0.3">
      <c r="DHZ2944" s="2906"/>
    </row>
    <row r="2945" spans="2939:2954" x14ac:dyDescent="0.3">
      <c r="DIA2945" s="2907"/>
    </row>
    <row r="2946" spans="2939:2954" x14ac:dyDescent="0.3">
      <c r="DIB2946" s="2908"/>
    </row>
    <row r="2947" spans="2939:2954" x14ac:dyDescent="0.3">
      <c r="DIC2947" s="2909"/>
    </row>
    <row r="2948" spans="2939:2954" x14ac:dyDescent="0.3">
      <c r="DID2948" s="2910"/>
    </row>
    <row r="2949" spans="2939:2954" x14ac:dyDescent="0.3">
      <c r="DIE2949" s="2911"/>
    </row>
    <row r="2950" spans="2939:2954" x14ac:dyDescent="0.3">
      <c r="DIF2950" s="2912"/>
    </row>
    <row r="2951" spans="2939:2954" x14ac:dyDescent="0.3">
      <c r="DIG2951" s="2913"/>
    </row>
    <row r="2952" spans="2939:2954" x14ac:dyDescent="0.3">
      <c r="DIH2952" s="2914"/>
    </row>
    <row r="2953" spans="2939:2954" x14ac:dyDescent="0.3">
      <c r="DII2953" s="2915"/>
    </row>
    <row r="2954" spans="2939:2954" x14ac:dyDescent="0.3">
      <c r="DIJ2954" s="2916"/>
    </row>
    <row r="2955" spans="2939:2954" x14ac:dyDescent="0.3">
      <c r="DIK2955" s="2917"/>
    </row>
    <row r="2956" spans="2939:2954" x14ac:dyDescent="0.3">
      <c r="DIL2956" s="2918"/>
    </row>
    <row r="2957" spans="2939:2954" x14ac:dyDescent="0.3">
      <c r="DIM2957" s="2919"/>
    </row>
    <row r="2958" spans="2939:2954" x14ac:dyDescent="0.3">
      <c r="DIN2958" s="2920"/>
    </row>
    <row r="2959" spans="2939:2954" x14ac:dyDescent="0.3">
      <c r="DIO2959" s="2921"/>
    </row>
    <row r="2960" spans="2939:2954" x14ac:dyDescent="0.3">
      <c r="DIP2960" s="2922"/>
    </row>
    <row r="2961" spans="2955:2970" x14ac:dyDescent="0.3">
      <c r="DIQ2961" s="2923"/>
    </row>
    <row r="2962" spans="2955:2970" x14ac:dyDescent="0.3">
      <c r="DIR2962" s="2924"/>
    </row>
    <row r="2963" spans="2955:2970" x14ac:dyDescent="0.3">
      <c r="DIS2963" s="2925"/>
    </row>
    <row r="2964" spans="2955:2970" x14ac:dyDescent="0.3">
      <c r="DIT2964" s="2926"/>
    </row>
    <row r="2965" spans="2955:2970" x14ac:dyDescent="0.3">
      <c r="DIU2965" s="2927"/>
    </row>
    <row r="2966" spans="2955:2970" x14ac:dyDescent="0.3">
      <c r="DIV2966" s="2928"/>
    </row>
    <row r="2967" spans="2955:2970" x14ac:dyDescent="0.3">
      <c r="DIW2967" s="2929"/>
    </row>
    <row r="2968" spans="2955:2970" x14ac:dyDescent="0.3">
      <c r="DIX2968" s="2930"/>
    </row>
    <row r="2969" spans="2955:2970" x14ac:dyDescent="0.3">
      <c r="DIY2969" s="2931"/>
    </row>
    <row r="2970" spans="2955:2970" x14ac:dyDescent="0.3">
      <c r="DIZ2970" s="2932"/>
    </row>
    <row r="2971" spans="2955:2970" x14ac:dyDescent="0.3">
      <c r="DJA2971" s="2933"/>
    </row>
    <row r="2972" spans="2955:2970" x14ac:dyDescent="0.3">
      <c r="DJB2972" s="2934"/>
    </row>
    <row r="2973" spans="2955:2970" x14ac:dyDescent="0.3">
      <c r="DJC2973" s="2935"/>
    </row>
    <row r="2974" spans="2955:2970" x14ac:dyDescent="0.3">
      <c r="DJD2974" s="2936"/>
    </row>
    <row r="2975" spans="2955:2970" x14ac:dyDescent="0.3">
      <c r="DJE2975" s="2937"/>
    </row>
    <row r="2976" spans="2955:2970" x14ac:dyDescent="0.3">
      <c r="DJF2976" s="2938"/>
    </row>
    <row r="2977" spans="2971:2986" x14ac:dyDescent="0.3">
      <c r="DJG2977" s="2939"/>
    </row>
    <row r="2978" spans="2971:2986" x14ac:dyDescent="0.3">
      <c r="DJH2978" s="2940"/>
    </row>
    <row r="2979" spans="2971:2986" x14ac:dyDescent="0.3">
      <c r="DJI2979" s="2941"/>
    </row>
    <row r="2980" spans="2971:2986" x14ac:dyDescent="0.3">
      <c r="DJJ2980" s="2942"/>
    </row>
    <row r="2981" spans="2971:2986" x14ac:dyDescent="0.3">
      <c r="DJK2981" s="2943"/>
    </row>
    <row r="2982" spans="2971:2986" x14ac:dyDescent="0.3">
      <c r="DJL2982" s="2944"/>
    </row>
    <row r="2983" spans="2971:2986" x14ac:dyDescent="0.3">
      <c r="DJM2983" s="2945"/>
    </row>
    <row r="2984" spans="2971:2986" x14ac:dyDescent="0.3">
      <c r="DJN2984" s="2946"/>
    </row>
    <row r="2985" spans="2971:2986" x14ac:dyDescent="0.3">
      <c r="DJO2985" s="2947"/>
    </row>
    <row r="2986" spans="2971:2986" x14ac:dyDescent="0.3">
      <c r="DJP2986" s="2948"/>
    </row>
    <row r="2987" spans="2971:2986" x14ac:dyDescent="0.3">
      <c r="DJQ2987" s="2949"/>
    </row>
    <row r="2988" spans="2971:2986" x14ac:dyDescent="0.3">
      <c r="DJR2988" s="2950"/>
    </row>
    <row r="2989" spans="2971:2986" x14ac:dyDescent="0.3">
      <c r="DJS2989" s="2951"/>
    </row>
    <row r="2990" spans="2971:2986" x14ac:dyDescent="0.3">
      <c r="DJT2990" s="2952"/>
    </row>
    <row r="2991" spans="2971:2986" x14ac:dyDescent="0.3">
      <c r="DJU2991" s="2953"/>
    </row>
    <row r="2992" spans="2971:2986" x14ac:dyDescent="0.3">
      <c r="DJV2992" s="2954"/>
    </row>
    <row r="2993" spans="2987:3002" x14ac:dyDescent="0.3">
      <c r="DJW2993" s="2955"/>
    </row>
    <row r="2994" spans="2987:3002" x14ac:dyDescent="0.3">
      <c r="DJX2994" s="2956"/>
    </row>
    <row r="2995" spans="2987:3002" x14ac:dyDescent="0.3">
      <c r="DJY2995" s="2957"/>
    </row>
    <row r="2996" spans="2987:3002" x14ac:dyDescent="0.3">
      <c r="DJZ2996" s="2958"/>
    </row>
    <row r="2997" spans="2987:3002" x14ac:dyDescent="0.3">
      <c r="DKA2997" s="2959"/>
    </row>
    <row r="2998" spans="2987:3002" x14ac:dyDescent="0.3">
      <c r="DKB2998" s="2960"/>
    </row>
    <row r="2999" spans="2987:3002" x14ac:dyDescent="0.3">
      <c r="DKC2999" s="2961"/>
    </row>
    <row r="3000" spans="2987:3002" x14ac:dyDescent="0.3">
      <c r="DKD3000" s="2962"/>
    </row>
    <row r="3001" spans="2987:3002" x14ac:dyDescent="0.3">
      <c r="DKE3001" s="2963"/>
    </row>
    <row r="3002" spans="2987:3002" x14ac:dyDescent="0.3">
      <c r="DKF3002" s="2964"/>
    </row>
    <row r="3003" spans="2987:3002" x14ac:dyDescent="0.3">
      <c r="DKG3003" s="2965"/>
    </row>
    <row r="3004" spans="2987:3002" x14ac:dyDescent="0.3">
      <c r="DKH3004" s="2966"/>
    </row>
    <row r="3005" spans="2987:3002" x14ac:dyDescent="0.3">
      <c r="DKI3005" s="2967"/>
    </row>
    <row r="3006" spans="2987:3002" x14ac:dyDescent="0.3">
      <c r="DKJ3006" s="2968"/>
    </row>
    <row r="3007" spans="2987:3002" x14ac:dyDescent="0.3">
      <c r="DKK3007" s="2969"/>
    </row>
    <row r="3008" spans="2987:3002" x14ac:dyDescent="0.3">
      <c r="DKL3008" s="2970"/>
    </row>
    <row r="3009" spans="3003:3018" x14ac:dyDescent="0.3">
      <c r="DKM3009" s="2971"/>
    </row>
    <row r="3010" spans="3003:3018" x14ac:dyDescent="0.3">
      <c r="DKN3010" s="2972"/>
    </row>
    <row r="3011" spans="3003:3018" x14ac:dyDescent="0.3">
      <c r="DKO3011" s="2973"/>
    </row>
    <row r="3012" spans="3003:3018" x14ac:dyDescent="0.3">
      <c r="DKP3012" s="2974"/>
    </row>
    <row r="3013" spans="3003:3018" x14ac:dyDescent="0.3">
      <c r="DKQ3013" s="2975"/>
    </row>
    <row r="3014" spans="3003:3018" x14ac:dyDescent="0.3">
      <c r="DKR3014" s="2976"/>
    </row>
    <row r="3015" spans="3003:3018" x14ac:dyDescent="0.3">
      <c r="DKS3015" s="2977"/>
    </row>
    <row r="3016" spans="3003:3018" x14ac:dyDescent="0.3">
      <c r="DKT3016" s="2978"/>
    </row>
    <row r="3017" spans="3003:3018" x14ac:dyDescent="0.3">
      <c r="DKU3017" s="2979"/>
    </row>
    <row r="3018" spans="3003:3018" x14ac:dyDescent="0.3">
      <c r="DKV3018" s="2980"/>
    </row>
    <row r="3019" spans="3003:3018" x14ac:dyDescent="0.3">
      <c r="DKW3019" s="2981"/>
    </row>
    <row r="3020" spans="3003:3018" x14ac:dyDescent="0.3">
      <c r="DKX3020" s="2982"/>
    </row>
    <row r="3021" spans="3003:3018" x14ac:dyDescent="0.3">
      <c r="DKY3021" s="2983"/>
    </row>
    <row r="3022" spans="3003:3018" x14ac:dyDescent="0.3">
      <c r="DKZ3022" s="2984"/>
    </row>
    <row r="3023" spans="3003:3018" x14ac:dyDescent="0.3">
      <c r="DLA3023" s="2985"/>
    </row>
    <row r="3024" spans="3003:3018" x14ac:dyDescent="0.3">
      <c r="DLB3024" s="2986"/>
    </row>
    <row r="3025" spans="3019:3034" x14ac:dyDescent="0.3">
      <c r="DLC3025" s="2987"/>
    </row>
    <row r="3026" spans="3019:3034" x14ac:dyDescent="0.3">
      <c r="DLD3026" s="2988"/>
    </row>
    <row r="3027" spans="3019:3034" x14ac:dyDescent="0.3">
      <c r="DLE3027" s="2989"/>
    </row>
    <row r="3028" spans="3019:3034" x14ac:dyDescent="0.3">
      <c r="DLF3028" s="2990"/>
    </row>
    <row r="3029" spans="3019:3034" x14ac:dyDescent="0.3">
      <c r="DLG3029" s="2991"/>
    </row>
    <row r="3030" spans="3019:3034" x14ac:dyDescent="0.3">
      <c r="DLH3030" s="2992"/>
    </row>
    <row r="3031" spans="3019:3034" x14ac:dyDescent="0.3">
      <c r="DLI3031" s="2993"/>
    </row>
    <row r="3032" spans="3019:3034" x14ac:dyDescent="0.3">
      <c r="DLJ3032" s="2994"/>
    </row>
    <row r="3033" spans="3019:3034" x14ac:dyDescent="0.3">
      <c r="DLK3033" s="2995"/>
    </row>
    <row r="3034" spans="3019:3034" x14ac:dyDescent="0.3">
      <c r="DLL3034" s="2996"/>
    </row>
    <row r="3035" spans="3019:3034" x14ac:dyDescent="0.3">
      <c r="DLM3035" s="2997"/>
    </row>
    <row r="3036" spans="3019:3034" x14ac:dyDescent="0.3">
      <c r="DLN3036" s="2998"/>
    </row>
    <row r="3037" spans="3019:3034" x14ac:dyDescent="0.3">
      <c r="DLO3037" s="2999"/>
    </row>
    <row r="3038" spans="3019:3034" x14ac:dyDescent="0.3">
      <c r="DLP3038" s="3000"/>
    </row>
    <row r="3039" spans="3019:3034" x14ac:dyDescent="0.3">
      <c r="DLQ3039" s="3001"/>
    </row>
    <row r="3040" spans="3019:3034" x14ac:dyDescent="0.3">
      <c r="DLR3040" s="3002"/>
    </row>
    <row r="3041" spans="3035:3050" x14ac:dyDescent="0.3">
      <c r="DLS3041" s="3003"/>
    </row>
    <row r="3042" spans="3035:3050" x14ac:dyDescent="0.3">
      <c r="DLT3042" s="3004"/>
    </row>
    <row r="3043" spans="3035:3050" x14ac:dyDescent="0.3">
      <c r="DLU3043" s="3005"/>
    </row>
    <row r="3044" spans="3035:3050" x14ac:dyDescent="0.3">
      <c r="DLV3044" s="3006"/>
    </row>
    <row r="3045" spans="3035:3050" x14ac:dyDescent="0.3">
      <c r="DLW3045" s="3007"/>
    </row>
    <row r="3046" spans="3035:3050" x14ac:dyDescent="0.3">
      <c r="DLX3046" s="3008"/>
    </row>
    <row r="3047" spans="3035:3050" x14ac:dyDescent="0.3">
      <c r="DLY3047" s="3009"/>
    </row>
    <row r="3048" spans="3035:3050" x14ac:dyDescent="0.3">
      <c r="DLZ3048" s="3010"/>
    </row>
    <row r="3049" spans="3035:3050" x14ac:dyDescent="0.3">
      <c r="DMA3049" s="3011"/>
    </row>
    <row r="3050" spans="3035:3050" x14ac:dyDescent="0.3">
      <c r="DMB3050" s="3012"/>
    </row>
    <row r="3051" spans="3035:3050" x14ac:dyDescent="0.3">
      <c r="DMC3051" s="3013"/>
    </row>
    <row r="3052" spans="3035:3050" x14ac:dyDescent="0.3">
      <c r="DMD3052" s="3014"/>
    </row>
    <row r="3053" spans="3035:3050" x14ac:dyDescent="0.3">
      <c r="DME3053" s="3015"/>
    </row>
    <row r="3054" spans="3035:3050" x14ac:dyDescent="0.3">
      <c r="DMF3054" s="3016"/>
    </row>
    <row r="3055" spans="3035:3050" x14ac:dyDescent="0.3">
      <c r="DMG3055" s="3017"/>
    </row>
    <row r="3056" spans="3035:3050" x14ac:dyDescent="0.3">
      <c r="DMH3056" s="3018"/>
    </row>
    <row r="3057" spans="3051:3066" x14ac:dyDescent="0.3">
      <c r="DMI3057" s="3019"/>
    </row>
    <row r="3058" spans="3051:3066" x14ac:dyDescent="0.3">
      <c r="DMJ3058" s="3020"/>
    </row>
    <row r="3059" spans="3051:3066" x14ac:dyDescent="0.3">
      <c r="DMK3059" s="3021"/>
    </row>
    <row r="3060" spans="3051:3066" x14ac:dyDescent="0.3">
      <c r="DML3060" s="3022"/>
    </row>
    <row r="3061" spans="3051:3066" x14ac:dyDescent="0.3">
      <c r="DMM3061" s="3023"/>
    </row>
    <row r="3062" spans="3051:3066" x14ac:dyDescent="0.3">
      <c r="DMN3062" s="3024"/>
    </row>
    <row r="3063" spans="3051:3066" x14ac:dyDescent="0.3">
      <c r="DMO3063" s="3025"/>
    </row>
    <row r="3064" spans="3051:3066" x14ac:dyDescent="0.3">
      <c r="DMP3064" s="3026"/>
    </row>
    <row r="3065" spans="3051:3066" x14ac:dyDescent="0.3">
      <c r="DMQ3065" s="3027"/>
    </row>
    <row r="3066" spans="3051:3066" x14ac:dyDescent="0.3">
      <c r="DMR3066" s="3028"/>
    </row>
    <row r="3067" spans="3051:3066" x14ac:dyDescent="0.3">
      <c r="DMS3067" s="3029"/>
    </row>
    <row r="3068" spans="3051:3066" x14ac:dyDescent="0.3">
      <c r="DMT3068" s="3030"/>
    </row>
    <row r="3069" spans="3051:3066" x14ac:dyDescent="0.3">
      <c r="DMU3069" s="3031"/>
    </row>
    <row r="3070" spans="3051:3066" x14ac:dyDescent="0.3">
      <c r="DMV3070" s="3032"/>
    </row>
    <row r="3071" spans="3051:3066" x14ac:dyDescent="0.3">
      <c r="DMW3071" s="3033"/>
    </row>
    <row r="3072" spans="3051:3066" x14ac:dyDescent="0.3">
      <c r="DMX3072" s="3034"/>
    </row>
    <row r="3073" spans="3067:3082" x14ac:dyDescent="0.3">
      <c r="DMY3073" s="3035"/>
    </row>
    <row r="3074" spans="3067:3082" x14ac:dyDescent="0.3">
      <c r="DMZ3074" s="3036"/>
    </row>
    <row r="3075" spans="3067:3082" x14ac:dyDescent="0.3">
      <c r="DNA3075" s="3037"/>
    </row>
    <row r="3076" spans="3067:3082" x14ac:dyDescent="0.3">
      <c r="DNB3076" s="3038"/>
    </row>
    <row r="3077" spans="3067:3082" x14ac:dyDescent="0.3">
      <c r="DNC3077" s="3039"/>
    </row>
    <row r="3078" spans="3067:3082" x14ac:dyDescent="0.3">
      <c r="DND3078" s="3040"/>
    </row>
    <row r="3079" spans="3067:3082" x14ac:dyDescent="0.3">
      <c r="DNE3079" s="3041"/>
    </row>
    <row r="3080" spans="3067:3082" x14ac:dyDescent="0.3">
      <c r="DNF3080" s="3042"/>
    </row>
    <row r="3081" spans="3067:3082" x14ac:dyDescent="0.3">
      <c r="DNG3081" s="3043"/>
    </row>
    <row r="3082" spans="3067:3082" x14ac:dyDescent="0.3">
      <c r="DNH3082" s="3044"/>
    </row>
    <row r="3083" spans="3067:3082" x14ac:dyDescent="0.3">
      <c r="DNI3083" s="3045"/>
    </row>
    <row r="3084" spans="3067:3082" x14ac:dyDescent="0.3">
      <c r="DNJ3084" s="3046"/>
    </row>
    <row r="3085" spans="3067:3082" x14ac:dyDescent="0.3">
      <c r="DNK3085" s="3047"/>
    </row>
    <row r="3086" spans="3067:3082" x14ac:dyDescent="0.3">
      <c r="DNL3086" s="3048"/>
    </row>
    <row r="3087" spans="3067:3082" x14ac:dyDescent="0.3">
      <c r="DNM3087" s="3049"/>
    </row>
    <row r="3088" spans="3067:3082" x14ac:dyDescent="0.3">
      <c r="DNN3088" s="3050"/>
    </row>
    <row r="3089" spans="3083:3098" x14ac:dyDescent="0.3">
      <c r="DNO3089" s="3051"/>
    </row>
    <row r="3090" spans="3083:3098" x14ac:dyDescent="0.3">
      <c r="DNP3090" s="3051"/>
    </row>
    <row r="3091" spans="3083:3098" x14ac:dyDescent="0.3">
      <c r="DNQ3091" s="3052"/>
    </row>
    <row r="3092" spans="3083:3098" x14ac:dyDescent="0.3">
      <c r="DNR3092" s="3053"/>
    </row>
    <row r="3093" spans="3083:3098" x14ac:dyDescent="0.3">
      <c r="DNS3093" s="3054"/>
    </row>
    <row r="3094" spans="3083:3098" x14ac:dyDescent="0.3">
      <c r="DNT3094" s="3055"/>
    </row>
    <row r="3095" spans="3083:3098" x14ac:dyDescent="0.3">
      <c r="DNU3095" s="3056"/>
    </row>
    <row r="3096" spans="3083:3098" x14ac:dyDescent="0.3">
      <c r="DNV3096" s="3057"/>
    </row>
    <row r="3097" spans="3083:3098" x14ac:dyDescent="0.3">
      <c r="DNW3097" s="3058"/>
    </row>
    <row r="3098" spans="3083:3098" x14ac:dyDescent="0.3">
      <c r="DNX3098" s="3059"/>
    </row>
    <row r="3099" spans="3083:3098" x14ac:dyDescent="0.3">
      <c r="DNY3099" s="3060"/>
    </row>
    <row r="3100" spans="3083:3098" x14ac:dyDescent="0.3">
      <c r="DNZ3100" s="3061"/>
    </row>
    <row r="3101" spans="3083:3098" x14ac:dyDescent="0.3">
      <c r="DOA3101" s="3062"/>
    </row>
    <row r="3102" spans="3083:3098" x14ac:dyDescent="0.3">
      <c r="DOB3102" s="3063"/>
    </row>
    <row r="3103" spans="3083:3098" x14ac:dyDescent="0.3">
      <c r="DOC3103" s="3064"/>
    </row>
    <row r="3104" spans="3083:3098" x14ac:dyDescent="0.3">
      <c r="DOD3104" s="3065"/>
    </row>
    <row r="3105" spans="3099:3114" x14ac:dyDescent="0.3">
      <c r="DOE3105" s="3066"/>
    </row>
    <row r="3106" spans="3099:3114" x14ac:dyDescent="0.3">
      <c r="DOF3106" s="3067"/>
    </row>
    <row r="3107" spans="3099:3114" x14ac:dyDescent="0.3">
      <c r="DOG3107" s="3068"/>
    </row>
    <row r="3108" spans="3099:3114" x14ac:dyDescent="0.3">
      <c r="DOH3108" s="3069"/>
    </row>
    <row r="3109" spans="3099:3114" x14ac:dyDescent="0.3">
      <c r="DOI3109" s="3070"/>
    </row>
    <row r="3110" spans="3099:3114" x14ac:dyDescent="0.3">
      <c r="DOJ3110" s="3071"/>
    </row>
    <row r="3111" spans="3099:3114" x14ac:dyDescent="0.3">
      <c r="DOK3111" s="3072"/>
    </row>
    <row r="3112" spans="3099:3114" x14ac:dyDescent="0.3">
      <c r="DOL3112" s="3073"/>
    </row>
    <row r="3113" spans="3099:3114" x14ac:dyDescent="0.3">
      <c r="DOM3113" s="3074"/>
    </row>
    <row r="3114" spans="3099:3114" x14ac:dyDescent="0.3">
      <c r="DON3114" s="3075"/>
    </row>
    <row r="3115" spans="3099:3114" x14ac:dyDescent="0.3">
      <c r="DOO3115" s="3076"/>
    </row>
    <row r="3116" spans="3099:3114" x14ac:dyDescent="0.3">
      <c r="DOP3116" s="3077"/>
    </row>
    <row r="3117" spans="3099:3114" x14ac:dyDescent="0.3">
      <c r="DOQ3117" s="3078"/>
    </row>
    <row r="3118" spans="3099:3114" x14ac:dyDescent="0.3">
      <c r="DOR3118" s="3079"/>
    </row>
    <row r="3119" spans="3099:3114" x14ac:dyDescent="0.3">
      <c r="DOS3119" s="3080"/>
    </row>
    <row r="3120" spans="3099:3114" x14ac:dyDescent="0.3">
      <c r="DOT3120" s="3081"/>
    </row>
    <row r="3121" spans="3115:3130" x14ac:dyDescent="0.3">
      <c r="DOU3121" s="3082"/>
    </row>
    <row r="3122" spans="3115:3130" x14ac:dyDescent="0.3">
      <c r="DOV3122" s="3083"/>
    </row>
    <row r="3123" spans="3115:3130" x14ac:dyDescent="0.3">
      <c r="DOW3123" s="3084"/>
    </row>
    <row r="3124" spans="3115:3130" x14ac:dyDescent="0.3">
      <c r="DOX3124" s="3085"/>
    </row>
    <row r="3125" spans="3115:3130" x14ac:dyDescent="0.3">
      <c r="DOY3125" s="3086"/>
    </row>
    <row r="3126" spans="3115:3130" x14ac:dyDescent="0.3">
      <c r="DOZ3126" s="3087"/>
    </row>
    <row r="3127" spans="3115:3130" x14ac:dyDescent="0.3">
      <c r="DPA3127" s="3088"/>
    </row>
    <row r="3128" spans="3115:3130" x14ac:dyDescent="0.3">
      <c r="DPB3128" s="3089"/>
    </row>
    <row r="3129" spans="3115:3130" x14ac:dyDescent="0.3">
      <c r="DPC3129" s="3090"/>
    </row>
    <row r="3130" spans="3115:3130" x14ac:dyDescent="0.3">
      <c r="DPD3130" s="3091"/>
    </row>
    <row r="3131" spans="3115:3130" x14ac:dyDescent="0.3">
      <c r="DPE3131" s="3092"/>
    </row>
    <row r="3132" spans="3115:3130" x14ac:dyDescent="0.3">
      <c r="DPF3132" s="3093"/>
    </row>
    <row r="3133" spans="3115:3130" x14ac:dyDescent="0.3">
      <c r="DPG3133" s="3094"/>
    </row>
    <row r="3134" spans="3115:3130" x14ac:dyDescent="0.3">
      <c r="DPH3134" s="3095"/>
    </row>
    <row r="3135" spans="3115:3130" x14ac:dyDescent="0.3">
      <c r="DPI3135" s="3096"/>
    </row>
    <row r="3136" spans="3115:3130" x14ac:dyDescent="0.3">
      <c r="DPJ3136" s="3097"/>
    </row>
    <row r="3137" spans="3131:3146" x14ac:dyDescent="0.3">
      <c r="DPK3137" s="3098"/>
    </row>
    <row r="3138" spans="3131:3146" x14ac:dyDescent="0.3">
      <c r="DPL3138" s="3099"/>
    </row>
    <row r="3139" spans="3131:3146" x14ac:dyDescent="0.3">
      <c r="DPM3139" s="3100"/>
    </row>
    <row r="3140" spans="3131:3146" x14ac:dyDescent="0.3">
      <c r="DPN3140" s="3101"/>
    </row>
    <row r="3141" spans="3131:3146" x14ac:dyDescent="0.3">
      <c r="DPO3141" s="3102"/>
    </row>
    <row r="3142" spans="3131:3146" x14ac:dyDescent="0.3">
      <c r="DPP3142" s="3103"/>
    </row>
    <row r="3143" spans="3131:3146" x14ac:dyDescent="0.3">
      <c r="DPQ3143" s="3104"/>
    </row>
    <row r="3144" spans="3131:3146" x14ac:dyDescent="0.3">
      <c r="DPR3144" s="3105"/>
    </row>
    <row r="3145" spans="3131:3146" x14ac:dyDescent="0.3">
      <c r="DPS3145" s="3106"/>
    </row>
    <row r="3146" spans="3131:3146" x14ac:dyDescent="0.3">
      <c r="DPT3146" s="3107"/>
    </row>
    <row r="3147" spans="3131:3146" x14ac:dyDescent="0.3">
      <c r="DPU3147" s="3108"/>
    </row>
    <row r="3148" spans="3131:3146" x14ac:dyDescent="0.3">
      <c r="DPV3148" s="3109"/>
    </row>
    <row r="3149" spans="3131:3146" x14ac:dyDescent="0.3">
      <c r="DPW3149" s="3110"/>
    </row>
    <row r="3150" spans="3131:3146" x14ac:dyDescent="0.3">
      <c r="DPX3150" s="3111"/>
    </row>
    <row r="3151" spans="3131:3146" x14ac:dyDescent="0.3">
      <c r="DPY3151" s="3112"/>
    </row>
    <row r="3152" spans="3131:3146" x14ac:dyDescent="0.3">
      <c r="DPZ3152" s="3113"/>
    </row>
    <row r="3153" spans="3147:3162" x14ac:dyDescent="0.3">
      <c r="DQA3153" s="3114"/>
    </row>
    <row r="3154" spans="3147:3162" x14ac:dyDescent="0.3">
      <c r="DQB3154" s="3115"/>
    </row>
    <row r="3155" spans="3147:3162" x14ac:dyDescent="0.3">
      <c r="DQC3155" s="3116"/>
    </row>
    <row r="3156" spans="3147:3162" x14ac:dyDescent="0.3">
      <c r="DQD3156" s="3117"/>
    </row>
    <row r="3157" spans="3147:3162" x14ac:dyDescent="0.3">
      <c r="DQE3157" s="3118"/>
    </row>
    <row r="3158" spans="3147:3162" x14ac:dyDescent="0.3">
      <c r="DQF3158" s="3119"/>
    </row>
    <row r="3159" spans="3147:3162" x14ac:dyDescent="0.3">
      <c r="DQG3159" s="3120"/>
    </row>
    <row r="3160" spans="3147:3162" x14ac:dyDescent="0.3">
      <c r="DQH3160" s="3121"/>
    </row>
    <row r="3161" spans="3147:3162" x14ac:dyDescent="0.3">
      <c r="DQI3161" s="3122"/>
    </row>
    <row r="3162" spans="3147:3162" x14ac:dyDescent="0.3">
      <c r="DQJ3162" s="3123"/>
    </row>
    <row r="3163" spans="3147:3162" x14ac:dyDescent="0.3">
      <c r="DQK3163" s="3124"/>
    </row>
    <row r="3164" spans="3147:3162" x14ac:dyDescent="0.3">
      <c r="DQL3164" s="3125"/>
    </row>
    <row r="3165" spans="3147:3162" x14ac:dyDescent="0.3">
      <c r="DQM3165" s="3126"/>
    </row>
    <row r="3166" spans="3147:3162" x14ac:dyDescent="0.3">
      <c r="DQN3166" s="3127"/>
    </row>
    <row r="3167" spans="3147:3162" x14ac:dyDescent="0.3">
      <c r="DQO3167" s="3128"/>
    </row>
    <row r="3168" spans="3147:3162" x14ac:dyDescent="0.3">
      <c r="DQP3168" s="3129"/>
    </row>
    <row r="3169" spans="3163:3178" x14ac:dyDescent="0.3">
      <c r="DQQ3169" s="3130"/>
    </row>
    <row r="3170" spans="3163:3178" x14ac:dyDescent="0.3">
      <c r="DQR3170" s="3131"/>
    </row>
    <row r="3171" spans="3163:3178" x14ac:dyDescent="0.3">
      <c r="DQS3171" s="3132"/>
    </row>
    <row r="3172" spans="3163:3178" x14ac:dyDescent="0.3">
      <c r="DQT3172" s="3133"/>
    </row>
    <row r="3173" spans="3163:3178" x14ac:dyDescent="0.3">
      <c r="DQU3173" s="3134"/>
    </row>
    <row r="3174" spans="3163:3178" x14ac:dyDescent="0.3">
      <c r="DQV3174" s="3135"/>
    </row>
    <row r="3175" spans="3163:3178" x14ac:dyDescent="0.3">
      <c r="DQW3175" s="3136"/>
    </row>
    <row r="3176" spans="3163:3178" x14ac:dyDescent="0.3">
      <c r="DQX3176" s="3137"/>
    </row>
    <row r="3177" spans="3163:3178" x14ac:dyDescent="0.3">
      <c r="DQY3177" s="3138"/>
    </row>
    <row r="3178" spans="3163:3178" x14ac:dyDescent="0.3">
      <c r="DQZ3178" s="3139"/>
    </row>
    <row r="3179" spans="3163:3178" x14ac:dyDescent="0.3">
      <c r="DRA3179" s="3140"/>
    </row>
    <row r="3180" spans="3163:3178" x14ac:dyDescent="0.3">
      <c r="DRB3180" s="3141"/>
    </row>
    <row r="3181" spans="3163:3178" x14ac:dyDescent="0.3">
      <c r="DRC3181" s="3142"/>
    </row>
    <row r="3182" spans="3163:3178" x14ac:dyDescent="0.3">
      <c r="DRD3182" s="3143"/>
    </row>
    <row r="3183" spans="3163:3178" x14ac:dyDescent="0.3">
      <c r="DRE3183" s="3144"/>
    </row>
    <row r="3184" spans="3163:3178" x14ac:dyDescent="0.3">
      <c r="DRF3184" s="3145"/>
    </row>
    <row r="3185" spans="3179:3194" x14ac:dyDescent="0.3">
      <c r="DRG3185" s="3146"/>
    </row>
    <row r="3186" spans="3179:3194" x14ac:dyDescent="0.3">
      <c r="DRH3186" s="3147"/>
    </row>
    <row r="3187" spans="3179:3194" x14ac:dyDescent="0.3">
      <c r="DRI3187" s="3148"/>
    </row>
    <row r="3188" spans="3179:3194" x14ac:dyDescent="0.3">
      <c r="DRJ3188" s="3149"/>
    </row>
    <row r="3189" spans="3179:3194" x14ac:dyDescent="0.3">
      <c r="DRK3189" s="3150"/>
    </row>
    <row r="3190" spans="3179:3194" x14ac:dyDescent="0.3">
      <c r="DRL3190" s="3151"/>
    </row>
    <row r="3191" spans="3179:3194" x14ac:dyDescent="0.3">
      <c r="DRM3191" s="3152"/>
    </row>
    <row r="3192" spans="3179:3194" x14ac:dyDescent="0.3">
      <c r="DRN3192" s="3153"/>
    </row>
    <row r="3193" spans="3179:3194" x14ac:dyDescent="0.3">
      <c r="DRO3193" s="3154"/>
    </row>
    <row r="3194" spans="3179:3194" x14ac:dyDescent="0.3">
      <c r="DRP3194" s="3155"/>
    </row>
    <row r="3195" spans="3179:3194" x14ac:dyDescent="0.3">
      <c r="DRQ3195" s="3156"/>
    </row>
    <row r="3196" spans="3179:3194" x14ac:dyDescent="0.3">
      <c r="DRR3196" s="3157"/>
    </row>
    <row r="3197" spans="3179:3194" x14ac:dyDescent="0.3">
      <c r="DRS3197" s="3158"/>
    </row>
    <row r="3198" spans="3179:3194" x14ac:dyDescent="0.3">
      <c r="DRT3198" s="3159"/>
    </row>
    <row r="3199" spans="3179:3194" x14ac:dyDescent="0.3">
      <c r="DRU3199" s="3160"/>
    </row>
    <row r="3200" spans="3179:3194" x14ac:dyDescent="0.3">
      <c r="DRV3200" s="3161"/>
    </row>
    <row r="3201" spans="3195:3210" x14ac:dyDescent="0.3">
      <c r="DRW3201" s="3162"/>
    </row>
    <row r="3202" spans="3195:3210" x14ac:dyDescent="0.3">
      <c r="DRX3202" s="3163"/>
    </row>
    <row r="3203" spans="3195:3210" x14ac:dyDescent="0.3">
      <c r="DRY3203" s="3164"/>
    </row>
    <row r="3204" spans="3195:3210" x14ac:dyDescent="0.3">
      <c r="DRZ3204" s="3165"/>
    </row>
    <row r="3205" spans="3195:3210" x14ac:dyDescent="0.3">
      <c r="DSA3205" s="3166"/>
    </row>
    <row r="3206" spans="3195:3210" x14ac:dyDescent="0.3">
      <c r="DSB3206" s="3167"/>
    </row>
    <row r="3207" spans="3195:3210" x14ac:dyDescent="0.3">
      <c r="DSC3207" s="3168"/>
    </row>
    <row r="3208" spans="3195:3210" x14ac:dyDescent="0.3">
      <c r="DSD3208" s="3169"/>
    </row>
    <row r="3209" spans="3195:3210" x14ac:dyDescent="0.3">
      <c r="DSE3209" s="3170"/>
    </row>
    <row r="3210" spans="3195:3210" x14ac:dyDescent="0.3">
      <c r="DSF3210" s="3171"/>
    </row>
    <row r="3211" spans="3195:3210" x14ac:dyDescent="0.3">
      <c r="DSG3211" s="3172"/>
    </row>
    <row r="3212" spans="3195:3210" x14ac:dyDescent="0.3">
      <c r="DSH3212" s="3173"/>
    </row>
    <row r="3213" spans="3195:3210" x14ac:dyDescent="0.3">
      <c r="DSI3213" s="3174"/>
    </row>
    <row r="3214" spans="3195:3210" x14ac:dyDescent="0.3">
      <c r="DSJ3214" s="3175"/>
    </row>
    <row r="3215" spans="3195:3210" x14ac:dyDescent="0.3">
      <c r="DSK3215" s="3176"/>
    </row>
    <row r="3216" spans="3195:3210" x14ac:dyDescent="0.3">
      <c r="DSL3216" s="3177"/>
    </row>
    <row r="3217" spans="3211:3226" x14ac:dyDescent="0.3">
      <c r="DSM3217" s="3178"/>
    </row>
    <row r="3218" spans="3211:3226" x14ac:dyDescent="0.3">
      <c r="DSN3218" s="3179"/>
    </row>
    <row r="3219" spans="3211:3226" x14ac:dyDescent="0.3">
      <c r="DSO3219" s="3180"/>
    </row>
    <row r="3220" spans="3211:3226" x14ac:dyDescent="0.3">
      <c r="DSP3220" s="3181"/>
    </row>
    <row r="3221" spans="3211:3226" x14ac:dyDescent="0.3">
      <c r="DSQ3221" s="3182"/>
    </row>
    <row r="3222" spans="3211:3226" x14ac:dyDescent="0.3">
      <c r="DSR3222" s="3183"/>
    </row>
    <row r="3223" spans="3211:3226" x14ac:dyDescent="0.3">
      <c r="DSS3223" s="3184"/>
    </row>
    <row r="3224" spans="3211:3226" x14ac:dyDescent="0.3">
      <c r="DST3224" s="3185"/>
    </row>
    <row r="3225" spans="3211:3226" x14ac:dyDescent="0.3">
      <c r="DSU3225" s="3186"/>
    </row>
    <row r="3226" spans="3211:3226" x14ac:dyDescent="0.3">
      <c r="DSV3226" s="3187"/>
    </row>
    <row r="3227" spans="3211:3226" x14ac:dyDescent="0.3">
      <c r="DSW3227" s="3188"/>
    </row>
    <row r="3228" spans="3211:3226" x14ac:dyDescent="0.3">
      <c r="DSX3228" s="3189"/>
    </row>
    <row r="3229" spans="3211:3226" x14ac:dyDescent="0.3">
      <c r="DSY3229" s="3190"/>
    </row>
    <row r="3230" spans="3211:3226" x14ac:dyDescent="0.3">
      <c r="DSZ3230" s="3191"/>
    </row>
    <row r="3231" spans="3211:3226" x14ac:dyDescent="0.3">
      <c r="DTA3231" s="3192"/>
    </row>
    <row r="3232" spans="3211:3226" x14ac:dyDescent="0.3">
      <c r="DTB3232" s="3193"/>
    </row>
    <row r="3233" spans="3227:3242" x14ac:dyDescent="0.3">
      <c r="DTC3233" s="3194"/>
    </row>
    <row r="3234" spans="3227:3242" x14ac:dyDescent="0.3">
      <c r="DTD3234" s="3195"/>
    </row>
    <row r="3235" spans="3227:3242" x14ac:dyDescent="0.3">
      <c r="DTE3235" s="3196"/>
    </row>
    <row r="3236" spans="3227:3242" x14ac:dyDescent="0.3">
      <c r="DTF3236" s="3197"/>
    </row>
    <row r="3237" spans="3227:3242" x14ac:dyDescent="0.3">
      <c r="DTG3237" s="3198"/>
    </row>
    <row r="3238" spans="3227:3242" x14ac:dyDescent="0.3">
      <c r="DTH3238" s="3199"/>
    </row>
    <row r="3239" spans="3227:3242" x14ac:dyDescent="0.3">
      <c r="DTI3239" s="3200"/>
    </row>
    <row r="3240" spans="3227:3242" x14ac:dyDescent="0.3">
      <c r="DTJ3240" s="3201"/>
    </row>
    <row r="3241" spans="3227:3242" x14ac:dyDescent="0.3">
      <c r="DTK3241" s="3202"/>
    </row>
    <row r="3242" spans="3227:3242" x14ac:dyDescent="0.3">
      <c r="DTL3242" s="3203"/>
    </row>
    <row r="3243" spans="3227:3242" x14ac:dyDescent="0.3">
      <c r="DTM3243" s="3204"/>
    </row>
    <row r="3244" spans="3227:3242" x14ac:dyDescent="0.3">
      <c r="DTN3244" s="3205"/>
    </row>
    <row r="3245" spans="3227:3242" x14ac:dyDescent="0.3">
      <c r="DTO3245" s="3206"/>
    </row>
    <row r="3246" spans="3227:3242" x14ac:dyDescent="0.3">
      <c r="DTP3246" s="3207"/>
    </row>
    <row r="3247" spans="3227:3242" x14ac:dyDescent="0.3">
      <c r="DTQ3247" s="3208"/>
    </row>
    <row r="3248" spans="3227:3242" x14ac:dyDescent="0.3">
      <c r="DTR3248" s="3209"/>
    </row>
    <row r="3249" spans="3243:3258" x14ac:dyDescent="0.3">
      <c r="DTS3249" s="3210"/>
    </row>
    <row r="3250" spans="3243:3258" x14ac:dyDescent="0.3">
      <c r="DTT3250" s="3211"/>
    </row>
    <row r="3251" spans="3243:3258" x14ac:dyDescent="0.3">
      <c r="DTU3251" s="3212"/>
    </row>
    <row r="3252" spans="3243:3258" x14ac:dyDescent="0.3">
      <c r="DTV3252" s="3213"/>
    </row>
    <row r="3253" spans="3243:3258" x14ac:dyDescent="0.3">
      <c r="DTW3253" s="3214"/>
    </row>
    <row r="3254" spans="3243:3258" x14ac:dyDescent="0.3">
      <c r="DTX3254" s="3215"/>
    </row>
    <row r="3255" spans="3243:3258" x14ac:dyDescent="0.3">
      <c r="DTY3255" s="3216"/>
    </row>
    <row r="3256" spans="3243:3258" x14ac:dyDescent="0.3">
      <c r="DTZ3256" s="3217"/>
    </row>
    <row r="3257" spans="3243:3258" x14ac:dyDescent="0.3">
      <c r="DUA3257" s="3218"/>
    </row>
    <row r="3258" spans="3243:3258" x14ac:dyDescent="0.3">
      <c r="DUB3258" s="3219"/>
    </row>
    <row r="3259" spans="3243:3258" x14ac:dyDescent="0.3">
      <c r="DUC3259" s="3220"/>
    </row>
    <row r="3260" spans="3243:3258" x14ac:dyDescent="0.3">
      <c r="DUD3260" s="3221"/>
    </row>
    <row r="3261" spans="3243:3258" x14ac:dyDescent="0.3">
      <c r="DUE3261" s="3222"/>
    </row>
    <row r="3262" spans="3243:3258" x14ac:dyDescent="0.3">
      <c r="DUF3262" s="3223"/>
    </row>
    <row r="3263" spans="3243:3258" x14ac:dyDescent="0.3">
      <c r="DUG3263" s="3224"/>
    </row>
    <row r="3264" spans="3243:3258" x14ac:dyDescent="0.3">
      <c r="DUH3264" s="3225"/>
    </row>
    <row r="3265" spans="3259:3274" x14ac:dyDescent="0.3">
      <c r="DUI3265" s="3226"/>
    </row>
    <row r="3266" spans="3259:3274" x14ac:dyDescent="0.3">
      <c r="DUJ3266" s="3227"/>
    </row>
    <row r="3267" spans="3259:3274" x14ac:dyDescent="0.3">
      <c r="DUK3267" s="3228"/>
    </row>
    <row r="3268" spans="3259:3274" x14ac:dyDescent="0.3">
      <c r="DUL3268" s="3229"/>
    </row>
    <row r="3269" spans="3259:3274" x14ac:dyDescent="0.3">
      <c r="DUM3269" s="3230"/>
    </row>
    <row r="3270" spans="3259:3274" x14ac:dyDescent="0.3">
      <c r="DUN3270" s="3231"/>
    </row>
    <row r="3271" spans="3259:3274" x14ac:dyDescent="0.3">
      <c r="DUO3271" s="3232"/>
    </row>
    <row r="3272" spans="3259:3274" x14ac:dyDescent="0.3">
      <c r="DUP3272" s="3233"/>
    </row>
    <row r="3273" spans="3259:3274" x14ac:dyDescent="0.3">
      <c r="DUQ3273" s="3234"/>
    </row>
    <row r="3274" spans="3259:3274" x14ac:dyDescent="0.3">
      <c r="DUR3274" s="3235"/>
    </row>
    <row r="3275" spans="3259:3274" x14ac:dyDescent="0.3">
      <c r="DUS3275" s="3236"/>
    </row>
    <row r="3276" spans="3259:3274" x14ac:dyDescent="0.3">
      <c r="DUT3276" s="3237"/>
    </row>
    <row r="3277" spans="3259:3274" x14ac:dyDescent="0.3">
      <c r="DUU3277" s="3238"/>
    </row>
    <row r="3278" spans="3259:3274" x14ac:dyDescent="0.3">
      <c r="DUV3278" s="3239"/>
    </row>
    <row r="3279" spans="3259:3274" x14ac:dyDescent="0.3">
      <c r="DUW3279" s="3240"/>
    </row>
    <row r="3280" spans="3259:3274" x14ac:dyDescent="0.3">
      <c r="DUX3280" s="3241"/>
    </row>
    <row r="3281" spans="3275:3290" x14ac:dyDescent="0.3">
      <c r="DUY3281" s="3242"/>
    </row>
    <row r="3282" spans="3275:3290" x14ac:dyDescent="0.3">
      <c r="DUZ3282" s="3243"/>
    </row>
    <row r="3283" spans="3275:3290" x14ac:dyDescent="0.3">
      <c r="DVA3283" s="3244"/>
    </row>
    <row r="3284" spans="3275:3290" x14ac:dyDescent="0.3">
      <c r="DVB3284" s="3245"/>
    </row>
    <row r="3285" spans="3275:3290" x14ac:dyDescent="0.3">
      <c r="DVC3285" s="3246"/>
    </row>
    <row r="3286" spans="3275:3290" x14ac:dyDescent="0.3">
      <c r="DVD3286" s="3247"/>
    </row>
    <row r="3287" spans="3275:3290" x14ac:dyDescent="0.3">
      <c r="DVE3287" s="3248"/>
    </row>
    <row r="3288" spans="3275:3290" x14ac:dyDescent="0.3">
      <c r="DVF3288" s="3249"/>
    </row>
    <row r="3289" spans="3275:3290" x14ac:dyDescent="0.3">
      <c r="DVG3289" s="3250"/>
    </row>
    <row r="3290" spans="3275:3290" x14ac:dyDescent="0.3">
      <c r="DVH3290" s="3251"/>
    </row>
    <row r="3291" spans="3275:3290" x14ac:dyDescent="0.3">
      <c r="DVI3291" s="3252"/>
    </row>
    <row r="3292" spans="3275:3290" x14ac:dyDescent="0.3">
      <c r="DVJ3292" s="3253"/>
    </row>
    <row r="3293" spans="3275:3290" x14ac:dyDescent="0.3">
      <c r="DVK3293" s="3254"/>
    </row>
    <row r="3294" spans="3275:3290" x14ac:dyDescent="0.3">
      <c r="DVL3294" s="3255"/>
    </row>
    <row r="3295" spans="3275:3290" x14ac:dyDescent="0.3">
      <c r="DVM3295" s="3256"/>
    </row>
    <row r="3296" spans="3275:3290" x14ac:dyDescent="0.3">
      <c r="DVN3296" s="3257"/>
    </row>
    <row r="3297" spans="3291:3306" x14ac:dyDescent="0.3">
      <c r="DVO3297" s="3258"/>
    </row>
    <row r="3298" spans="3291:3306" x14ac:dyDescent="0.3">
      <c r="DVP3298" s="3259"/>
    </row>
    <row r="3299" spans="3291:3306" x14ac:dyDescent="0.3">
      <c r="DVQ3299" s="3260"/>
    </row>
    <row r="3300" spans="3291:3306" x14ac:dyDescent="0.3">
      <c r="DVR3300" s="3261"/>
    </row>
    <row r="3301" spans="3291:3306" x14ac:dyDescent="0.3">
      <c r="DVS3301" s="3262"/>
    </row>
    <row r="3302" spans="3291:3306" x14ac:dyDescent="0.3">
      <c r="DVT3302" s="3263"/>
    </row>
    <row r="3303" spans="3291:3306" x14ac:dyDescent="0.3">
      <c r="DVU3303" s="3264"/>
    </row>
    <row r="3304" spans="3291:3306" x14ac:dyDescent="0.3">
      <c r="DVV3304" s="3265"/>
    </row>
    <row r="3305" spans="3291:3306" x14ac:dyDescent="0.3">
      <c r="DVW3305" s="3266"/>
    </row>
    <row r="3306" spans="3291:3306" x14ac:dyDescent="0.3">
      <c r="DVX3306" s="3267"/>
    </row>
    <row r="3307" spans="3291:3306" x14ac:dyDescent="0.3">
      <c r="DVY3307" s="3268"/>
    </row>
    <row r="3308" spans="3291:3306" x14ac:dyDescent="0.3">
      <c r="DVZ3308" s="3269"/>
    </row>
    <row r="3309" spans="3291:3306" x14ac:dyDescent="0.3">
      <c r="DWA3309" s="3270"/>
    </row>
    <row r="3310" spans="3291:3306" x14ac:dyDescent="0.3">
      <c r="DWB3310" s="3271"/>
    </row>
    <row r="3311" spans="3291:3306" x14ac:dyDescent="0.3">
      <c r="DWC3311" s="3272"/>
    </row>
    <row r="3312" spans="3291:3306" x14ac:dyDescent="0.3">
      <c r="DWD3312" s="3273"/>
    </row>
    <row r="3313" spans="3307:3322" x14ac:dyDescent="0.3">
      <c r="DWE3313" s="3274"/>
    </row>
    <row r="3314" spans="3307:3322" x14ac:dyDescent="0.3">
      <c r="DWF3314" s="3275"/>
    </row>
    <row r="3315" spans="3307:3322" x14ac:dyDescent="0.3">
      <c r="DWG3315" s="3276"/>
    </row>
    <row r="3316" spans="3307:3322" x14ac:dyDescent="0.3">
      <c r="DWH3316" s="3277"/>
    </row>
    <row r="3317" spans="3307:3322" x14ac:dyDescent="0.3">
      <c r="DWI3317" s="3278"/>
    </row>
    <row r="3318" spans="3307:3322" x14ac:dyDescent="0.3">
      <c r="DWJ3318" s="3279"/>
    </row>
    <row r="3319" spans="3307:3322" x14ac:dyDescent="0.3">
      <c r="DWK3319" s="3280"/>
    </row>
    <row r="3320" spans="3307:3322" x14ac:dyDescent="0.3">
      <c r="DWL3320" s="3281"/>
    </row>
    <row r="3321" spans="3307:3322" x14ac:dyDescent="0.3">
      <c r="DWM3321" s="3282"/>
    </row>
    <row r="3322" spans="3307:3322" x14ac:dyDescent="0.3">
      <c r="DWN3322" s="3283"/>
    </row>
    <row r="3323" spans="3307:3322" x14ac:dyDescent="0.3">
      <c r="DWO3323" s="3284"/>
    </row>
    <row r="3324" spans="3307:3322" x14ac:dyDescent="0.3">
      <c r="DWP3324" s="3285"/>
    </row>
    <row r="3325" spans="3307:3322" x14ac:dyDescent="0.3">
      <c r="DWQ3325" s="3286"/>
    </row>
    <row r="3326" spans="3307:3322" x14ac:dyDescent="0.3">
      <c r="DWR3326" s="3287"/>
    </row>
    <row r="3327" spans="3307:3322" x14ac:dyDescent="0.3">
      <c r="DWS3327" s="3288"/>
    </row>
    <row r="3328" spans="3307:3322" x14ac:dyDescent="0.3">
      <c r="DWT3328" s="3289"/>
    </row>
    <row r="3329" spans="3323:3338" x14ac:dyDescent="0.3">
      <c r="DWU3329" s="3290"/>
    </row>
    <row r="3330" spans="3323:3338" x14ac:dyDescent="0.3">
      <c r="DWV3330" s="3291"/>
    </row>
    <row r="3331" spans="3323:3338" x14ac:dyDescent="0.3">
      <c r="DWW3331" s="3292"/>
    </row>
    <row r="3332" spans="3323:3338" x14ac:dyDescent="0.3">
      <c r="DWX3332" s="3293"/>
    </row>
    <row r="3333" spans="3323:3338" x14ac:dyDescent="0.3">
      <c r="DWY3333" s="3294"/>
    </row>
    <row r="3334" spans="3323:3338" x14ac:dyDescent="0.3">
      <c r="DWZ3334" s="3295"/>
    </row>
    <row r="3335" spans="3323:3338" x14ac:dyDescent="0.3">
      <c r="DXA3335" s="3296"/>
    </row>
    <row r="3336" spans="3323:3338" x14ac:dyDescent="0.3">
      <c r="DXB3336" s="3297"/>
    </row>
    <row r="3337" spans="3323:3338" x14ac:dyDescent="0.3">
      <c r="DXC3337" s="3298"/>
    </row>
    <row r="3338" spans="3323:3338" x14ac:dyDescent="0.3">
      <c r="DXD3338" s="3299"/>
    </row>
    <row r="3339" spans="3323:3338" x14ac:dyDescent="0.3">
      <c r="DXE3339" s="3300"/>
    </row>
    <row r="3340" spans="3323:3338" x14ac:dyDescent="0.3">
      <c r="DXF3340" s="3301"/>
    </row>
    <row r="3341" spans="3323:3338" x14ac:dyDescent="0.3">
      <c r="DXG3341" s="3302"/>
    </row>
    <row r="3342" spans="3323:3338" x14ac:dyDescent="0.3">
      <c r="DXH3342" s="3303"/>
    </row>
    <row r="3343" spans="3323:3338" x14ac:dyDescent="0.3">
      <c r="DXI3343" s="3304"/>
    </row>
    <row r="3344" spans="3323:3338" x14ac:dyDescent="0.3">
      <c r="DXJ3344" s="3305"/>
    </row>
    <row r="3345" spans="3339:3354" x14ac:dyDescent="0.3">
      <c r="DXK3345" s="3306"/>
    </row>
    <row r="3346" spans="3339:3354" x14ac:dyDescent="0.3">
      <c r="DXL3346" s="3307"/>
    </row>
    <row r="3347" spans="3339:3354" x14ac:dyDescent="0.3">
      <c r="DXM3347" s="3307"/>
    </row>
    <row r="3348" spans="3339:3354" x14ac:dyDescent="0.3">
      <c r="DXN3348" s="3308"/>
    </row>
    <row r="3349" spans="3339:3354" x14ac:dyDescent="0.3">
      <c r="DXO3349" s="3309"/>
    </row>
    <row r="3350" spans="3339:3354" x14ac:dyDescent="0.3">
      <c r="DXP3350" s="3310"/>
    </row>
    <row r="3351" spans="3339:3354" x14ac:dyDescent="0.3">
      <c r="DXQ3351" s="3311"/>
    </row>
    <row r="3352" spans="3339:3354" x14ac:dyDescent="0.3">
      <c r="DXR3352" s="3312"/>
    </row>
    <row r="3353" spans="3339:3354" x14ac:dyDescent="0.3">
      <c r="DXS3353" s="3313"/>
    </row>
    <row r="3354" spans="3339:3354" x14ac:dyDescent="0.3">
      <c r="DXT3354" s="3314"/>
    </row>
    <row r="3355" spans="3339:3354" x14ac:dyDescent="0.3">
      <c r="DXU3355" s="3315"/>
    </row>
    <row r="3356" spans="3339:3354" x14ac:dyDescent="0.3">
      <c r="DXV3356" s="3316"/>
    </row>
    <row r="3357" spans="3339:3354" x14ac:dyDescent="0.3">
      <c r="DXW3357" s="3317"/>
    </row>
    <row r="3358" spans="3339:3354" x14ac:dyDescent="0.3">
      <c r="DXX3358" s="3318"/>
    </row>
    <row r="3359" spans="3339:3354" x14ac:dyDescent="0.3">
      <c r="DXY3359" s="3319"/>
    </row>
    <row r="3360" spans="3339:3354" x14ac:dyDescent="0.3">
      <c r="DXZ3360" s="3320"/>
    </row>
    <row r="3361" spans="3355:3370" x14ac:dyDescent="0.3">
      <c r="DYA3361" s="3321"/>
    </row>
    <row r="3362" spans="3355:3370" x14ac:dyDescent="0.3">
      <c r="DYB3362" s="3322"/>
    </row>
    <row r="3363" spans="3355:3370" x14ac:dyDescent="0.3">
      <c r="DYC3363" s="3323"/>
    </row>
    <row r="3364" spans="3355:3370" x14ac:dyDescent="0.3">
      <c r="DYD3364" s="3324"/>
    </row>
    <row r="3365" spans="3355:3370" x14ac:dyDescent="0.3">
      <c r="DYE3365" s="3325"/>
    </row>
    <row r="3366" spans="3355:3370" x14ac:dyDescent="0.3">
      <c r="DYF3366" s="3326"/>
    </row>
    <row r="3367" spans="3355:3370" x14ac:dyDescent="0.3">
      <c r="DYG3367" s="3327"/>
    </row>
    <row r="3368" spans="3355:3370" x14ac:dyDescent="0.3">
      <c r="DYH3368" s="3328"/>
    </row>
    <row r="3369" spans="3355:3370" x14ac:dyDescent="0.3">
      <c r="DYI3369" s="3329"/>
    </row>
    <row r="3370" spans="3355:3370" x14ac:dyDescent="0.3">
      <c r="DYJ3370" s="3330"/>
    </row>
    <row r="3371" spans="3355:3370" x14ac:dyDescent="0.3">
      <c r="DYK3371" s="3331"/>
    </row>
    <row r="3372" spans="3355:3370" x14ac:dyDescent="0.3">
      <c r="DYL3372" s="3332"/>
    </row>
    <row r="3373" spans="3355:3370" x14ac:dyDescent="0.3">
      <c r="DYM3373" s="3333"/>
    </row>
    <row r="3374" spans="3355:3370" x14ac:dyDescent="0.3">
      <c r="DYN3374" s="3334"/>
    </row>
    <row r="3375" spans="3355:3370" x14ac:dyDescent="0.3">
      <c r="DYO3375" s="3335"/>
    </row>
    <row r="3376" spans="3355:3370" x14ac:dyDescent="0.3">
      <c r="DYP3376" s="3336"/>
    </row>
    <row r="3377" spans="3371:3386" x14ac:dyDescent="0.3">
      <c r="DYQ3377" s="3337"/>
    </row>
    <row r="3378" spans="3371:3386" x14ac:dyDescent="0.3">
      <c r="DYR3378" s="3338"/>
    </row>
    <row r="3379" spans="3371:3386" x14ac:dyDescent="0.3">
      <c r="DYS3379" s="3339"/>
    </row>
    <row r="3380" spans="3371:3386" x14ac:dyDescent="0.3">
      <c r="DYT3380" s="3340"/>
    </row>
    <row r="3381" spans="3371:3386" x14ac:dyDescent="0.3">
      <c r="DYU3381" s="3341"/>
    </row>
    <row r="3382" spans="3371:3386" x14ac:dyDescent="0.3">
      <c r="DYV3382" s="3342"/>
    </row>
    <row r="3383" spans="3371:3386" x14ac:dyDescent="0.3">
      <c r="DYW3383" s="3343"/>
    </row>
    <row r="3384" spans="3371:3386" x14ac:dyDescent="0.3">
      <c r="DYX3384" s="3344"/>
    </row>
    <row r="3385" spans="3371:3386" x14ac:dyDescent="0.3">
      <c r="DYY3385" s="3345"/>
    </row>
    <row r="3386" spans="3371:3386" x14ac:dyDescent="0.3">
      <c r="DYZ3386" s="3346"/>
    </row>
    <row r="3387" spans="3371:3386" x14ac:dyDescent="0.3">
      <c r="DZA3387" s="3347"/>
    </row>
    <row r="3388" spans="3371:3386" x14ac:dyDescent="0.3">
      <c r="DZB3388" s="3348"/>
    </row>
    <row r="3389" spans="3371:3386" x14ac:dyDescent="0.3">
      <c r="DZC3389" s="3349"/>
    </row>
    <row r="3390" spans="3371:3386" x14ac:dyDescent="0.3">
      <c r="DZD3390" s="3350"/>
    </row>
    <row r="3391" spans="3371:3386" x14ac:dyDescent="0.3">
      <c r="DZE3391" s="3351"/>
    </row>
    <row r="3392" spans="3371:3386" x14ac:dyDescent="0.3">
      <c r="DZF3392" s="3352"/>
    </row>
    <row r="3393" spans="3387:3402" x14ac:dyDescent="0.3">
      <c r="DZG3393" s="3353"/>
    </row>
    <row r="3394" spans="3387:3402" x14ac:dyDescent="0.3">
      <c r="DZH3394" s="3354"/>
    </row>
    <row r="3395" spans="3387:3402" x14ac:dyDescent="0.3">
      <c r="DZI3395" s="3355"/>
    </row>
    <row r="3396" spans="3387:3402" x14ac:dyDescent="0.3">
      <c r="DZJ3396" s="3356"/>
    </row>
    <row r="3397" spans="3387:3402" x14ac:dyDescent="0.3">
      <c r="DZK3397" s="3357"/>
    </row>
    <row r="3398" spans="3387:3402" x14ac:dyDescent="0.3">
      <c r="DZL3398" s="3358"/>
    </row>
    <row r="3399" spans="3387:3402" x14ac:dyDescent="0.3">
      <c r="DZM3399" s="3359"/>
    </row>
    <row r="3400" spans="3387:3402" x14ac:dyDescent="0.3">
      <c r="DZN3400" s="3360"/>
    </row>
    <row r="3401" spans="3387:3402" x14ac:dyDescent="0.3">
      <c r="DZO3401" s="3361"/>
    </row>
    <row r="3402" spans="3387:3402" x14ac:dyDescent="0.3">
      <c r="DZP3402" s="3362"/>
    </row>
    <row r="3403" spans="3387:3402" x14ac:dyDescent="0.3">
      <c r="DZQ3403" s="3363"/>
    </row>
    <row r="3404" spans="3387:3402" x14ac:dyDescent="0.3">
      <c r="DZR3404" s="3364"/>
    </row>
    <row r="3405" spans="3387:3402" x14ac:dyDescent="0.3">
      <c r="DZS3405" s="3365"/>
    </row>
    <row r="3406" spans="3387:3402" x14ac:dyDescent="0.3">
      <c r="DZT3406" s="3366"/>
    </row>
    <row r="3407" spans="3387:3402" x14ac:dyDescent="0.3">
      <c r="DZU3407" s="3367"/>
    </row>
    <row r="3408" spans="3387:3402" x14ac:dyDescent="0.3">
      <c r="DZV3408" s="3368"/>
    </row>
    <row r="3409" spans="3403:3418" x14ac:dyDescent="0.3">
      <c r="DZW3409" s="3369"/>
    </row>
    <row r="3410" spans="3403:3418" x14ac:dyDescent="0.3">
      <c r="DZX3410" s="3370"/>
    </row>
    <row r="3411" spans="3403:3418" x14ac:dyDescent="0.3">
      <c r="DZY3411" s="3371"/>
    </row>
    <row r="3412" spans="3403:3418" x14ac:dyDescent="0.3">
      <c r="DZZ3412" s="3372"/>
    </row>
    <row r="3413" spans="3403:3418" x14ac:dyDescent="0.3">
      <c r="EAA3413" s="3373"/>
    </row>
    <row r="3414" spans="3403:3418" x14ac:dyDescent="0.3">
      <c r="EAB3414" s="3374"/>
    </row>
    <row r="3415" spans="3403:3418" x14ac:dyDescent="0.3">
      <c r="EAC3415" s="3375"/>
    </row>
    <row r="3416" spans="3403:3418" x14ac:dyDescent="0.3">
      <c r="EAD3416" s="3376"/>
    </row>
    <row r="3417" spans="3403:3418" x14ac:dyDescent="0.3">
      <c r="EAE3417" s="3377"/>
    </row>
    <row r="3418" spans="3403:3418" x14ac:dyDescent="0.3">
      <c r="EAF3418" s="3378"/>
    </row>
    <row r="3419" spans="3403:3418" x14ac:dyDescent="0.3">
      <c r="EAG3419" s="3379"/>
    </row>
    <row r="3420" spans="3403:3418" x14ac:dyDescent="0.3">
      <c r="EAH3420" s="3380"/>
    </row>
    <row r="3421" spans="3403:3418" x14ac:dyDescent="0.3">
      <c r="EAI3421" s="3381"/>
    </row>
    <row r="3422" spans="3403:3418" x14ac:dyDescent="0.3">
      <c r="EAJ3422" s="3382"/>
    </row>
    <row r="3423" spans="3403:3418" x14ac:dyDescent="0.3">
      <c r="EAK3423" s="3383"/>
    </row>
    <row r="3424" spans="3403:3418" x14ac:dyDescent="0.3">
      <c r="EAL3424" s="3384"/>
    </row>
    <row r="3425" spans="3419:3434" x14ac:dyDescent="0.3">
      <c r="EAM3425" s="3385"/>
    </row>
    <row r="3426" spans="3419:3434" x14ac:dyDescent="0.3">
      <c r="EAN3426" s="3386"/>
    </row>
    <row r="3427" spans="3419:3434" x14ac:dyDescent="0.3">
      <c r="EAO3427" s="3387"/>
    </row>
    <row r="3428" spans="3419:3434" x14ac:dyDescent="0.3">
      <c r="EAP3428" s="3388"/>
    </row>
    <row r="3429" spans="3419:3434" x14ac:dyDescent="0.3">
      <c r="EAQ3429" s="3389"/>
    </row>
    <row r="3430" spans="3419:3434" x14ac:dyDescent="0.3">
      <c r="EAR3430" s="3390"/>
    </row>
    <row r="3431" spans="3419:3434" x14ac:dyDescent="0.3">
      <c r="EAS3431" s="3391"/>
    </row>
    <row r="3432" spans="3419:3434" x14ac:dyDescent="0.3">
      <c r="EAT3432" s="3392"/>
    </row>
    <row r="3433" spans="3419:3434" x14ac:dyDescent="0.3">
      <c r="EAU3433" s="3393"/>
    </row>
    <row r="3434" spans="3419:3434" x14ac:dyDescent="0.3">
      <c r="EAV3434" s="3394"/>
    </row>
    <row r="3435" spans="3419:3434" x14ac:dyDescent="0.3">
      <c r="EAW3435" s="3395"/>
    </row>
    <row r="3436" spans="3419:3434" x14ac:dyDescent="0.3">
      <c r="EAX3436" s="3396"/>
    </row>
    <row r="3437" spans="3419:3434" x14ac:dyDescent="0.3">
      <c r="EAY3437" s="3397"/>
    </row>
    <row r="3438" spans="3419:3434" x14ac:dyDescent="0.3">
      <c r="EAZ3438" s="3398"/>
    </row>
    <row r="3439" spans="3419:3434" x14ac:dyDescent="0.3">
      <c r="EBA3439" s="3399"/>
    </row>
    <row r="3440" spans="3419:3434" x14ac:dyDescent="0.3">
      <c r="EBB3440" s="3400"/>
    </row>
    <row r="3441" spans="3435:3450" x14ac:dyDescent="0.3">
      <c r="EBC3441" s="3401"/>
    </row>
    <row r="3442" spans="3435:3450" x14ac:dyDescent="0.3">
      <c r="EBD3442" s="3402"/>
    </row>
    <row r="3443" spans="3435:3450" x14ac:dyDescent="0.3">
      <c r="EBE3443" s="3403"/>
    </row>
    <row r="3444" spans="3435:3450" x14ac:dyDescent="0.3">
      <c r="EBF3444" s="3404"/>
    </row>
    <row r="3445" spans="3435:3450" x14ac:dyDescent="0.3">
      <c r="EBG3445" s="3405"/>
    </row>
    <row r="3446" spans="3435:3450" x14ac:dyDescent="0.3">
      <c r="EBH3446" s="3406"/>
    </row>
    <row r="3447" spans="3435:3450" x14ac:dyDescent="0.3">
      <c r="EBI3447" s="3407"/>
    </row>
    <row r="3448" spans="3435:3450" x14ac:dyDescent="0.3">
      <c r="EBJ3448" s="3408"/>
    </row>
    <row r="3449" spans="3435:3450" x14ac:dyDescent="0.3">
      <c r="EBK3449" s="3409"/>
    </row>
    <row r="3450" spans="3435:3450" x14ac:dyDescent="0.3">
      <c r="EBL3450" s="3410"/>
    </row>
    <row r="3451" spans="3435:3450" x14ac:dyDescent="0.3">
      <c r="EBM3451" s="3411"/>
    </row>
    <row r="3452" spans="3435:3450" x14ac:dyDescent="0.3">
      <c r="EBN3452" s="3412"/>
    </row>
    <row r="3453" spans="3435:3450" x14ac:dyDescent="0.3">
      <c r="EBO3453" s="3413"/>
    </row>
    <row r="3454" spans="3435:3450" x14ac:dyDescent="0.3">
      <c r="EBP3454" s="3414"/>
    </row>
    <row r="3455" spans="3435:3450" x14ac:dyDescent="0.3">
      <c r="EBQ3455" s="3415"/>
    </row>
    <row r="3456" spans="3435:3450" x14ac:dyDescent="0.3">
      <c r="EBR3456" s="3416"/>
    </row>
    <row r="3457" spans="3451:3466" x14ac:dyDescent="0.3">
      <c r="EBS3457" s="3417"/>
    </row>
    <row r="3458" spans="3451:3466" x14ac:dyDescent="0.3">
      <c r="EBT3458" s="3418"/>
    </row>
    <row r="3459" spans="3451:3466" x14ac:dyDescent="0.3">
      <c r="EBU3459" s="3419"/>
    </row>
    <row r="3460" spans="3451:3466" x14ac:dyDescent="0.3">
      <c r="EBV3460" s="3420"/>
    </row>
    <row r="3461" spans="3451:3466" x14ac:dyDescent="0.3">
      <c r="EBW3461" s="3421"/>
    </row>
    <row r="3462" spans="3451:3466" x14ac:dyDescent="0.3">
      <c r="EBX3462" s="3422"/>
    </row>
    <row r="3463" spans="3451:3466" x14ac:dyDescent="0.3">
      <c r="EBY3463" s="3423"/>
    </row>
    <row r="3464" spans="3451:3466" x14ac:dyDescent="0.3">
      <c r="EBZ3464" s="3424"/>
    </row>
    <row r="3465" spans="3451:3466" x14ac:dyDescent="0.3">
      <c r="ECA3465" s="3425"/>
    </row>
    <row r="3466" spans="3451:3466" x14ac:dyDescent="0.3">
      <c r="ECB3466" s="3426"/>
    </row>
    <row r="3467" spans="3451:3466" x14ac:dyDescent="0.3">
      <c r="ECC3467" s="3427"/>
    </row>
    <row r="3468" spans="3451:3466" x14ac:dyDescent="0.3">
      <c r="ECD3468" s="3428"/>
    </row>
    <row r="3469" spans="3451:3466" x14ac:dyDescent="0.3">
      <c r="ECE3469" s="3429"/>
    </row>
    <row r="3470" spans="3451:3466" x14ac:dyDescent="0.3">
      <c r="ECF3470" s="3430"/>
    </row>
    <row r="3471" spans="3451:3466" x14ac:dyDescent="0.3">
      <c r="ECG3471" s="3431"/>
    </row>
    <row r="3472" spans="3451:3466" x14ac:dyDescent="0.3">
      <c r="ECH3472" s="3432"/>
    </row>
    <row r="3473" spans="3467:3482" x14ac:dyDescent="0.3">
      <c r="ECI3473" s="3433"/>
    </row>
    <row r="3474" spans="3467:3482" x14ac:dyDescent="0.3">
      <c r="ECJ3474" s="3434"/>
    </row>
    <row r="3475" spans="3467:3482" x14ac:dyDescent="0.3">
      <c r="ECK3475" s="3435"/>
    </row>
    <row r="3476" spans="3467:3482" x14ac:dyDescent="0.3">
      <c r="ECL3476" s="3436"/>
    </row>
    <row r="3477" spans="3467:3482" x14ac:dyDescent="0.3">
      <c r="ECM3477" s="3437"/>
    </row>
    <row r="3478" spans="3467:3482" x14ac:dyDescent="0.3">
      <c r="ECN3478" s="3438"/>
    </row>
    <row r="3479" spans="3467:3482" x14ac:dyDescent="0.3">
      <c r="ECO3479" s="3439"/>
    </row>
    <row r="3480" spans="3467:3482" x14ac:dyDescent="0.3">
      <c r="ECP3480" s="3440"/>
    </row>
    <row r="3481" spans="3467:3482" x14ac:dyDescent="0.3">
      <c r="ECQ3481" s="3441"/>
    </row>
    <row r="3482" spans="3467:3482" x14ac:dyDescent="0.3">
      <c r="ECR3482" s="3442"/>
    </row>
    <row r="3483" spans="3467:3482" x14ac:dyDescent="0.3">
      <c r="ECS3483" s="3443"/>
    </row>
    <row r="3484" spans="3467:3482" x14ac:dyDescent="0.3">
      <c r="ECT3484" s="3444"/>
    </row>
    <row r="3485" spans="3467:3482" x14ac:dyDescent="0.3">
      <c r="ECU3485" s="3445"/>
    </row>
    <row r="3486" spans="3467:3482" x14ac:dyDescent="0.3">
      <c r="ECV3486" s="3446"/>
    </row>
    <row r="3487" spans="3467:3482" x14ac:dyDescent="0.3">
      <c r="ECW3487" s="3447"/>
    </row>
    <row r="3488" spans="3467:3482" x14ac:dyDescent="0.3">
      <c r="ECX3488" s="3448"/>
    </row>
    <row r="3489" spans="3483:3498" x14ac:dyDescent="0.3">
      <c r="ECY3489" s="3449"/>
    </row>
    <row r="3490" spans="3483:3498" x14ac:dyDescent="0.3">
      <c r="ECZ3490" s="3450"/>
    </row>
    <row r="3491" spans="3483:3498" x14ac:dyDescent="0.3">
      <c r="EDA3491" s="3451"/>
    </row>
    <row r="3492" spans="3483:3498" x14ac:dyDescent="0.3">
      <c r="EDB3492" s="3452"/>
    </row>
    <row r="3493" spans="3483:3498" x14ac:dyDescent="0.3">
      <c r="EDC3493" s="3453"/>
    </row>
    <row r="3494" spans="3483:3498" x14ac:dyDescent="0.3">
      <c r="EDD3494" s="3454"/>
    </row>
    <row r="3495" spans="3483:3498" x14ac:dyDescent="0.3">
      <c r="EDE3495" s="3455"/>
    </row>
    <row r="3496" spans="3483:3498" x14ac:dyDescent="0.3">
      <c r="EDF3496" s="3456"/>
    </row>
    <row r="3497" spans="3483:3498" x14ac:dyDescent="0.3">
      <c r="EDG3497" s="3457"/>
    </row>
    <row r="3498" spans="3483:3498" x14ac:dyDescent="0.3">
      <c r="EDH3498" s="3458"/>
    </row>
    <row r="3499" spans="3483:3498" x14ac:dyDescent="0.3">
      <c r="EDI3499" s="3459"/>
    </row>
    <row r="3500" spans="3483:3498" x14ac:dyDescent="0.3">
      <c r="EDJ3500" s="3460"/>
    </row>
    <row r="3501" spans="3483:3498" x14ac:dyDescent="0.3">
      <c r="EDK3501" s="3461"/>
    </row>
    <row r="3502" spans="3483:3498" x14ac:dyDescent="0.3">
      <c r="EDL3502" s="3462"/>
    </row>
    <row r="3503" spans="3483:3498" x14ac:dyDescent="0.3">
      <c r="EDM3503" s="3463"/>
    </row>
    <row r="3504" spans="3483:3498" x14ac:dyDescent="0.3">
      <c r="EDN3504" s="3464"/>
    </row>
    <row r="3505" spans="3499:3514" x14ac:dyDescent="0.3">
      <c r="EDO3505" s="3465"/>
    </row>
    <row r="3506" spans="3499:3514" x14ac:dyDescent="0.3">
      <c r="EDP3506" s="3466"/>
    </row>
    <row r="3507" spans="3499:3514" x14ac:dyDescent="0.3">
      <c r="EDQ3507" s="3467"/>
    </row>
    <row r="3508" spans="3499:3514" x14ac:dyDescent="0.3">
      <c r="EDR3508" s="3468"/>
    </row>
    <row r="3509" spans="3499:3514" x14ac:dyDescent="0.3">
      <c r="EDS3509" s="3469"/>
    </row>
    <row r="3510" spans="3499:3514" x14ac:dyDescent="0.3">
      <c r="EDT3510" s="3470"/>
    </row>
    <row r="3511" spans="3499:3514" x14ac:dyDescent="0.3">
      <c r="EDU3511" s="3471"/>
    </row>
    <row r="3512" spans="3499:3514" x14ac:dyDescent="0.3">
      <c r="EDV3512" s="3472"/>
    </row>
    <row r="3513" spans="3499:3514" x14ac:dyDescent="0.3">
      <c r="EDW3513" s="3473"/>
    </row>
    <row r="3514" spans="3499:3514" x14ac:dyDescent="0.3">
      <c r="EDX3514" s="3474"/>
    </row>
    <row r="3515" spans="3499:3514" x14ac:dyDescent="0.3">
      <c r="EDY3515" s="3475"/>
    </row>
    <row r="3516" spans="3499:3514" x14ac:dyDescent="0.3">
      <c r="EDZ3516" s="3476"/>
    </row>
    <row r="3517" spans="3499:3514" x14ac:dyDescent="0.3">
      <c r="EEA3517" s="3477"/>
    </row>
    <row r="3518" spans="3499:3514" x14ac:dyDescent="0.3">
      <c r="EEB3518" s="3478"/>
    </row>
    <row r="3519" spans="3499:3514" x14ac:dyDescent="0.3">
      <c r="EEC3519" s="3479"/>
    </row>
    <row r="3520" spans="3499:3514" x14ac:dyDescent="0.3">
      <c r="EED3520" s="3480"/>
    </row>
    <row r="3521" spans="3515:3530" x14ac:dyDescent="0.3">
      <c r="EEE3521" s="3481"/>
    </row>
    <row r="3522" spans="3515:3530" x14ac:dyDescent="0.3">
      <c r="EEF3522" s="3482"/>
    </row>
    <row r="3523" spans="3515:3530" x14ac:dyDescent="0.3">
      <c r="EEG3523" s="3483"/>
    </row>
    <row r="3524" spans="3515:3530" x14ac:dyDescent="0.3">
      <c r="EEH3524" s="3484"/>
    </row>
    <row r="3525" spans="3515:3530" x14ac:dyDescent="0.3">
      <c r="EEI3525" s="3485"/>
    </row>
    <row r="3526" spans="3515:3530" x14ac:dyDescent="0.3">
      <c r="EEJ3526" s="3486"/>
    </row>
    <row r="3527" spans="3515:3530" x14ac:dyDescent="0.3">
      <c r="EEK3527" s="3487"/>
    </row>
    <row r="3528" spans="3515:3530" x14ac:dyDescent="0.3">
      <c r="EEL3528" s="3488"/>
    </row>
    <row r="3529" spans="3515:3530" x14ac:dyDescent="0.3">
      <c r="EEM3529" s="3489"/>
    </row>
    <row r="3530" spans="3515:3530" x14ac:dyDescent="0.3">
      <c r="EEN3530" s="3490"/>
    </row>
    <row r="3531" spans="3515:3530" x14ac:dyDescent="0.3">
      <c r="EEO3531" s="3491"/>
    </row>
    <row r="3532" spans="3515:3530" x14ac:dyDescent="0.3">
      <c r="EEP3532" s="3492"/>
    </row>
    <row r="3533" spans="3515:3530" x14ac:dyDescent="0.3">
      <c r="EEQ3533" s="3493"/>
    </row>
    <row r="3534" spans="3515:3530" x14ac:dyDescent="0.3">
      <c r="EER3534" s="3494"/>
    </row>
    <row r="3535" spans="3515:3530" x14ac:dyDescent="0.3">
      <c r="EES3535" s="3495"/>
    </row>
    <row r="3536" spans="3515:3530" x14ac:dyDescent="0.3">
      <c r="EET3536" s="3496"/>
    </row>
    <row r="3537" spans="3531:3546" x14ac:dyDescent="0.3">
      <c r="EEU3537" s="3497"/>
    </row>
    <row r="3538" spans="3531:3546" x14ac:dyDescent="0.3">
      <c r="EEV3538" s="3498"/>
    </row>
    <row r="3539" spans="3531:3546" x14ac:dyDescent="0.3">
      <c r="EEW3539" s="3499"/>
    </row>
    <row r="3540" spans="3531:3546" x14ac:dyDescent="0.3">
      <c r="EEX3540" s="3500"/>
    </row>
    <row r="3541" spans="3531:3546" x14ac:dyDescent="0.3">
      <c r="EEY3541" s="3501"/>
    </row>
    <row r="3542" spans="3531:3546" x14ac:dyDescent="0.3">
      <c r="EEZ3542" s="3502"/>
    </row>
    <row r="3543" spans="3531:3546" x14ac:dyDescent="0.3">
      <c r="EFA3543" s="3503"/>
    </row>
    <row r="3544" spans="3531:3546" x14ac:dyDescent="0.3">
      <c r="EFB3544" s="3504"/>
    </row>
    <row r="3545" spans="3531:3546" x14ac:dyDescent="0.3">
      <c r="EFC3545" s="3505"/>
    </row>
    <row r="3546" spans="3531:3546" x14ac:dyDescent="0.3">
      <c r="EFD3546" s="3506"/>
    </row>
    <row r="3547" spans="3531:3546" x14ac:dyDescent="0.3">
      <c r="EFE3547" s="3507"/>
    </row>
    <row r="3548" spans="3531:3546" x14ac:dyDescent="0.3">
      <c r="EFF3548" s="3508"/>
    </row>
    <row r="3549" spans="3531:3546" x14ac:dyDescent="0.3">
      <c r="EFG3549" s="3509"/>
    </row>
    <row r="3550" spans="3531:3546" x14ac:dyDescent="0.3">
      <c r="EFH3550" s="3510"/>
    </row>
    <row r="3551" spans="3531:3546" x14ac:dyDescent="0.3">
      <c r="EFI3551" s="3511"/>
    </row>
    <row r="3552" spans="3531:3546" x14ac:dyDescent="0.3">
      <c r="EFJ3552" s="3512"/>
    </row>
    <row r="3553" spans="3547:3562" x14ac:dyDescent="0.3">
      <c r="EFK3553" s="3513"/>
    </row>
    <row r="3554" spans="3547:3562" x14ac:dyDescent="0.3">
      <c r="EFL3554" s="3514"/>
    </row>
    <row r="3555" spans="3547:3562" x14ac:dyDescent="0.3">
      <c r="EFM3555" s="3515"/>
    </row>
    <row r="3556" spans="3547:3562" x14ac:dyDescent="0.3">
      <c r="EFN3556" s="3516"/>
    </row>
    <row r="3557" spans="3547:3562" x14ac:dyDescent="0.3">
      <c r="EFO3557" s="3517"/>
    </row>
    <row r="3558" spans="3547:3562" x14ac:dyDescent="0.3">
      <c r="EFP3558" s="3518"/>
    </row>
    <row r="3559" spans="3547:3562" x14ac:dyDescent="0.3">
      <c r="EFQ3559" s="3519"/>
    </row>
    <row r="3560" spans="3547:3562" x14ac:dyDescent="0.3">
      <c r="EFR3560" s="3520"/>
    </row>
    <row r="3561" spans="3547:3562" x14ac:dyDescent="0.3">
      <c r="EFS3561" s="3521"/>
    </row>
    <row r="3562" spans="3547:3562" x14ac:dyDescent="0.3">
      <c r="EFT3562" s="3522"/>
    </row>
    <row r="3563" spans="3547:3562" x14ac:dyDescent="0.3">
      <c r="EFU3563" s="3523"/>
    </row>
    <row r="3564" spans="3547:3562" x14ac:dyDescent="0.3">
      <c r="EFV3564" s="3524"/>
    </row>
    <row r="3565" spans="3547:3562" x14ac:dyDescent="0.3">
      <c r="EFW3565" s="3525"/>
    </row>
    <row r="3566" spans="3547:3562" x14ac:dyDescent="0.3">
      <c r="EFX3566" s="3526"/>
    </row>
    <row r="3567" spans="3547:3562" x14ac:dyDescent="0.3">
      <c r="EFY3567" s="3527"/>
    </row>
    <row r="3568" spans="3547:3562" x14ac:dyDescent="0.3">
      <c r="EFZ3568" s="3528"/>
    </row>
    <row r="3569" spans="3563:3578" x14ac:dyDescent="0.3">
      <c r="EGA3569" s="3529"/>
    </row>
    <row r="3570" spans="3563:3578" x14ac:dyDescent="0.3">
      <c r="EGB3570" s="3530"/>
    </row>
    <row r="3571" spans="3563:3578" x14ac:dyDescent="0.3">
      <c r="EGC3571" s="3531"/>
    </row>
    <row r="3572" spans="3563:3578" x14ac:dyDescent="0.3">
      <c r="EGD3572" s="3532"/>
    </row>
    <row r="3573" spans="3563:3578" x14ac:dyDescent="0.3">
      <c r="EGE3573" s="3533"/>
    </row>
    <row r="3574" spans="3563:3578" x14ac:dyDescent="0.3">
      <c r="EGF3574" s="3534"/>
    </row>
    <row r="3575" spans="3563:3578" x14ac:dyDescent="0.3">
      <c r="EGG3575" s="3535"/>
    </row>
    <row r="3576" spans="3563:3578" x14ac:dyDescent="0.3">
      <c r="EGH3576" s="3536"/>
    </row>
    <row r="3577" spans="3563:3578" x14ac:dyDescent="0.3">
      <c r="EGI3577" s="3537"/>
    </row>
    <row r="3578" spans="3563:3578" x14ac:dyDescent="0.3">
      <c r="EGJ3578" s="3538"/>
    </row>
    <row r="3579" spans="3563:3578" x14ac:dyDescent="0.3">
      <c r="EGK3579" s="3539"/>
    </row>
    <row r="3580" spans="3563:3578" x14ac:dyDescent="0.3">
      <c r="EGL3580" s="3540"/>
    </row>
    <row r="3581" spans="3563:3578" x14ac:dyDescent="0.3">
      <c r="EGM3581" s="3541"/>
    </row>
    <row r="3582" spans="3563:3578" x14ac:dyDescent="0.3">
      <c r="EGN3582" s="3542"/>
    </row>
    <row r="3583" spans="3563:3578" x14ac:dyDescent="0.3">
      <c r="EGO3583" s="3543"/>
    </row>
    <row r="3584" spans="3563:3578" x14ac:dyDescent="0.3">
      <c r="EGP3584" s="3544"/>
    </row>
    <row r="3585" spans="3579:3594" x14ac:dyDescent="0.3">
      <c r="EGQ3585" s="3545"/>
    </row>
    <row r="3586" spans="3579:3594" x14ac:dyDescent="0.3">
      <c r="EGR3586" s="3546"/>
    </row>
    <row r="3587" spans="3579:3594" x14ac:dyDescent="0.3">
      <c r="EGS3587" s="3547"/>
    </row>
    <row r="3588" spans="3579:3594" x14ac:dyDescent="0.3">
      <c r="EGT3588" s="3548"/>
    </row>
    <row r="3589" spans="3579:3594" x14ac:dyDescent="0.3">
      <c r="EGU3589" s="3549"/>
    </row>
    <row r="3590" spans="3579:3594" x14ac:dyDescent="0.3">
      <c r="EGV3590" s="3550"/>
    </row>
    <row r="3591" spans="3579:3594" x14ac:dyDescent="0.3">
      <c r="EGW3591" s="3551"/>
    </row>
    <row r="3592" spans="3579:3594" x14ac:dyDescent="0.3">
      <c r="EGX3592" s="3552"/>
    </row>
    <row r="3593" spans="3579:3594" x14ac:dyDescent="0.3">
      <c r="EGY3593" s="3553"/>
    </row>
    <row r="3594" spans="3579:3594" x14ac:dyDescent="0.3">
      <c r="EGZ3594" s="3554"/>
    </row>
    <row r="3595" spans="3579:3594" x14ac:dyDescent="0.3">
      <c r="EHA3595" s="3555"/>
    </row>
    <row r="3596" spans="3579:3594" x14ac:dyDescent="0.3">
      <c r="EHB3596" s="3556"/>
    </row>
    <row r="3597" spans="3579:3594" x14ac:dyDescent="0.3">
      <c r="EHC3597" s="3557"/>
    </row>
    <row r="3598" spans="3579:3594" x14ac:dyDescent="0.3">
      <c r="EHD3598" s="3558"/>
    </row>
    <row r="3599" spans="3579:3594" x14ac:dyDescent="0.3">
      <c r="EHE3599" s="3559"/>
    </row>
    <row r="3600" spans="3579:3594" x14ac:dyDescent="0.3">
      <c r="EHF3600" s="3560"/>
    </row>
    <row r="3601" spans="3595:3610" x14ac:dyDescent="0.3">
      <c r="EHG3601" s="3561"/>
    </row>
    <row r="3602" spans="3595:3610" x14ac:dyDescent="0.3">
      <c r="EHH3602" s="3562"/>
    </row>
    <row r="3603" spans="3595:3610" x14ac:dyDescent="0.3">
      <c r="EHI3603" s="3563"/>
    </row>
    <row r="3604" spans="3595:3610" x14ac:dyDescent="0.3">
      <c r="EHJ3604" s="3563"/>
    </row>
    <row r="3605" spans="3595:3610" x14ac:dyDescent="0.3">
      <c r="EHK3605" s="3564"/>
    </row>
    <row r="3606" spans="3595:3610" x14ac:dyDescent="0.3">
      <c r="EHL3606" s="3565"/>
    </row>
    <row r="3607" spans="3595:3610" x14ac:dyDescent="0.3">
      <c r="EHM3607" s="3566"/>
    </row>
    <row r="3608" spans="3595:3610" x14ac:dyDescent="0.3">
      <c r="EHN3608" s="3567"/>
    </row>
    <row r="3609" spans="3595:3610" x14ac:dyDescent="0.3">
      <c r="EHO3609" s="3568"/>
    </row>
    <row r="3610" spans="3595:3610" x14ac:dyDescent="0.3">
      <c r="EHP3610" s="3569"/>
    </row>
    <row r="3611" spans="3595:3610" x14ac:dyDescent="0.3">
      <c r="EHQ3611" s="3570"/>
    </row>
    <row r="3612" spans="3595:3610" x14ac:dyDescent="0.3">
      <c r="EHR3612" s="3571"/>
    </row>
    <row r="3613" spans="3595:3610" x14ac:dyDescent="0.3">
      <c r="EHS3613" s="3572"/>
    </row>
    <row r="3614" spans="3595:3610" x14ac:dyDescent="0.3">
      <c r="EHT3614" s="3573"/>
    </row>
    <row r="3615" spans="3595:3610" x14ac:dyDescent="0.3">
      <c r="EHU3615" s="3574"/>
    </row>
    <row r="3616" spans="3595:3610" x14ac:dyDescent="0.3">
      <c r="EHV3616" s="3575"/>
    </row>
    <row r="3617" spans="3611:3626" x14ac:dyDescent="0.3">
      <c r="EHW3617" s="3576"/>
    </row>
    <row r="3618" spans="3611:3626" x14ac:dyDescent="0.3">
      <c r="EHX3618" s="3577"/>
    </row>
    <row r="3619" spans="3611:3626" x14ac:dyDescent="0.3">
      <c r="EHY3619" s="3578"/>
    </row>
    <row r="3620" spans="3611:3626" x14ac:dyDescent="0.3">
      <c r="EHZ3620" s="3579"/>
    </row>
    <row r="3621" spans="3611:3626" x14ac:dyDescent="0.3">
      <c r="EIA3621" s="3580"/>
    </row>
    <row r="3622" spans="3611:3626" x14ac:dyDescent="0.3">
      <c r="EIB3622" s="3581"/>
    </row>
    <row r="3623" spans="3611:3626" x14ac:dyDescent="0.3">
      <c r="EIC3623" s="3582"/>
    </row>
    <row r="3624" spans="3611:3626" x14ac:dyDescent="0.3">
      <c r="EID3624" s="3583"/>
    </row>
    <row r="3625" spans="3611:3626" x14ac:dyDescent="0.3">
      <c r="EIE3625" s="3584"/>
    </row>
    <row r="3626" spans="3611:3626" x14ac:dyDescent="0.3">
      <c r="EIF3626" s="3585"/>
    </row>
    <row r="3627" spans="3611:3626" x14ac:dyDescent="0.3">
      <c r="EIG3627" s="3586"/>
    </row>
    <row r="3628" spans="3611:3626" x14ac:dyDescent="0.3">
      <c r="EIH3628" s="3587"/>
    </row>
    <row r="3629" spans="3611:3626" x14ac:dyDescent="0.3">
      <c r="EII3629" s="3588"/>
    </row>
    <row r="3630" spans="3611:3626" x14ac:dyDescent="0.3">
      <c r="EIJ3630" s="3589"/>
    </row>
    <row r="3631" spans="3611:3626" x14ac:dyDescent="0.3">
      <c r="EIK3631" s="3590"/>
    </row>
    <row r="3632" spans="3611:3626" x14ac:dyDescent="0.3">
      <c r="EIL3632" s="3591"/>
    </row>
    <row r="3633" spans="3627:3642" x14ac:dyDescent="0.3">
      <c r="EIM3633" s="3592"/>
    </row>
    <row r="3634" spans="3627:3642" x14ac:dyDescent="0.3">
      <c r="EIN3634" s="3593"/>
    </row>
    <row r="3635" spans="3627:3642" x14ac:dyDescent="0.3">
      <c r="EIO3635" s="3594"/>
    </row>
    <row r="3636" spans="3627:3642" x14ac:dyDescent="0.3">
      <c r="EIP3636" s="3595"/>
    </row>
    <row r="3637" spans="3627:3642" x14ac:dyDescent="0.3">
      <c r="EIQ3637" s="3596"/>
    </row>
    <row r="3638" spans="3627:3642" x14ac:dyDescent="0.3">
      <c r="EIR3638" s="3597"/>
    </row>
    <row r="3639" spans="3627:3642" x14ac:dyDescent="0.3">
      <c r="EIS3639" s="3598"/>
    </row>
    <row r="3640" spans="3627:3642" x14ac:dyDescent="0.3">
      <c r="EIT3640" s="3599"/>
    </row>
    <row r="3641" spans="3627:3642" x14ac:dyDescent="0.3">
      <c r="EIU3641" s="3600"/>
    </row>
    <row r="3642" spans="3627:3642" x14ac:dyDescent="0.3">
      <c r="EIV3642" s="3601"/>
    </row>
    <row r="3643" spans="3627:3642" x14ac:dyDescent="0.3">
      <c r="EIW3643" s="3602"/>
    </row>
    <row r="3644" spans="3627:3642" x14ac:dyDescent="0.3">
      <c r="EIX3644" s="3603"/>
    </row>
    <row r="3645" spans="3627:3642" x14ac:dyDescent="0.3">
      <c r="EIY3645" s="3604"/>
    </row>
    <row r="3646" spans="3627:3642" x14ac:dyDescent="0.3">
      <c r="EIZ3646" s="3605"/>
    </row>
    <row r="3647" spans="3627:3642" x14ac:dyDescent="0.3">
      <c r="EJA3647" s="3606"/>
    </row>
    <row r="3648" spans="3627:3642" x14ac:dyDescent="0.3">
      <c r="EJB3648" s="3607"/>
    </row>
    <row r="3649" spans="3643:3658" x14ac:dyDescent="0.3">
      <c r="EJC3649" s="3608"/>
    </row>
    <row r="3650" spans="3643:3658" x14ac:dyDescent="0.3">
      <c r="EJD3650" s="3609"/>
    </row>
    <row r="3651" spans="3643:3658" x14ac:dyDescent="0.3">
      <c r="EJE3651" s="3610"/>
    </row>
    <row r="3652" spans="3643:3658" x14ac:dyDescent="0.3">
      <c r="EJF3652" s="3611"/>
    </row>
    <row r="3653" spans="3643:3658" x14ac:dyDescent="0.3">
      <c r="EJG3653" s="3612"/>
    </row>
    <row r="3654" spans="3643:3658" x14ac:dyDescent="0.3">
      <c r="EJH3654" s="3613"/>
    </row>
    <row r="3655" spans="3643:3658" x14ac:dyDescent="0.3">
      <c r="EJI3655" s="3614"/>
    </row>
    <row r="3656" spans="3643:3658" x14ac:dyDescent="0.3">
      <c r="EJJ3656" s="3615"/>
    </row>
    <row r="3657" spans="3643:3658" x14ac:dyDescent="0.3">
      <c r="EJK3657" s="3616"/>
    </row>
    <row r="3658" spans="3643:3658" x14ac:dyDescent="0.3">
      <c r="EJL3658" s="3617"/>
    </row>
    <row r="3659" spans="3643:3658" x14ac:dyDescent="0.3">
      <c r="EJM3659" s="3618"/>
    </row>
    <row r="3660" spans="3643:3658" x14ac:dyDescent="0.3">
      <c r="EJN3660" s="3619"/>
    </row>
    <row r="3661" spans="3643:3658" x14ac:dyDescent="0.3">
      <c r="EJO3661" s="3620"/>
    </row>
    <row r="3662" spans="3643:3658" x14ac:dyDescent="0.3">
      <c r="EJP3662" s="3621"/>
    </row>
    <row r="3663" spans="3643:3658" x14ac:dyDescent="0.3">
      <c r="EJQ3663" s="3622"/>
    </row>
    <row r="3664" spans="3643:3658" x14ac:dyDescent="0.3">
      <c r="EJR3664" s="3623"/>
    </row>
    <row r="3665" spans="3659:3674" x14ac:dyDescent="0.3">
      <c r="EJS3665" s="3624"/>
    </row>
    <row r="3666" spans="3659:3674" x14ac:dyDescent="0.3">
      <c r="EJT3666" s="3625"/>
    </row>
    <row r="3667" spans="3659:3674" x14ac:dyDescent="0.3">
      <c r="EJU3667" s="3626"/>
    </row>
    <row r="3668" spans="3659:3674" x14ac:dyDescent="0.3">
      <c r="EJV3668" s="3627"/>
    </row>
    <row r="3669" spans="3659:3674" x14ac:dyDescent="0.3">
      <c r="EJW3669" s="3628"/>
    </row>
    <row r="3670" spans="3659:3674" x14ac:dyDescent="0.3">
      <c r="EJX3670" s="3629"/>
    </row>
    <row r="3671" spans="3659:3674" x14ac:dyDescent="0.3">
      <c r="EJY3671" s="3630"/>
    </row>
    <row r="3672" spans="3659:3674" x14ac:dyDescent="0.3">
      <c r="EJZ3672" s="3631"/>
    </row>
    <row r="3673" spans="3659:3674" x14ac:dyDescent="0.3">
      <c r="EKA3673" s="3632"/>
    </row>
    <row r="3674" spans="3659:3674" x14ac:dyDescent="0.3">
      <c r="EKB3674" s="3633"/>
    </row>
    <row r="3675" spans="3659:3674" x14ac:dyDescent="0.3">
      <c r="EKC3675" s="3634"/>
    </row>
    <row r="3676" spans="3659:3674" x14ac:dyDescent="0.3">
      <c r="EKD3676" s="3635"/>
    </row>
    <row r="3677" spans="3659:3674" x14ac:dyDescent="0.3">
      <c r="EKE3677" s="3636"/>
    </row>
    <row r="3678" spans="3659:3674" x14ac:dyDescent="0.3">
      <c r="EKF3678" s="3637"/>
    </row>
    <row r="3679" spans="3659:3674" x14ac:dyDescent="0.3">
      <c r="EKG3679" s="3638"/>
    </row>
    <row r="3680" spans="3659:3674" x14ac:dyDescent="0.3">
      <c r="EKH3680" s="3639"/>
    </row>
    <row r="3681" spans="3675:3690" x14ac:dyDescent="0.3">
      <c r="EKI3681" s="3640"/>
    </row>
    <row r="3682" spans="3675:3690" x14ac:dyDescent="0.3">
      <c r="EKJ3682" s="3641"/>
    </row>
    <row r="3683" spans="3675:3690" x14ac:dyDescent="0.3">
      <c r="EKK3683" s="3642"/>
    </row>
    <row r="3684" spans="3675:3690" x14ac:dyDescent="0.3">
      <c r="EKL3684" s="3643"/>
    </row>
    <row r="3685" spans="3675:3690" x14ac:dyDescent="0.3">
      <c r="EKM3685" s="3644"/>
    </row>
    <row r="3686" spans="3675:3690" x14ac:dyDescent="0.3">
      <c r="EKN3686" s="3645"/>
    </row>
    <row r="3687" spans="3675:3690" x14ac:dyDescent="0.3">
      <c r="EKO3687" s="3646"/>
    </row>
    <row r="3688" spans="3675:3690" x14ac:dyDescent="0.3">
      <c r="EKP3688" s="3647"/>
    </row>
    <row r="3689" spans="3675:3690" x14ac:dyDescent="0.3">
      <c r="EKQ3689" s="3648"/>
    </row>
    <row r="3690" spans="3675:3690" x14ac:dyDescent="0.3">
      <c r="EKR3690" s="3649"/>
    </row>
    <row r="3691" spans="3675:3690" x14ac:dyDescent="0.3">
      <c r="EKS3691" s="3650"/>
    </row>
    <row r="3692" spans="3675:3690" x14ac:dyDescent="0.3">
      <c r="EKT3692" s="3651"/>
    </row>
    <row r="3693" spans="3675:3690" x14ac:dyDescent="0.3">
      <c r="EKU3693" s="3652"/>
    </row>
    <row r="3694" spans="3675:3690" x14ac:dyDescent="0.3">
      <c r="EKV3694" s="3653"/>
    </row>
    <row r="3695" spans="3675:3690" x14ac:dyDescent="0.3">
      <c r="EKW3695" s="3654"/>
    </row>
    <row r="3696" spans="3675:3690" x14ac:dyDescent="0.3">
      <c r="EKX3696" s="3655"/>
    </row>
    <row r="3697" spans="3691:3706" x14ac:dyDescent="0.3">
      <c r="EKY3697" s="3656"/>
    </row>
    <row r="3698" spans="3691:3706" x14ac:dyDescent="0.3">
      <c r="EKZ3698" s="3657"/>
    </row>
    <row r="3699" spans="3691:3706" x14ac:dyDescent="0.3">
      <c r="ELA3699" s="3658"/>
    </row>
    <row r="3700" spans="3691:3706" x14ac:dyDescent="0.3">
      <c r="ELB3700" s="3659"/>
    </row>
    <row r="3701" spans="3691:3706" x14ac:dyDescent="0.3">
      <c r="ELC3701" s="3660"/>
    </row>
    <row r="3702" spans="3691:3706" x14ac:dyDescent="0.3">
      <c r="ELD3702" s="3661"/>
    </row>
    <row r="3703" spans="3691:3706" x14ac:dyDescent="0.3">
      <c r="ELE3703" s="3662"/>
    </row>
    <row r="3704" spans="3691:3706" x14ac:dyDescent="0.3">
      <c r="ELF3704" s="3663"/>
    </row>
    <row r="3705" spans="3691:3706" x14ac:dyDescent="0.3">
      <c r="ELG3705" s="3664"/>
    </row>
    <row r="3706" spans="3691:3706" x14ac:dyDescent="0.3">
      <c r="ELH3706" s="3665"/>
    </row>
    <row r="3707" spans="3691:3706" x14ac:dyDescent="0.3">
      <c r="ELI3707" s="3666"/>
    </row>
    <row r="3708" spans="3691:3706" x14ac:dyDescent="0.3">
      <c r="ELJ3708" s="3667"/>
    </row>
    <row r="3709" spans="3691:3706" x14ac:dyDescent="0.3">
      <c r="ELK3709" s="3668"/>
    </row>
    <row r="3710" spans="3691:3706" x14ac:dyDescent="0.3">
      <c r="ELL3710" s="3669"/>
    </row>
    <row r="3711" spans="3691:3706" x14ac:dyDescent="0.3">
      <c r="ELM3711" s="3670"/>
    </row>
    <row r="3712" spans="3691:3706" x14ac:dyDescent="0.3">
      <c r="ELN3712" s="3671"/>
    </row>
    <row r="3713" spans="3707:3722" x14ac:dyDescent="0.3">
      <c r="ELO3713" s="3672"/>
    </row>
    <row r="3714" spans="3707:3722" x14ac:dyDescent="0.3">
      <c r="ELP3714" s="3673"/>
    </row>
    <row r="3715" spans="3707:3722" x14ac:dyDescent="0.3">
      <c r="ELQ3715" s="3674"/>
    </row>
    <row r="3716" spans="3707:3722" x14ac:dyDescent="0.3">
      <c r="ELR3716" s="3675"/>
    </row>
    <row r="3717" spans="3707:3722" x14ac:dyDescent="0.3">
      <c r="ELS3717" s="3676"/>
    </row>
    <row r="3718" spans="3707:3722" x14ac:dyDescent="0.3">
      <c r="ELT3718" s="3677"/>
    </row>
    <row r="3719" spans="3707:3722" x14ac:dyDescent="0.3">
      <c r="ELU3719" s="3678"/>
    </row>
    <row r="3720" spans="3707:3722" x14ac:dyDescent="0.3">
      <c r="ELV3720" s="3679"/>
    </row>
    <row r="3721" spans="3707:3722" x14ac:dyDescent="0.3">
      <c r="ELW3721" s="3680"/>
    </row>
    <row r="3722" spans="3707:3722" x14ac:dyDescent="0.3">
      <c r="ELX3722" s="3681"/>
    </row>
    <row r="3723" spans="3707:3722" x14ac:dyDescent="0.3">
      <c r="ELY3723" s="3682"/>
    </row>
    <row r="3724" spans="3707:3722" x14ac:dyDescent="0.3">
      <c r="ELZ3724" s="3683"/>
    </row>
    <row r="3725" spans="3707:3722" x14ac:dyDescent="0.3">
      <c r="EMA3725" s="3684"/>
    </row>
    <row r="3726" spans="3707:3722" x14ac:dyDescent="0.3">
      <c r="EMB3726" s="3685"/>
    </row>
    <row r="3727" spans="3707:3722" x14ac:dyDescent="0.3">
      <c r="EMC3727" s="3686"/>
    </row>
    <row r="3728" spans="3707:3722" x14ac:dyDescent="0.3">
      <c r="EMD3728" s="3687"/>
    </row>
    <row r="3729" spans="3723:3738" x14ac:dyDescent="0.3">
      <c r="EME3729" s="3688"/>
    </row>
    <row r="3730" spans="3723:3738" x14ac:dyDescent="0.3">
      <c r="EMF3730" s="3689"/>
    </row>
    <row r="3731" spans="3723:3738" x14ac:dyDescent="0.3">
      <c r="EMG3731" s="3690"/>
    </row>
    <row r="3732" spans="3723:3738" x14ac:dyDescent="0.3">
      <c r="EMH3732" s="3691"/>
    </row>
    <row r="3733" spans="3723:3738" x14ac:dyDescent="0.3">
      <c r="EMI3733" s="3692"/>
    </row>
    <row r="3734" spans="3723:3738" x14ac:dyDescent="0.3">
      <c r="EMJ3734" s="3693"/>
    </row>
    <row r="3735" spans="3723:3738" x14ac:dyDescent="0.3">
      <c r="EMK3735" s="3694"/>
    </row>
    <row r="3736" spans="3723:3738" x14ac:dyDescent="0.3">
      <c r="EML3736" s="3695"/>
    </row>
    <row r="3737" spans="3723:3738" x14ac:dyDescent="0.3">
      <c r="EMM3737" s="3696"/>
    </row>
    <row r="3738" spans="3723:3738" x14ac:dyDescent="0.3">
      <c r="EMN3738" s="3697"/>
    </row>
    <row r="3739" spans="3723:3738" x14ac:dyDescent="0.3">
      <c r="EMO3739" s="3698"/>
    </row>
    <row r="3740" spans="3723:3738" x14ac:dyDescent="0.3">
      <c r="EMP3740" s="3699"/>
    </row>
    <row r="3741" spans="3723:3738" x14ac:dyDescent="0.3">
      <c r="EMQ3741" s="3700"/>
    </row>
    <row r="3742" spans="3723:3738" x14ac:dyDescent="0.3">
      <c r="EMR3742" s="3701"/>
    </row>
    <row r="3743" spans="3723:3738" x14ac:dyDescent="0.3">
      <c r="EMS3743" s="3702"/>
    </row>
    <row r="3744" spans="3723:3738" x14ac:dyDescent="0.3">
      <c r="EMT3744" s="3703"/>
    </row>
    <row r="3745" spans="3739:3754" x14ac:dyDescent="0.3">
      <c r="EMU3745" s="3704"/>
    </row>
    <row r="3746" spans="3739:3754" x14ac:dyDescent="0.3">
      <c r="EMV3746" s="3705"/>
    </row>
    <row r="3747" spans="3739:3754" x14ac:dyDescent="0.3">
      <c r="EMW3747" s="3706"/>
    </row>
    <row r="3748" spans="3739:3754" x14ac:dyDescent="0.3">
      <c r="EMX3748" s="3707"/>
    </row>
    <row r="3749" spans="3739:3754" x14ac:dyDescent="0.3">
      <c r="EMY3749" s="3708"/>
    </row>
    <row r="3750" spans="3739:3754" x14ac:dyDescent="0.3">
      <c r="EMZ3750" s="3709"/>
    </row>
    <row r="3751" spans="3739:3754" x14ac:dyDescent="0.3">
      <c r="ENA3751" s="3710"/>
    </row>
    <row r="3752" spans="3739:3754" x14ac:dyDescent="0.3">
      <c r="ENB3752" s="3711"/>
    </row>
    <row r="3753" spans="3739:3754" x14ac:dyDescent="0.3">
      <c r="ENC3753" s="3712"/>
    </row>
    <row r="3754" spans="3739:3754" x14ac:dyDescent="0.3">
      <c r="END3754" s="3713"/>
    </row>
    <row r="3755" spans="3739:3754" x14ac:dyDescent="0.3">
      <c r="ENE3755" s="3714"/>
    </row>
    <row r="3756" spans="3739:3754" x14ac:dyDescent="0.3">
      <c r="ENF3756" s="3715"/>
    </row>
    <row r="3757" spans="3739:3754" x14ac:dyDescent="0.3">
      <c r="ENG3757" s="3716"/>
    </row>
    <row r="3758" spans="3739:3754" x14ac:dyDescent="0.3">
      <c r="ENH3758" s="3717"/>
    </row>
    <row r="3759" spans="3739:3754" x14ac:dyDescent="0.3">
      <c r="ENI3759" s="3718"/>
    </row>
    <row r="3760" spans="3739:3754" x14ac:dyDescent="0.3">
      <c r="ENJ3760" s="3719"/>
    </row>
    <row r="3761" spans="3755:3770" x14ac:dyDescent="0.3">
      <c r="ENK3761" s="3720"/>
    </row>
    <row r="3762" spans="3755:3770" x14ac:dyDescent="0.3">
      <c r="ENL3762" s="3721"/>
    </row>
    <row r="3763" spans="3755:3770" x14ac:dyDescent="0.3">
      <c r="ENM3763" s="3722"/>
    </row>
    <row r="3764" spans="3755:3770" x14ac:dyDescent="0.3">
      <c r="ENN3764" s="3723"/>
    </row>
    <row r="3765" spans="3755:3770" x14ac:dyDescent="0.3">
      <c r="ENO3765" s="3724"/>
    </row>
    <row r="3766" spans="3755:3770" x14ac:dyDescent="0.3">
      <c r="ENP3766" s="3725"/>
    </row>
    <row r="3767" spans="3755:3770" x14ac:dyDescent="0.3">
      <c r="ENQ3767" s="3726"/>
    </row>
    <row r="3768" spans="3755:3770" x14ac:dyDescent="0.3">
      <c r="ENR3768" s="3727"/>
    </row>
    <row r="3769" spans="3755:3770" x14ac:dyDescent="0.3">
      <c r="ENS3769" s="3728"/>
    </row>
    <row r="3770" spans="3755:3770" x14ac:dyDescent="0.3">
      <c r="ENT3770" s="3729"/>
    </row>
    <row r="3771" spans="3755:3770" x14ac:dyDescent="0.3">
      <c r="ENU3771" s="3730"/>
    </row>
    <row r="3772" spans="3755:3770" x14ac:dyDescent="0.3">
      <c r="ENV3772" s="3731"/>
    </row>
    <row r="3773" spans="3755:3770" x14ac:dyDescent="0.3">
      <c r="ENW3773" s="3732"/>
    </row>
    <row r="3774" spans="3755:3770" x14ac:dyDescent="0.3">
      <c r="ENX3774" s="3733"/>
    </row>
    <row r="3775" spans="3755:3770" x14ac:dyDescent="0.3">
      <c r="ENY3775" s="3734"/>
    </row>
    <row r="3776" spans="3755:3770" x14ac:dyDescent="0.3">
      <c r="ENZ3776" s="3735"/>
    </row>
    <row r="3777" spans="3771:3786" x14ac:dyDescent="0.3">
      <c r="EOA3777" s="3736"/>
    </row>
    <row r="3778" spans="3771:3786" x14ac:dyDescent="0.3">
      <c r="EOB3778" s="3737"/>
    </row>
    <row r="3779" spans="3771:3786" x14ac:dyDescent="0.3">
      <c r="EOC3779" s="3738"/>
    </row>
    <row r="3780" spans="3771:3786" x14ac:dyDescent="0.3">
      <c r="EOD3780" s="3739"/>
    </row>
    <row r="3781" spans="3771:3786" x14ac:dyDescent="0.3">
      <c r="EOE3781" s="3740"/>
    </row>
    <row r="3782" spans="3771:3786" x14ac:dyDescent="0.3">
      <c r="EOF3782" s="3741"/>
    </row>
    <row r="3783" spans="3771:3786" x14ac:dyDescent="0.3">
      <c r="EOG3783" s="3742"/>
    </row>
    <row r="3784" spans="3771:3786" x14ac:dyDescent="0.3">
      <c r="EOH3784" s="3743"/>
    </row>
    <row r="3785" spans="3771:3786" x14ac:dyDescent="0.3">
      <c r="EOI3785" s="3744"/>
    </row>
    <row r="3786" spans="3771:3786" x14ac:dyDescent="0.3">
      <c r="EOJ3786" s="3745"/>
    </row>
    <row r="3787" spans="3771:3786" x14ac:dyDescent="0.3">
      <c r="EOK3787" s="3746"/>
    </row>
    <row r="3788" spans="3771:3786" x14ac:dyDescent="0.3">
      <c r="EOL3788" s="3747"/>
    </row>
    <row r="3789" spans="3771:3786" x14ac:dyDescent="0.3">
      <c r="EOM3789" s="3748"/>
    </row>
    <row r="3790" spans="3771:3786" x14ac:dyDescent="0.3">
      <c r="EON3790" s="3749"/>
    </row>
    <row r="3791" spans="3771:3786" x14ac:dyDescent="0.3">
      <c r="EOO3791" s="3750"/>
    </row>
    <row r="3792" spans="3771:3786" x14ac:dyDescent="0.3">
      <c r="EOP3792" s="3751"/>
    </row>
    <row r="3793" spans="3787:3802" x14ac:dyDescent="0.3">
      <c r="EOQ3793" s="3752"/>
    </row>
    <row r="3794" spans="3787:3802" x14ac:dyDescent="0.3">
      <c r="EOR3794" s="3753"/>
    </row>
    <row r="3795" spans="3787:3802" x14ac:dyDescent="0.3">
      <c r="EOS3795" s="3754"/>
    </row>
    <row r="3796" spans="3787:3802" x14ac:dyDescent="0.3">
      <c r="EOT3796" s="3755"/>
    </row>
    <row r="3797" spans="3787:3802" x14ac:dyDescent="0.3">
      <c r="EOU3797" s="3756"/>
    </row>
    <row r="3798" spans="3787:3802" x14ac:dyDescent="0.3">
      <c r="EOV3798" s="3757"/>
    </row>
    <row r="3799" spans="3787:3802" x14ac:dyDescent="0.3">
      <c r="EOW3799" s="3758"/>
    </row>
    <row r="3800" spans="3787:3802" x14ac:dyDescent="0.3">
      <c r="EOX3800" s="3759"/>
    </row>
    <row r="3801" spans="3787:3802" x14ac:dyDescent="0.3">
      <c r="EOY3801" s="3760"/>
    </row>
    <row r="3802" spans="3787:3802" x14ac:dyDescent="0.3">
      <c r="EOZ3802" s="3761"/>
    </row>
    <row r="3803" spans="3787:3802" x14ac:dyDescent="0.3">
      <c r="EPA3803" s="3762"/>
    </row>
    <row r="3804" spans="3787:3802" x14ac:dyDescent="0.3">
      <c r="EPB3804" s="3763"/>
    </row>
    <row r="3805" spans="3787:3802" x14ac:dyDescent="0.3">
      <c r="EPC3805" s="3764"/>
    </row>
    <row r="3806" spans="3787:3802" x14ac:dyDescent="0.3">
      <c r="EPD3806" s="3765"/>
    </row>
    <row r="3807" spans="3787:3802" x14ac:dyDescent="0.3">
      <c r="EPE3807" s="3766"/>
    </row>
    <row r="3808" spans="3787:3802" x14ac:dyDescent="0.3">
      <c r="EPF3808" s="3767"/>
    </row>
    <row r="3809" spans="3803:3818" x14ac:dyDescent="0.3">
      <c r="EPG3809" s="3768"/>
    </row>
    <row r="3810" spans="3803:3818" x14ac:dyDescent="0.3">
      <c r="EPH3810" s="3769"/>
    </row>
    <row r="3811" spans="3803:3818" x14ac:dyDescent="0.3">
      <c r="EPI3811" s="3770"/>
    </row>
    <row r="3812" spans="3803:3818" x14ac:dyDescent="0.3">
      <c r="EPJ3812" s="3771"/>
    </row>
    <row r="3813" spans="3803:3818" x14ac:dyDescent="0.3">
      <c r="EPK3813" s="3772"/>
    </row>
    <row r="3814" spans="3803:3818" x14ac:dyDescent="0.3">
      <c r="EPL3814" s="3773"/>
    </row>
    <row r="3815" spans="3803:3818" x14ac:dyDescent="0.3">
      <c r="EPM3815" s="3774"/>
    </row>
    <row r="3816" spans="3803:3818" x14ac:dyDescent="0.3">
      <c r="EPN3816" s="3775"/>
    </row>
    <row r="3817" spans="3803:3818" x14ac:dyDescent="0.3">
      <c r="EPO3817" s="3776"/>
    </row>
    <row r="3818" spans="3803:3818" x14ac:dyDescent="0.3">
      <c r="EPP3818" s="3777"/>
    </row>
    <row r="3819" spans="3803:3818" x14ac:dyDescent="0.3">
      <c r="EPQ3819" s="3778"/>
    </row>
    <row r="3820" spans="3803:3818" x14ac:dyDescent="0.3">
      <c r="EPR3820" s="3779"/>
    </row>
    <row r="3821" spans="3803:3818" x14ac:dyDescent="0.3">
      <c r="EPS3821" s="3780"/>
    </row>
    <row r="3822" spans="3803:3818" x14ac:dyDescent="0.3">
      <c r="EPT3822" s="3781"/>
    </row>
    <row r="3823" spans="3803:3818" x14ac:dyDescent="0.3">
      <c r="EPU3823" s="3782"/>
    </row>
    <row r="3824" spans="3803:3818" x14ac:dyDescent="0.3">
      <c r="EPV3824" s="3783"/>
    </row>
    <row r="3825" spans="3819:3834" x14ac:dyDescent="0.3">
      <c r="EPW3825" s="3784"/>
    </row>
    <row r="3826" spans="3819:3834" x14ac:dyDescent="0.3">
      <c r="EPX3826" s="3785"/>
    </row>
    <row r="3827" spans="3819:3834" x14ac:dyDescent="0.3">
      <c r="EPY3827" s="3786"/>
    </row>
    <row r="3828" spans="3819:3834" x14ac:dyDescent="0.3">
      <c r="EPZ3828" s="3787"/>
    </row>
    <row r="3829" spans="3819:3834" x14ac:dyDescent="0.3">
      <c r="EQA3829" s="3788"/>
    </row>
    <row r="3830" spans="3819:3834" x14ac:dyDescent="0.3">
      <c r="EQB3830" s="3789"/>
    </row>
    <row r="3831" spans="3819:3834" x14ac:dyDescent="0.3">
      <c r="EQC3831" s="3790"/>
    </row>
    <row r="3832" spans="3819:3834" x14ac:dyDescent="0.3">
      <c r="EQD3832" s="3791"/>
    </row>
    <row r="3833" spans="3819:3834" x14ac:dyDescent="0.3">
      <c r="EQE3833" s="3792"/>
    </row>
    <row r="3834" spans="3819:3834" x14ac:dyDescent="0.3">
      <c r="EQF3834" s="3793"/>
    </row>
    <row r="3835" spans="3819:3834" x14ac:dyDescent="0.3">
      <c r="EQG3835" s="3794"/>
    </row>
    <row r="3836" spans="3819:3834" x14ac:dyDescent="0.3">
      <c r="EQH3836" s="3795"/>
    </row>
    <row r="3837" spans="3819:3834" x14ac:dyDescent="0.3">
      <c r="EQI3837" s="3796"/>
    </row>
    <row r="3838" spans="3819:3834" x14ac:dyDescent="0.3">
      <c r="EQJ3838" s="3797"/>
    </row>
    <row r="3839" spans="3819:3834" x14ac:dyDescent="0.3">
      <c r="EQK3839" s="3798"/>
    </row>
    <row r="3840" spans="3819:3834" x14ac:dyDescent="0.3">
      <c r="EQL3840" s="3799"/>
    </row>
    <row r="3841" spans="3835:3850" x14ac:dyDescent="0.3">
      <c r="EQM3841" s="3800"/>
    </row>
    <row r="3842" spans="3835:3850" x14ac:dyDescent="0.3">
      <c r="EQN3842" s="3801"/>
    </row>
    <row r="3843" spans="3835:3850" x14ac:dyDescent="0.3">
      <c r="EQO3843" s="3802"/>
    </row>
    <row r="3844" spans="3835:3850" x14ac:dyDescent="0.3">
      <c r="EQP3844" s="3803"/>
    </row>
    <row r="3845" spans="3835:3850" x14ac:dyDescent="0.3">
      <c r="EQQ3845" s="3804"/>
    </row>
    <row r="3846" spans="3835:3850" x14ac:dyDescent="0.3">
      <c r="EQR3846" s="3805"/>
    </row>
    <row r="3847" spans="3835:3850" x14ac:dyDescent="0.3">
      <c r="EQS3847" s="3806"/>
    </row>
    <row r="3848" spans="3835:3850" x14ac:dyDescent="0.3">
      <c r="EQT3848" s="3807"/>
    </row>
    <row r="3849" spans="3835:3850" x14ac:dyDescent="0.3">
      <c r="EQU3849" s="3808"/>
    </row>
    <row r="3850" spans="3835:3850" x14ac:dyDescent="0.3">
      <c r="EQV3850" s="3809"/>
    </row>
    <row r="3851" spans="3835:3850" x14ac:dyDescent="0.3">
      <c r="EQW3851" s="3810"/>
    </row>
    <row r="3852" spans="3835:3850" x14ac:dyDescent="0.3">
      <c r="EQX3852" s="3811"/>
    </row>
    <row r="3853" spans="3835:3850" x14ac:dyDescent="0.3">
      <c r="EQY3853" s="3812"/>
    </row>
    <row r="3854" spans="3835:3850" x14ac:dyDescent="0.3">
      <c r="EQZ3854" s="3813"/>
    </row>
    <row r="3855" spans="3835:3850" x14ac:dyDescent="0.3">
      <c r="ERA3855" s="3814"/>
    </row>
    <row r="3856" spans="3835:3850" x14ac:dyDescent="0.3">
      <c r="ERB3856" s="3815"/>
    </row>
    <row r="3857" spans="3851:3866" x14ac:dyDescent="0.3">
      <c r="ERC3857" s="3816"/>
    </row>
    <row r="3858" spans="3851:3866" x14ac:dyDescent="0.3">
      <c r="ERD3858" s="3817"/>
    </row>
    <row r="3859" spans="3851:3866" x14ac:dyDescent="0.3">
      <c r="ERE3859" s="3818"/>
    </row>
    <row r="3860" spans="3851:3866" x14ac:dyDescent="0.3">
      <c r="ERF3860" s="3819"/>
    </row>
    <row r="3861" spans="3851:3866" x14ac:dyDescent="0.3">
      <c r="ERG3861" s="3819"/>
    </row>
    <row r="3862" spans="3851:3866" x14ac:dyDescent="0.3">
      <c r="ERH3862" s="3820"/>
    </row>
    <row r="3863" spans="3851:3866" x14ac:dyDescent="0.3">
      <c r="ERI3863" s="3821"/>
    </row>
    <row r="3864" spans="3851:3866" x14ac:dyDescent="0.3">
      <c r="ERJ3864" s="3822"/>
    </row>
    <row r="3865" spans="3851:3866" x14ac:dyDescent="0.3">
      <c r="ERK3865" s="3823"/>
    </row>
    <row r="3866" spans="3851:3866" x14ac:dyDescent="0.3">
      <c r="ERL3866" s="3824"/>
    </row>
    <row r="3867" spans="3851:3866" x14ac:dyDescent="0.3">
      <c r="ERM3867" s="3825"/>
    </row>
    <row r="3868" spans="3851:3866" x14ac:dyDescent="0.3">
      <c r="ERN3868" s="3826"/>
    </row>
    <row r="3869" spans="3851:3866" x14ac:dyDescent="0.3">
      <c r="ERO3869" s="3827"/>
    </row>
    <row r="3870" spans="3851:3866" x14ac:dyDescent="0.3">
      <c r="ERP3870" s="3828"/>
    </row>
    <row r="3871" spans="3851:3866" x14ac:dyDescent="0.3">
      <c r="ERQ3871" s="3829"/>
    </row>
    <row r="3872" spans="3851:3866" x14ac:dyDescent="0.3">
      <c r="ERR3872" s="3830"/>
    </row>
    <row r="3873" spans="3867:3882" x14ac:dyDescent="0.3">
      <c r="ERS3873" s="3831"/>
    </row>
    <row r="3874" spans="3867:3882" x14ac:dyDescent="0.3">
      <c r="ERT3874" s="3832"/>
    </row>
    <row r="3875" spans="3867:3882" x14ac:dyDescent="0.3">
      <c r="ERU3875" s="3833"/>
    </row>
    <row r="3876" spans="3867:3882" x14ac:dyDescent="0.3">
      <c r="ERV3876" s="3834"/>
    </row>
    <row r="3877" spans="3867:3882" x14ac:dyDescent="0.3">
      <c r="ERW3877" s="3835"/>
    </row>
    <row r="3878" spans="3867:3882" x14ac:dyDescent="0.3">
      <c r="ERX3878" s="3836"/>
    </row>
    <row r="3879" spans="3867:3882" x14ac:dyDescent="0.3">
      <c r="ERY3879" s="3837"/>
    </row>
    <row r="3880" spans="3867:3882" x14ac:dyDescent="0.3">
      <c r="ERZ3880" s="3838"/>
    </row>
    <row r="3881" spans="3867:3882" x14ac:dyDescent="0.3">
      <c r="ESA3881" s="3839"/>
    </row>
    <row r="3882" spans="3867:3882" x14ac:dyDescent="0.3">
      <c r="ESB3882" s="3840"/>
    </row>
    <row r="3883" spans="3867:3882" x14ac:dyDescent="0.3">
      <c r="ESC3883" s="3841"/>
    </row>
    <row r="3884" spans="3867:3882" x14ac:dyDescent="0.3">
      <c r="ESD3884" s="3842"/>
    </row>
    <row r="3885" spans="3867:3882" x14ac:dyDescent="0.3">
      <c r="ESE3885" s="3843"/>
    </row>
    <row r="3886" spans="3867:3882" x14ac:dyDescent="0.3">
      <c r="ESF3886" s="3844"/>
    </row>
    <row r="3887" spans="3867:3882" x14ac:dyDescent="0.3">
      <c r="ESG3887" s="3845"/>
    </row>
    <row r="3888" spans="3867:3882" x14ac:dyDescent="0.3">
      <c r="ESH3888" s="3846"/>
    </row>
    <row r="3889" spans="3883:3898" x14ac:dyDescent="0.3">
      <c r="ESI3889" s="3847"/>
    </row>
    <row r="3890" spans="3883:3898" x14ac:dyDescent="0.3">
      <c r="ESJ3890" s="3848"/>
    </row>
    <row r="3891" spans="3883:3898" x14ac:dyDescent="0.3">
      <c r="ESK3891" s="3849"/>
    </row>
    <row r="3892" spans="3883:3898" x14ac:dyDescent="0.3">
      <c r="ESL3892" s="3850"/>
    </row>
    <row r="3893" spans="3883:3898" x14ac:dyDescent="0.3">
      <c r="ESM3893" s="3851"/>
    </row>
    <row r="3894" spans="3883:3898" x14ac:dyDescent="0.3">
      <c r="ESN3894" s="3852"/>
    </row>
    <row r="3895" spans="3883:3898" x14ac:dyDescent="0.3">
      <c r="ESO3895" s="3853"/>
    </row>
    <row r="3896" spans="3883:3898" x14ac:dyDescent="0.3">
      <c r="ESP3896" s="3854"/>
    </row>
    <row r="3897" spans="3883:3898" x14ac:dyDescent="0.3">
      <c r="ESQ3897" s="3855"/>
    </row>
    <row r="3898" spans="3883:3898" x14ac:dyDescent="0.3">
      <c r="ESR3898" s="3856"/>
    </row>
    <row r="3899" spans="3883:3898" x14ac:dyDescent="0.3">
      <c r="ESS3899" s="3857"/>
    </row>
    <row r="3900" spans="3883:3898" x14ac:dyDescent="0.3">
      <c r="EST3900" s="3858"/>
    </row>
    <row r="3901" spans="3883:3898" x14ac:dyDescent="0.3">
      <c r="ESU3901" s="3859"/>
    </row>
    <row r="3902" spans="3883:3898" x14ac:dyDescent="0.3">
      <c r="ESV3902" s="3860"/>
    </row>
    <row r="3903" spans="3883:3898" x14ac:dyDescent="0.3">
      <c r="ESW3903" s="3861"/>
    </row>
    <row r="3904" spans="3883:3898" x14ac:dyDescent="0.3">
      <c r="ESX3904" s="3862"/>
    </row>
    <row r="3905" spans="3899:3914" x14ac:dyDescent="0.3">
      <c r="ESY3905" s="3863"/>
    </row>
    <row r="3906" spans="3899:3914" x14ac:dyDescent="0.3">
      <c r="ESZ3906" s="3864"/>
    </row>
    <row r="3907" spans="3899:3914" x14ac:dyDescent="0.3">
      <c r="ETA3907" s="3865"/>
    </row>
    <row r="3908" spans="3899:3914" x14ac:dyDescent="0.3">
      <c r="ETB3908" s="3866"/>
    </row>
    <row r="3909" spans="3899:3914" x14ac:dyDescent="0.3">
      <c r="ETC3909" s="3867"/>
    </row>
    <row r="3910" spans="3899:3914" x14ac:dyDescent="0.3">
      <c r="ETD3910" s="3868"/>
    </row>
    <row r="3911" spans="3899:3914" x14ac:dyDescent="0.3">
      <c r="ETE3911" s="3869"/>
    </row>
    <row r="3912" spans="3899:3914" x14ac:dyDescent="0.3">
      <c r="ETF3912" s="3870"/>
    </row>
    <row r="3913" spans="3899:3914" x14ac:dyDescent="0.3">
      <c r="ETG3913" s="3871"/>
    </row>
    <row r="3914" spans="3899:3914" x14ac:dyDescent="0.3">
      <c r="ETH3914" s="3872"/>
    </row>
    <row r="3915" spans="3899:3914" x14ac:dyDescent="0.3">
      <c r="ETI3915" s="3873"/>
    </row>
    <row r="3916" spans="3899:3914" x14ac:dyDescent="0.3">
      <c r="ETJ3916" s="3874"/>
    </row>
    <row r="3917" spans="3899:3914" x14ac:dyDescent="0.3">
      <c r="ETK3917" s="3875"/>
    </row>
    <row r="3918" spans="3899:3914" x14ac:dyDescent="0.3">
      <c r="ETL3918" s="3876"/>
    </row>
    <row r="3919" spans="3899:3914" x14ac:dyDescent="0.3">
      <c r="ETM3919" s="3877"/>
    </row>
    <row r="3920" spans="3899:3914" x14ac:dyDescent="0.3">
      <c r="ETN3920" s="3878"/>
    </row>
    <row r="3921" spans="3915:3930" x14ac:dyDescent="0.3">
      <c r="ETO3921" s="3879"/>
    </row>
    <row r="3922" spans="3915:3930" x14ac:dyDescent="0.3">
      <c r="ETP3922" s="3880"/>
    </row>
    <row r="3923" spans="3915:3930" x14ac:dyDescent="0.3">
      <c r="ETQ3923" s="3881"/>
    </row>
    <row r="3924" spans="3915:3930" x14ac:dyDescent="0.3">
      <c r="ETR3924" s="3882"/>
    </row>
    <row r="3925" spans="3915:3930" x14ac:dyDescent="0.3">
      <c r="ETS3925" s="3883"/>
    </row>
    <row r="3926" spans="3915:3930" x14ac:dyDescent="0.3">
      <c r="ETT3926" s="3884"/>
    </row>
    <row r="3927" spans="3915:3930" x14ac:dyDescent="0.3">
      <c r="ETU3927" s="3885"/>
    </row>
    <row r="3928" spans="3915:3930" x14ac:dyDescent="0.3">
      <c r="ETV3928" s="3886"/>
    </row>
    <row r="3929" spans="3915:3930" x14ac:dyDescent="0.3">
      <c r="ETW3929" s="3887"/>
    </row>
    <row r="3930" spans="3915:3930" x14ac:dyDescent="0.3">
      <c r="ETX3930" s="3888"/>
    </row>
    <row r="3931" spans="3915:3930" x14ac:dyDescent="0.3">
      <c r="ETY3931" s="3889"/>
    </row>
    <row r="3932" spans="3915:3930" x14ac:dyDescent="0.3">
      <c r="ETZ3932" s="3890"/>
    </row>
    <row r="3933" spans="3915:3930" x14ac:dyDescent="0.3">
      <c r="EUA3933" s="3891"/>
    </row>
    <row r="3934" spans="3915:3930" x14ac:dyDescent="0.3">
      <c r="EUB3934" s="3892"/>
    </row>
    <row r="3935" spans="3915:3930" x14ac:dyDescent="0.3">
      <c r="EUC3935" s="3893"/>
    </row>
    <row r="3936" spans="3915:3930" x14ac:dyDescent="0.3">
      <c r="EUD3936" s="3894"/>
    </row>
    <row r="3937" spans="3931:3946" x14ac:dyDescent="0.3">
      <c r="EUE3937" s="3895"/>
    </row>
    <row r="3938" spans="3931:3946" x14ac:dyDescent="0.3">
      <c r="EUF3938" s="3896"/>
    </row>
    <row r="3939" spans="3931:3946" x14ac:dyDescent="0.3">
      <c r="EUG3939" s="3897"/>
    </row>
    <row r="3940" spans="3931:3946" x14ac:dyDescent="0.3">
      <c r="EUH3940" s="3898"/>
    </row>
    <row r="3941" spans="3931:3946" x14ac:dyDescent="0.3">
      <c r="EUI3941" s="3899"/>
    </row>
    <row r="3942" spans="3931:3946" x14ac:dyDescent="0.3">
      <c r="EUJ3942" s="3900"/>
    </row>
    <row r="3943" spans="3931:3946" x14ac:dyDescent="0.3">
      <c r="EUK3943" s="3901"/>
    </row>
    <row r="3944" spans="3931:3946" x14ac:dyDescent="0.3">
      <c r="EUL3944" s="3902"/>
    </row>
    <row r="3945" spans="3931:3946" x14ac:dyDescent="0.3">
      <c r="EUM3945" s="3903"/>
    </row>
    <row r="3946" spans="3931:3946" x14ac:dyDescent="0.3">
      <c r="EUN3946" s="3904"/>
    </row>
    <row r="3947" spans="3931:3946" x14ac:dyDescent="0.3">
      <c r="EUO3947" s="3905"/>
    </row>
    <row r="3948" spans="3931:3946" x14ac:dyDescent="0.3">
      <c r="EUP3948" s="3906"/>
    </row>
    <row r="3949" spans="3931:3946" x14ac:dyDescent="0.3">
      <c r="EUQ3949" s="3907"/>
    </row>
    <row r="3950" spans="3931:3946" x14ac:dyDescent="0.3">
      <c r="EUR3950" s="3908"/>
    </row>
    <row r="3951" spans="3931:3946" x14ac:dyDescent="0.3">
      <c r="EUS3951" s="3909"/>
    </row>
    <row r="3952" spans="3931:3946" x14ac:dyDescent="0.3">
      <c r="EUT3952" s="3910"/>
    </row>
    <row r="3953" spans="3947:3962" x14ac:dyDescent="0.3">
      <c r="EUU3953" s="3911"/>
    </row>
    <row r="3954" spans="3947:3962" x14ac:dyDescent="0.3">
      <c r="EUV3954" s="3912"/>
    </row>
    <row r="3955" spans="3947:3962" x14ac:dyDescent="0.3">
      <c r="EUW3955" s="3913"/>
    </row>
    <row r="3956" spans="3947:3962" x14ac:dyDescent="0.3">
      <c r="EUX3956" s="3914"/>
    </row>
    <row r="3957" spans="3947:3962" x14ac:dyDescent="0.3">
      <c r="EUY3957" s="3915"/>
    </row>
    <row r="3958" spans="3947:3962" x14ac:dyDescent="0.3">
      <c r="EUZ3958" s="3916"/>
    </row>
    <row r="3959" spans="3947:3962" x14ac:dyDescent="0.3">
      <c r="EVA3959" s="3917"/>
    </row>
    <row r="3960" spans="3947:3962" x14ac:dyDescent="0.3">
      <c r="EVB3960" s="3918"/>
    </row>
    <row r="3961" spans="3947:3962" x14ac:dyDescent="0.3">
      <c r="EVC3961" s="3919"/>
    </row>
    <row r="3962" spans="3947:3962" x14ac:dyDescent="0.3">
      <c r="EVD3962" s="3920"/>
    </row>
    <row r="3963" spans="3947:3962" x14ac:dyDescent="0.3">
      <c r="EVE3963" s="3921"/>
    </row>
    <row r="3964" spans="3947:3962" x14ac:dyDescent="0.3">
      <c r="EVF3964" s="3922"/>
    </row>
    <row r="3965" spans="3947:3962" x14ac:dyDescent="0.3">
      <c r="EVG3965" s="3923"/>
    </row>
    <row r="3966" spans="3947:3962" x14ac:dyDescent="0.3">
      <c r="EVH3966" s="3924"/>
    </row>
    <row r="3967" spans="3947:3962" x14ac:dyDescent="0.3">
      <c r="EVI3967" s="3925"/>
    </row>
    <row r="3968" spans="3947:3962" x14ac:dyDescent="0.3">
      <c r="EVJ3968" s="3926"/>
    </row>
    <row r="3969" spans="3963:3978" x14ac:dyDescent="0.3">
      <c r="EVK3969" s="3927"/>
    </row>
    <row r="3970" spans="3963:3978" x14ac:dyDescent="0.3">
      <c r="EVL3970" s="3928"/>
    </row>
    <row r="3971" spans="3963:3978" x14ac:dyDescent="0.3">
      <c r="EVM3971" s="3929"/>
    </row>
    <row r="3972" spans="3963:3978" x14ac:dyDescent="0.3">
      <c r="EVN3972" s="3930"/>
    </row>
    <row r="3973" spans="3963:3978" x14ac:dyDescent="0.3">
      <c r="EVO3973" s="3931"/>
    </row>
    <row r="3974" spans="3963:3978" x14ac:dyDescent="0.3">
      <c r="EVP3974" s="3932"/>
    </row>
    <row r="3975" spans="3963:3978" x14ac:dyDescent="0.3">
      <c r="EVQ3975" s="3933"/>
    </row>
    <row r="3976" spans="3963:3978" x14ac:dyDescent="0.3">
      <c r="EVR3976" s="3934"/>
    </row>
    <row r="3977" spans="3963:3978" x14ac:dyDescent="0.3">
      <c r="EVS3977" s="3935"/>
    </row>
    <row r="3978" spans="3963:3978" x14ac:dyDescent="0.3">
      <c r="EVT3978" s="3936"/>
    </row>
    <row r="3979" spans="3963:3978" x14ac:dyDescent="0.3">
      <c r="EVU3979" s="3937"/>
    </row>
    <row r="3980" spans="3963:3978" x14ac:dyDescent="0.3">
      <c r="EVV3980" s="3938"/>
    </row>
    <row r="3981" spans="3963:3978" x14ac:dyDescent="0.3">
      <c r="EVW3981" s="3939"/>
    </row>
    <row r="3982" spans="3963:3978" x14ac:dyDescent="0.3">
      <c r="EVX3982" s="3940"/>
    </row>
    <row r="3983" spans="3963:3978" x14ac:dyDescent="0.3">
      <c r="EVY3983" s="3941"/>
    </row>
    <row r="3984" spans="3963:3978" x14ac:dyDescent="0.3">
      <c r="EVZ3984" s="3942"/>
    </row>
    <row r="3985" spans="3979:3994" x14ac:dyDescent="0.3">
      <c r="EWA3985" s="3943"/>
    </row>
    <row r="3986" spans="3979:3994" x14ac:dyDescent="0.3">
      <c r="EWB3986" s="3944"/>
    </row>
    <row r="3987" spans="3979:3994" x14ac:dyDescent="0.3">
      <c r="EWC3987" s="3945"/>
    </row>
    <row r="3988" spans="3979:3994" x14ac:dyDescent="0.3">
      <c r="EWD3988" s="3946"/>
    </row>
    <row r="3989" spans="3979:3994" x14ac:dyDescent="0.3">
      <c r="EWE3989" s="3947"/>
    </row>
    <row r="3990" spans="3979:3994" x14ac:dyDescent="0.3">
      <c r="EWF3990" s="3948"/>
    </row>
    <row r="3991" spans="3979:3994" x14ac:dyDescent="0.3">
      <c r="EWG3991" s="3949"/>
    </row>
    <row r="3992" spans="3979:3994" x14ac:dyDescent="0.3">
      <c r="EWH3992" s="3950"/>
    </row>
    <row r="3993" spans="3979:3994" x14ac:dyDescent="0.3">
      <c r="EWI3993" s="3951"/>
    </row>
    <row r="3994" spans="3979:3994" x14ac:dyDescent="0.3">
      <c r="EWJ3994" s="3952"/>
    </row>
    <row r="3995" spans="3979:3994" x14ac:dyDescent="0.3">
      <c r="EWK3995" s="3953"/>
    </row>
    <row r="3996" spans="3979:3994" x14ac:dyDescent="0.3">
      <c r="EWL3996" s="3954"/>
    </row>
    <row r="3997" spans="3979:3994" x14ac:dyDescent="0.3">
      <c r="EWM3997" s="3955"/>
    </row>
    <row r="3998" spans="3979:3994" x14ac:dyDescent="0.3">
      <c r="EWN3998" s="3956"/>
    </row>
    <row r="3999" spans="3979:3994" x14ac:dyDescent="0.3">
      <c r="EWO3999" s="3957"/>
    </row>
    <row r="4000" spans="3979:3994" x14ac:dyDescent="0.3">
      <c r="EWP4000" s="3958"/>
    </row>
    <row r="4001" spans="3995:4010" x14ac:dyDescent="0.3">
      <c r="EWQ4001" s="3959"/>
    </row>
    <row r="4002" spans="3995:4010" x14ac:dyDescent="0.3">
      <c r="EWR4002" s="3960"/>
    </row>
    <row r="4003" spans="3995:4010" x14ac:dyDescent="0.3">
      <c r="EWS4003" s="3961"/>
    </row>
    <row r="4004" spans="3995:4010" x14ac:dyDescent="0.3">
      <c r="EWT4004" s="3962"/>
    </row>
    <row r="4005" spans="3995:4010" x14ac:dyDescent="0.3">
      <c r="EWU4005" s="3963"/>
    </row>
    <row r="4006" spans="3995:4010" x14ac:dyDescent="0.3">
      <c r="EWV4006" s="3964"/>
    </row>
    <row r="4007" spans="3995:4010" x14ac:dyDescent="0.3">
      <c r="EWW4007" s="3965"/>
    </row>
    <row r="4008" spans="3995:4010" x14ac:dyDescent="0.3">
      <c r="EWX4008" s="3966"/>
    </row>
    <row r="4009" spans="3995:4010" x14ac:dyDescent="0.3">
      <c r="EWY4009" s="3967"/>
    </row>
    <row r="4010" spans="3995:4010" x14ac:dyDescent="0.3">
      <c r="EWZ4010" s="3968"/>
    </row>
    <row r="4011" spans="3995:4010" x14ac:dyDescent="0.3">
      <c r="EXA4011" s="3969"/>
    </row>
    <row r="4012" spans="3995:4010" x14ac:dyDescent="0.3">
      <c r="EXB4012" s="3970"/>
    </row>
    <row r="4013" spans="3995:4010" x14ac:dyDescent="0.3">
      <c r="EXC4013" s="3971"/>
    </row>
    <row r="4014" spans="3995:4010" x14ac:dyDescent="0.3">
      <c r="EXD4014" s="3972"/>
    </row>
    <row r="4015" spans="3995:4010" x14ac:dyDescent="0.3">
      <c r="EXE4015" s="3973"/>
    </row>
    <row r="4016" spans="3995:4010" x14ac:dyDescent="0.3">
      <c r="EXF4016" s="3974"/>
    </row>
    <row r="4017" spans="4011:4026" x14ac:dyDescent="0.3">
      <c r="EXG4017" s="3975"/>
    </row>
    <row r="4018" spans="4011:4026" x14ac:dyDescent="0.3">
      <c r="EXH4018" s="3976"/>
    </row>
    <row r="4019" spans="4011:4026" x14ac:dyDescent="0.3">
      <c r="EXI4019" s="3977"/>
    </row>
    <row r="4020" spans="4011:4026" x14ac:dyDescent="0.3">
      <c r="EXJ4020" s="3978"/>
    </row>
    <row r="4021" spans="4011:4026" x14ac:dyDescent="0.3">
      <c r="EXK4021" s="3979"/>
    </row>
    <row r="4022" spans="4011:4026" x14ac:dyDescent="0.3">
      <c r="EXL4022" s="3980"/>
    </row>
    <row r="4023" spans="4011:4026" x14ac:dyDescent="0.3">
      <c r="EXM4023" s="3981"/>
    </row>
    <row r="4024" spans="4011:4026" x14ac:dyDescent="0.3">
      <c r="EXN4024" s="3982"/>
    </row>
    <row r="4025" spans="4011:4026" x14ac:dyDescent="0.3">
      <c r="EXO4025" s="3983"/>
    </row>
    <row r="4026" spans="4011:4026" x14ac:dyDescent="0.3">
      <c r="EXP4026" s="3984"/>
    </row>
    <row r="4027" spans="4011:4026" x14ac:dyDescent="0.3">
      <c r="EXQ4027" s="3985"/>
    </row>
    <row r="4028" spans="4011:4026" x14ac:dyDescent="0.3">
      <c r="EXR4028" s="3986"/>
    </row>
    <row r="4029" spans="4011:4026" x14ac:dyDescent="0.3">
      <c r="EXS4029" s="3987"/>
    </row>
    <row r="4030" spans="4011:4026" x14ac:dyDescent="0.3">
      <c r="EXT4030" s="3988"/>
    </row>
    <row r="4031" spans="4011:4026" x14ac:dyDescent="0.3">
      <c r="EXU4031" s="3989"/>
    </row>
    <row r="4032" spans="4011:4026" x14ac:dyDescent="0.3">
      <c r="EXV4032" s="3990"/>
    </row>
    <row r="4033" spans="4027:4042" x14ac:dyDescent="0.3">
      <c r="EXW4033" s="3991"/>
    </row>
    <row r="4034" spans="4027:4042" x14ac:dyDescent="0.3">
      <c r="EXX4034" s="3992"/>
    </row>
    <row r="4035" spans="4027:4042" x14ac:dyDescent="0.3">
      <c r="EXY4035" s="3993"/>
    </row>
    <row r="4036" spans="4027:4042" x14ac:dyDescent="0.3">
      <c r="EXZ4036" s="3994"/>
    </row>
    <row r="4037" spans="4027:4042" x14ac:dyDescent="0.3">
      <c r="EYA4037" s="3995"/>
    </row>
    <row r="4038" spans="4027:4042" x14ac:dyDescent="0.3">
      <c r="EYB4038" s="3996"/>
    </row>
    <row r="4039" spans="4027:4042" x14ac:dyDescent="0.3">
      <c r="EYC4039" s="3997"/>
    </row>
    <row r="4040" spans="4027:4042" x14ac:dyDescent="0.3">
      <c r="EYD4040" s="3998"/>
    </row>
    <row r="4041" spans="4027:4042" x14ac:dyDescent="0.3">
      <c r="EYE4041" s="3999"/>
    </row>
    <row r="4042" spans="4027:4042" x14ac:dyDescent="0.3">
      <c r="EYF4042" s="4000"/>
    </row>
    <row r="4043" spans="4027:4042" x14ac:dyDescent="0.3">
      <c r="EYG4043" s="4001"/>
    </row>
    <row r="4044" spans="4027:4042" x14ac:dyDescent="0.3">
      <c r="EYH4044" s="4002"/>
    </row>
    <row r="4045" spans="4027:4042" x14ac:dyDescent="0.3">
      <c r="EYI4045" s="4003"/>
    </row>
    <row r="4046" spans="4027:4042" x14ac:dyDescent="0.3">
      <c r="EYJ4046" s="4004"/>
    </row>
    <row r="4047" spans="4027:4042" x14ac:dyDescent="0.3">
      <c r="EYK4047" s="4005"/>
    </row>
    <row r="4048" spans="4027:4042" x14ac:dyDescent="0.3">
      <c r="EYL4048" s="4006"/>
    </row>
    <row r="4049" spans="4043:4058" x14ac:dyDescent="0.3">
      <c r="EYM4049" s="4007"/>
    </row>
    <row r="4050" spans="4043:4058" x14ac:dyDescent="0.3">
      <c r="EYN4050" s="4008"/>
    </row>
    <row r="4051" spans="4043:4058" x14ac:dyDescent="0.3">
      <c r="EYO4051" s="4009"/>
    </row>
    <row r="4052" spans="4043:4058" x14ac:dyDescent="0.3">
      <c r="EYP4052" s="4010"/>
    </row>
    <row r="4053" spans="4043:4058" x14ac:dyDescent="0.3">
      <c r="EYQ4053" s="4011"/>
    </row>
    <row r="4054" spans="4043:4058" x14ac:dyDescent="0.3">
      <c r="EYR4054" s="4012"/>
    </row>
    <row r="4055" spans="4043:4058" x14ac:dyDescent="0.3">
      <c r="EYS4055" s="4013"/>
    </row>
    <row r="4056" spans="4043:4058" x14ac:dyDescent="0.3">
      <c r="EYT4056" s="4014"/>
    </row>
    <row r="4057" spans="4043:4058" x14ac:dyDescent="0.3">
      <c r="EYU4057" s="4015"/>
    </row>
    <row r="4058" spans="4043:4058" x14ac:dyDescent="0.3">
      <c r="EYV4058" s="4016"/>
    </row>
    <row r="4059" spans="4043:4058" x14ac:dyDescent="0.3">
      <c r="EYW4059" s="4017"/>
    </row>
    <row r="4060" spans="4043:4058" x14ac:dyDescent="0.3">
      <c r="EYX4060" s="4018"/>
    </row>
    <row r="4061" spans="4043:4058" x14ac:dyDescent="0.3">
      <c r="EYY4061" s="4019"/>
    </row>
    <row r="4062" spans="4043:4058" x14ac:dyDescent="0.3">
      <c r="EYZ4062" s="4020"/>
    </row>
    <row r="4063" spans="4043:4058" x14ac:dyDescent="0.3">
      <c r="EZA4063" s="4021"/>
    </row>
    <row r="4064" spans="4043:4058" x14ac:dyDescent="0.3">
      <c r="EZB4064" s="4022"/>
    </row>
    <row r="4065" spans="4059:4074" x14ac:dyDescent="0.3">
      <c r="EZC4065" s="4023"/>
    </row>
    <row r="4066" spans="4059:4074" x14ac:dyDescent="0.3">
      <c r="EZD4066" s="4024"/>
    </row>
    <row r="4067" spans="4059:4074" x14ac:dyDescent="0.3">
      <c r="EZE4067" s="4025"/>
    </row>
    <row r="4068" spans="4059:4074" x14ac:dyDescent="0.3">
      <c r="EZF4068" s="4026"/>
    </row>
    <row r="4069" spans="4059:4074" x14ac:dyDescent="0.3">
      <c r="EZG4069" s="4027"/>
    </row>
    <row r="4070" spans="4059:4074" x14ac:dyDescent="0.3">
      <c r="EZH4070" s="4028"/>
    </row>
    <row r="4071" spans="4059:4074" x14ac:dyDescent="0.3">
      <c r="EZI4071" s="4029"/>
    </row>
    <row r="4072" spans="4059:4074" x14ac:dyDescent="0.3">
      <c r="EZJ4072" s="4030"/>
    </row>
    <row r="4073" spans="4059:4074" x14ac:dyDescent="0.3">
      <c r="EZK4073" s="4031"/>
    </row>
    <row r="4074" spans="4059:4074" x14ac:dyDescent="0.3">
      <c r="EZL4074" s="4032"/>
    </row>
    <row r="4075" spans="4059:4074" x14ac:dyDescent="0.3">
      <c r="EZM4075" s="4033"/>
    </row>
    <row r="4076" spans="4059:4074" x14ac:dyDescent="0.3">
      <c r="EZN4076" s="4034"/>
    </row>
    <row r="4077" spans="4059:4074" x14ac:dyDescent="0.3">
      <c r="EZO4077" s="4035"/>
    </row>
    <row r="4078" spans="4059:4074" x14ac:dyDescent="0.3">
      <c r="EZP4078" s="4036"/>
    </row>
    <row r="4079" spans="4059:4074" x14ac:dyDescent="0.3">
      <c r="EZQ4079" s="4037"/>
    </row>
    <row r="4080" spans="4059:4074" x14ac:dyDescent="0.3">
      <c r="EZR4080" s="4038"/>
    </row>
    <row r="4081" spans="4075:4090" x14ac:dyDescent="0.3">
      <c r="EZS4081" s="4039"/>
    </row>
    <row r="4082" spans="4075:4090" x14ac:dyDescent="0.3">
      <c r="EZT4082" s="4040"/>
    </row>
    <row r="4083" spans="4075:4090" x14ac:dyDescent="0.3">
      <c r="EZU4083" s="4041"/>
    </row>
    <row r="4084" spans="4075:4090" x14ac:dyDescent="0.3">
      <c r="EZV4084" s="4042"/>
    </row>
    <row r="4085" spans="4075:4090" x14ac:dyDescent="0.3">
      <c r="EZW4085" s="4043"/>
    </row>
    <row r="4086" spans="4075:4090" x14ac:dyDescent="0.3">
      <c r="EZX4086" s="4044"/>
    </row>
    <row r="4087" spans="4075:4090" x14ac:dyDescent="0.3">
      <c r="EZY4087" s="4045"/>
    </row>
    <row r="4088" spans="4075:4090" x14ac:dyDescent="0.3">
      <c r="EZZ4088" s="4046"/>
    </row>
    <row r="4089" spans="4075:4090" x14ac:dyDescent="0.3">
      <c r="FAA4089" s="4047"/>
    </row>
    <row r="4090" spans="4075:4090" x14ac:dyDescent="0.3">
      <c r="FAB4090" s="4048"/>
    </row>
    <row r="4091" spans="4075:4090" x14ac:dyDescent="0.3">
      <c r="FAC4091" s="4049"/>
    </row>
    <row r="4092" spans="4075:4090" x14ac:dyDescent="0.3">
      <c r="FAD4092" s="4050"/>
    </row>
    <row r="4093" spans="4075:4090" x14ac:dyDescent="0.3">
      <c r="FAE4093" s="4051"/>
    </row>
    <row r="4094" spans="4075:4090" x14ac:dyDescent="0.3">
      <c r="FAF4094" s="4052"/>
    </row>
    <row r="4095" spans="4075:4090" x14ac:dyDescent="0.3">
      <c r="FAG4095" s="4053"/>
    </row>
    <row r="4096" spans="4075:4090" x14ac:dyDescent="0.3">
      <c r="FAH4096" s="4054"/>
    </row>
    <row r="4097" spans="4091:4106" x14ac:dyDescent="0.3">
      <c r="FAI4097" s="4055"/>
    </row>
    <row r="4098" spans="4091:4106" x14ac:dyDescent="0.3">
      <c r="FAJ4098" s="4056"/>
    </row>
    <row r="4099" spans="4091:4106" x14ac:dyDescent="0.3">
      <c r="FAK4099" s="4057"/>
    </row>
    <row r="4100" spans="4091:4106" x14ac:dyDescent="0.3">
      <c r="FAL4100" s="4058"/>
    </row>
    <row r="4101" spans="4091:4106" x14ac:dyDescent="0.3">
      <c r="FAM4101" s="4059"/>
    </row>
    <row r="4102" spans="4091:4106" x14ac:dyDescent="0.3">
      <c r="FAN4102" s="4060"/>
    </row>
    <row r="4103" spans="4091:4106" x14ac:dyDescent="0.3">
      <c r="FAO4103" s="4061"/>
    </row>
    <row r="4104" spans="4091:4106" x14ac:dyDescent="0.3">
      <c r="FAP4104" s="4062"/>
    </row>
    <row r="4105" spans="4091:4106" x14ac:dyDescent="0.3">
      <c r="FAQ4105" s="4063"/>
    </row>
    <row r="4106" spans="4091:4106" x14ac:dyDescent="0.3">
      <c r="FAR4106" s="4064"/>
    </row>
    <row r="4107" spans="4091:4106" x14ac:dyDescent="0.3">
      <c r="FAS4107" s="4065"/>
    </row>
    <row r="4108" spans="4091:4106" x14ac:dyDescent="0.3">
      <c r="FAT4108" s="4066"/>
    </row>
    <row r="4109" spans="4091:4106" x14ac:dyDescent="0.3">
      <c r="FAU4109" s="4067"/>
    </row>
    <row r="4110" spans="4091:4106" x14ac:dyDescent="0.3">
      <c r="FAV4110" s="4068"/>
    </row>
    <row r="4111" spans="4091:4106" x14ac:dyDescent="0.3">
      <c r="FAW4111" s="4069"/>
    </row>
    <row r="4112" spans="4091:4106" x14ac:dyDescent="0.3">
      <c r="FAX4112" s="4070"/>
    </row>
    <row r="4113" spans="4107:4122" x14ac:dyDescent="0.3">
      <c r="FAY4113" s="4071"/>
    </row>
    <row r="4114" spans="4107:4122" x14ac:dyDescent="0.3">
      <c r="FAZ4114" s="4072"/>
    </row>
    <row r="4115" spans="4107:4122" x14ac:dyDescent="0.3">
      <c r="FBA4115" s="4073"/>
    </row>
    <row r="4116" spans="4107:4122" x14ac:dyDescent="0.3">
      <c r="FBB4116" s="4074"/>
    </row>
    <row r="4117" spans="4107:4122" x14ac:dyDescent="0.3">
      <c r="FBC4117" s="4075"/>
    </row>
    <row r="4118" spans="4107:4122" x14ac:dyDescent="0.3">
      <c r="FBD4118" s="4075"/>
    </row>
    <row r="4119" spans="4107:4122" x14ac:dyDescent="0.3">
      <c r="FBE4119" s="4076"/>
    </row>
    <row r="4120" spans="4107:4122" x14ac:dyDescent="0.3">
      <c r="FBF4120" s="4077"/>
    </row>
    <row r="4121" spans="4107:4122" x14ac:dyDescent="0.3">
      <c r="FBG4121" s="4078"/>
    </row>
    <row r="4122" spans="4107:4122" x14ac:dyDescent="0.3">
      <c r="FBH4122" s="4079"/>
    </row>
    <row r="4123" spans="4107:4122" x14ac:dyDescent="0.3">
      <c r="FBI4123" s="4080"/>
    </row>
    <row r="4124" spans="4107:4122" x14ac:dyDescent="0.3">
      <c r="FBJ4124" s="4081"/>
    </row>
    <row r="4125" spans="4107:4122" x14ac:dyDescent="0.3">
      <c r="FBK4125" s="4082"/>
    </row>
    <row r="4126" spans="4107:4122" x14ac:dyDescent="0.3">
      <c r="FBL4126" s="4083"/>
    </row>
    <row r="4127" spans="4107:4122" x14ac:dyDescent="0.3">
      <c r="FBM4127" s="4084"/>
    </row>
    <row r="4128" spans="4107:4122" x14ac:dyDescent="0.3">
      <c r="FBN4128" s="4085"/>
    </row>
    <row r="4129" spans="4123:4138" x14ac:dyDescent="0.3">
      <c r="FBO4129" s="4086"/>
    </row>
    <row r="4130" spans="4123:4138" x14ac:dyDescent="0.3">
      <c r="FBP4130" s="4087"/>
    </row>
    <row r="4131" spans="4123:4138" x14ac:dyDescent="0.3">
      <c r="FBQ4131" s="4088"/>
    </row>
    <row r="4132" spans="4123:4138" x14ac:dyDescent="0.3">
      <c r="FBR4132" s="4089"/>
    </row>
    <row r="4133" spans="4123:4138" x14ac:dyDescent="0.3">
      <c r="FBS4133" s="4090"/>
    </row>
    <row r="4134" spans="4123:4138" x14ac:dyDescent="0.3">
      <c r="FBT4134" s="4091"/>
    </row>
    <row r="4135" spans="4123:4138" x14ac:dyDescent="0.3">
      <c r="FBU4135" s="4092"/>
    </row>
    <row r="4136" spans="4123:4138" x14ac:dyDescent="0.3">
      <c r="FBV4136" s="4093"/>
    </row>
    <row r="4137" spans="4123:4138" x14ac:dyDescent="0.3">
      <c r="FBW4137" s="4094"/>
    </row>
    <row r="4138" spans="4123:4138" x14ac:dyDescent="0.3">
      <c r="FBX4138" s="4095"/>
    </row>
    <row r="4139" spans="4123:4138" x14ac:dyDescent="0.3">
      <c r="FBY4139" s="4096"/>
    </row>
    <row r="4140" spans="4123:4138" x14ac:dyDescent="0.3">
      <c r="FBZ4140" s="4097"/>
    </row>
    <row r="4141" spans="4123:4138" x14ac:dyDescent="0.3">
      <c r="FCA4141" s="4098"/>
    </row>
    <row r="4142" spans="4123:4138" x14ac:dyDescent="0.3">
      <c r="FCB4142" s="4099"/>
    </row>
    <row r="4143" spans="4123:4138" x14ac:dyDescent="0.3">
      <c r="FCC4143" s="4100"/>
    </row>
    <row r="4144" spans="4123:4138" x14ac:dyDescent="0.3">
      <c r="FCD4144" s="4101"/>
    </row>
    <row r="4145" spans="4139:4154" x14ac:dyDescent="0.3">
      <c r="FCE4145" s="4102"/>
    </row>
    <row r="4146" spans="4139:4154" x14ac:dyDescent="0.3">
      <c r="FCF4146" s="4103"/>
    </row>
    <row r="4147" spans="4139:4154" x14ac:dyDescent="0.3">
      <c r="FCG4147" s="4104"/>
    </row>
    <row r="4148" spans="4139:4154" x14ac:dyDescent="0.3">
      <c r="FCH4148" s="4105"/>
    </row>
    <row r="4149" spans="4139:4154" x14ac:dyDescent="0.3">
      <c r="FCI4149" s="4106"/>
    </row>
    <row r="4150" spans="4139:4154" x14ac:dyDescent="0.3">
      <c r="FCJ4150" s="4107"/>
    </row>
    <row r="4151" spans="4139:4154" x14ac:dyDescent="0.3">
      <c r="FCK4151" s="4108"/>
    </row>
    <row r="4152" spans="4139:4154" x14ac:dyDescent="0.3">
      <c r="FCL4152" s="4109"/>
    </row>
    <row r="4153" spans="4139:4154" x14ac:dyDescent="0.3">
      <c r="FCM4153" s="4110"/>
    </row>
    <row r="4154" spans="4139:4154" x14ac:dyDescent="0.3">
      <c r="FCN4154" s="4111"/>
    </row>
    <row r="4155" spans="4139:4154" x14ac:dyDescent="0.3">
      <c r="FCO4155" s="4112"/>
    </row>
    <row r="4156" spans="4139:4154" x14ac:dyDescent="0.3">
      <c r="FCP4156" s="4113"/>
    </row>
    <row r="4157" spans="4139:4154" x14ac:dyDescent="0.3">
      <c r="FCQ4157" s="4114"/>
    </row>
    <row r="4158" spans="4139:4154" x14ac:dyDescent="0.3">
      <c r="FCR4158" s="4115"/>
    </row>
    <row r="4159" spans="4139:4154" x14ac:dyDescent="0.3">
      <c r="FCS4159" s="4116"/>
    </row>
    <row r="4160" spans="4139:4154" x14ac:dyDescent="0.3">
      <c r="FCT4160" s="4117"/>
    </row>
    <row r="4161" spans="4155:4170" x14ac:dyDescent="0.3">
      <c r="FCU4161" s="4118"/>
    </row>
    <row r="4162" spans="4155:4170" x14ac:dyDescent="0.3">
      <c r="FCV4162" s="4119"/>
    </row>
    <row r="4163" spans="4155:4170" x14ac:dyDescent="0.3">
      <c r="FCW4163" s="4120"/>
    </row>
    <row r="4164" spans="4155:4170" x14ac:dyDescent="0.3">
      <c r="FCX4164" s="4121"/>
    </row>
    <row r="4165" spans="4155:4170" x14ac:dyDescent="0.3">
      <c r="FCY4165" s="4122"/>
    </row>
    <row r="4166" spans="4155:4170" x14ac:dyDescent="0.3">
      <c r="FCZ4166" s="4123"/>
    </row>
    <row r="4167" spans="4155:4170" x14ac:dyDescent="0.3">
      <c r="FDA4167" s="4124"/>
    </row>
    <row r="4168" spans="4155:4170" x14ac:dyDescent="0.3">
      <c r="FDB4168" s="4125"/>
    </row>
    <row r="4169" spans="4155:4170" x14ac:dyDescent="0.3">
      <c r="FDC4169" s="4126"/>
    </row>
    <row r="4170" spans="4155:4170" x14ac:dyDescent="0.3">
      <c r="FDD4170" s="4127"/>
    </row>
    <row r="4171" spans="4155:4170" x14ac:dyDescent="0.3">
      <c r="FDE4171" s="4128"/>
    </row>
    <row r="4172" spans="4155:4170" x14ac:dyDescent="0.3">
      <c r="FDF4172" s="4129"/>
    </row>
    <row r="4173" spans="4155:4170" x14ac:dyDescent="0.3">
      <c r="FDG4173" s="4130"/>
    </row>
    <row r="4174" spans="4155:4170" x14ac:dyDescent="0.3">
      <c r="FDH4174" s="4131"/>
    </row>
    <row r="4175" spans="4155:4170" x14ac:dyDescent="0.3">
      <c r="FDI4175" s="4132"/>
    </row>
    <row r="4176" spans="4155:4170" x14ac:dyDescent="0.3">
      <c r="FDJ4176" s="4133"/>
    </row>
    <row r="4177" spans="4171:4186" x14ac:dyDescent="0.3">
      <c r="FDK4177" s="4134"/>
    </row>
    <row r="4178" spans="4171:4186" x14ac:dyDescent="0.3">
      <c r="FDL4178" s="4135"/>
    </row>
    <row r="4179" spans="4171:4186" x14ac:dyDescent="0.3">
      <c r="FDM4179" s="4136"/>
    </row>
    <row r="4180" spans="4171:4186" x14ac:dyDescent="0.3">
      <c r="FDN4180" s="4137"/>
    </row>
    <row r="4181" spans="4171:4186" x14ac:dyDescent="0.3">
      <c r="FDO4181" s="4138"/>
    </row>
    <row r="4182" spans="4171:4186" x14ac:dyDescent="0.3">
      <c r="FDP4182" s="4139"/>
    </row>
    <row r="4183" spans="4171:4186" x14ac:dyDescent="0.3">
      <c r="FDQ4183" s="4140"/>
    </row>
    <row r="4184" spans="4171:4186" x14ac:dyDescent="0.3">
      <c r="FDR4184" s="4141"/>
    </row>
    <row r="4185" spans="4171:4186" x14ac:dyDescent="0.3">
      <c r="FDS4185" s="4142"/>
    </row>
    <row r="4186" spans="4171:4186" x14ac:dyDescent="0.3">
      <c r="FDT4186" s="4143"/>
    </row>
    <row r="4187" spans="4171:4186" x14ac:dyDescent="0.3">
      <c r="FDU4187" s="4144"/>
    </row>
    <row r="4188" spans="4171:4186" x14ac:dyDescent="0.3">
      <c r="FDV4188" s="4145"/>
    </row>
    <row r="4189" spans="4171:4186" x14ac:dyDescent="0.3">
      <c r="FDW4189" s="4146"/>
    </row>
    <row r="4190" spans="4171:4186" x14ac:dyDescent="0.3">
      <c r="FDX4190" s="4147"/>
    </row>
    <row r="4191" spans="4171:4186" x14ac:dyDescent="0.3">
      <c r="FDY4191" s="4148"/>
    </row>
    <row r="4192" spans="4171:4186" x14ac:dyDescent="0.3">
      <c r="FDZ4192" s="4149"/>
    </row>
    <row r="4193" spans="4187:4202" x14ac:dyDescent="0.3">
      <c r="FEA4193" s="4150"/>
    </row>
    <row r="4194" spans="4187:4202" x14ac:dyDescent="0.3">
      <c r="FEB4194" s="4151"/>
    </row>
    <row r="4195" spans="4187:4202" x14ac:dyDescent="0.3">
      <c r="FEC4195" s="4152"/>
    </row>
    <row r="4196" spans="4187:4202" x14ac:dyDescent="0.3">
      <c r="FED4196" s="4153"/>
    </row>
    <row r="4197" spans="4187:4202" x14ac:dyDescent="0.3">
      <c r="FEE4197" s="4154"/>
    </row>
    <row r="4198" spans="4187:4202" x14ac:dyDescent="0.3">
      <c r="FEF4198" s="4155"/>
    </row>
    <row r="4199" spans="4187:4202" x14ac:dyDescent="0.3">
      <c r="FEG4199" s="4156"/>
    </row>
    <row r="4200" spans="4187:4202" x14ac:dyDescent="0.3">
      <c r="FEH4200" s="4157"/>
    </row>
    <row r="4201" spans="4187:4202" x14ac:dyDescent="0.3">
      <c r="FEI4201" s="4158"/>
    </row>
    <row r="4202" spans="4187:4202" x14ac:dyDescent="0.3">
      <c r="FEJ4202" s="4159"/>
    </row>
    <row r="4203" spans="4187:4202" x14ac:dyDescent="0.3">
      <c r="FEK4203" s="4160"/>
    </row>
    <row r="4204" spans="4187:4202" x14ac:dyDescent="0.3">
      <c r="FEL4204" s="4161"/>
    </row>
    <row r="4205" spans="4187:4202" x14ac:dyDescent="0.3">
      <c r="FEM4205" s="4162"/>
    </row>
    <row r="4206" spans="4187:4202" x14ac:dyDescent="0.3">
      <c r="FEN4206" s="4163"/>
    </row>
    <row r="4207" spans="4187:4202" x14ac:dyDescent="0.3">
      <c r="FEO4207" s="4164"/>
    </row>
    <row r="4208" spans="4187:4202" x14ac:dyDescent="0.3">
      <c r="FEP4208" s="4165"/>
    </row>
    <row r="4209" spans="4203:4218" x14ac:dyDescent="0.3">
      <c r="FEQ4209" s="4166"/>
    </row>
    <row r="4210" spans="4203:4218" x14ac:dyDescent="0.3">
      <c r="FER4210" s="4167"/>
    </row>
    <row r="4211" spans="4203:4218" x14ac:dyDescent="0.3">
      <c r="FES4211" s="4168"/>
    </row>
    <row r="4212" spans="4203:4218" x14ac:dyDescent="0.3">
      <c r="FET4212" s="4169"/>
    </row>
    <row r="4213" spans="4203:4218" x14ac:dyDescent="0.3">
      <c r="FEU4213" s="4170"/>
    </row>
    <row r="4214" spans="4203:4218" x14ac:dyDescent="0.3">
      <c r="FEV4214" s="4171"/>
    </row>
    <row r="4215" spans="4203:4218" x14ac:dyDescent="0.3">
      <c r="FEW4215" s="4172"/>
    </row>
    <row r="4216" spans="4203:4218" x14ac:dyDescent="0.3">
      <c r="FEX4216" s="4173"/>
    </row>
    <row r="4217" spans="4203:4218" x14ac:dyDescent="0.3">
      <c r="FEY4217" s="4174"/>
    </row>
    <row r="4218" spans="4203:4218" x14ac:dyDescent="0.3">
      <c r="FEZ4218" s="4175"/>
    </row>
    <row r="4219" spans="4203:4218" x14ac:dyDescent="0.3">
      <c r="FFA4219" s="4176"/>
    </row>
    <row r="4220" spans="4203:4218" x14ac:dyDescent="0.3">
      <c r="FFB4220" s="4177"/>
    </row>
    <row r="4221" spans="4203:4218" x14ac:dyDescent="0.3">
      <c r="FFC4221" s="4178"/>
    </row>
    <row r="4222" spans="4203:4218" x14ac:dyDescent="0.3">
      <c r="FFD4222" s="4179"/>
    </row>
    <row r="4223" spans="4203:4218" x14ac:dyDescent="0.3">
      <c r="FFE4223" s="4180"/>
    </row>
    <row r="4224" spans="4203:4218" x14ac:dyDescent="0.3">
      <c r="FFF4224" s="4181"/>
    </row>
    <row r="4225" spans="4219:4234" x14ac:dyDescent="0.3">
      <c r="FFG4225" s="4182"/>
    </row>
    <row r="4226" spans="4219:4234" x14ac:dyDescent="0.3">
      <c r="FFH4226" s="4183"/>
    </row>
    <row r="4227" spans="4219:4234" x14ac:dyDescent="0.3">
      <c r="FFI4227" s="4184"/>
    </row>
    <row r="4228" spans="4219:4234" x14ac:dyDescent="0.3">
      <c r="FFJ4228" s="4185"/>
    </row>
    <row r="4229" spans="4219:4234" x14ac:dyDescent="0.3">
      <c r="FFK4229" s="4186"/>
    </row>
    <row r="4230" spans="4219:4234" x14ac:dyDescent="0.3">
      <c r="FFL4230" s="4187"/>
    </row>
    <row r="4231" spans="4219:4234" x14ac:dyDescent="0.3">
      <c r="FFM4231" s="4188"/>
    </row>
    <row r="4232" spans="4219:4234" x14ac:dyDescent="0.3">
      <c r="FFN4232" s="4189"/>
    </row>
    <row r="4233" spans="4219:4234" x14ac:dyDescent="0.3">
      <c r="FFO4233" s="4190"/>
    </row>
    <row r="4234" spans="4219:4234" x14ac:dyDescent="0.3">
      <c r="FFP4234" s="4191"/>
    </row>
    <row r="4235" spans="4219:4234" x14ac:dyDescent="0.3">
      <c r="FFQ4235" s="4192"/>
    </row>
    <row r="4236" spans="4219:4234" x14ac:dyDescent="0.3">
      <c r="FFR4236" s="4193"/>
    </row>
    <row r="4237" spans="4219:4234" x14ac:dyDescent="0.3">
      <c r="FFS4237" s="4194"/>
    </row>
    <row r="4238" spans="4219:4234" x14ac:dyDescent="0.3">
      <c r="FFT4238" s="4195"/>
    </row>
    <row r="4239" spans="4219:4234" x14ac:dyDescent="0.3">
      <c r="FFU4239" s="4196"/>
    </row>
    <row r="4240" spans="4219:4234" x14ac:dyDescent="0.3">
      <c r="FFV4240" s="4197"/>
    </row>
    <row r="4241" spans="4235:4250" x14ac:dyDescent="0.3">
      <c r="FFW4241" s="4198"/>
    </row>
    <row r="4242" spans="4235:4250" x14ac:dyDescent="0.3">
      <c r="FFX4242" s="4199"/>
    </row>
    <row r="4243" spans="4235:4250" x14ac:dyDescent="0.3">
      <c r="FFY4243" s="4200"/>
    </row>
    <row r="4244" spans="4235:4250" x14ac:dyDescent="0.3">
      <c r="FFZ4244" s="4201"/>
    </row>
    <row r="4245" spans="4235:4250" x14ac:dyDescent="0.3">
      <c r="FGA4245" s="4202"/>
    </row>
    <row r="4246" spans="4235:4250" x14ac:dyDescent="0.3">
      <c r="FGB4246" s="4203"/>
    </row>
    <row r="4247" spans="4235:4250" x14ac:dyDescent="0.3">
      <c r="FGC4247" s="4204"/>
    </row>
    <row r="4248" spans="4235:4250" x14ac:dyDescent="0.3">
      <c r="FGD4248" s="4205"/>
    </row>
    <row r="4249" spans="4235:4250" x14ac:dyDescent="0.3">
      <c r="FGE4249" s="4206"/>
    </row>
    <row r="4250" spans="4235:4250" x14ac:dyDescent="0.3">
      <c r="FGF4250" s="4207"/>
    </row>
    <row r="4251" spans="4235:4250" x14ac:dyDescent="0.3">
      <c r="FGG4251" s="4208"/>
    </row>
    <row r="4252" spans="4235:4250" x14ac:dyDescent="0.3">
      <c r="FGH4252" s="4209"/>
    </row>
    <row r="4253" spans="4235:4250" x14ac:dyDescent="0.3">
      <c r="FGI4253" s="4210"/>
    </row>
    <row r="4254" spans="4235:4250" x14ac:dyDescent="0.3">
      <c r="FGJ4254" s="4211"/>
    </row>
    <row r="4255" spans="4235:4250" x14ac:dyDescent="0.3">
      <c r="FGK4255" s="4212"/>
    </row>
    <row r="4256" spans="4235:4250" x14ac:dyDescent="0.3">
      <c r="FGL4256" s="4213"/>
    </row>
    <row r="4257" spans="4251:4266" x14ac:dyDescent="0.3">
      <c r="FGM4257" s="4214"/>
    </row>
    <row r="4258" spans="4251:4266" x14ac:dyDescent="0.3">
      <c r="FGN4258" s="4215"/>
    </row>
    <row r="4259" spans="4251:4266" x14ac:dyDescent="0.3">
      <c r="FGO4259" s="4216"/>
    </row>
    <row r="4260" spans="4251:4266" x14ac:dyDescent="0.3">
      <c r="FGP4260" s="4217"/>
    </row>
    <row r="4261" spans="4251:4266" x14ac:dyDescent="0.3">
      <c r="FGQ4261" s="4218"/>
    </row>
    <row r="4262" spans="4251:4266" x14ac:dyDescent="0.3">
      <c r="FGR4262" s="4219"/>
    </row>
    <row r="4263" spans="4251:4266" x14ac:dyDescent="0.3">
      <c r="FGS4263" s="4220"/>
    </row>
    <row r="4264" spans="4251:4266" x14ac:dyDescent="0.3">
      <c r="FGT4264" s="4221"/>
    </row>
    <row r="4265" spans="4251:4266" x14ac:dyDescent="0.3">
      <c r="FGU4265" s="4222"/>
    </row>
    <row r="4266" spans="4251:4266" x14ac:dyDescent="0.3">
      <c r="FGV4266" s="4223"/>
    </row>
    <row r="4267" spans="4251:4266" x14ac:dyDescent="0.3">
      <c r="FGW4267" s="4224"/>
    </row>
    <row r="4268" spans="4251:4266" x14ac:dyDescent="0.3">
      <c r="FGX4268" s="4225"/>
    </row>
    <row r="4269" spans="4251:4266" x14ac:dyDescent="0.3">
      <c r="FGY4269" s="4226"/>
    </row>
    <row r="4270" spans="4251:4266" x14ac:dyDescent="0.3">
      <c r="FGZ4270" s="4227"/>
    </row>
    <row r="4271" spans="4251:4266" x14ac:dyDescent="0.3">
      <c r="FHA4271" s="4228"/>
    </row>
    <row r="4272" spans="4251:4266" x14ac:dyDescent="0.3">
      <c r="FHB4272" s="4229"/>
    </row>
    <row r="4273" spans="4267:4282" x14ac:dyDescent="0.3">
      <c r="FHC4273" s="4230"/>
    </row>
    <row r="4274" spans="4267:4282" x14ac:dyDescent="0.3">
      <c r="FHD4274" s="4231"/>
    </row>
    <row r="4275" spans="4267:4282" x14ac:dyDescent="0.3">
      <c r="FHE4275" s="4232"/>
    </row>
    <row r="4276" spans="4267:4282" x14ac:dyDescent="0.3">
      <c r="FHF4276" s="4233"/>
    </row>
    <row r="4277" spans="4267:4282" x14ac:dyDescent="0.3">
      <c r="FHG4277" s="4234"/>
    </row>
    <row r="4278" spans="4267:4282" x14ac:dyDescent="0.3">
      <c r="FHH4278" s="4235"/>
    </row>
    <row r="4279" spans="4267:4282" x14ac:dyDescent="0.3">
      <c r="FHI4279" s="4236"/>
    </row>
    <row r="4280" spans="4267:4282" x14ac:dyDescent="0.3">
      <c r="FHJ4280" s="4237"/>
    </row>
    <row r="4281" spans="4267:4282" x14ac:dyDescent="0.3">
      <c r="FHK4281" s="4238"/>
    </row>
    <row r="4282" spans="4267:4282" x14ac:dyDescent="0.3">
      <c r="FHL4282" s="4239"/>
    </row>
    <row r="4283" spans="4267:4282" x14ac:dyDescent="0.3">
      <c r="FHM4283" s="4240"/>
    </row>
    <row r="4284" spans="4267:4282" x14ac:dyDescent="0.3">
      <c r="FHN4284" s="4241"/>
    </row>
    <row r="4285" spans="4267:4282" x14ac:dyDescent="0.3">
      <c r="FHO4285" s="4242"/>
    </row>
    <row r="4286" spans="4267:4282" x14ac:dyDescent="0.3">
      <c r="FHP4286" s="4243"/>
    </row>
    <row r="4287" spans="4267:4282" x14ac:dyDescent="0.3">
      <c r="FHQ4287" s="4244"/>
    </row>
    <row r="4288" spans="4267:4282" x14ac:dyDescent="0.3">
      <c r="FHR4288" s="4245"/>
    </row>
    <row r="4289" spans="4283:4298" x14ac:dyDescent="0.3">
      <c r="FHS4289" s="4246"/>
    </row>
    <row r="4290" spans="4283:4298" x14ac:dyDescent="0.3">
      <c r="FHT4290" s="4247"/>
    </row>
    <row r="4291" spans="4283:4298" x14ac:dyDescent="0.3">
      <c r="FHU4291" s="4248"/>
    </row>
    <row r="4292" spans="4283:4298" x14ac:dyDescent="0.3">
      <c r="FHV4292" s="4249"/>
    </row>
    <row r="4293" spans="4283:4298" x14ac:dyDescent="0.3">
      <c r="FHW4293" s="4250"/>
    </row>
    <row r="4294" spans="4283:4298" x14ac:dyDescent="0.3">
      <c r="FHX4294" s="4251"/>
    </row>
    <row r="4295" spans="4283:4298" x14ac:dyDescent="0.3">
      <c r="FHY4295" s="4252"/>
    </row>
    <row r="4296" spans="4283:4298" x14ac:dyDescent="0.3">
      <c r="FHZ4296" s="4253"/>
    </row>
    <row r="4297" spans="4283:4298" x14ac:dyDescent="0.3">
      <c r="FIA4297" s="4254"/>
    </row>
    <row r="4298" spans="4283:4298" x14ac:dyDescent="0.3">
      <c r="FIB4298" s="4255"/>
    </row>
    <row r="4299" spans="4283:4298" x14ac:dyDescent="0.3">
      <c r="FIC4299" s="4256"/>
    </row>
    <row r="4300" spans="4283:4298" x14ac:dyDescent="0.3">
      <c r="FID4300" s="4257"/>
    </row>
    <row r="4301" spans="4283:4298" x14ac:dyDescent="0.3">
      <c r="FIE4301" s="4258"/>
    </row>
    <row r="4302" spans="4283:4298" x14ac:dyDescent="0.3">
      <c r="FIF4302" s="4259"/>
    </row>
    <row r="4303" spans="4283:4298" x14ac:dyDescent="0.3">
      <c r="FIG4303" s="4260"/>
    </row>
    <row r="4304" spans="4283:4298" x14ac:dyDescent="0.3">
      <c r="FIH4304" s="4261"/>
    </row>
    <row r="4305" spans="4299:4314" x14ac:dyDescent="0.3">
      <c r="FII4305" s="4262"/>
    </row>
    <row r="4306" spans="4299:4314" x14ac:dyDescent="0.3">
      <c r="FIJ4306" s="4263"/>
    </row>
    <row r="4307" spans="4299:4314" x14ac:dyDescent="0.3">
      <c r="FIK4307" s="4264"/>
    </row>
    <row r="4308" spans="4299:4314" x14ac:dyDescent="0.3">
      <c r="FIL4308" s="4265"/>
    </row>
    <row r="4309" spans="4299:4314" x14ac:dyDescent="0.3">
      <c r="FIM4309" s="4266"/>
    </row>
    <row r="4310" spans="4299:4314" x14ac:dyDescent="0.3">
      <c r="FIN4310" s="4267"/>
    </row>
    <row r="4311" spans="4299:4314" x14ac:dyDescent="0.3">
      <c r="FIO4311" s="4268"/>
    </row>
    <row r="4312" spans="4299:4314" x14ac:dyDescent="0.3">
      <c r="FIP4312" s="4269"/>
    </row>
    <row r="4313" spans="4299:4314" x14ac:dyDescent="0.3">
      <c r="FIQ4313" s="4270"/>
    </row>
    <row r="4314" spans="4299:4314" x14ac:dyDescent="0.3">
      <c r="FIR4314" s="4271"/>
    </row>
    <row r="4315" spans="4299:4314" x14ac:dyDescent="0.3">
      <c r="FIS4315" s="4272"/>
    </row>
    <row r="4316" spans="4299:4314" x14ac:dyDescent="0.3">
      <c r="FIT4316" s="4273"/>
    </row>
    <row r="4317" spans="4299:4314" x14ac:dyDescent="0.3">
      <c r="FIU4317" s="4274"/>
    </row>
    <row r="4318" spans="4299:4314" x14ac:dyDescent="0.3">
      <c r="FIV4318" s="4275"/>
    </row>
    <row r="4319" spans="4299:4314" x14ac:dyDescent="0.3">
      <c r="FIW4319" s="4276"/>
    </row>
    <row r="4320" spans="4299:4314" x14ac:dyDescent="0.3">
      <c r="FIX4320" s="4277"/>
    </row>
    <row r="4321" spans="4315:4330" x14ac:dyDescent="0.3">
      <c r="FIY4321" s="4278"/>
    </row>
    <row r="4322" spans="4315:4330" x14ac:dyDescent="0.3">
      <c r="FIZ4322" s="4279"/>
    </row>
    <row r="4323" spans="4315:4330" x14ac:dyDescent="0.3">
      <c r="FJA4323" s="4280"/>
    </row>
    <row r="4324" spans="4315:4330" x14ac:dyDescent="0.3">
      <c r="FJB4324" s="4281"/>
    </row>
    <row r="4325" spans="4315:4330" x14ac:dyDescent="0.3">
      <c r="FJC4325" s="4282"/>
    </row>
    <row r="4326" spans="4315:4330" x14ac:dyDescent="0.3">
      <c r="FJD4326" s="4283"/>
    </row>
    <row r="4327" spans="4315:4330" x14ac:dyDescent="0.3">
      <c r="FJE4327" s="4284"/>
    </row>
    <row r="4328" spans="4315:4330" x14ac:dyDescent="0.3">
      <c r="FJF4328" s="4285"/>
    </row>
    <row r="4329" spans="4315:4330" x14ac:dyDescent="0.3">
      <c r="FJG4329" s="4286"/>
    </row>
    <row r="4330" spans="4315:4330" x14ac:dyDescent="0.3">
      <c r="FJH4330" s="4287"/>
    </row>
    <row r="4331" spans="4315:4330" x14ac:dyDescent="0.3">
      <c r="FJI4331" s="4288"/>
    </row>
    <row r="4332" spans="4315:4330" x14ac:dyDescent="0.3">
      <c r="FJJ4332" s="4289"/>
    </row>
    <row r="4333" spans="4315:4330" x14ac:dyDescent="0.3">
      <c r="FJK4333" s="4290"/>
    </row>
    <row r="4334" spans="4315:4330" x14ac:dyDescent="0.3">
      <c r="FJL4334" s="4291"/>
    </row>
    <row r="4335" spans="4315:4330" x14ac:dyDescent="0.3">
      <c r="FJM4335" s="4292"/>
    </row>
    <row r="4336" spans="4315:4330" x14ac:dyDescent="0.3">
      <c r="FJN4336" s="4293"/>
    </row>
    <row r="4337" spans="4331:4346" x14ac:dyDescent="0.3">
      <c r="FJO4337" s="4294"/>
    </row>
    <row r="4338" spans="4331:4346" x14ac:dyDescent="0.3">
      <c r="FJP4338" s="4295"/>
    </row>
    <row r="4339" spans="4331:4346" x14ac:dyDescent="0.3">
      <c r="FJQ4339" s="4296"/>
    </row>
    <row r="4340" spans="4331:4346" x14ac:dyDescent="0.3">
      <c r="FJR4340" s="4297"/>
    </row>
    <row r="4341" spans="4331:4346" x14ac:dyDescent="0.3">
      <c r="FJS4341" s="4298"/>
    </row>
    <row r="4342" spans="4331:4346" x14ac:dyDescent="0.3">
      <c r="FJT4342" s="4299"/>
    </row>
    <row r="4343" spans="4331:4346" x14ac:dyDescent="0.3">
      <c r="FJU4343" s="4300"/>
    </row>
    <row r="4344" spans="4331:4346" x14ac:dyDescent="0.3">
      <c r="FJV4344" s="4301"/>
    </row>
    <row r="4345" spans="4331:4346" x14ac:dyDescent="0.3">
      <c r="FJW4345" s="4302"/>
    </row>
    <row r="4346" spans="4331:4346" x14ac:dyDescent="0.3">
      <c r="FJX4346" s="4303"/>
    </row>
    <row r="4347" spans="4331:4346" x14ac:dyDescent="0.3">
      <c r="FJY4347" s="4304"/>
    </row>
    <row r="4348" spans="4331:4346" x14ac:dyDescent="0.3">
      <c r="FJZ4348" s="4305"/>
    </row>
    <row r="4349" spans="4331:4346" x14ac:dyDescent="0.3">
      <c r="FKA4349" s="4306"/>
    </row>
    <row r="4350" spans="4331:4346" x14ac:dyDescent="0.3">
      <c r="FKB4350" s="4307"/>
    </row>
    <row r="4351" spans="4331:4346" x14ac:dyDescent="0.3">
      <c r="FKC4351" s="4308"/>
    </row>
    <row r="4352" spans="4331:4346" x14ac:dyDescent="0.3">
      <c r="FKD4352" s="4309"/>
    </row>
    <row r="4353" spans="4347:4362" x14ac:dyDescent="0.3">
      <c r="FKE4353" s="4310"/>
    </row>
    <row r="4354" spans="4347:4362" x14ac:dyDescent="0.3">
      <c r="FKF4354" s="4311"/>
    </row>
    <row r="4355" spans="4347:4362" x14ac:dyDescent="0.3">
      <c r="FKG4355" s="4312"/>
    </row>
    <row r="4356" spans="4347:4362" x14ac:dyDescent="0.3">
      <c r="FKH4356" s="4313"/>
    </row>
    <row r="4357" spans="4347:4362" x14ac:dyDescent="0.3">
      <c r="FKI4357" s="4314"/>
    </row>
    <row r="4358" spans="4347:4362" x14ac:dyDescent="0.3">
      <c r="FKJ4358" s="4315"/>
    </row>
    <row r="4359" spans="4347:4362" x14ac:dyDescent="0.3">
      <c r="FKK4359" s="4316"/>
    </row>
    <row r="4360" spans="4347:4362" x14ac:dyDescent="0.3">
      <c r="FKL4360" s="4317"/>
    </row>
    <row r="4361" spans="4347:4362" x14ac:dyDescent="0.3">
      <c r="FKM4361" s="4318"/>
    </row>
    <row r="4362" spans="4347:4362" x14ac:dyDescent="0.3">
      <c r="FKN4362" s="4319"/>
    </row>
    <row r="4363" spans="4347:4362" x14ac:dyDescent="0.3">
      <c r="FKO4363" s="4320"/>
    </row>
    <row r="4364" spans="4347:4362" x14ac:dyDescent="0.3">
      <c r="FKP4364" s="4321"/>
    </row>
    <row r="4365" spans="4347:4362" x14ac:dyDescent="0.3">
      <c r="FKQ4365" s="4322"/>
    </row>
    <row r="4366" spans="4347:4362" x14ac:dyDescent="0.3">
      <c r="FKR4366" s="4323"/>
    </row>
    <row r="4367" spans="4347:4362" x14ac:dyDescent="0.3">
      <c r="FKS4367" s="4324"/>
    </row>
    <row r="4368" spans="4347:4362" x14ac:dyDescent="0.3">
      <c r="FKT4368" s="4325"/>
    </row>
    <row r="4369" spans="4363:4378" x14ac:dyDescent="0.3">
      <c r="FKU4369" s="4326"/>
    </row>
    <row r="4370" spans="4363:4378" x14ac:dyDescent="0.3">
      <c r="FKV4370" s="4327"/>
    </row>
    <row r="4371" spans="4363:4378" x14ac:dyDescent="0.3">
      <c r="FKW4371" s="4328"/>
    </row>
    <row r="4372" spans="4363:4378" x14ac:dyDescent="0.3">
      <c r="FKX4372" s="4329"/>
    </row>
    <row r="4373" spans="4363:4378" x14ac:dyDescent="0.3">
      <c r="FKY4373" s="4330"/>
    </row>
    <row r="4374" spans="4363:4378" x14ac:dyDescent="0.3">
      <c r="FKZ4374" s="4331"/>
    </row>
    <row r="4375" spans="4363:4378" x14ac:dyDescent="0.3">
      <c r="FLA4375" s="4331"/>
    </row>
    <row r="4376" spans="4363:4378" x14ac:dyDescent="0.3">
      <c r="FLB4376" s="4332"/>
    </row>
    <row r="4377" spans="4363:4378" x14ac:dyDescent="0.3">
      <c r="FLC4377" s="4333"/>
    </row>
    <row r="4378" spans="4363:4378" x14ac:dyDescent="0.3">
      <c r="FLD4378" s="4334"/>
    </row>
    <row r="4379" spans="4363:4378" x14ac:dyDescent="0.3">
      <c r="FLE4379" s="4335"/>
    </row>
    <row r="4380" spans="4363:4378" x14ac:dyDescent="0.3">
      <c r="FLF4380" s="4336"/>
    </row>
    <row r="4381" spans="4363:4378" x14ac:dyDescent="0.3">
      <c r="FLG4381" s="4337"/>
    </row>
    <row r="4382" spans="4363:4378" x14ac:dyDescent="0.3">
      <c r="FLH4382" s="4338"/>
    </row>
    <row r="4383" spans="4363:4378" x14ac:dyDescent="0.3">
      <c r="FLI4383" s="4339"/>
    </row>
    <row r="4384" spans="4363:4378" x14ac:dyDescent="0.3">
      <c r="FLJ4384" s="4340"/>
    </row>
    <row r="4385" spans="4379:4394" x14ac:dyDescent="0.3">
      <c r="FLK4385" s="4341"/>
    </row>
    <row r="4386" spans="4379:4394" x14ac:dyDescent="0.3">
      <c r="FLL4386" s="4342"/>
    </row>
    <row r="4387" spans="4379:4394" x14ac:dyDescent="0.3">
      <c r="FLM4387" s="4343"/>
    </row>
    <row r="4388" spans="4379:4394" x14ac:dyDescent="0.3">
      <c r="FLN4388" s="4344"/>
    </row>
    <row r="4389" spans="4379:4394" x14ac:dyDescent="0.3">
      <c r="FLO4389" s="4345"/>
    </row>
    <row r="4390" spans="4379:4394" x14ac:dyDescent="0.3">
      <c r="FLP4390" s="4346"/>
    </row>
    <row r="4391" spans="4379:4394" x14ac:dyDescent="0.3">
      <c r="FLQ4391" s="4347"/>
    </row>
    <row r="4392" spans="4379:4394" x14ac:dyDescent="0.3">
      <c r="FLR4392" s="4348"/>
    </row>
    <row r="4393" spans="4379:4394" x14ac:dyDescent="0.3">
      <c r="FLS4393" s="4349"/>
    </row>
    <row r="4394" spans="4379:4394" x14ac:dyDescent="0.3">
      <c r="FLT4394" s="4350"/>
    </row>
    <row r="4395" spans="4379:4394" x14ac:dyDescent="0.3">
      <c r="FLU4395" s="4351"/>
    </row>
    <row r="4396" spans="4379:4394" x14ac:dyDescent="0.3">
      <c r="FLV4396" s="4352"/>
    </row>
    <row r="4397" spans="4379:4394" x14ac:dyDescent="0.3">
      <c r="FLW4397" s="4353"/>
    </row>
    <row r="4398" spans="4379:4394" x14ac:dyDescent="0.3">
      <c r="FLX4398" s="4354"/>
    </row>
    <row r="4399" spans="4379:4394" x14ac:dyDescent="0.3">
      <c r="FLY4399" s="4355"/>
    </row>
    <row r="4400" spans="4379:4394" x14ac:dyDescent="0.3">
      <c r="FLZ4400" s="4356"/>
    </row>
    <row r="4401" spans="4395:4410" x14ac:dyDescent="0.3">
      <c r="FMA4401" s="4357"/>
    </row>
    <row r="4402" spans="4395:4410" x14ac:dyDescent="0.3">
      <c r="FMB4402" s="4358"/>
    </row>
    <row r="4403" spans="4395:4410" x14ac:dyDescent="0.3">
      <c r="FMC4403" s="4359"/>
    </row>
    <row r="4404" spans="4395:4410" x14ac:dyDescent="0.3">
      <c r="FMD4404" s="4360"/>
    </row>
    <row r="4405" spans="4395:4410" x14ac:dyDescent="0.3">
      <c r="FME4405" s="4361"/>
    </row>
    <row r="4406" spans="4395:4410" x14ac:dyDescent="0.3">
      <c r="FMF4406" s="4362"/>
    </row>
    <row r="4407" spans="4395:4410" x14ac:dyDescent="0.3">
      <c r="FMG4407" s="4363"/>
    </row>
    <row r="4408" spans="4395:4410" x14ac:dyDescent="0.3">
      <c r="FMH4408" s="4364"/>
    </row>
    <row r="4409" spans="4395:4410" x14ac:dyDescent="0.3">
      <c r="FMI4409" s="4365"/>
    </row>
    <row r="4410" spans="4395:4410" x14ac:dyDescent="0.3">
      <c r="FMJ4410" s="4366"/>
    </row>
    <row r="4411" spans="4395:4410" x14ac:dyDescent="0.3">
      <c r="FMK4411" s="4367"/>
    </row>
    <row r="4412" spans="4395:4410" x14ac:dyDescent="0.3">
      <c r="FML4412" s="4368"/>
    </row>
    <row r="4413" spans="4395:4410" x14ac:dyDescent="0.3">
      <c r="FMM4413" s="4369"/>
    </row>
    <row r="4414" spans="4395:4410" x14ac:dyDescent="0.3">
      <c r="FMN4414" s="4370"/>
    </row>
    <row r="4415" spans="4395:4410" x14ac:dyDescent="0.3">
      <c r="FMO4415" s="4371"/>
    </row>
    <row r="4416" spans="4395:4410" x14ac:dyDescent="0.3">
      <c r="FMP4416" s="4372"/>
    </row>
    <row r="4417" spans="4411:4426" x14ac:dyDescent="0.3">
      <c r="FMQ4417" s="4373"/>
    </row>
    <row r="4418" spans="4411:4426" x14ac:dyDescent="0.3">
      <c r="FMR4418" s="4374"/>
    </row>
    <row r="4419" spans="4411:4426" x14ac:dyDescent="0.3">
      <c r="FMS4419" s="4375"/>
    </row>
    <row r="4420" spans="4411:4426" x14ac:dyDescent="0.3">
      <c r="FMT4420" s="4376"/>
    </row>
    <row r="4421" spans="4411:4426" x14ac:dyDescent="0.3">
      <c r="FMU4421" s="4377"/>
    </row>
    <row r="4422" spans="4411:4426" x14ac:dyDescent="0.3">
      <c r="FMV4422" s="4378"/>
    </row>
    <row r="4423" spans="4411:4426" x14ac:dyDescent="0.3">
      <c r="FMW4423" s="4379"/>
    </row>
    <row r="4424" spans="4411:4426" x14ac:dyDescent="0.3">
      <c r="FMX4424" s="4380"/>
    </row>
    <row r="4425" spans="4411:4426" x14ac:dyDescent="0.3">
      <c r="FMY4425" s="4381"/>
    </row>
    <row r="4426" spans="4411:4426" x14ac:dyDescent="0.3">
      <c r="FMZ4426" s="4382"/>
    </row>
    <row r="4427" spans="4411:4426" x14ac:dyDescent="0.3">
      <c r="FNA4427" s="4383"/>
    </row>
    <row r="4428" spans="4411:4426" x14ac:dyDescent="0.3">
      <c r="FNB4428" s="4384"/>
    </row>
    <row r="4429" spans="4411:4426" x14ac:dyDescent="0.3">
      <c r="FNC4429" s="4385"/>
    </row>
    <row r="4430" spans="4411:4426" x14ac:dyDescent="0.3">
      <c r="FND4430" s="4386"/>
    </row>
    <row r="4431" spans="4411:4426" x14ac:dyDescent="0.3">
      <c r="FNE4431" s="4387"/>
    </row>
    <row r="4432" spans="4411:4426" x14ac:dyDescent="0.3">
      <c r="FNF4432" s="4388"/>
    </row>
    <row r="4433" spans="4427:4442" x14ac:dyDescent="0.3">
      <c r="FNG4433" s="4389"/>
    </row>
    <row r="4434" spans="4427:4442" x14ac:dyDescent="0.3">
      <c r="FNH4434" s="4390"/>
    </row>
    <row r="4435" spans="4427:4442" x14ac:dyDescent="0.3">
      <c r="FNI4435" s="4391"/>
    </row>
    <row r="4436" spans="4427:4442" x14ac:dyDescent="0.3">
      <c r="FNJ4436" s="4392"/>
    </row>
    <row r="4437" spans="4427:4442" x14ac:dyDescent="0.3">
      <c r="FNK4437" s="4393"/>
    </row>
    <row r="4438" spans="4427:4442" x14ac:dyDescent="0.3">
      <c r="FNL4438" s="4394"/>
    </row>
    <row r="4439" spans="4427:4442" x14ac:dyDescent="0.3">
      <c r="FNM4439" s="4395"/>
    </row>
    <row r="4440" spans="4427:4442" x14ac:dyDescent="0.3">
      <c r="FNN4440" s="4396"/>
    </row>
    <row r="4441" spans="4427:4442" x14ac:dyDescent="0.3">
      <c r="FNO4441" s="4397"/>
    </row>
    <row r="4442" spans="4427:4442" x14ac:dyDescent="0.3">
      <c r="FNP4442" s="4398"/>
    </row>
    <row r="4443" spans="4427:4442" x14ac:dyDescent="0.3">
      <c r="FNQ4443" s="4399"/>
    </row>
    <row r="4444" spans="4427:4442" x14ac:dyDescent="0.3">
      <c r="FNR4444" s="4400"/>
    </row>
    <row r="4445" spans="4427:4442" x14ac:dyDescent="0.3">
      <c r="FNS4445" s="4401"/>
    </row>
    <row r="4446" spans="4427:4442" x14ac:dyDescent="0.3">
      <c r="FNT4446" s="4402"/>
    </row>
    <row r="4447" spans="4427:4442" x14ac:dyDescent="0.3">
      <c r="FNU4447" s="4403"/>
    </row>
    <row r="4448" spans="4427:4442" x14ac:dyDescent="0.3">
      <c r="FNV4448" s="4404"/>
    </row>
    <row r="4449" spans="4443:4458" x14ac:dyDescent="0.3">
      <c r="FNW4449" s="4405"/>
    </row>
    <row r="4450" spans="4443:4458" x14ac:dyDescent="0.3">
      <c r="FNX4450" s="4406"/>
    </row>
    <row r="4451" spans="4443:4458" x14ac:dyDescent="0.3">
      <c r="FNY4451" s="4407"/>
    </row>
    <row r="4452" spans="4443:4458" x14ac:dyDescent="0.3">
      <c r="FNZ4452" s="4408"/>
    </row>
    <row r="4453" spans="4443:4458" x14ac:dyDescent="0.3">
      <c r="FOA4453" s="4409"/>
    </row>
    <row r="4454" spans="4443:4458" x14ac:dyDescent="0.3">
      <c r="FOB4454" s="4410"/>
    </row>
    <row r="4455" spans="4443:4458" x14ac:dyDescent="0.3">
      <c r="FOC4455" s="4411"/>
    </row>
    <row r="4456" spans="4443:4458" x14ac:dyDescent="0.3">
      <c r="FOD4456" s="4412"/>
    </row>
    <row r="4457" spans="4443:4458" x14ac:dyDescent="0.3">
      <c r="FOE4457" s="4413"/>
    </row>
    <row r="4458" spans="4443:4458" x14ac:dyDescent="0.3">
      <c r="FOF4458" s="4414"/>
    </row>
    <row r="4459" spans="4443:4458" x14ac:dyDescent="0.3">
      <c r="FOG4459" s="4415"/>
    </row>
    <row r="4460" spans="4443:4458" x14ac:dyDescent="0.3">
      <c r="FOH4460" s="4416"/>
    </row>
    <row r="4461" spans="4443:4458" x14ac:dyDescent="0.3">
      <c r="FOI4461" s="4417"/>
    </row>
    <row r="4462" spans="4443:4458" x14ac:dyDescent="0.3">
      <c r="FOJ4462" s="4418"/>
    </row>
    <row r="4463" spans="4443:4458" x14ac:dyDescent="0.3">
      <c r="FOK4463" s="4419"/>
    </row>
    <row r="4464" spans="4443:4458" x14ac:dyDescent="0.3">
      <c r="FOL4464" s="4420"/>
    </row>
    <row r="4465" spans="4459:4474" x14ac:dyDescent="0.3">
      <c r="FOM4465" s="4421"/>
    </row>
    <row r="4466" spans="4459:4474" x14ac:dyDescent="0.3">
      <c r="FON4466" s="4422"/>
    </row>
    <row r="4467" spans="4459:4474" x14ac:dyDescent="0.3">
      <c r="FOO4467" s="4423"/>
    </row>
    <row r="4468" spans="4459:4474" x14ac:dyDescent="0.3">
      <c r="FOP4468" s="4424"/>
    </row>
    <row r="4469" spans="4459:4474" x14ac:dyDescent="0.3">
      <c r="FOQ4469" s="4425"/>
    </row>
    <row r="4470" spans="4459:4474" x14ac:dyDescent="0.3">
      <c r="FOR4470" s="4426"/>
    </row>
    <row r="4471" spans="4459:4474" x14ac:dyDescent="0.3">
      <c r="FOS4471" s="4427"/>
    </row>
    <row r="4472" spans="4459:4474" x14ac:dyDescent="0.3">
      <c r="FOT4472" s="4428"/>
    </row>
    <row r="4473" spans="4459:4474" x14ac:dyDescent="0.3">
      <c r="FOU4473" s="4429"/>
    </row>
    <row r="4474" spans="4459:4474" x14ac:dyDescent="0.3">
      <c r="FOV4474" s="4430"/>
    </row>
    <row r="4475" spans="4459:4474" x14ac:dyDescent="0.3">
      <c r="FOW4475" s="4431"/>
    </row>
    <row r="4476" spans="4459:4474" x14ac:dyDescent="0.3">
      <c r="FOX4476" s="4432"/>
    </row>
    <row r="4477" spans="4459:4474" x14ac:dyDescent="0.3">
      <c r="FOY4477" s="4433"/>
    </row>
    <row r="4478" spans="4459:4474" x14ac:dyDescent="0.3">
      <c r="FOZ4478" s="4434"/>
    </row>
    <row r="4479" spans="4459:4474" x14ac:dyDescent="0.3">
      <c r="FPA4479" s="4435"/>
    </row>
    <row r="4480" spans="4459:4474" x14ac:dyDescent="0.3">
      <c r="FPB4480" s="4436"/>
    </row>
    <row r="4481" spans="4475:4490" x14ac:dyDescent="0.3">
      <c r="FPC4481" s="4437"/>
    </row>
    <row r="4482" spans="4475:4490" x14ac:dyDescent="0.3">
      <c r="FPD4482" s="4438"/>
    </row>
    <row r="4483" spans="4475:4490" x14ac:dyDescent="0.3">
      <c r="FPE4483" s="4439"/>
    </row>
    <row r="4484" spans="4475:4490" x14ac:dyDescent="0.3">
      <c r="FPF4484" s="4440"/>
    </row>
    <row r="4485" spans="4475:4490" x14ac:dyDescent="0.3">
      <c r="FPG4485" s="4441"/>
    </row>
    <row r="4486" spans="4475:4490" x14ac:dyDescent="0.3">
      <c r="FPH4486" s="4442"/>
    </row>
    <row r="4487" spans="4475:4490" x14ac:dyDescent="0.3">
      <c r="FPI4487" s="4443"/>
    </row>
    <row r="4488" spans="4475:4490" x14ac:dyDescent="0.3">
      <c r="FPJ4488" s="4444"/>
    </row>
    <row r="4489" spans="4475:4490" x14ac:dyDescent="0.3">
      <c r="FPK4489" s="4445"/>
    </row>
    <row r="4490" spans="4475:4490" x14ac:dyDescent="0.3">
      <c r="FPL4490" s="4446"/>
    </row>
    <row r="4491" spans="4475:4490" x14ac:dyDescent="0.3">
      <c r="FPM4491" s="4447"/>
    </row>
    <row r="4492" spans="4475:4490" x14ac:dyDescent="0.3">
      <c r="FPN4492" s="4448"/>
    </row>
    <row r="4493" spans="4475:4490" x14ac:dyDescent="0.3">
      <c r="FPO4493" s="4449"/>
    </row>
    <row r="4494" spans="4475:4490" x14ac:dyDescent="0.3">
      <c r="FPP4494" s="4450"/>
    </row>
    <row r="4495" spans="4475:4490" x14ac:dyDescent="0.3">
      <c r="FPQ4495" s="4451"/>
    </row>
    <row r="4496" spans="4475:4490" x14ac:dyDescent="0.3">
      <c r="FPR4496" s="4452"/>
    </row>
    <row r="4497" spans="4491:4506" x14ac:dyDescent="0.3">
      <c r="FPS4497" s="4453"/>
    </row>
    <row r="4498" spans="4491:4506" x14ac:dyDescent="0.3">
      <c r="FPT4498" s="4454"/>
    </row>
    <row r="4499" spans="4491:4506" x14ac:dyDescent="0.3">
      <c r="FPU4499" s="4455"/>
    </row>
    <row r="4500" spans="4491:4506" x14ac:dyDescent="0.3">
      <c r="FPV4500" s="4456"/>
    </row>
    <row r="4501" spans="4491:4506" x14ac:dyDescent="0.3">
      <c r="FPW4501" s="4457"/>
    </row>
    <row r="4502" spans="4491:4506" x14ac:dyDescent="0.3">
      <c r="FPX4502" s="4458"/>
    </row>
    <row r="4503" spans="4491:4506" x14ac:dyDescent="0.3">
      <c r="FPY4503" s="4459"/>
    </row>
    <row r="4504" spans="4491:4506" x14ac:dyDescent="0.3">
      <c r="FPZ4504" s="4460"/>
    </row>
    <row r="4505" spans="4491:4506" x14ac:dyDescent="0.3">
      <c r="FQA4505" s="4461"/>
    </row>
    <row r="4506" spans="4491:4506" x14ac:dyDescent="0.3">
      <c r="FQB4506" s="4462"/>
    </row>
    <row r="4507" spans="4491:4506" x14ac:dyDescent="0.3">
      <c r="FQC4507" s="4463"/>
    </row>
    <row r="4508" spans="4491:4506" x14ac:dyDescent="0.3">
      <c r="FQD4508" s="4464"/>
    </row>
    <row r="4509" spans="4491:4506" x14ac:dyDescent="0.3">
      <c r="FQE4509" s="4465"/>
    </row>
    <row r="4510" spans="4491:4506" x14ac:dyDescent="0.3">
      <c r="FQF4510" s="4466"/>
    </row>
    <row r="4511" spans="4491:4506" x14ac:dyDescent="0.3">
      <c r="FQG4511" s="4467"/>
    </row>
    <row r="4512" spans="4491:4506" x14ac:dyDescent="0.3">
      <c r="FQH4512" s="4468"/>
    </row>
    <row r="4513" spans="4507:4522" x14ac:dyDescent="0.3">
      <c r="FQI4513" s="4469"/>
    </row>
    <row r="4514" spans="4507:4522" x14ac:dyDescent="0.3">
      <c r="FQJ4514" s="4470"/>
    </row>
    <row r="4515" spans="4507:4522" x14ac:dyDescent="0.3">
      <c r="FQK4515" s="4471"/>
    </row>
    <row r="4516" spans="4507:4522" x14ac:dyDescent="0.3">
      <c r="FQL4516" s="4472"/>
    </row>
    <row r="4517" spans="4507:4522" x14ac:dyDescent="0.3">
      <c r="FQM4517" s="4473"/>
    </row>
    <row r="4518" spans="4507:4522" x14ac:dyDescent="0.3">
      <c r="FQN4518" s="4474"/>
    </row>
    <row r="4519" spans="4507:4522" x14ac:dyDescent="0.3">
      <c r="FQO4519" s="4475"/>
    </row>
    <row r="4520" spans="4507:4522" x14ac:dyDescent="0.3">
      <c r="FQP4520" s="4476"/>
    </row>
    <row r="4521" spans="4507:4522" x14ac:dyDescent="0.3">
      <c r="FQQ4521" s="4477"/>
    </row>
    <row r="4522" spans="4507:4522" x14ac:dyDescent="0.3">
      <c r="FQR4522" s="4478"/>
    </row>
    <row r="4523" spans="4507:4522" x14ac:dyDescent="0.3">
      <c r="FQS4523" s="4479"/>
    </row>
    <row r="4524" spans="4507:4522" x14ac:dyDescent="0.3">
      <c r="FQT4524" s="4480"/>
    </row>
    <row r="4525" spans="4507:4522" x14ac:dyDescent="0.3">
      <c r="FQU4525" s="4481"/>
    </row>
    <row r="4526" spans="4507:4522" x14ac:dyDescent="0.3">
      <c r="FQV4526" s="4482"/>
    </row>
    <row r="4527" spans="4507:4522" x14ac:dyDescent="0.3">
      <c r="FQW4527" s="4483"/>
    </row>
    <row r="4528" spans="4507:4522" x14ac:dyDescent="0.3">
      <c r="FQX4528" s="4484"/>
    </row>
    <row r="4529" spans="4523:4538" x14ac:dyDescent="0.3">
      <c r="FQY4529" s="4485"/>
    </row>
    <row r="4530" spans="4523:4538" x14ac:dyDescent="0.3">
      <c r="FQZ4530" s="4486"/>
    </row>
    <row r="4531" spans="4523:4538" x14ac:dyDescent="0.3">
      <c r="FRA4531" s="4487"/>
    </row>
    <row r="4532" spans="4523:4538" x14ac:dyDescent="0.3">
      <c r="FRB4532" s="4488"/>
    </row>
    <row r="4533" spans="4523:4538" x14ac:dyDescent="0.3">
      <c r="FRC4533" s="4489"/>
    </row>
    <row r="4534" spans="4523:4538" x14ac:dyDescent="0.3">
      <c r="FRD4534" s="4490"/>
    </row>
    <row r="4535" spans="4523:4538" x14ac:dyDescent="0.3">
      <c r="FRE4535" s="4491"/>
    </row>
    <row r="4536" spans="4523:4538" x14ac:dyDescent="0.3">
      <c r="FRF4536" s="4492"/>
    </row>
    <row r="4537" spans="4523:4538" x14ac:dyDescent="0.3">
      <c r="FRG4537" s="4493"/>
    </row>
    <row r="4538" spans="4523:4538" x14ac:dyDescent="0.3">
      <c r="FRH4538" s="4494"/>
    </row>
    <row r="4539" spans="4523:4538" x14ac:dyDescent="0.3">
      <c r="FRI4539" s="4495"/>
    </row>
    <row r="4540" spans="4523:4538" x14ac:dyDescent="0.3">
      <c r="FRJ4540" s="4496"/>
    </row>
    <row r="4541" spans="4523:4538" x14ac:dyDescent="0.3">
      <c r="FRK4541" s="4497"/>
    </row>
    <row r="4542" spans="4523:4538" x14ac:dyDescent="0.3">
      <c r="FRL4542" s="4498"/>
    </row>
    <row r="4543" spans="4523:4538" x14ac:dyDescent="0.3">
      <c r="FRM4543" s="4499"/>
    </row>
    <row r="4544" spans="4523:4538" x14ac:dyDescent="0.3">
      <c r="FRN4544" s="4500"/>
    </row>
    <row r="4545" spans="4539:4554" x14ac:dyDescent="0.3">
      <c r="FRO4545" s="4501"/>
    </row>
    <row r="4546" spans="4539:4554" x14ac:dyDescent="0.3">
      <c r="FRP4546" s="4502"/>
    </row>
    <row r="4547" spans="4539:4554" x14ac:dyDescent="0.3">
      <c r="FRQ4547" s="4503"/>
    </row>
    <row r="4548" spans="4539:4554" x14ac:dyDescent="0.3">
      <c r="FRR4548" s="4504"/>
    </row>
    <row r="4549" spans="4539:4554" x14ac:dyDescent="0.3">
      <c r="FRS4549" s="4505"/>
    </row>
    <row r="4550" spans="4539:4554" x14ac:dyDescent="0.3">
      <c r="FRT4550" s="4506"/>
    </row>
    <row r="4551" spans="4539:4554" x14ac:dyDescent="0.3">
      <c r="FRU4551" s="4507"/>
    </row>
    <row r="4552" spans="4539:4554" x14ac:dyDescent="0.3">
      <c r="FRV4552" s="4508"/>
    </row>
    <row r="4553" spans="4539:4554" x14ac:dyDescent="0.3">
      <c r="FRW4553" s="4509"/>
    </row>
    <row r="4554" spans="4539:4554" x14ac:dyDescent="0.3">
      <c r="FRX4554" s="4510"/>
    </row>
    <row r="4555" spans="4539:4554" x14ac:dyDescent="0.3">
      <c r="FRY4555" s="4511"/>
    </row>
    <row r="4556" spans="4539:4554" x14ac:dyDescent="0.3">
      <c r="FRZ4556" s="4512"/>
    </row>
    <row r="4557" spans="4539:4554" x14ac:dyDescent="0.3">
      <c r="FSA4557" s="4513"/>
    </row>
    <row r="4558" spans="4539:4554" x14ac:dyDescent="0.3">
      <c r="FSB4558" s="4514"/>
    </row>
    <row r="4559" spans="4539:4554" x14ac:dyDescent="0.3">
      <c r="FSC4559" s="4515"/>
    </row>
    <row r="4560" spans="4539:4554" x14ac:dyDescent="0.3">
      <c r="FSD4560" s="4516"/>
    </row>
    <row r="4561" spans="4555:4570" x14ac:dyDescent="0.3">
      <c r="FSE4561" s="4517"/>
    </row>
    <row r="4562" spans="4555:4570" x14ac:dyDescent="0.3">
      <c r="FSF4562" s="4518"/>
    </row>
    <row r="4563" spans="4555:4570" x14ac:dyDescent="0.3">
      <c r="FSG4563" s="4519"/>
    </row>
    <row r="4564" spans="4555:4570" x14ac:dyDescent="0.3">
      <c r="FSH4564" s="4520"/>
    </row>
    <row r="4565" spans="4555:4570" x14ac:dyDescent="0.3">
      <c r="FSI4565" s="4521"/>
    </row>
    <row r="4566" spans="4555:4570" x14ac:dyDescent="0.3">
      <c r="FSJ4566" s="4522"/>
    </row>
    <row r="4567" spans="4555:4570" x14ac:dyDescent="0.3">
      <c r="FSK4567" s="4523"/>
    </row>
    <row r="4568" spans="4555:4570" x14ac:dyDescent="0.3">
      <c r="FSL4568" s="4524"/>
    </row>
    <row r="4569" spans="4555:4570" x14ac:dyDescent="0.3">
      <c r="FSM4569" s="4525"/>
    </row>
    <row r="4570" spans="4555:4570" x14ac:dyDescent="0.3">
      <c r="FSN4570" s="4526"/>
    </row>
    <row r="4571" spans="4555:4570" x14ac:dyDescent="0.3">
      <c r="FSO4571" s="4527"/>
    </row>
    <row r="4572" spans="4555:4570" x14ac:dyDescent="0.3">
      <c r="FSP4572" s="4528"/>
    </row>
    <row r="4573" spans="4555:4570" x14ac:dyDescent="0.3">
      <c r="FSQ4573" s="4529"/>
    </row>
    <row r="4574" spans="4555:4570" x14ac:dyDescent="0.3">
      <c r="FSR4574" s="4530"/>
    </row>
    <row r="4575" spans="4555:4570" x14ac:dyDescent="0.3">
      <c r="FSS4575" s="4531"/>
    </row>
    <row r="4576" spans="4555:4570" x14ac:dyDescent="0.3">
      <c r="FST4576" s="4532"/>
    </row>
    <row r="4577" spans="4571:4586" x14ac:dyDescent="0.3">
      <c r="FSU4577" s="4533"/>
    </row>
    <row r="4578" spans="4571:4586" x14ac:dyDescent="0.3">
      <c r="FSV4578" s="4534"/>
    </row>
    <row r="4579" spans="4571:4586" x14ac:dyDescent="0.3">
      <c r="FSW4579" s="4535"/>
    </row>
    <row r="4580" spans="4571:4586" x14ac:dyDescent="0.3">
      <c r="FSX4580" s="4536"/>
    </row>
    <row r="4581" spans="4571:4586" x14ac:dyDescent="0.3">
      <c r="FSY4581" s="4537"/>
    </row>
    <row r="4582" spans="4571:4586" x14ac:dyDescent="0.3">
      <c r="FSZ4582" s="4538"/>
    </row>
    <row r="4583" spans="4571:4586" x14ac:dyDescent="0.3">
      <c r="FTA4583" s="4539"/>
    </row>
    <row r="4584" spans="4571:4586" x14ac:dyDescent="0.3">
      <c r="FTB4584" s="4540"/>
    </row>
    <row r="4585" spans="4571:4586" x14ac:dyDescent="0.3">
      <c r="FTC4585" s="4541"/>
    </row>
    <row r="4586" spans="4571:4586" x14ac:dyDescent="0.3">
      <c r="FTD4586" s="4542"/>
    </row>
    <row r="4587" spans="4571:4586" x14ac:dyDescent="0.3">
      <c r="FTE4587" s="4543"/>
    </row>
    <row r="4588" spans="4571:4586" x14ac:dyDescent="0.3">
      <c r="FTF4588" s="4544"/>
    </row>
    <row r="4589" spans="4571:4586" x14ac:dyDescent="0.3">
      <c r="FTG4589" s="4545"/>
    </row>
    <row r="4590" spans="4571:4586" x14ac:dyDescent="0.3">
      <c r="FTH4590" s="4546"/>
    </row>
    <row r="4591" spans="4571:4586" x14ac:dyDescent="0.3">
      <c r="FTI4591" s="4547"/>
    </row>
    <row r="4592" spans="4571:4586" x14ac:dyDescent="0.3">
      <c r="FTJ4592" s="4548"/>
    </row>
    <row r="4593" spans="4587:4602" x14ac:dyDescent="0.3">
      <c r="FTK4593" s="4549"/>
    </row>
    <row r="4594" spans="4587:4602" x14ac:dyDescent="0.3">
      <c r="FTL4594" s="4550"/>
    </row>
    <row r="4595" spans="4587:4602" x14ac:dyDescent="0.3">
      <c r="FTM4595" s="4551"/>
    </row>
    <row r="4596" spans="4587:4602" x14ac:dyDescent="0.3">
      <c r="FTN4596" s="4552"/>
    </row>
    <row r="4597" spans="4587:4602" x14ac:dyDescent="0.3">
      <c r="FTO4597" s="4553"/>
    </row>
    <row r="4598" spans="4587:4602" x14ac:dyDescent="0.3">
      <c r="FTP4598" s="4554"/>
    </row>
    <row r="4599" spans="4587:4602" x14ac:dyDescent="0.3">
      <c r="FTQ4599" s="4555"/>
    </row>
    <row r="4600" spans="4587:4602" x14ac:dyDescent="0.3">
      <c r="FTR4600" s="4556"/>
    </row>
    <row r="4601" spans="4587:4602" x14ac:dyDescent="0.3">
      <c r="FTS4601" s="4557"/>
    </row>
    <row r="4602" spans="4587:4602" x14ac:dyDescent="0.3">
      <c r="FTT4602" s="4558"/>
    </row>
    <row r="4603" spans="4587:4602" x14ac:dyDescent="0.3">
      <c r="FTU4603" s="4559"/>
    </row>
    <row r="4604" spans="4587:4602" x14ac:dyDescent="0.3">
      <c r="FTV4604" s="4560"/>
    </row>
    <row r="4605" spans="4587:4602" x14ac:dyDescent="0.3">
      <c r="FTW4605" s="4561"/>
    </row>
    <row r="4606" spans="4587:4602" x14ac:dyDescent="0.3">
      <c r="FTX4606" s="4562"/>
    </row>
    <row r="4607" spans="4587:4602" x14ac:dyDescent="0.3">
      <c r="FTY4607" s="4563"/>
    </row>
    <row r="4608" spans="4587:4602" x14ac:dyDescent="0.3">
      <c r="FTZ4608" s="4564"/>
    </row>
    <row r="4609" spans="4603:4618" x14ac:dyDescent="0.3">
      <c r="FUA4609" s="4565"/>
    </row>
    <row r="4610" spans="4603:4618" x14ac:dyDescent="0.3">
      <c r="FUB4610" s="4566"/>
    </row>
    <row r="4611" spans="4603:4618" x14ac:dyDescent="0.3">
      <c r="FUC4611" s="4567"/>
    </row>
    <row r="4612" spans="4603:4618" x14ac:dyDescent="0.3">
      <c r="FUD4612" s="4568"/>
    </row>
    <row r="4613" spans="4603:4618" x14ac:dyDescent="0.3">
      <c r="FUE4613" s="4569"/>
    </row>
    <row r="4614" spans="4603:4618" x14ac:dyDescent="0.3">
      <c r="FUF4614" s="4570"/>
    </row>
    <row r="4615" spans="4603:4618" x14ac:dyDescent="0.3">
      <c r="FUG4615" s="4571"/>
    </row>
    <row r="4616" spans="4603:4618" x14ac:dyDescent="0.3">
      <c r="FUH4616" s="4572"/>
    </row>
    <row r="4617" spans="4603:4618" x14ac:dyDescent="0.3">
      <c r="FUI4617" s="4573"/>
    </row>
    <row r="4618" spans="4603:4618" x14ac:dyDescent="0.3">
      <c r="FUJ4618" s="4574"/>
    </row>
    <row r="4619" spans="4603:4618" x14ac:dyDescent="0.3">
      <c r="FUK4619" s="4575"/>
    </row>
    <row r="4620" spans="4603:4618" x14ac:dyDescent="0.3">
      <c r="FUL4620" s="4576"/>
    </row>
    <row r="4621" spans="4603:4618" x14ac:dyDescent="0.3">
      <c r="FUM4621" s="4577"/>
    </row>
    <row r="4622" spans="4603:4618" x14ac:dyDescent="0.3">
      <c r="FUN4622" s="4578"/>
    </row>
    <row r="4623" spans="4603:4618" x14ac:dyDescent="0.3">
      <c r="FUO4623" s="4579"/>
    </row>
    <row r="4624" spans="4603:4618" x14ac:dyDescent="0.3">
      <c r="FUP4624" s="4580"/>
    </row>
    <row r="4625" spans="4619:4634" x14ac:dyDescent="0.3">
      <c r="FUQ4625" s="4581"/>
    </row>
    <row r="4626" spans="4619:4634" x14ac:dyDescent="0.3">
      <c r="FUR4626" s="4582"/>
    </row>
    <row r="4627" spans="4619:4634" x14ac:dyDescent="0.3">
      <c r="FUS4627" s="4583"/>
    </row>
    <row r="4628" spans="4619:4634" x14ac:dyDescent="0.3">
      <c r="FUT4628" s="4584"/>
    </row>
    <row r="4629" spans="4619:4634" x14ac:dyDescent="0.3">
      <c r="FUU4629" s="4585"/>
    </row>
    <row r="4630" spans="4619:4634" x14ac:dyDescent="0.3">
      <c r="FUV4630" s="4586"/>
    </row>
    <row r="4631" spans="4619:4634" x14ac:dyDescent="0.3">
      <c r="FUW4631" s="4587"/>
    </row>
    <row r="4632" spans="4619:4634" x14ac:dyDescent="0.3">
      <c r="FUX4632" s="4587"/>
    </row>
    <row r="4633" spans="4619:4634" x14ac:dyDescent="0.3">
      <c r="FUY4633" s="4588"/>
    </row>
    <row r="4634" spans="4619:4634" x14ac:dyDescent="0.3">
      <c r="FUZ4634" s="4589"/>
    </row>
    <row r="4635" spans="4619:4634" x14ac:dyDescent="0.3">
      <c r="FVA4635" s="4590"/>
    </row>
    <row r="4636" spans="4619:4634" x14ac:dyDescent="0.3">
      <c r="FVB4636" s="4591"/>
    </row>
    <row r="4637" spans="4619:4634" x14ac:dyDescent="0.3">
      <c r="FVC4637" s="4592"/>
    </row>
    <row r="4638" spans="4619:4634" x14ac:dyDescent="0.3">
      <c r="FVD4638" s="4593"/>
    </row>
    <row r="4639" spans="4619:4634" x14ac:dyDescent="0.3">
      <c r="FVE4639" s="4594"/>
    </row>
    <row r="4640" spans="4619:4634" x14ac:dyDescent="0.3">
      <c r="FVF4640" s="4595"/>
    </row>
    <row r="4641" spans="4635:4650" x14ac:dyDescent="0.3">
      <c r="FVG4641" s="4596"/>
    </row>
    <row r="4642" spans="4635:4650" x14ac:dyDescent="0.3">
      <c r="FVH4642" s="4597"/>
    </row>
    <row r="4643" spans="4635:4650" x14ac:dyDescent="0.3">
      <c r="FVI4643" s="4598"/>
    </row>
    <row r="4644" spans="4635:4650" x14ac:dyDescent="0.3">
      <c r="FVJ4644" s="4599"/>
    </row>
    <row r="4645" spans="4635:4650" x14ac:dyDescent="0.3">
      <c r="FVK4645" s="4600"/>
    </row>
    <row r="4646" spans="4635:4650" x14ac:dyDescent="0.3">
      <c r="FVL4646" s="4601"/>
    </row>
    <row r="4647" spans="4635:4650" x14ac:dyDescent="0.3">
      <c r="FVM4647" s="4602"/>
    </row>
    <row r="4648" spans="4635:4650" x14ac:dyDescent="0.3">
      <c r="FVN4648" s="4603"/>
    </row>
    <row r="4649" spans="4635:4650" x14ac:dyDescent="0.3">
      <c r="FVO4649" s="4604"/>
    </row>
    <row r="4650" spans="4635:4650" x14ac:dyDescent="0.3">
      <c r="FVP4650" s="4605"/>
    </row>
    <row r="4651" spans="4635:4650" x14ac:dyDescent="0.3">
      <c r="FVQ4651" s="4606"/>
    </row>
    <row r="4652" spans="4635:4650" x14ac:dyDescent="0.3">
      <c r="FVR4652" s="4607"/>
    </row>
    <row r="4653" spans="4635:4650" x14ac:dyDescent="0.3">
      <c r="FVS4653" s="4608"/>
    </row>
    <row r="4654" spans="4635:4650" x14ac:dyDescent="0.3">
      <c r="FVT4654" s="4609"/>
    </row>
    <row r="4655" spans="4635:4650" x14ac:dyDescent="0.3">
      <c r="FVU4655" s="4610"/>
    </row>
    <row r="4656" spans="4635:4650" x14ac:dyDescent="0.3">
      <c r="FVV4656" s="4611"/>
    </row>
    <row r="4657" spans="4651:4666" x14ac:dyDescent="0.3">
      <c r="FVW4657" s="4612"/>
    </row>
    <row r="4658" spans="4651:4666" x14ac:dyDescent="0.3">
      <c r="FVX4658" s="4613"/>
    </row>
    <row r="4659" spans="4651:4666" x14ac:dyDescent="0.3">
      <c r="FVY4659" s="4614"/>
    </row>
    <row r="4660" spans="4651:4666" x14ac:dyDescent="0.3">
      <c r="FVZ4660" s="4615"/>
    </row>
    <row r="4661" spans="4651:4666" x14ac:dyDescent="0.3">
      <c r="FWA4661" s="4616"/>
    </row>
    <row r="4662" spans="4651:4666" x14ac:dyDescent="0.3">
      <c r="FWB4662" s="4617"/>
    </row>
    <row r="4663" spans="4651:4666" x14ac:dyDescent="0.3">
      <c r="FWC4663" s="4618"/>
    </row>
    <row r="4664" spans="4651:4666" x14ac:dyDescent="0.3">
      <c r="FWD4664" s="4619"/>
    </row>
    <row r="4665" spans="4651:4666" x14ac:dyDescent="0.3">
      <c r="FWE4665" s="4620"/>
    </row>
    <row r="4666" spans="4651:4666" x14ac:dyDescent="0.3">
      <c r="FWF4666" s="4621"/>
    </row>
    <row r="4667" spans="4651:4666" x14ac:dyDescent="0.3">
      <c r="FWG4667" s="4622"/>
    </row>
    <row r="4668" spans="4651:4666" x14ac:dyDescent="0.3">
      <c r="FWH4668" s="4623"/>
    </row>
    <row r="4669" spans="4651:4666" x14ac:dyDescent="0.3">
      <c r="FWI4669" s="4624"/>
    </row>
    <row r="4670" spans="4651:4666" x14ac:dyDescent="0.3">
      <c r="FWJ4670" s="4625"/>
    </row>
    <row r="4671" spans="4651:4666" x14ac:dyDescent="0.3">
      <c r="FWK4671" s="4626"/>
    </row>
    <row r="4672" spans="4651:4666" x14ac:dyDescent="0.3">
      <c r="FWL4672" s="4627"/>
    </row>
    <row r="4673" spans="4667:4682" x14ac:dyDescent="0.3">
      <c r="FWM4673" s="4628"/>
    </row>
    <row r="4674" spans="4667:4682" x14ac:dyDescent="0.3">
      <c r="FWN4674" s="4629"/>
    </row>
    <row r="4675" spans="4667:4682" x14ac:dyDescent="0.3">
      <c r="FWO4675" s="4630"/>
    </row>
    <row r="4676" spans="4667:4682" x14ac:dyDescent="0.3">
      <c r="FWP4676" s="4631"/>
    </row>
    <row r="4677" spans="4667:4682" x14ac:dyDescent="0.3">
      <c r="FWQ4677" s="4632"/>
    </row>
    <row r="4678" spans="4667:4682" x14ac:dyDescent="0.3">
      <c r="FWR4678" s="4633"/>
    </row>
    <row r="4679" spans="4667:4682" x14ac:dyDescent="0.3">
      <c r="FWS4679" s="4634"/>
    </row>
    <row r="4680" spans="4667:4682" x14ac:dyDescent="0.3">
      <c r="FWT4680" s="4635"/>
    </row>
    <row r="4681" spans="4667:4682" x14ac:dyDescent="0.3">
      <c r="FWU4681" s="4636"/>
    </row>
    <row r="4682" spans="4667:4682" x14ac:dyDescent="0.3">
      <c r="FWV4682" s="4637"/>
    </row>
    <row r="4683" spans="4667:4682" x14ac:dyDescent="0.3">
      <c r="FWW4683" s="4638"/>
    </row>
    <row r="4684" spans="4667:4682" x14ac:dyDescent="0.3">
      <c r="FWX4684" s="4639"/>
    </row>
    <row r="4685" spans="4667:4682" x14ac:dyDescent="0.3">
      <c r="FWY4685" s="4640"/>
    </row>
    <row r="4686" spans="4667:4682" x14ac:dyDescent="0.3">
      <c r="FWZ4686" s="4641"/>
    </row>
    <row r="4687" spans="4667:4682" x14ac:dyDescent="0.3">
      <c r="FXA4687" s="4642"/>
    </row>
    <row r="4688" spans="4667:4682" x14ac:dyDescent="0.3">
      <c r="FXB4688" s="4643"/>
    </row>
    <row r="4689" spans="4683:4698" x14ac:dyDescent="0.3">
      <c r="FXC4689" s="4644"/>
    </row>
    <row r="4690" spans="4683:4698" x14ac:dyDescent="0.3">
      <c r="FXD4690" s="4645"/>
    </row>
    <row r="4691" spans="4683:4698" x14ac:dyDescent="0.3">
      <c r="FXE4691" s="4646"/>
    </row>
    <row r="4692" spans="4683:4698" x14ac:dyDescent="0.3">
      <c r="FXF4692" s="4647"/>
    </row>
    <row r="4693" spans="4683:4698" x14ac:dyDescent="0.3">
      <c r="FXG4693" s="4648"/>
    </row>
    <row r="4694" spans="4683:4698" x14ac:dyDescent="0.3">
      <c r="FXH4694" s="4649"/>
    </row>
    <row r="4695" spans="4683:4698" x14ac:dyDescent="0.3">
      <c r="FXI4695" s="4650"/>
    </row>
    <row r="4696" spans="4683:4698" x14ac:dyDescent="0.3">
      <c r="FXJ4696" s="4651"/>
    </row>
    <row r="4697" spans="4683:4698" x14ac:dyDescent="0.3">
      <c r="FXK4697" s="4652"/>
    </row>
    <row r="4698" spans="4683:4698" x14ac:dyDescent="0.3">
      <c r="FXL4698" s="4653"/>
    </row>
    <row r="4699" spans="4683:4698" x14ac:dyDescent="0.3">
      <c r="FXM4699" s="4654"/>
    </row>
    <row r="4700" spans="4683:4698" x14ac:dyDescent="0.3">
      <c r="FXN4700" s="4655"/>
    </row>
    <row r="4701" spans="4683:4698" x14ac:dyDescent="0.3">
      <c r="FXO4701" s="4656"/>
    </row>
    <row r="4702" spans="4683:4698" x14ac:dyDescent="0.3">
      <c r="FXP4702" s="4657"/>
    </row>
    <row r="4703" spans="4683:4698" x14ac:dyDescent="0.3">
      <c r="FXQ4703" s="4658"/>
    </row>
    <row r="4704" spans="4683:4698" x14ac:dyDescent="0.3">
      <c r="FXR4704" s="4659"/>
    </row>
    <row r="4705" spans="4699:4714" x14ac:dyDescent="0.3">
      <c r="FXS4705" s="4660"/>
    </row>
    <row r="4706" spans="4699:4714" x14ac:dyDescent="0.3">
      <c r="FXT4706" s="4661"/>
    </row>
    <row r="4707" spans="4699:4714" x14ac:dyDescent="0.3">
      <c r="FXU4707" s="4662"/>
    </row>
    <row r="4708" spans="4699:4714" x14ac:dyDescent="0.3">
      <c r="FXV4708" s="4663"/>
    </row>
    <row r="4709" spans="4699:4714" x14ac:dyDescent="0.3">
      <c r="FXW4709" s="4664"/>
    </row>
    <row r="4710" spans="4699:4714" x14ac:dyDescent="0.3">
      <c r="FXX4710" s="4665"/>
    </row>
    <row r="4711" spans="4699:4714" x14ac:dyDescent="0.3">
      <c r="FXY4711" s="4666"/>
    </row>
    <row r="4712" spans="4699:4714" x14ac:dyDescent="0.3">
      <c r="FXZ4712" s="4667"/>
    </row>
    <row r="4713" spans="4699:4714" x14ac:dyDescent="0.3">
      <c r="FYA4713" s="4668"/>
    </row>
    <row r="4714" spans="4699:4714" x14ac:dyDescent="0.3">
      <c r="FYB4714" s="4669"/>
    </row>
    <row r="4715" spans="4699:4714" x14ac:dyDescent="0.3">
      <c r="FYC4715" s="4670"/>
    </row>
    <row r="4716" spans="4699:4714" x14ac:dyDescent="0.3">
      <c r="FYD4716" s="4671"/>
    </row>
    <row r="4717" spans="4699:4714" x14ac:dyDescent="0.3">
      <c r="FYE4717" s="4672"/>
    </row>
    <row r="4718" spans="4699:4714" x14ac:dyDescent="0.3">
      <c r="FYF4718" s="4673"/>
    </row>
    <row r="4719" spans="4699:4714" x14ac:dyDescent="0.3">
      <c r="FYG4719" s="4674"/>
    </row>
    <row r="4720" spans="4699:4714" x14ac:dyDescent="0.3">
      <c r="FYH4720" s="4675"/>
    </row>
    <row r="4721" spans="4715:4730" x14ac:dyDescent="0.3">
      <c r="FYI4721" s="4676"/>
    </row>
    <row r="4722" spans="4715:4730" x14ac:dyDescent="0.3">
      <c r="FYJ4722" s="4677"/>
    </row>
    <row r="4723" spans="4715:4730" x14ac:dyDescent="0.3">
      <c r="FYK4723" s="4678"/>
    </row>
    <row r="4724" spans="4715:4730" x14ac:dyDescent="0.3">
      <c r="FYL4724" s="4679"/>
    </row>
    <row r="4725" spans="4715:4730" x14ac:dyDescent="0.3">
      <c r="FYM4725" s="4680"/>
    </row>
    <row r="4726" spans="4715:4730" x14ac:dyDescent="0.3">
      <c r="FYN4726" s="4681"/>
    </row>
    <row r="4727" spans="4715:4730" x14ac:dyDescent="0.3">
      <c r="FYO4727" s="4682"/>
    </row>
    <row r="4728" spans="4715:4730" x14ac:dyDescent="0.3">
      <c r="FYP4728" s="4683"/>
    </row>
    <row r="4729" spans="4715:4730" x14ac:dyDescent="0.3">
      <c r="FYQ4729" s="4684"/>
    </row>
    <row r="4730" spans="4715:4730" x14ac:dyDescent="0.3">
      <c r="FYR4730" s="4685"/>
    </row>
    <row r="4731" spans="4715:4730" x14ac:dyDescent="0.3">
      <c r="FYS4731" s="4686"/>
    </row>
    <row r="4732" spans="4715:4730" x14ac:dyDescent="0.3">
      <c r="FYT4732" s="4687"/>
    </row>
    <row r="4733" spans="4715:4730" x14ac:dyDescent="0.3">
      <c r="FYU4733" s="4688"/>
    </row>
    <row r="4734" spans="4715:4730" x14ac:dyDescent="0.3">
      <c r="FYV4734" s="4689"/>
    </row>
    <row r="4735" spans="4715:4730" x14ac:dyDescent="0.3">
      <c r="FYW4735" s="4690"/>
    </row>
    <row r="4736" spans="4715:4730" x14ac:dyDescent="0.3">
      <c r="FYX4736" s="4691"/>
    </row>
    <row r="4737" spans="4731:4746" x14ac:dyDescent="0.3">
      <c r="FYY4737" s="4692"/>
    </row>
    <row r="4738" spans="4731:4746" x14ac:dyDescent="0.3">
      <c r="FYZ4738" s="4693"/>
    </row>
    <row r="4739" spans="4731:4746" x14ac:dyDescent="0.3">
      <c r="FZA4739" s="4694"/>
    </row>
    <row r="4740" spans="4731:4746" x14ac:dyDescent="0.3">
      <c r="FZB4740" s="4695"/>
    </row>
    <row r="4741" spans="4731:4746" x14ac:dyDescent="0.3">
      <c r="FZC4741" s="4696"/>
    </row>
    <row r="4742" spans="4731:4746" x14ac:dyDescent="0.3">
      <c r="FZD4742" s="4697"/>
    </row>
    <row r="4743" spans="4731:4746" x14ac:dyDescent="0.3">
      <c r="FZE4743" s="4698"/>
    </row>
    <row r="4744" spans="4731:4746" x14ac:dyDescent="0.3">
      <c r="FZF4744" s="4699"/>
    </row>
    <row r="4745" spans="4731:4746" x14ac:dyDescent="0.3">
      <c r="FZG4745" s="4700"/>
    </row>
    <row r="4746" spans="4731:4746" x14ac:dyDescent="0.3">
      <c r="FZH4746" s="4701"/>
    </row>
    <row r="4747" spans="4731:4746" x14ac:dyDescent="0.3">
      <c r="FZI4747" s="4702"/>
    </row>
    <row r="4748" spans="4731:4746" x14ac:dyDescent="0.3">
      <c r="FZJ4748" s="4703"/>
    </row>
    <row r="4749" spans="4731:4746" x14ac:dyDescent="0.3">
      <c r="FZK4749" s="4704"/>
    </row>
    <row r="4750" spans="4731:4746" x14ac:dyDescent="0.3">
      <c r="FZL4750" s="4705"/>
    </row>
    <row r="4751" spans="4731:4746" x14ac:dyDescent="0.3">
      <c r="FZM4751" s="4706"/>
    </row>
    <row r="4752" spans="4731:4746" x14ac:dyDescent="0.3">
      <c r="FZN4752" s="4707"/>
    </row>
    <row r="4753" spans="4747:4762" x14ac:dyDescent="0.3">
      <c r="FZO4753" s="4708"/>
    </row>
    <row r="4754" spans="4747:4762" x14ac:dyDescent="0.3">
      <c r="FZP4754" s="4709"/>
    </row>
    <row r="4755" spans="4747:4762" x14ac:dyDescent="0.3">
      <c r="FZQ4755" s="4710"/>
    </row>
    <row r="4756" spans="4747:4762" x14ac:dyDescent="0.3">
      <c r="FZR4756" s="4711"/>
    </row>
    <row r="4757" spans="4747:4762" x14ac:dyDescent="0.3">
      <c r="FZS4757" s="4712"/>
    </row>
    <row r="4758" spans="4747:4762" x14ac:dyDescent="0.3">
      <c r="FZT4758" s="4713"/>
    </row>
    <row r="4759" spans="4747:4762" x14ac:dyDescent="0.3">
      <c r="FZU4759" s="4714"/>
    </row>
    <row r="4760" spans="4747:4762" x14ac:dyDescent="0.3">
      <c r="FZV4760" s="4715"/>
    </row>
    <row r="4761" spans="4747:4762" x14ac:dyDescent="0.3">
      <c r="FZW4761" s="4716"/>
    </row>
    <row r="4762" spans="4747:4762" x14ac:dyDescent="0.3">
      <c r="FZX4762" s="4717"/>
    </row>
    <row r="4763" spans="4747:4762" x14ac:dyDescent="0.3">
      <c r="FZY4763" s="4718"/>
    </row>
    <row r="4764" spans="4747:4762" x14ac:dyDescent="0.3">
      <c r="FZZ4764" s="4719"/>
    </row>
    <row r="4765" spans="4747:4762" x14ac:dyDescent="0.3">
      <c r="GAA4765" s="4720"/>
    </row>
    <row r="4766" spans="4747:4762" x14ac:dyDescent="0.3">
      <c r="GAB4766" s="4721"/>
    </row>
    <row r="4767" spans="4747:4762" x14ac:dyDescent="0.3">
      <c r="GAC4767" s="4722"/>
    </row>
    <row r="4768" spans="4747:4762" x14ac:dyDescent="0.3">
      <c r="GAD4768" s="4723"/>
    </row>
    <row r="4769" spans="4763:4778" x14ac:dyDescent="0.3">
      <c r="GAE4769" s="4724"/>
    </row>
    <row r="4770" spans="4763:4778" x14ac:dyDescent="0.3">
      <c r="GAF4770" s="4725"/>
    </row>
    <row r="4771" spans="4763:4778" x14ac:dyDescent="0.3">
      <c r="GAG4771" s="4726"/>
    </row>
    <row r="4772" spans="4763:4778" x14ac:dyDescent="0.3">
      <c r="GAH4772" s="4727"/>
    </row>
    <row r="4773" spans="4763:4778" x14ac:dyDescent="0.3">
      <c r="GAI4773" s="4728"/>
    </row>
    <row r="4774" spans="4763:4778" x14ac:dyDescent="0.3">
      <c r="GAJ4774" s="4729"/>
    </row>
    <row r="4775" spans="4763:4778" x14ac:dyDescent="0.3">
      <c r="GAK4775" s="4730"/>
    </row>
    <row r="4776" spans="4763:4778" x14ac:dyDescent="0.3">
      <c r="GAL4776" s="4731"/>
    </row>
    <row r="4777" spans="4763:4778" x14ac:dyDescent="0.3">
      <c r="GAM4777" s="4732"/>
    </row>
    <row r="4778" spans="4763:4778" x14ac:dyDescent="0.3">
      <c r="GAN4778" s="4733"/>
    </row>
    <row r="4779" spans="4763:4778" x14ac:dyDescent="0.3">
      <c r="GAO4779" s="4734"/>
    </row>
    <row r="4780" spans="4763:4778" x14ac:dyDescent="0.3">
      <c r="GAP4780" s="4735"/>
    </row>
    <row r="4781" spans="4763:4778" x14ac:dyDescent="0.3">
      <c r="GAQ4781" s="4736"/>
    </row>
    <row r="4782" spans="4763:4778" x14ac:dyDescent="0.3">
      <c r="GAR4782" s="4737"/>
    </row>
    <row r="4783" spans="4763:4778" x14ac:dyDescent="0.3">
      <c r="GAS4783" s="4738"/>
    </row>
    <row r="4784" spans="4763:4778" x14ac:dyDescent="0.3">
      <c r="GAT4784" s="4739"/>
    </row>
    <row r="4785" spans="4779:4794" x14ac:dyDescent="0.3">
      <c r="GAU4785" s="4740"/>
    </row>
    <row r="4786" spans="4779:4794" x14ac:dyDescent="0.3">
      <c r="GAV4786" s="4741"/>
    </row>
    <row r="4787" spans="4779:4794" x14ac:dyDescent="0.3">
      <c r="GAW4787" s="4742"/>
    </row>
    <row r="4788" spans="4779:4794" x14ac:dyDescent="0.3">
      <c r="GAX4788" s="4743"/>
    </row>
    <row r="4789" spans="4779:4794" x14ac:dyDescent="0.3">
      <c r="GAY4789" s="4744"/>
    </row>
    <row r="4790" spans="4779:4794" x14ac:dyDescent="0.3">
      <c r="GAZ4790" s="4745"/>
    </row>
    <row r="4791" spans="4779:4794" x14ac:dyDescent="0.3">
      <c r="GBA4791" s="4746"/>
    </row>
    <row r="4792" spans="4779:4794" x14ac:dyDescent="0.3">
      <c r="GBB4792" s="4747"/>
    </row>
    <row r="4793" spans="4779:4794" x14ac:dyDescent="0.3">
      <c r="GBC4793" s="4748"/>
    </row>
    <row r="4794" spans="4779:4794" x14ac:dyDescent="0.3">
      <c r="GBD4794" s="4749"/>
    </row>
    <row r="4795" spans="4779:4794" x14ac:dyDescent="0.3">
      <c r="GBE4795" s="4750"/>
    </row>
    <row r="4796" spans="4779:4794" x14ac:dyDescent="0.3">
      <c r="GBF4796" s="4751"/>
    </row>
    <row r="4797" spans="4779:4794" x14ac:dyDescent="0.3">
      <c r="GBG4797" s="4752"/>
    </row>
    <row r="4798" spans="4779:4794" x14ac:dyDescent="0.3">
      <c r="GBH4798" s="4753"/>
    </row>
    <row r="4799" spans="4779:4794" x14ac:dyDescent="0.3">
      <c r="GBI4799" s="4754"/>
    </row>
    <row r="4800" spans="4779:4794" x14ac:dyDescent="0.3">
      <c r="GBJ4800" s="4755"/>
    </row>
    <row r="4801" spans="4795:4810" x14ac:dyDescent="0.3">
      <c r="GBK4801" s="4756"/>
    </row>
    <row r="4802" spans="4795:4810" x14ac:dyDescent="0.3">
      <c r="GBL4802" s="4757"/>
    </row>
    <row r="4803" spans="4795:4810" x14ac:dyDescent="0.3">
      <c r="GBM4803" s="4758"/>
    </row>
    <row r="4804" spans="4795:4810" x14ac:dyDescent="0.3">
      <c r="GBN4804" s="4759"/>
    </row>
    <row r="4805" spans="4795:4810" x14ac:dyDescent="0.3">
      <c r="GBO4805" s="4760"/>
    </row>
    <row r="4806" spans="4795:4810" x14ac:dyDescent="0.3">
      <c r="GBP4806" s="4761"/>
    </row>
    <row r="4807" spans="4795:4810" x14ac:dyDescent="0.3">
      <c r="GBQ4807" s="4762"/>
    </row>
    <row r="4808" spans="4795:4810" x14ac:dyDescent="0.3">
      <c r="GBR4808" s="4763"/>
    </row>
    <row r="4809" spans="4795:4810" x14ac:dyDescent="0.3">
      <c r="GBS4809" s="4764"/>
    </row>
    <row r="4810" spans="4795:4810" x14ac:dyDescent="0.3">
      <c r="GBT4810" s="4765"/>
    </row>
    <row r="4811" spans="4795:4810" x14ac:dyDescent="0.3">
      <c r="GBU4811" s="4766"/>
    </row>
    <row r="4812" spans="4795:4810" x14ac:dyDescent="0.3">
      <c r="GBV4812" s="4767"/>
    </row>
    <row r="4813" spans="4795:4810" x14ac:dyDescent="0.3">
      <c r="GBW4813" s="4768"/>
    </row>
    <row r="4814" spans="4795:4810" x14ac:dyDescent="0.3">
      <c r="GBX4814" s="4769"/>
    </row>
    <row r="4815" spans="4795:4810" x14ac:dyDescent="0.3">
      <c r="GBY4815" s="4770"/>
    </row>
    <row r="4816" spans="4795:4810" x14ac:dyDescent="0.3">
      <c r="GBZ4816" s="4771"/>
    </row>
    <row r="4817" spans="4811:4826" x14ac:dyDescent="0.3">
      <c r="GCA4817" s="4772"/>
    </row>
    <row r="4818" spans="4811:4826" x14ac:dyDescent="0.3">
      <c r="GCB4818" s="4773"/>
    </row>
    <row r="4819" spans="4811:4826" x14ac:dyDescent="0.3">
      <c r="GCC4819" s="4774"/>
    </row>
    <row r="4820" spans="4811:4826" x14ac:dyDescent="0.3">
      <c r="GCD4820" s="4775"/>
    </row>
    <row r="4821" spans="4811:4826" x14ac:dyDescent="0.3">
      <c r="GCE4821" s="4776"/>
    </row>
    <row r="4822" spans="4811:4826" x14ac:dyDescent="0.3">
      <c r="GCF4822" s="4777"/>
    </row>
    <row r="4823" spans="4811:4826" x14ac:dyDescent="0.3">
      <c r="GCG4823" s="4778"/>
    </row>
    <row r="4824" spans="4811:4826" x14ac:dyDescent="0.3">
      <c r="GCH4824" s="4779"/>
    </row>
    <row r="4825" spans="4811:4826" x14ac:dyDescent="0.3">
      <c r="GCI4825" s="4780"/>
    </row>
    <row r="4826" spans="4811:4826" x14ac:dyDescent="0.3">
      <c r="GCJ4826" s="4781"/>
    </row>
    <row r="4827" spans="4811:4826" x14ac:dyDescent="0.3">
      <c r="GCK4827" s="4782"/>
    </row>
    <row r="4828" spans="4811:4826" x14ac:dyDescent="0.3">
      <c r="GCL4828" s="4783"/>
    </row>
    <row r="4829" spans="4811:4826" x14ac:dyDescent="0.3">
      <c r="GCM4829" s="4784"/>
    </row>
    <row r="4830" spans="4811:4826" x14ac:dyDescent="0.3">
      <c r="GCN4830" s="4785"/>
    </row>
    <row r="4831" spans="4811:4826" x14ac:dyDescent="0.3">
      <c r="GCO4831" s="4786"/>
    </row>
    <row r="4832" spans="4811:4826" x14ac:dyDescent="0.3">
      <c r="GCP4832" s="4787"/>
    </row>
    <row r="4833" spans="4827:4842" x14ac:dyDescent="0.3">
      <c r="GCQ4833" s="4788"/>
    </row>
    <row r="4834" spans="4827:4842" x14ac:dyDescent="0.3">
      <c r="GCR4834" s="4789"/>
    </row>
    <row r="4835" spans="4827:4842" x14ac:dyDescent="0.3">
      <c r="GCS4835" s="4790"/>
    </row>
    <row r="4836" spans="4827:4842" x14ac:dyDescent="0.3">
      <c r="GCT4836" s="4791"/>
    </row>
    <row r="4837" spans="4827:4842" x14ac:dyDescent="0.3">
      <c r="GCU4837" s="4792"/>
    </row>
    <row r="4838" spans="4827:4842" x14ac:dyDescent="0.3">
      <c r="GCV4838" s="4793"/>
    </row>
    <row r="4839" spans="4827:4842" x14ac:dyDescent="0.3">
      <c r="GCW4839" s="4794"/>
    </row>
    <row r="4840" spans="4827:4842" x14ac:dyDescent="0.3">
      <c r="GCX4840" s="4795"/>
    </row>
    <row r="4841" spans="4827:4842" x14ac:dyDescent="0.3">
      <c r="GCY4841" s="4796"/>
    </row>
    <row r="4842" spans="4827:4842" x14ac:dyDescent="0.3">
      <c r="GCZ4842" s="4797"/>
    </row>
    <row r="4843" spans="4827:4842" x14ac:dyDescent="0.3">
      <c r="GDA4843" s="4798"/>
    </row>
    <row r="4844" spans="4827:4842" x14ac:dyDescent="0.3">
      <c r="GDB4844" s="4799"/>
    </row>
    <row r="4845" spans="4827:4842" x14ac:dyDescent="0.3">
      <c r="GDC4845" s="4800"/>
    </row>
    <row r="4846" spans="4827:4842" x14ac:dyDescent="0.3">
      <c r="GDD4846" s="4801"/>
    </row>
    <row r="4847" spans="4827:4842" x14ac:dyDescent="0.3">
      <c r="GDE4847" s="4802"/>
    </row>
    <row r="4848" spans="4827:4842" x14ac:dyDescent="0.3">
      <c r="GDF4848" s="4803"/>
    </row>
    <row r="4849" spans="4843:4858" x14ac:dyDescent="0.3">
      <c r="GDG4849" s="4804"/>
    </row>
    <row r="4850" spans="4843:4858" x14ac:dyDescent="0.3">
      <c r="GDH4850" s="4805"/>
    </row>
    <row r="4851" spans="4843:4858" x14ac:dyDescent="0.3">
      <c r="GDI4851" s="4806"/>
    </row>
    <row r="4852" spans="4843:4858" x14ac:dyDescent="0.3">
      <c r="GDJ4852" s="4807"/>
    </row>
    <row r="4853" spans="4843:4858" x14ac:dyDescent="0.3">
      <c r="GDK4853" s="4808"/>
    </row>
    <row r="4854" spans="4843:4858" x14ac:dyDescent="0.3">
      <c r="GDL4854" s="4809"/>
    </row>
    <row r="4855" spans="4843:4858" x14ac:dyDescent="0.3">
      <c r="GDM4855" s="4810"/>
    </row>
    <row r="4856" spans="4843:4858" x14ac:dyDescent="0.3">
      <c r="GDN4856" s="4811"/>
    </row>
    <row r="4857" spans="4843:4858" x14ac:dyDescent="0.3">
      <c r="GDO4857" s="4812"/>
    </row>
    <row r="4858" spans="4843:4858" x14ac:dyDescent="0.3">
      <c r="GDP4858" s="4813"/>
    </row>
    <row r="4859" spans="4843:4858" x14ac:dyDescent="0.3">
      <c r="GDQ4859" s="4814"/>
    </row>
    <row r="4860" spans="4843:4858" x14ac:dyDescent="0.3">
      <c r="GDR4860" s="4815"/>
    </row>
    <row r="4861" spans="4843:4858" x14ac:dyDescent="0.3">
      <c r="GDS4861" s="4816"/>
    </row>
    <row r="4862" spans="4843:4858" x14ac:dyDescent="0.3">
      <c r="GDT4862" s="4817"/>
    </row>
    <row r="4863" spans="4843:4858" x14ac:dyDescent="0.3">
      <c r="GDU4863" s="4818"/>
    </row>
    <row r="4864" spans="4843:4858" x14ac:dyDescent="0.3">
      <c r="GDV4864" s="4819"/>
    </row>
    <row r="4865" spans="4859:4874" x14ac:dyDescent="0.3">
      <c r="GDW4865" s="4820"/>
    </row>
    <row r="4866" spans="4859:4874" x14ac:dyDescent="0.3">
      <c r="GDX4866" s="4821"/>
    </row>
    <row r="4867" spans="4859:4874" x14ac:dyDescent="0.3">
      <c r="GDY4867" s="4822"/>
    </row>
    <row r="4868" spans="4859:4874" x14ac:dyDescent="0.3">
      <c r="GDZ4868" s="4823"/>
    </row>
    <row r="4869" spans="4859:4874" x14ac:dyDescent="0.3">
      <c r="GEA4869" s="4824"/>
    </row>
    <row r="4870" spans="4859:4874" x14ac:dyDescent="0.3">
      <c r="GEB4870" s="4825"/>
    </row>
    <row r="4871" spans="4859:4874" x14ac:dyDescent="0.3">
      <c r="GEC4871" s="4826"/>
    </row>
    <row r="4872" spans="4859:4874" x14ac:dyDescent="0.3">
      <c r="GED4872" s="4827"/>
    </row>
    <row r="4873" spans="4859:4874" x14ac:dyDescent="0.3">
      <c r="GEE4873" s="4828"/>
    </row>
    <row r="4874" spans="4859:4874" x14ac:dyDescent="0.3">
      <c r="GEF4874" s="4829"/>
    </row>
    <row r="4875" spans="4859:4874" x14ac:dyDescent="0.3">
      <c r="GEG4875" s="4830"/>
    </row>
    <row r="4876" spans="4859:4874" x14ac:dyDescent="0.3">
      <c r="GEH4876" s="4831"/>
    </row>
    <row r="4877" spans="4859:4874" x14ac:dyDescent="0.3">
      <c r="GEI4877" s="4832"/>
    </row>
    <row r="4878" spans="4859:4874" x14ac:dyDescent="0.3">
      <c r="GEJ4878" s="4833"/>
    </row>
    <row r="4879" spans="4859:4874" x14ac:dyDescent="0.3">
      <c r="GEK4879" s="4834"/>
    </row>
    <row r="4880" spans="4859:4874" x14ac:dyDescent="0.3">
      <c r="GEL4880" s="4835"/>
    </row>
    <row r="4881" spans="4875:4890" x14ac:dyDescent="0.3">
      <c r="GEM4881" s="4836"/>
    </row>
    <row r="4882" spans="4875:4890" x14ac:dyDescent="0.3">
      <c r="GEN4882" s="4837"/>
    </row>
    <row r="4883" spans="4875:4890" x14ac:dyDescent="0.3">
      <c r="GEO4883" s="4838"/>
    </row>
    <row r="4884" spans="4875:4890" x14ac:dyDescent="0.3">
      <c r="GEP4884" s="4839"/>
    </row>
    <row r="4885" spans="4875:4890" x14ac:dyDescent="0.3">
      <c r="GEQ4885" s="4840"/>
    </row>
    <row r="4886" spans="4875:4890" x14ac:dyDescent="0.3">
      <c r="GER4886" s="4841"/>
    </row>
    <row r="4887" spans="4875:4890" x14ac:dyDescent="0.3">
      <c r="GES4887" s="4842"/>
    </row>
    <row r="4888" spans="4875:4890" x14ac:dyDescent="0.3">
      <c r="GET4888" s="4843"/>
    </row>
    <row r="4889" spans="4875:4890" x14ac:dyDescent="0.3">
      <c r="GEU4889" s="4843"/>
    </row>
    <row r="4890" spans="4875:4890" x14ac:dyDescent="0.3">
      <c r="GEV4890" s="4844"/>
    </row>
    <row r="4891" spans="4875:4890" x14ac:dyDescent="0.3">
      <c r="GEW4891" s="4845"/>
    </row>
    <row r="4892" spans="4875:4890" x14ac:dyDescent="0.3">
      <c r="GEX4892" s="4846"/>
    </row>
    <row r="4893" spans="4875:4890" x14ac:dyDescent="0.3">
      <c r="GEY4893" s="4847"/>
    </row>
    <row r="4894" spans="4875:4890" x14ac:dyDescent="0.3">
      <c r="GEZ4894" s="4848"/>
    </row>
    <row r="4895" spans="4875:4890" x14ac:dyDescent="0.3">
      <c r="GFA4895" s="4849"/>
    </row>
    <row r="4896" spans="4875:4890" x14ac:dyDescent="0.3">
      <c r="GFB4896" s="4850"/>
    </row>
    <row r="4897" spans="4891:4906" x14ac:dyDescent="0.3">
      <c r="GFC4897" s="4851"/>
    </row>
    <row r="4898" spans="4891:4906" x14ac:dyDescent="0.3">
      <c r="GFD4898" s="4852"/>
    </row>
    <row r="4899" spans="4891:4906" x14ac:dyDescent="0.3">
      <c r="GFE4899" s="4853"/>
    </row>
    <row r="4900" spans="4891:4906" x14ac:dyDescent="0.3">
      <c r="GFF4900" s="4854"/>
    </row>
    <row r="4901" spans="4891:4906" x14ac:dyDescent="0.3">
      <c r="GFG4901" s="4855"/>
    </row>
    <row r="4902" spans="4891:4906" x14ac:dyDescent="0.3">
      <c r="GFH4902" s="4856"/>
    </row>
    <row r="4903" spans="4891:4906" x14ac:dyDescent="0.3">
      <c r="GFI4903" s="4857"/>
    </row>
    <row r="4904" spans="4891:4906" x14ac:dyDescent="0.3">
      <c r="GFJ4904" s="4858"/>
    </row>
    <row r="4905" spans="4891:4906" x14ac:dyDescent="0.3">
      <c r="GFK4905" s="4859"/>
    </row>
    <row r="4906" spans="4891:4906" x14ac:dyDescent="0.3">
      <c r="GFL4906" s="4860"/>
    </row>
    <row r="4907" spans="4891:4906" x14ac:dyDescent="0.3">
      <c r="GFM4907" s="4861"/>
    </row>
    <row r="4908" spans="4891:4906" x14ac:dyDescent="0.3">
      <c r="GFN4908" s="4862"/>
    </row>
    <row r="4909" spans="4891:4906" x14ac:dyDescent="0.3">
      <c r="GFO4909" s="4863"/>
    </row>
    <row r="4910" spans="4891:4906" x14ac:dyDescent="0.3">
      <c r="GFP4910" s="4864"/>
    </row>
    <row r="4911" spans="4891:4906" x14ac:dyDescent="0.3">
      <c r="GFQ4911" s="4865"/>
    </row>
    <row r="4912" spans="4891:4906" x14ac:dyDescent="0.3">
      <c r="GFR4912" s="4866"/>
    </row>
    <row r="4913" spans="4907:4922" x14ac:dyDescent="0.3">
      <c r="GFS4913" s="4867"/>
    </row>
    <row r="4914" spans="4907:4922" x14ac:dyDescent="0.3">
      <c r="GFT4914" s="4868"/>
    </row>
    <row r="4915" spans="4907:4922" x14ac:dyDescent="0.3">
      <c r="GFU4915" s="4869"/>
    </row>
    <row r="4916" spans="4907:4922" x14ac:dyDescent="0.3">
      <c r="GFV4916" s="4870"/>
    </row>
    <row r="4917" spans="4907:4922" x14ac:dyDescent="0.3">
      <c r="GFW4917" s="4871"/>
    </row>
    <row r="4918" spans="4907:4922" x14ac:dyDescent="0.3">
      <c r="GFX4918" s="4872"/>
    </row>
    <row r="4919" spans="4907:4922" x14ac:dyDescent="0.3">
      <c r="GFY4919" s="4873"/>
    </row>
    <row r="4920" spans="4907:4922" x14ac:dyDescent="0.3">
      <c r="GFZ4920" s="4874"/>
    </row>
    <row r="4921" spans="4907:4922" x14ac:dyDescent="0.3">
      <c r="GGA4921" s="4875"/>
    </row>
    <row r="4922" spans="4907:4922" x14ac:dyDescent="0.3">
      <c r="GGB4922" s="4876"/>
    </row>
    <row r="4923" spans="4907:4922" x14ac:dyDescent="0.3">
      <c r="GGC4923" s="4877"/>
    </row>
    <row r="4924" spans="4907:4922" x14ac:dyDescent="0.3">
      <c r="GGD4924" s="4878"/>
    </row>
    <row r="4925" spans="4907:4922" x14ac:dyDescent="0.3">
      <c r="GGE4925" s="4879"/>
    </row>
    <row r="4926" spans="4907:4922" x14ac:dyDescent="0.3">
      <c r="GGF4926" s="4880"/>
    </row>
    <row r="4927" spans="4907:4922" x14ac:dyDescent="0.3">
      <c r="GGG4927" s="4881"/>
    </row>
    <row r="4928" spans="4907:4922" x14ac:dyDescent="0.3">
      <c r="GGH4928" s="4882"/>
    </row>
    <row r="4929" spans="4923:4938" x14ac:dyDescent="0.3">
      <c r="GGI4929" s="4883"/>
    </row>
    <row r="4930" spans="4923:4938" x14ac:dyDescent="0.3">
      <c r="GGJ4930" s="4884"/>
    </row>
    <row r="4931" spans="4923:4938" x14ac:dyDescent="0.3">
      <c r="GGK4931" s="4885"/>
    </row>
    <row r="4932" spans="4923:4938" x14ac:dyDescent="0.3">
      <c r="GGL4932" s="4886"/>
    </row>
    <row r="4933" spans="4923:4938" x14ac:dyDescent="0.3">
      <c r="GGM4933" s="4887"/>
    </row>
    <row r="4934" spans="4923:4938" x14ac:dyDescent="0.3">
      <c r="GGN4934" s="4888"/>
    </row>
    <row r="4935" spans="4923:4938" x14ac:dyDescent="0.3">
      <c r="GGO4935" s="4889"/>
    </row>
    <row r="4936" spans="4923:4938" x14ac:dyDescent="0.3">
      <c r="GGP4936" s="4890"/>
    </row>
    <row r="4937" spans="4923:4938" x14ac:dyDescent="0.3">
      <c r="GGQ4937" s="4891"/>
    </row>
    <row r="4938" spans="4923:4938" x14ac:dyDescent="0.3">
      <c r="GGR4938" s="4892"/>
    </row>
    <row r="4939" spans="4923:4938" x14ac:dyDescent="0.3">
      <c r="GGS4939" s="4893"/>
    </row>
    <row r="4940" spans="4923:4938" x14ac:dyDescent="0.3">
      <c r="GGT4940" s="4894"/>
    </row>
    <row r="4941" spans="4923:4938" x14ac:dyDescent="0.3">
      <c r="GGU4941" s="4895"/>
    </row>
    <row r="4942" spans="4923:4938" x14ac:dyDescent="0.3">
      <c r="GGV4942" s="4896"/>
    </row>
    <row r="4943" spans="4923:4938" x14ac:dyDescent="0.3">
      <c r="GGW4943" s="4897"/>
    </row>
    <row r="4944" spans="4923:4938" x14ac:dyDescent="0.3">
      <c r="GGX4944" s="4898"/>
    </row>
    <row r="4945" spans="4939:4954" x14ac:dyDescent="0.3">
      <c r="GGY4945" s="4899"/>
    </row>
    <row r="4946" spans="4939:4954" x14ac:dyDescent="0.3">
      <c r="GGZ4946" s="4900"/>
    </row>
    <row r="4947" spans="4939:4954" x14ac:dyDescent="0.3">
      <c r="GHA4947" s="4901"/>
    </row>
    <row r="4948" spans="4939:4954" x14ac:dyDescent="0.3">
      <c r="GHB4948" s="4902"/>
    </row>
    <row r="4949" spans="4939:4954" x14ac:dyDescent="0.3">
      <c r="GHC4949" s="4903"/>
    </row>
    <row r="4950" spans="4939:4954" x14ac:dyDescent="0.3">
      <c r="GHD4950" s="4904"/>
    </row>
    <row r="4951" spans="4939:4954" x14ac:dyDescent="0.3">
      <c r="GHE4951" s="4905"/>
    </row>
    <row r="4952" spans="4939:4954" x14ac:dyDescent="0.3">
      <c r="GHF4952" s="4906"/>
    </row>
    <row r="4953" spans="4939:4954" x14ac:dyDescent="0.3">
      <c r="GHG4953" s="4907"/>
    </row>
    <row r="4954" spans="4939:4954" x14ac:dyDescent="0.3">
      <c r="GHH4954" s="4908"/>
    </row>
    <row r="4955" spans="4939:4954" x14ac:dyDescent="0.3">
      <c r="GHI4955" s="4909"/>
    </row>
    <row r="4956" spans="4939:4954" x14ac:dyDescent="0.3">
      <c r="GHJ4956" s="4910"/>
    </row>
    <row r="4957" spans="4939:4954" x14ac:dyDescent="0.3">
      <c r="GHK4957" s="4911"/>
    </row>
    <row r="4958" spans="4939:4954" x14ac:dyDescent="0.3">
      <c r="GHL4958" s="4912"/>
    </row>
    <row r="4959" spans="4939:4954" x14ac:dyDescent="0.3">
      <c r="GHM4959" s="4913"/>
    </row>
    <row r="4960" spans="4939:4954" x14ac:dyDescent="0.3">
      <c r="GHN4960" s="4914"/>
    </row>
    <row r="4961" spans="4955:4970" x14ac:dyDescent="0.3">
      <c r="GHO4961" s="4915"/>
    </row>
    <row r="4962" spans="4955:4970" x14ac:dyDescent="0.3">
      <c r="GHP4962" s="4916"/>
    </row>
    <row r="4963" spans="4955:4970" x14ac:dyDescent="0.3">
      <c r="GHQ4963" s="4917"/>
    </row>
    <row r="4964" spans="4955:4970" x14ac:dyDescent="0.3">
      <c r="GHR4964" s="4918"/>
    </row>
    <row r="4965" spans="4955:4970" x14ac:dyDescent="0.3">
      <c r="GHS4965" s="4919"/>
    </row>
    <row r="4966" spans="4955:4970" x14ac:dyDescent="0.3">
      <c r="GHT4966" s="4920"/>
    </row>
    <row r="4967" spans="4955:4970" x14ac:dyDescent="0.3">
      <c r="GHU4967" s="4921"/>
    </row>
    <row r="4968" spans="4955:4970" x14ac:dyDescent="0.3">
      <c r="GHV4968" s="4922"/>
    </row>
    <row r="4969" spans="4955:4970" x14ac:dyDescent="0.3">
      <c r="GHW4969" s="4923"/>
    </row>
    <row r="4970" spans="4955:4970" x14ac:dyDescent="0.3">
      <c r="GHX4970" s="4924"/>
    </row>
    <row r="4971" spans="4955:4970" x14ac:dyDescent="0.3">
      <c r="GHY4971" s="4925"/>
    </row>
    <row r="4972" spans="4955:4970" x14ac:dyDescent="0.3">
      <c r="GHZ4972" s="4926"/>
    </row>
    <row r="4973" spans="4955:4970" x14ac:dyDescent="0.3">
      <c r="GIA4973" s="4927"/>
    </row>
    <row r="4974" spans="4955:4970" x14ac:dyDescent="0.3">
      <c r="GIB4974" s="4928"/>
    </row>
    <row r="4975" spans="4955:4970" x14ac:dyDescent="0.3">
      <c r="GIC4975" s="4929"/>
    </row>
    <row r="4976" spans="4955:4970" x14ac:dyDescent="0.3">
      <c r="GID4976" s="4930"/>
    </row>
    <row r="4977" spans="4971:4986" x14ac:dyDescent="0.3">
      <c r="GIE4977" s="4931"/>
    </row>
    <row r="4978" spans="4971:4986" x14ac:dyDescent="0.3">
      <c r="GIF4978" s="4932"/>
    </row>
    <row r="4979" spans="4971:4986" x14ac:dyDescent="0.3">
      <c r="GIG4979" s="4933"/>
    </row>
    <row r="4980" spans="4971:4986" x14ac:dyDescent="0.3">
      <c r="GIH4980" s="4934"/>
    </row>
    <row r="4981" spans="4971:4986" x14ac:dyDescent="0.3">
      <c r="GII4981" s="4935"/>
    </row>
    <row r="4982" spans="4971:4986" x14ac:dyDescent="0.3">
      <c r="GIJ4982" s="4936"/>
    </row>
    <row r="4983" spans="4971:4986" x14ac:dyDescent="0.3">
      <c r="GIK4983" s="4937"/>
    </row>
    <row r="4984" spans="4971:4986" x14ac:dyDescent="0.3">
      <c r="GIL4984" s="4938"/>
    </row>
    <row r="4985" spans="4971:4986" x14ac:dyDescent="0.3">
      <c r="GIM4985" s="4939"/>
    </row>
    <row r="4986" spans="4971:4986" x14ac:dyDescent="0.3">
      <c r="GIN4986" s="4940"/>
    </row>
    <row r="4987" spans="4971:4986" x14ac:dyDescent="0.3">
      <c r="GIO4987" s="4941"/>
    </row>
    <row r="4988" spans="4971:4986" x14ac:dyDescent="0.3">
      <c r="GIP4988" s="4942"/>
    </row>
    <row r="4989" spans="4971:4986" x14ac:dyDescent="0.3">
      <c r="GIQ4989" s="4943"/>
    </row>
    <row r="4990" spans="4971:4986" x14ac:dyDescent="0.3">
      <c r="GIR4990" s="4944"/>
    </row>
    <row r="4991" spans="4971:4986" x14ac:dyDescent="0.3">
      <c r="GIS4991" s="4945"/>
    </row>
    <row r="4992" spans="4971:4986" x14ac:dyDescent="0.3">
      <c r="GIT4992" s="4946"/>
    </row>
    <row r="4993" spans="4987:5002" x14ac:dyDescent="0.3">
      <c r="GIU4993" s="4947"/>
    </row>
    <row r="4994" spans="4987:5002" x14ac:dyDescent="0.3">
      <c r="GIV4994" s="4948"/>
    </row>
    <row r="4995" spans="4987:5002" x14ac:dyDescent="0.3">
      <c r="GIW4995" s="4949"/>
    </row>
    <row r="4996" spans="4987:5002" x14ac:dyDescent="0.3">
      <c r="GIX4996" s="4950"/>
    </row>
    <row r="4997" spans="4987:5002" x14ac:dyDescent="0.3">
      <c r="GIY4997" s="4951"/>
    </row>
    <row r="4998" spans="4987:5002" x14ac:dyDescent="0.3">
      <c r="GIZ4998" s="4952"/>
    </row>
    <row r="4999" spans="4987:5002" x14ac:dyDescent="0.3">
      <c r="GJA4999" s="4953"/>
    </row>
    <row r="5000" spans="4987:5002" x14ac:dyDescent="0.3">
      <c r="GJB5000" s="4954"/>
    </row>
    <row r="5001" spans="4987:5002" x14ac:dyDescent="0.3">
      <c r="GJC5001" s="4955"/>
    </row>
    <row r="5002" spans="4987:5002" x14ac:dyDescent="0.3">
      <c r="GJD5002" s="4956"/>
    </row>
    <row r="5003" spans="4987:5002" x14ac:dyDescent="0.3">
      <c r="GJE5003" s="4957"/>
    </row>
    <row r="5004" spans="4987:5002" x14ac:dyDescent="0.3">
      <c r="GJF5004" s="4958"/>
    </row>
    <row r="5005" spans="4987:5002" x14ac:dyDescent="0.3">
      <c r="GJG5005" s="4959"/>
    </row>
    <row r="5006" spans="4987:5002" x14ac:dyDescent="0.3">
      <c r="GJH5006" s="4960"/>
    </row>
    <row r="5007" spans="4987:5002" x14ac:dyDescent="0.3">
      <c r="GJI5007" s="4961"/>
    </row>
    <row r="5008" spans="4987:5002" x14ac:dyDescent="0.3">
      <c r="GJJ5008" s="4962"/>
    </row>
    <row r="5009" spans="5003:5018" x14ac:dyDescent="0.3">
      <c r="GJK5009" s="4963"/>
    </row>
    <row r="5010" spans="5003:5018" x14ac:dyDescent="0.3">
      <c r="GJL5010" s="4964"/>
    </row>
    <row r="5011" spans="5003:5018" x14ac:dyDescent="0.3">
      <c r="GJM5011" s="4965"/>
    </row>
    <row r="5012" spans="5003:5018" x14ac:dyDescent="0.3">
      <c r="GJN5012" s="4966"/>
    </row>
    <row r="5013" spans="5003:5018" x14ac:dyDescent="0.3">
      <c r="GJO5013" s="4967"/>
    </row>
    <row r="5014" spans="5003:5018" x14ac:dyDescent="0.3">
      <c r="GJP5014" s="4968"/>
    </row>
    <row r="5015" spans="5003:5018" x14ac:dyDescent="0.3">
      <c r="GJQ5015" s="4969"/>
    </row>
    <row r="5016" spans="5003:5018" x14ac:dyDescent="0.3">
      <c r="GJR5016" s="4970"/>
    </row>
    <row r="5017" spans="5003:5018" x14ac:dyDescent="0.3">
      <c r="GJS5017" s="4971"/>
    </row>
    <row r="5018" spans="5003:5018" x14ac:dyDescent="0.3">
      <c r="GJT5018" s="4972"/>
    </row>
    <row r="5019" spans="5003:5018" x14ac:dyDescent="0.3">
      <c r="GJU5019" s="4973"/>
    </row>
    <row r="5020" spans="5003:5018" x14ac:dyDescent="0.3">
      <c r="GJV5020" s="4974"/>
    </row>
    <row r="5021" spans="5003:5018" x14ac:dyDescent="0.3">
      <c r="GJW5021" s="4975"/>
    </row>
    <row r="5022" spans="5003:5018" x14ac:dyDescent="0.3">
      <c r="GJX5022" s="4976"/>
    </row>
    <row r="5023" spans="5003:5018" x14ac:dyDescent="0.3">
      <c r="GJY5023" s="4977"/>
    </row>
    <row r="5024" spans="5003:5018" x14ac:dyDescent="0.3">
      <c r="GJZ5024" s="4978"/>
    </row>
    <row r="5025" spans="5019:5034" x14ac:dyDescent="0.3">
      <c r="GKA5025" s="4979"/>
    </row>
    <row r="5026" spans="5019:5034" x14ac:dyDescent="0.3">
      <c r="GKB5026" s="4980"/>
    </row>
    <row r="5027" spans="5019:5034" x14ac:dyDescent="0.3">
      <c r="GKC5027" s="4981"/>
    </row>
    <row r="5028" spans="5019:5034" x14ac:dyDescent="0.3">
      <c r="GKD5028" s="4982"/>
    </row>
    <row r="5029" spans="5019:5034" x14ac:dyDescent="0.3">
      <c r="GKE5029" s="4983"/>
    </row>
    <row r="5030" spans="5019:5034" x14ac:dyDescent="0.3">
      <c r="GKF5030" s="4984"/>
    </row>
    <row r="5031" spans="5019:5034" x14ac:dyDescent="0.3">
      <c r="GKG5031" s="4985"/>
    </row>
    <row r="5032" spans="5019:5034" x14ac:dyDescent="0.3">
      <c r="GKH5032" s="4986"/>
    </row>
    <row r="5033" spans="5019:5034" x14ac:dyDescent="0.3">
      <c r="GKI5033" s="4987"/>
    </row>
    <row r="5034" spans="5019:5034" x14ac:dyDescent="0.3">
      <c r="GKJ5034" s="4988"/>
    </row>
    <row r="5035" spans="5019:5034" x14ac:dyDescent="0.3">
      <c r="GKK5035" s="4989"/>
    </row>
    <row r="5036" spans="5019:5034" x14ac:dyDescent="0.3">
      <c r="GKL5036" s="4990"/>
    </row>
    <row r="5037" spans="5019:5034" x14ac:dyDescent="0.3">
      <c r="GKM5037" s="4991"/>
    </row>
    <row r="5038" spans="5019:5034" x14ac:dyDescent="0.3">
      <c r="GKN5038" s="4992"/>
    </row>
    <row r="5039" spans="5019:5034" x14ac:dyDescent="0.3">
      <c r="GKO5039" s="4993"/>
    </row>
    <row r="5040" spans="5019:5034" x14ac:dyDescent="0.3">
      <c r="GKP5040" s="4994"/>
    </row>
    <row r="5041" spans="5035:5050" x14ac:dyDescent="0.3">
      <c r="GKQ5041" s="4995"/>
    </row>
    <row r="5042" spans="5035:5050" x14ac:dyDescent="0.3">
      <c r="GKR5042" s="4996"/>
    </row>
    <row r="5043" spans="5035:5050" x14ac:dyDescent="0.3">
      <c r="GKS5043" s="4997"/>
    </row>
    <row r="5044" spans="5035:5050" x14ac:dyDescent="0.3">
      <c r="GKT5044" s="4998"/>
    </row>
    <row r="5045" spans="5035:5050" x14ac:dyDescent="0.3">
      <c r="GKU5045" s="4999"/>
    </row>
    <row r="5046" spans="5035:5050" x14ac:dyDescent="0.3">
      <c r="GKV5046" s="5000"/>
    </row>
    <row r="5047" spans="5035:5050" x14ac:dyDescent="0.3">
      <c r="GKW5047" s="5001"/>
    </row>
    <row r="5048" spans="5035:5050" x14ac:dyDescent="0.3">
      <c r="GKX5048" s="5002"/>
    </row>
    <row r="5049" spans="5035:5050" x14ac:dyDescent="0.3">
      <c r="GKY5049" s="5003"/>
    </row>
    <row r="5050" spans="5035:5050" x14ac:dyDescent="0.3">
      <c r="GKZ5050" s="5004"/>
    </row>
    <row r="5051" spans="5035:5050" x14ac:dyDescent="0.3">
      <c r="GLA5051" s="5005"/>
    </row>
    <row r="5052" spans="5035:5050" x14ac:dyDescent="0.3">
      <c r="GLB5052" s="5006"/>
    </row>
    <row r="5053" spans="5035:5050" x14ac:dyDescent="0.3">
      <c r="GLC5053" s="5007"/>
    </row>
    <row r="5054" spans="5035:5050" x14ac:dyDescent="0.3">
      <c r="GLD5054" s="5008"/>
    </row>
    <row r="5055" spans="5035:5050" x14ac:dyDescent="0.3">
      <c r="GLE5055" s="5009"/>
    </row>
    <row r="5056" spans="5035:5050" x14ac:dyDescent="0.3">
      <c r="GLF5056" s="5010"/>
    </row>
    <row r="5057" spans="5051:5066" x14ac:dyDescent="0.3">
      <c r="GLG5057" s="5011"/>
    </row>
    <row r="5058" spans="5051:5066" x14ac:dyDescent="0.3">
      <c r="GLH5058" s="5012"/>
    </row>
    <row r="5059" spans="5051:5066" x14ac:dyDescent="0.3">
      <c r="GLI5059" s="5013"/>
    </row>
    <row r="5060" spans="5051:5066" x14ac:dyDescent="0.3">
      <c r="GLJ5060" s="5014"/>
    </row>
    <row r="5061" spans="5051:5066" x14ac:dyDescent="0.3">
      <c r="GLK5061" s="5015"/>
    </row>
    <row r="5062" spans="5051:5066" x14ac:dyDescent="0.3">
      <c r="GLL5062" s="5016"/>
    </row>
    <row r="5063" spans="5051:5066" x14ac:dyDescent="0.3">
      <c r="GLM5063" s="5017"/>
    </row>
    <row r="5064" spans="5051:5066" x14ac:dyDescent="0.3">
      <c r="GLN5064" s="5018"/>
    </row>
    <row r="5065" spans="5051:5066" x14ac:dyDescent="0.3">
      <c r="GLO5065" s="5019"/>
    </row>
    <row r="5066" spans="5051:5066" x14ac:dyDescent="0.3">
      <c r="GLP5066" s="5020"/>
    </row>
    <row r="5067" spans="5051:5066" x14ac:dyDescent="0.3">
      <c r="GLQ5067" s="5021"/>
    </row>
    <row r="5068" spans="5051:5066" x14ac:dyDescent="0.3">
      <c r="GLR5068" s="5022"/>
    </row>
    <row r="5069" spans="5051:5066" x14ac:dyDescent="0.3">
      <c r="GLS5069" s="5023"/>
    </row>
    <row r="5070" spans="5051:5066" x14ac:dyDescent="0.3">
      <c r="GLT5070" s="5024"/>
    </row>
    <row r="5071" spans="5051:5066" x14ac:dyDescent="0.3">
      <c r="GLU5071" s="5025"/>
    </row>
    <row r="5072" spans="5051:5066" x14ac:dyDescent="0.3">
      <c r="GLV5072" s="5026"/>
    </row>
    <row r="5073" spans="5067:5082" x14ac:dyDescent="0.3">
      <c r="GLW5073" s="5027"/>
    </row>
    <row r="5074" spans="5067:5082" x14ac:dyDescent="0.3">
      <c r="GLX5074" s="5028"/>
    </row>
    <row r="5075" spans="5067:5082" x14ac:dyDescent="0.3">
      <c r="GLY5075" s="5029"/>
    </row>
    <row r="5076" spans="5067:5082" x14ac:dyDescent="0.3">
      <c r="GLZ5076" s="5030"/>
    </row>
    <row r="5077" spans="5067:5082" x14ac:dyDescent="0.3">
      <c r="GMA5077" s="5031"/>
    </row>
    <row r="5078" spans="5067:5082" x14ac:dyDescent="0.3">
      <c r="GMB5078" s="5032"/>
    </row>
    <row r="5079" spans="5067:5082" x14ac:dyDescent="0.3">
      <c r="GMC5079" s="5033"/>
    </row>
    <row r="5080" spans="5067:5082" x14ac:dyDescent="0.3">
      <c r="GMD5080" s="5034"/>
    </row>
    <row r="5081" spans="5067:5082" x14ac:dyDescent="0.3">
      <c r="GME5081" s="5035"/>
    </row>
    <row r="5082" spans="5067:5082" x14ac:dyDescent="0.3">
      <c r="GMF5082" s="5036"/>
    </row>
    <row r="5083" spans="5067:5082" x14ac:dyDescent="0.3">
      <c r="GMG5083" s="5037"/>
    </row>
    <row r="5084" spans="5067:5082" x14ac:dyDescent="0.3">
      <c r="GMH5084" s="5038"/>
    </row>
    <row r="5085" spans="5067:5082" x14ac:dyDescent="0.3">
      <c r="GMI5085" s="5039"/>
    </row>
    <row r="5086" spans="5067:5082" x14ac:dyDescent="0.3">
      <c r="GMJ5086" s="5040"/>
    </row>
    <row r="5087" spans="5067:5082" x14ac:dyDescent="0.3">
      <c r="GMK5087" s="5041"/>
    </row>
    <row r="5088" spans="5067:5082" x14ac:dyDescent="0.3">
      <c r="GML5088" s="5042"/>
    </row>
    <row r="5089" spans="5083:5098" x14ac:dyDescent="0.3">
      <c r="GMM5089" s="5043"/>
    </row>
    <row r="5090" spans="5083:5098" x14ac:dyDescent="0.3">
      <c r="GMN5090" s="5044"/>
    </row>
    <row r="5091" spans="5083:5098" x14ac:dyDescent="0.3">
      <c r="GMO5091" s="5045"/>
    </row>
    <row r="5092" spans="5083:5098" x14ac:dyDescent="0.3">
      <c r="GMP5092" s="5046"/>
    </row>
    <row r="5093" spans="5083:5098" x14ac:dyDescent="0.3">
      <c r="GMQ5093" s="5047"/>
    </row>
    <row r="5094" spans="5083:5098" x14ac:dyDescent="0.3">
      <c r="GMR5094" s="5048"/>
    </row>
    <row r="5095" spans="5083:5098" x14ac:dyDescent="0.3">
      <c r="GMS5095" s="5049"/>
    </row>
    <row r="5096" spans="5083:5098" x14ac:dyDescent="0.3">
      <c r="GMT5096" s="5050"/>
    </row>
    <row r="5097" spans="5083:5098" x14ac:dyDescent="0.3">
      <c r="GMU5097" s="5051"/>
    </row>
    <row r="5098" spans="5083:5098" x14ac:dyDescent="0.3">
      <c r="GMV5098" s="5052"/>
    </row>
    <row r="5099" spans="5083:5098" x14ac:dyDescent="0.3">
      <c r="GMW5099" s="5053"/>
    </row>
    <row r="5100" spans="5083:5098" x14ac:dyDescent="0.3">
      <c r="GMX5100" s="5054"/>
    </row>
    <row r="5101" spans="5083:5098" x14ac:dyDescent="0.3">
      <c r="GMY5101" s="5055"/>
    </row>
    <row r="5102" spans="5083:5098" x14ac:dyDescent="0.3">
      <c r="GMZ5102" s="5056"/>
    </row>
    <row r="5103" spans="5083:5098" x14ac:dyDescent="0.3">
      <c r="GNA5103" s="5057"/>
    </row>
    <row r="5104" spans="5083:5098" x14ac:dyDescent="0.3">
      <c r="GNB5104" s="5058"/>
    </row>
    <row r="5105" spans="5099:5114" x14ac:dyDescent="0.3">
      <c r="GNC5105" s="5059"/>
    </row>
    <row r="5106" spans="5099:5114" x14ac:dyDescent="0.3">
      <c r="GND5106" s="5060"/>
    </row>
    <row r="5107" spans="5099:5114" x14ac:dyDescent="0.3">
      <c r="GNE5107" s="5061"/>
    </row>
    <row r="5108" spans="5099:5114" x14ac:dyDescent="0.3">
      <c r="GNF5108" s="5062"/>
    </row>
    <row r="5109" spans="5099:5114" x14ac:dyDescent="0.3">
      <c r="GNG5109" s="5063"/>
    </row>
    <row r="5110" spans="5099:5114" x14ac:dyDescent="0.3">
      <c r="GNH5110" s="5064"/>
    </row>
    <row r="5111" spans="5099:5114" x14ac:dyDescent="0.3">
      <c r="GNI5111" s="5065"/>
    </row>
    <row r="5112" spans="5099:5114" x14ac:dyDescent="0.3">
      <c r="GNJ5112" s="5066"/>
    </row>
    <row r="5113" spans="5099:5114" x14ac:dyDescent="0.3">
      <c r="GNK5113" s="5067"/>
    </row>
    <row r="5114" spans="5099:5114" x14ac:dyDescent="0.3">
      <c r="GNL5114" s="5068"/>
    </row>
    <row r="5115" spans="5099:5114" x14ac:dyDescent="0.3">
      <c r="GNM5115" s="5069"/>
    </row>
    <row r="5116" spans="5099:5114" x14ac:dyDescent="0.3">
      <c r="GNN5116" s="5070"/>
    </row>
    <row r="5117" spans="5099:5114" x14ac:dyDescent="0.3">
      <c r="GNO5117" s="5071"/>
    </row>
    <row r="5118" spans="5099:5114" x14ac:dyDescent="0.3">
      <c r="GNP5118" s="5072"/>
    </row>
    <row r="5119" spans="5099:5114" x14ac:dyDescent="0.3">
      <c r="GNQ5119" s="5073"/>
    </row>
    <row r="5120" spans="5099:5114" x14ac:dyDescent="0.3">
      <c r="GNR5120" s="5074"/>
    </row>
    <row r="5121" spans="5115:5130" x14ac:dyDescent="0.3">
      <c r="GNS5121" s="5075"/>
    </row>
    <row r="5122" spans="5115:5130" x14ac:dyDescent="0.3">
      <c r="GNT5122" s="5076"/>
    </row>
    <row r="5123" spans="5115:5130" x14ac:dyDescent="0.3">
      <c r="GNU5123" s="5077"/>
    </row>
    <row r="5124" spans="5115:5130" x14ac:dyDescent="0.3">
      <c r="GNV5124" s="5078"/>
    </row>
    <row r="5125" spans="5115:5130" x14ac:dyDescent="0.3">
      <c r="GNW5125" s="5079"/>
    </row>
    <row r="5126" spans="5115:5130" x14ac:dyDescent="0.3">
      <c r="GNX5126" s="5080"/>
    </row>
    <row r="5127" spans="5115:5130" x14ac:dyDescent="0.3">
      <c r="GNY5127" s="5081"/>
    </row>
    <row r="5128" spans="5115:5130" x14ac:dyDescent="0.3">
      <c r="GNZ5128" s="5082"/>
    </row>
    <row r="5129" spans="5115:5130" x14ac:dyDescent="0.3">
      <c r="GOA5129" s="5083"/>
    </row>
    <row r="5130" spans="5115:5130" x14ac:dyDescent="0.3">
      <c r="GOB5130" s="5084"/>
    </row>
    <row r="5131" spans="5115:5130" x14ac:dyDescent="0.3">
      <c r="GOC5131" s="5085"/>
    </row>
    <row r="5132" spans="5115:5130" x14ac:dyDescent="0.3">
      <c r="GOD5132" s="5086"/>
    </row>
    <row r="5133" spans="5115:5130" x14ac:dyDescent="0.3">
      <c r="GOE5133" s="5087"/>
    </row>
    <row r="5134" spans="5115:5130" x14ac:dyDescent="0.3">
      <c r="GOF5134" s="5088"/>
    </row>
    <row r="5135" spans="5115:5130" x14ac:dyDescent="0.3">
      <c r="GOG5135" s="5089"/>
    </row>
    <row r="5136" spans="5115:5130" x14ac:dyDescent="0.3">
      <c r="GOH5136" s="5090"/>
    </row>
    <row r="5137" spans="5131:5146" x14ac:dyDescent="0.3">
      <c r="GOI5137" s="5091"/>
    </row>
    <row r="5138" spans="5131:5146" x14ac:dyDescent="0.3">
      <c r="GOJ5138" s="5092"/>
    </row>
    <row r="5139" spans="5131:5146" x14ac:dyDescent="0.3">
      <c r="GOK5139" s="5093"/>
    </row>
    <row r="5140" spans="5131:5146" x14ac:dyDescent="0.3">
      <c r="GOL5140" s="5094"/>
    </row>
    <row r="5141" spans="5131:5146" x14ac:dyDescent="0.3">
      <c r="GOM5141" s="5095"/>
    </row>
    <row r="5142" spans="5131:5146" x14ac:dyDescent="0.3">
      <c r="GON5142" s="5096"/>
    </row>
    <row r="5143" spans="5131:5146" x14ac:dyDescent="0.3">
      <c r="GOO5143" s="5097"/>
    </row>
    <row r="5144" spans="5131:5146" x14ac:dyDescent="0.3">
      <c r="GOP5144" s="5098"/>
    </row>
    <row r="5145" spans="5131:5146" x14ac:dyDescent="0.3">
      <c r="GOQ5145" s="5099"/>
    </row>
    <row r="5146" spans="5131:5146" x14ac:dyDescent="0.3">
      <c r="GOR5146" s="5099"/>
    </row>
    <row r="5147" spans="5131:5146" x14ac:dyDescent="0.3">
      <c r="GOS5147" s="5100"/>
    </row>
    <row r="5148" spans="5131:5146" x14ac:dyDescent="0.3">
      <c r="GOT5148" s="5101"/>
    </row>
    <row r="5149" spans="5131:5146" x14ac:dyDescent="0.3">
      <c r="GOU5149" s="5102"/>
    </row>
    <row r="5150" spans="5131:5146" x14ac:dyDescent="0.3">
      <c r="GOV5150" s="5103"/>
    </row>
    <row r="5151" spans="5131:5146" x14ac:dyDescent="0.3">
      <c r="GOW5151" s="5104"/>
    </row>
    <row r="5152" spans="5131:5146" x14ac:dyDescent="0.3">
      <c r="GOX5152" s="5105"/>
    </row>
    <row r="5153" spans="5147:5162" x14ac:dyDescent="0.3">
      <c r="GOY5153" s="5106"/>
    </row>
    <row r="5154" spans="5147:5162" x14ac:dyDescent="0.3">
      <c r="GOZ5154" s="5107"/>
    </row>
    <row r="5155" spans="5147:5162" x14ac:dyDescent="0.3">
      <c r="GPA5155" s="5108"/>
    </row>
    <row r="5156" spans="5147:5162" x14ac:dyDescent="0.3">
      <c r="GPB5156" s="5109"/>
    </row>
    <row r="5157" spans="5147:5162" x14ac:dyDescent="0.3">
      <c r="GPC5157" s="5110"/>
    </row>
    <row r="5158" spans="5147:5162" x14ac:dyDescent="0.3">
      <c r="GPD5158" s="5111"/>
    </row>
    <row r="5159" spans="5147:5162" x14ac:dyDescent="0.3">
      <c r="GPE5159" s="5112"/>
    </row>
    <row r="5160" spans="5147:5162" x14ac:dyDescent="0.3">
      <c r="GPF5160" s="5113"/>
    </row>
    <row r="5161" spans="5147:5162" x14ac:dyDescent="0.3">
      <c r="GPG5161" s="5114"/>
    </row>
    <row r="5162" spans="5147:5162" x14ac:dyDescent="0.3">
      <c r="GPH5162" s="5115"/>
    </row>
    <row r="5163" spans="5147:5162" x14ac:dyDescent="0.3">
      <c r="GPI5163" s="5116"/>
    </row>
    <row r="5164" spans="5147:5162" x14ac:dyDescent="0.3">
      <c r="GPJ5164" s="5117"/>
    </row>
    <row r="5165" spans="5147:5162" x14ac:dyDescent="0.3">
      <c r="GPK5165" s="5118"/>
    </row>
    <row r="5166" spans="5147:5162" x14ac:dyDescent="0.3">
      <c r="GPL5166" s="5119"/>
    </row>
    <row r="5167" spans="5147:5162" x14ac:dyDescent="0.3">
      <c r="GPM5167" s="5120"/>
    </row>
    <row r="5168" spans="5147:5162" x14ac:dyDescent="0.3">
      <c r="GPN5168" s="5121"/>
    </row>
    <row r="5169" spans="5163:5178" x14ac:dyDescent="0.3">
      <c r="GPO5169" s="5122"/>
    </row>
    <row r="5170" spans="5163:5178" x14ac:dyDescent="0.3">
      <c r="GPP5170" s="5123"/>
    </row>
    <row r="5171" spans="5163:5178" x14ac:dyDescent="0.3">
      <c r="GPQ5171" s="5124"/>
    </row>
    <row r="5172" spans="5163:5178" x14ac:dyDescent="0.3">
      <c r="GPR5172" s="5125"/>
    </row>
    <row r="5173" spans="5163:5178" x14ac:dyDescent="0.3">
      <c r="GPS5173" s="5126"/>
    </row>
    <row r="5174" spans="5163:5178" x14ac:dyDescent="0.3">
      <c r="GPT5174" s="5127"/>
    </row>
    <row r="5175" spans="5163:5178" x14ac:dyDescent="0.3">
      <c r="GPU5175" s="5128"/>
    </row>
    <row r="5176" spans="5163:5178" x14ac:dyDescent="0.3">
      <c r="GPV5176" s="5129"/>
    </row>
    <row r="5177" spans="5163:5178" x14ac:dyDescent="0.3">
      <c r="GPW5177" s="5130"/>
    </row>
    <row r="5178" spans="5163:5178" x14ac:dyDescent="0.3">
      <c r="GPX5178" s="5131"/>
    </row>
    <row r="5179" spans="5163:5178" x14ac:dyDescent="0.3">
      <c r="GPY5179" s="5132"/>
    </row>
    <row r="5180" spans="5163:5178" x14ac:dyDescent="0.3">
      <c r="GPZ5180" s="5133"/>
    </row>
    <row r="5181" spans="5163:5178" x14ac:dyDescent="0.3">
      <c r="GQA5181" s="5134"/>
    </row>
    <row r="5182" spans="5163:5178" x14ac:dyDescent="0.3">
      <c r="GQB5182" s="5135"/>
    </row>
    <row r="5183" spans="5163:5178" x14ac:dyDescent="0.3">
      <c r="GQC5183" s="5136"/>
    </row>
    <row r="5184" spans="5163:5178" x14ac:dyDescent="0.3">
      <c r="GQD5184" s="5137"/>
    </row>
    <row r="5185" spans="5179:5194" x14ac:dyDescent="0.3">
      <c r="GQE5185" s="5138"/>
    </row>
    <row r="5186" spans="5179:5194" x14ac:dyDescent="0.3">
      <c r="GQF5186" s="5139"/>
    </row>
    <row r="5187" spans="5179:5194" x14ac:dyDescent="0.3">
      <c r="GQG5187" s="5140"/>
    </row>
    <row r="5188" spans="5179:5194" x14ac:dyDescent="0.3">
      <c r="GQH5188" s="5141"/>
    </row>
    <row r="5189" spans="5179:5194" x14ac:dyDescent="0.3">
      <c r="GQI5189" s="5142"/>
    </row>
    <row r="5190" spans="5179:5194" x14ac:dyDescent="0.3">
      <c r="GQJ5190" s="5143"/>
    </row>
    <row r="5191" spans="5179:5194" x14ac:dyDescent="0.3">
      <c r="GQK5191" s="5144"/>
    </row>
    <row r="5192" spans="5179:5194" x14ac:dyDescent="0.3">
      <c r="GQL5192" s="5145"/>
    </row>
    <row r="5193" spans="5179:5194" x14ac:dyDescent="0.3">
      <c r="GQM5193" s="5146"/>
    </row>
    <row r="5194" spans="5179:5194" x14ac:dyDescent="0.3">
      <c r="GQN5194" s="5147"/>
    </row>
    <row r="5195" spans="5179:5194" x14ac:dyDescent="0.3">
      <c r="GQO5195" s="5148"/>
    </row>
    <row r="5196" spans="5179:5194" x14ac:dyDescent="0.3">
      <c r="GQP5196" s="5149"/>
    </row>
    <row r="5197" spans="5179:5194" x14ac:dyDescent="0.3">
      <c r="GQQ5197" s="5150"/>
    </row>
    <row r="5198" spans="5179:5194" x14ac:dyDescent="0.3">
      <c r="GQR5198" s="5151"/>
    </row>
    <row r="5199" spans="5179:5194" x14ac:dyDescent="0.3">
      <c r="GQS5199" s="5152"/>
    </row>
    <row r="5200" spans="5179:5194" x14ac:dyDescent="0.3">
      <c r="GQT5200" s="5153"/>
    </row>
    <row r="5201" spans="5195:5210" x14ac:dyDescent="0.3">
      <c r="GQU5201" s="5154"/>
    </row>
    <row r="5202" spans="5195:5210" x14ac:dyDescent="0.3">
      <c r="GQV5202" s="5155"/>
    </row>
    <row r="5203" spans="5195:5210" x14ac:dyDescent="0.3">
      <c r="GQW5203" s="5156"/>
    </row>
    <row r="5204" spans="5195:5210" x14ac:dyDescent="0.3">
      <c r="GQX5204" s="5157"/>
    </row>
    <row r="5205" spans="5195:5210" x14ac:dyDescent="0.3">
      <c r="GQY5205" s="5158"/>
    </row>
    <row r="5206" spans="5195:5210" x14ac:dyDescent="0.3">
      <c r="GQZ5206" s="5159"/>
    </row>
    <row r="5207" spans="5195:5210" x14ac:dyDescent="0.3">
      <c r="GRA5207" s="5160"/>
    </row>
    <row r="5208" spans="5195:5210" x14ac:dyDescent="0.3">
      <c r="GRB5208" s="5161"/>
    </row>
    <row r="5209" spans="5195:5210" x14ac:dyDescent="0.3">
      <c r="GRC5209" s="5162"/>
    </row>
    <row r="5210" spans="5195:5210" x14ac:dyDescent="0.3">
      <c r="GRD5210" s="5163"/>
    </row>
    <row r="5211" spans="5195:5210" x14ac:dyDescent="0.3">
      <c r="GRE5211" s="5164"/>
    </row>
    <row r="5212" spans="5195:5210" x14ac:dyDescent="0.3">
      <c r="GRF5212" s="5165"/>
    </row>
    <row r="5213" spans="5195:5210" x14ac:dyDescent="0.3">
      <c r="GRG5213" s="5166"/>
    </row>
    <row r="5214" spans="5195:5210" x14ac:dyDescent="0.3">
      <c r="GRH5214" s="5167"/>
    </row>
    <row r="5215" spans="5195:5210" x14ac:dyDescent="0.3">
      <c r="GRI5215" s="5168"/>
    </row>
    <row r="5216" spans="5195:5210" x14ac:dyDescent="0.3">
      <c r="GRJ5216" s="5169"/>
    </row>
    <row r="5217" spans="5211:5226" x14ac:dyDescent="0.3">
      <c r="GRK5217" s="5170"/>
    </row>
    <row r="5218" spans="5211:5226" x14ac:dyDescent="0.3">
      <c r="GRL5218" s="5171"/>
    </row>
    <row r="5219" spans="5211:5226" x14ac:dyDescent="0.3">
      <c r="GRM5219" s="5172"/>
    </row>
    <row r="5220" spans="5211:5226" x14ac:dyDescent="0.3">
      <c r="GRN5220" s="5173"/>
    </row>
    <row r="5221" spans="5211:5226" x14ac:dyDescent="0.3">
      <c r="GRO5221" s="5174"/>
    </row>
    <row r="5222" spans="5211:5226" x14ac:dyDescent="0.3">
      <c r="GRP5222" s="5175"/>
    </row>
    <row r="5223" spans="5211:5226" x14ac:dyDescent="0.3">
      <c r="GRQ5223" s="5176"/>
    </row>
    <row r="5224" spans="5211:5226" x14ac:dyDescent="0.3">
      <c r="GRR5224" s="5177"/>
    </row>
    <row r="5225" spans="5211:5226" x14ac:dyDescent="0.3">
      <c r="GRS5225" s="5178"/>
    </row>
    <row r="5226" spans="5211:5226" x14ac:dyDescent="0.3">
      <c r="GRT5226" s="5179"/>
    </row>
    <row r="5227" spans="5211:5226" x14ac:dyDescent="0.3">
      <c r="GRU5227" s="5180"/>
    </row>
    <row r="5228" spans="5211:5226" x14ac:dyDescent="0.3">
      <c r="GRV5228" s="5181"/>
    </row>
    <row r="5229" spans="5211:5226" x14ac:dyDescent="0.3">
      <c r="GRW5229" s="5182"/>
    </row>
    <row r="5230" spans="5211:5226" x14ac:dyDescent="0.3">
      <c r="GRX5230" s="5183"/>
    </row>
    <row r="5231" spans="5211:5226" x14ac:dyDescent="0.3">
      <c r="GRY5231" s="5184"/>
    </row>
    <row r="5232" spans="5211:5226" x14ac:dyDescent="0.3">
      <c r="GRZ5232" s="5185"/>
    </row>
    <row r="5233" spans="5227:5242" x14ac:dyDescent="0.3">
      <c r="GSA5233" s="5186"/>
    </row>
    <row r="5234" spans="5227:5242" x14ac:dyDescent="0.3">
      <c r="GSB5234" s="5187"/>
    </row>
    <row r="5235" spans="5227:5242" x14ac:dyDescent="0.3">
      <c r="GSC5235" s="5188"/>
    </row>
    <row r="5236" spans="5227:5242" x14ac:dyDescent="0.3">
      <c r="GSD5236" s="5189"/>
    </row>
    <row r="5237" spans="5227:5242" x14ac:dyDescent="0.3">
      <c r="GSE5237" s="5190"/>
    </row>
    <row r="5238" spans="5227:5242" x14ac:dyDescent="0.3">
      <c r="GSF5238" s="5191"/>
    </row>
    <row r="5239" spans="5227:5242" x14ac:dyDescent="0.3">
      <c r="GSG5239" s="5192"/>
    </row>
    <row r="5240" spans="5227:5242" x14ac:dyDescent="0.3">
      <c r="GSH5240" s="5193"/>
    </row>
    <row r="5241" spans="5227:5242" x14ac:dyDescent="0.3">
      <c r="GSI5241" s="5194"/>
    </row>
    <row r="5242" spans="5227:5242" x14ac:dyDescent="0.3">
      <c r="GSJ5242" s="5195"/>
    </row>
    <row r="5243" spans="5227:5242" x14ac:dyDescent="0.3">
      <c r="GSK5243" s="5196"/>
    </row>
    <row r="5244" spans="5227:5242" x14ac:dyDescent="0.3">
      <c r="GSL5244" s="5197"/>
    </row>
    <row r="5245" spans="5227:5242" x14ac:dyDescent="0.3">
      <c r="GSM5245" s="5198"/>
    </row>
    <row r="5246" spans="5227:5242" x14ac:dyDescent="0.3">
      <c r="GSN5246" s="5199"/>
    </row>
    <row r="5247" spans="5227:5242" x14ac:dyDescent="0.3">
      <c r="GSO5247" s="5200"/>
    </row>
    <row r="5248" spans="5227:5242" x14ac:dyDescent="0.3">
      <c r="GSP5248" s="5201"/>
    </row>
    <row r="5249" spans="5243:5258" x14ac:dyDescent="0.3">
      <c r="GSQ5249" s="5202"/>
    </row>
    <row r="5250" spans="5243:5258" x14ac:dyDescent="0.3">
      <c r="GSR5250" s="5203"/>
    </row>
    <row r="5251" spans="5243:5258" x14ac:dyDescent="0.3">
      <c r="GSS5251" s="5204"/>
    </row>
    <row r="5252" spans="5243:5258" x14ac:dyDescent="0.3">
      <c r="GST5252" s="5205"/>
    </row>
    <row r="5253" spans="5243:5258" x14ac:dyDescent="0.3">
      <c r="GSU5253" s="5206"/>
    </row>
    <row r="5254" spans="5243:5258" x14ac:dyDescent="0.3">
      <c r="GSV5254" s="5207"/>
    </row>
    <row r="5255" spans="5243:5258" x14ac:dyDescent="0.3">
      <c r="GSW5255" s="5208"/>
    </row>
    <row r="5256" spans="5243:5258" x14ac:dyDescent="0.3">
      <c r="GSX5256" s="5209"/>
    </row>
    <row r="5257" spans="5243:5258" x14ac:dyDescent="0.3">
      <c r="GSY5257" s="5210"/>
    </row>
    <row r="5258" spans="5243:5258" x14ac:dyDescent="0.3">
      <c r="GSZ5258" s="5211"/>
    </row>
    <row r="5259" spans="5243:5258" x14ac:dyDescent="0.3">
      <c r="GTA5259" s="5212"/>
    </row>
    <row r="5260" spans="5243:5258" x14ac:dyDescent="0.3">
      <c r="GTB5260" s="5213"/>
    </row>
    <row r="5261" spans="5243:5258" x14ac:dyDescent="0.3">
      <c r="GTC5261" s="5214"/>
    </row>
    <row r="5262" spans="5243:5258" x14ac:dyDescent="0.3">
      <c r="GTD5262" s="5215"/>
    </row>
    <row r="5263" spans="5243:5258" x14ac:dyDescent="0.3">
      <c r="GTE5263" s="5216"/>
    </row>
    <row r="5264" spans="5243:5258" x14ac:dyDescent="0.3">
      <c r="GTF5264" s="5217"/>
    </row>
    <row r="5265" spans="5259:5274" x14ac:dyDescent="0.3">
      <c r="GTG5265" s="5218"/>
    </row>
    <row r="5266" spans="5259:5274" x14ac:dyDescent="0.3">
      <c r="GTH5266" s="5219"/>
    </row>
    <row r="5267" spans="5259:5274" x14ac:dyDescent="0.3">
      <c r="GTI5267" s="5220"/>
    </row>
    <row r="5268" spans="5259:5274" x14ac:dyDescent="0.3">
      <c r="GTJ5268" s="5221"/>
    </row>
    <row r="5269" spans="5259:5274" x14ac:dyDescent="0.3">
      <c r="GTK5269" s="5222"/>
    </row>
    <row r="5270" spans="5259:5274" x14ac:dyDescent="0.3">
      <c r="GTL5270" s="5223"/>
    </row>
    <row r="5271" spans="5259:5274" x14ac:dyDescent="0.3">
      <c r="GTM5271" s="5224"/>
    </row>
    <row r="5272" spans="5259:5274" x14ac:dyDescent="0.3">
      <c r="GTN5272" s="5225"/>
    </row>
    <row r="5273" spans="5259:5274" x14ac:dyDescent="0.3">
      <c r="GTO5273" s="5226"/>
    </row>
    <row r="5274" spans="5259:5274" x14ac:dyDescent="0.3">
      <c r="GTP5274" s="5227"/>
    </row>
    <row r="5275" spans="5259:5274" x14ac:dyDescent="0.3">
      <c r="GTQ5275" s="5228"/>
    </row>
    <row r="5276" spans="5259:5274" x14ac:dyDescent="0.3">
      <c r="GTR5276" s="5229"/>
    </row>
    <row r="5277" spans="5259:5274" x14ac:dyDescent="0.3">
      <c r="GTS5277" s="5230"/>
    </row>
    <row r="5278" spans="5259:5274" x14ac:dyDescent="0.3">
      <c r="GTT5278" s="5231"/>
    </row>
    <row r="5279" spans="5259:5274" x14ac:dyDescent="0.3">
      <c r="GTU5279" s="5232"/>
    </row>
    <row r="5280" spans="5259:5274" x14ac:dyDescent="0.3">
      <c r="GTV5280" s="5233"/>
    </row>
    <row r="5281" spans="5275:5290" x14ac:dyDescent="0.3">
      <c r="GTW5281" s="5234"/>
    </row>
    <row r="5282" spans="5275:5290" x14ac:dyDescent="0.3">
      <c r="GTX5282" s="5235"/>
    </row>
    <row r="5283" spans="5275:5290" x14ac:dyDescent="0.3">
      <c r="GTY5283" s="5236"/>
    </row>
    <row r="5284" spans="5275:5290" x14ac:dyDescent="0.3">
      <c r="GTZ5284" s="5237"/>
    </row>
    <row r="5285" spans="5275:5290" x14ac:dyDescent="0.3">
      <c r="GUA5285" s="5238"/>
    </row>
    <row r="5286" spans="5275:5290" x14ac:dyDescent="0.3">
      <c r="GUB5286" s="5239"/>
    </row>
    <row r="5287" spans="5275:5290" x14ac:dyDescent="0.3">
      <c r="GUC5287" s="5240"/>
    </row>
    <row r="5288" spans="5275:5290" x14ac:dyDescent="0.3">
      <c r="GUD5288" s="5241"/>
    </row>
    <row r="5289" spans="5275:5290" x14ac:dyDescent="0.3">
      <c r="GUE5289" s="5242"/>
    </row>
    <row r="5290" spans="5275:5290" x14ac:dyDescent="0.3">
      <c r="GUF5290" s="5243"/>
    </row>
    <row r="5291" spans="5275:5290" x14ac:dyDescent="0.3">
      <c r="GUG5291" s="5244"/>
    </row>
    <row r="5292" spans="5275:5290" x14ac:dyDescent="0.3">
      <c r="GUH5292" s="5245"/>
    </row>
    <row r="5293" spans="5275:5290" x14ac:dyDescent="0.3">
      <c r="GUI5293" s="5246"/>
    </row>
    <row r="5294" spans="5275:5290" x14ac:dyDescent="0.3">
      <c r="GUJ5294" s="5247"/>
    </row>
    <row r="5295" spans="5275:5290" x14ac:dyDescent="0.3">
      <c r="GUK5295" s="5248"/>
    </row>
    <row r="5296" spans="5275:5290" x14ac:dyDescent="0.3">
      <c r="GUL5296" s="5249"/>
    </row>
    <row r="5297" spans="5291:5306" x14ac:dyDescent="0.3">
      <c r="GUM5297" s="5250"/>
    </row>
    <row r="5298" spans="5291:5306" x14ac:dyDescent="0.3">
      <c r="GUN5298" s="5251"/>
    </row>
    <row r="5299" spans="5291:5306" x14ac:dyDescent="0.3">
      <c r="GUO5299" s="5252"/>
    </row>
    <row r="5300" spans="5291:5306" x14ac:dyDescent="0.3">
      <c r="GUP5300" s="5253"/>
    </row>
    <row r="5301" spans="5291:5306" x14ac:dyDescent="0.3">
      <c r="GUQ5301" s="5254"/>
    </row>
    <row r="5302" spans="5291:5306" x14ac:dyDescent="0.3">
      <c r="GUR5302" s="5255"/>
    </row>
    <row r="5303" spans="5291:5306" x14ac:dyDescent="0.3">
      <c r="GUS5303" s="5256"/>
    </row>
    <row r="5304" spans="5291:5306" x14ac:dyDescent="0.3">
      <c r="GUT5304" s="5257"/>
    </row>
    <row r="5305" spans="5291:5306" x14ac:dyDescent="0.3">
      <c r="GUU5305" s="5258"/>
    </row>
    <row r="5306" spans="5291:5306" x14ac:dyDescent="0.3">
      <c r="GUV5306" s="5259"/>
    </row>
    <row r="5307" spans="5291:5306" x14ac:dyDescent="0.3">
      <c r="GUW5307" s="5260"/>
    </row>
    <row r="5308" spans="5291:5306" x14ac:dyDescent="0.3">
      <c r="GUX5308" s="5261"/>
    </row>
    <row r="5309" spans="5291:5306" x14ac:dyDescent="0.3">
      <c r="GUY5309" s="5262"/>
    </row>
    <row r="5310" spans="5291:5306" x14ac:dyDescent="0.3">
      <c r="GUZ5310" s="5263"/>
    </row>
    <row r="5311" spans="5291:5306" x14ac:dyDescent="0.3">
      <c r="GVA5311" s="5264"/>
    </row>
    <row r="5312" spans="5291:5306" x14ac:dyDescent="0.3">
      <c r="GVB5312" s="5265"/>
    </row>
    <row r="5313" spans="5307:5322" x14ac:dyDescent="0.3">
      <c r="GVC5313" s="5266"/>
    </row>
    <row r="5314" spans="5307:5322" x14ac:dyDescent="0.3">
      <c r="GVD5314" s="5267"/>
    </row>
    <row r="5315" spans="5307:5322" x14ac:dyDescent="0.3">
      <c r="GVE5315" s="5268"/>
    </row>
    <row r="5316" spans="5307:5322" x14ac:dyDescent="0.3">
      <c r="GVF5316" s="5269"/>
    </row>
    <row r="5317" spans="5307:5322" x14ac:dyDescent="0.3">
      <c r="GVG5317" s="5270"/>
    </row>
    <row r="5318" spans="5307:5322" x14ac:dyDescent="0.3">
      <c r="GVH5318" s="5271"/>
    </row>
    <row r="5319" spans="5307:5322" x14ac:dyDescent="0.3">
      <c r="GVI5319" s="5272"/>
    </row>
    <row r="5320" spans="5307:5322" x14ac:dyDescent="0.3">
      <c r="GVJ5320" s="5273"/>
    </row>
    <row r="5321" spans="5307:5322" x14ac:dyDescent="0.3">
      <c r="GVK5321" s="5274"/>
    </row>
    <row r="5322" spans="5307:5322" x14ac:dyDescent="0.3">
      <c r="GVL5322" s="5275"/>
    </row>
    <row r="5323" spans="5307:5322" x14ac:dyDescent="0.3">
      <c r="GVM5323" s="5276"/>
    </row>
    <row r="5324" spans="5307:5322" x14ac:dyDescent="0.3">
      <c r="GVN5324" s="5277"/>
    </row>
    <row r="5325" spans="5307:5322" x14ac:dyDescent="0.3">
      <c r="GVO5325" s="5278"/>
    </row>
    <row r="5326" spans="5307:5322" x14ac:dyDescent="0.3">
      <c r="GVP5326" s="5279"/>
    </row>
    <row r="5327" spans="5307:5322" x14ac:dyDescent="0.3">
      <c r="GVQ5327" s="5280"/>
    </row>
    <row r="5328" spans="5307:5322" x14ac:dyDescent="0.3">
      <c r="GVR5328" s="5281"/>
    </row>
    <row r="5329" spans="5323:5338" x14ac:dyDescent="0.3">
      <c r="GVS5329" s="5282"/>
    </row>
    <row r="5330" spans="5323:5338" x14ac:dyDescent="0.3">
      <c r="GVT5330" s="5283"/>
    </row>
    <row r="5331" spans="5323:5338" x14ac:dyDescent="0.3">
      <c r="GVU5331" s="5284"/>
    </row>
    <row r="5332" spans="5323:5338" x14ac:dyDescent="0.3">
      <c r="GVV5332" s="5285"/>
    </row>
    <row r="5333" spans="5323:5338" x14ac:dyDescent="0.3">
      <c r="GVW5333" s="5286"/>
    </row>
    <row r="5334" spans="5323:5338" x14ac:dyDescent="0.3">
      <c r="GVX5334" s="5287"/>
    </row>
    <row r="5335" spans="5323:5338" x14ac:dyDescent="0.3">
      <c r="GVY5335" s="5288"/>
    </row>
    <row r="5336" spans="5323:5338" x14ac:dyDescent="0.3">
      <c r="GVZ5336" s="5289"/>
    </row>
    <row r="5337" spans="5323:5338" x14ac:dyDescent="0.3">
      <c r="GWA5337" s="5290"/>
    </row>
    <row r="5338" spans="5323:5338" x14ac:dyDescent="0.3">
      <c r="GWB5338" s="5291"/>
    </row>
    <row r="5339" spans="5323:5338" x14ac:dyDescent="0.3">
      <c r="GWC5339" s="5292"/>
    </row>
    <row r="5340" spans="5323:5338" x14ac:dyDescent="0.3">
      <c r="GWD5340" s="5293"/>
    </row>
    <row r="5341" spans="5323:5338" x14ac:dyDescent="0.3">
      <c r="GWE5341" s="5294"/>
    </row>
    <row r="5342" spans="5323:5338" x14ac:dyDescent="0.3">
      <c r="GWF5342" s="5295"/>
    </row>
    <row r="5343" spans="5323:5338" x14ac:dyDescent="0.3">
      <c r="GWG5343" s="5296"/>
    </row>
    <row r="5344" spans="5323:5338" x14ac:dyDescent="0.3">
      <c r="GWH5344" s="5297"/>
    </row>
    <row r="5345" spans="5339:5354" x14ac:dyDescent="0.3">
      <c r="GWI5345" s="5298"/>
    </row>
    <row r="5346" spans="5339:5354" x14ac:dyDescent="0.3">
      <c r="GWJ5346" s="5299"/>
    </row>
    <row r="5347" spans="5339:5354" x14ac:dyDescent="0.3">
      <c r="GWK5347" s="5300"/>
    </row>
    <row r="5348" spans="5339:5354" x14ac:dyDescent="0.3">
      <c r="GWL5348" s="5301"/>
    </row>
    <row r="5349" spans="5339:5354" x14ac:dyDescent="0.3">
      <c r="GWM5349" s="5302"/>
    </row>
    <row r="5350" spans="5339:5354" x14ac:dyDescent="0.3">
      <c r="GWN5350" s="5303"/>
    </row>
    <row r="5351" spans="5339:5354" x14ac:dyDescent="0.3">
      <c r="GWO5351" s="5304"/>
    </row>
    <row r="5352" spans="5339:5354" x14ac:dyDescent="0.3">
      <c r="GWP5352" s="5305"/>
    </row>
    <row r="5353" spans="5339:5354" x14ac:dyDescent="0.3">
      <c r="GWQ5353" s="5306"/>
    </row>
    <row r="5354" spans="5339:5354" x14ac:dyDescent="0.3">
      <c r="GWR5354" s="5307"/>
    </row>
    <row r="5355" spans="5339:5354" x14ac:dyDescent="0.3">
      <c r="GWS5355" s="5308"/>
    </row>
    <row r="5356" spans="5339:5354" x14ac:dyDescent="0.3">
      <c r="GWT5356" s="5309"/>
    </row>
    <row r="5357" spans="5339:5354" x14ac:dyDescent="0.3">
      <c r="GWU5357" s="5310"/>
    </row>
    <row r="5358" spans="5339:5354" x14ac:dyDescent="0.3">
      <c r="GWV5358" s="5311"/>
    </row>
    <row r="5359" spans="5339:5354" x14ac:dyDescent="0.3">
      <c r="GWW5359" s="5312"/>
    </row>
    <row r="5360" spans="5339:5354" x14ac:dyDescent="0.3">
      <c r="GWX5360" s="5313"/>
    </row>
    <row r="5361" spans="5355:5370" x14ac:dyDescent="0.3">
      <c r="GWY5361" s="5314"/>
    </row>
    <row r="5362" spans="5355:5370" x14ac:dyDescent="0.3">
      <c r="GWZ5362" s="5315"/>
    </row>
    <row r="5363" spans="5355:5370" x14ac:dyDescent="0.3">
      <c r="GXA5363" s="5316"/>
    </row>
    <row r="5364" spans="5355:5370" x14ac:dyDescent="0.3">
      <c r="GXB5364" s="5317"/>
    </row>
    <row r="5365" spans="5355:5370" x14ac:dyDescent="0.3">
      <c r="GXC5365" s="5318"/>
    </row>
    <row r="5366" spans="5355:5370" x14ac:dyDescent="0.3">
      <c r="GXD5366" s="5319"/>
    </row>
    <row r="5367" spans="5355:5370" x14ac:dyDescent="0.3">
      <c r="GXE5367" s="5320"/>
    </row>
    <row r="5368" spans="5355:5370" x14ac:dyDescent="0.3">
      <c r="GXF5368" s="5321"/>
    </row>
    <row r="5369" spans="5355:5370" x14ac:dyDescent="0.3">
      <c r="GXG5369" s="5322"/>
    </row>
    <row r="5370" spans="5355:5370" x14ac:dyDescent="0.3">
      <c r="GXH5370" s="5323"/>
    </row>
    <row r="5371" spans="5355:5370" x14ac:dyDescent="0.3">
      <c r="GXI5371" s="5324"/>
    </row>
    <row r="5372" spans="5355:5370" x14ac:dyDescent="0.3">
      <c r="GXJ5372" s="5325"/>
    </row>
    <row r="5373" spans="5355:5370" x14ac:dyDescent="0.3">
      <c r="GXK5373" s="5326"/>
    </row>
    <row r="5374" spans="5355:5370" x14ac:dyDescent="0.3">
      <c r="GXL5374" s="5327"/>
    </row>
    <row r="5375" spans="5355:5370" x14ac:dyDescent="0.3">
      <c r="GXM5375" s="5328"/>
    </row>
    <row r="5376" spans="5355:5370" x14ac:dyDescent="0.3">
      <c r="GXN5376" s="5329"/>
    </row>
    <row r="5377" spans="5371:5386" x14ac:dyDescent="0.3">
      <c r="GXO5377" s="5330"/>
    </row>
    <row r="5378" spans="5371:5386" x14ac:dyDescent="0.3">
      <c r="GXP5378" s="5331"/>
    </row>
    <row r="5379" spans="5371:5386" x14ac:dyDescent="0.3">
      <c r="GXQ5379" s="5332"/>
    </row>
    <row r="5380" spans="5371:5386" x14ac:dyDescent="0.3">
      <c r="GXR5380" s="5333"/>
    </row>
    <row r="5381" spans="5371:5386" x14ac:dyDescent="0.3">
      <c r="GXS5381" s="5334"/>
    </row>
    <row r="5382" spans="5371:5386" x14ac:dyDescent="0.3">
      <c r="GXT5382" s="5335"/>
    </row>
    <row r="5383" spans="5371:5386" x14ac:dyDescent="0.3">
      <c r="GXU5383" s="5336"/>
    </row>
    <row r="5384" spans="5371:5386" x14ac:dyDescent="0.3">
      <c r="GXV5384" s="5337"/>
    </row>
    <row r="5385" spans="5371:5386" x14ac:dyDescent="0.3">
      <c r="GXW5385" s="5338"/>
    </row>
    <row r="5386" spans="5371:5386" x14ac:dyDescent="0.3">
      <c r="GXX5386" s="5339"/>
    </row>
    <row r="5387" spans="5371:5386" x14ac:dyDescent="0.3">
      <c r="GXY5387" s="5340"/>
    </row>
    <row r="5388" spans="5371:5386" x14ac:dyDescent="0.3">
      <c r="GXZ5388" s="5341"/>
    </row>
    <row r="5389" spans="5371:5386" x14ac:dyDescent="0.3">
      <c r="GYA5389" s="5342"/>
    </row>
    <row r="5390" spans="5371:5386" x14ac:dyDescent="0.3">
      <c r="GYB5390" s="5343"/>
    </row>
    <row r="5391" spans="5371:5386" x14ac:dyDescent="0.3">
      <c r="GYC5391" s="5344"/>
    </row>
    <row r="5392" spans="5371:5386" x14ac:dyDescent="0.3">
      <c r="GYD5392" s="5345"/>
    </row>
    <row r="5393" spans="5387:5402" x14ac:dyDescent="0.3">
      <c r="GYE5393" s="5346"/>
    </row>
    <row r="5394" spans="5387:5402" x14ac:dyDescent="0.3">
      <c r="GYF5394" s="5347"/>
    </row>
    <row r="5395" spans="5387:5402" x14ac:dyDescent="0.3">
      <c r="GYG5395" s="5348"/>
    </row>
    <row r="5396" spans="5387:5402" x14ac:dyDescent="0.3">
      <c r="GYH5396" s="5349"/>
    </row>
    <row r="5397" spans="5387:5402" x14ac:dyDescent="0.3">
      <c r="GYI5397" s="5350"/>
    </row>
    <row r="5398" spans="5387:5402" x14ac:dyDescent="0.3">
      <c r="GYJ5398" s="5351"/>
    </row>
    <row r="5399" spans="5387:5402" x14ac:dyDescent="0.3">
      <c r="GYK5399" s="5352"/>
    </row>
    <row r="5400" spans="5387:5402" x14ac:dyDescent="0.3">
      <c r="GYL5400" s="5353"/>
    </row>
    <row r="5401" spans="5387:5402" x14ac:dyDescent="0.3">
      <c r="GYM5401" s="5354"/>
    </row>
    <row r="5402" spans="5387:5402" x14ac:dyDescent="0.3">
      <c r="GYN5402" s="5355"/>
    </row>
    <row r="5403" spans="5387:5402" x14ac:dyDescent="0.3">
      <c r="GYO5403" s="5355"/>
    </row>
    <row r="5404" spans="5387:5402" x14ac:dyDescent="0.3">
      <c r="GYP5404" s="5356"/>
    </row>
    <row r="5405" spans="5387:5402" x14ac:dyDescent="0.3">
      <c r="GYQ5405" s="5357"/>
    </row>
    <row r="5406" spans="5387:5402" x14ac:dyDescent="0.3">
      <c r="GYR5406" s="5358"/>
    </row>
    <row r="5407" spans="5387:5402" x14ac:dyDescent="0.3">
      <c r="GYS5407" s="5359"/>
    </row>
    <row r="5408" spans="5387:5402" x14ac:dyDescent="0.3">
      <c r="GYT5408" s="5360"/>
    </row>
    <row r="5409" spans="5403:5418" x14ac:dyDescent="0.3">
      <c r="GYU5409" s="5361"/>
    </row>
    <row r="5410" spans="5403:5418" x14ac:dyDescent="0.3">
      <c r="GYV5410" s="5362"/>
    </row>
    <row r="5411" spans="5403:5418" x14ac:dyDescent="0.3">
      <c r="GYW5411" s="5363"/>
    </row>
    <row r="5412" spans="5403:5418" x14ac:dyDescent="0.3">
      <c r="GYX5412" s="5364"/>
    </row>
    <row r="5413" spans="5403:5418" x14ac:dyDescent="0.3">
      <c r="GYY5413" s="5365"/>
    </row>
    <row r="5414" spans="5403:5418" x14ac:dyDescent="0.3">
      <c r="GYZ5414" s="5366"/>
    </row>
    <row r="5415" spans="5403:5418" x14ac:dyDescent="0.3">
      <c r="GZA5415" s="5367"/>
    </row>
    <row r="5416" spans="5403:5418" x14ac:dyDescent="0.3">
      <c r="GZB5416" s="5368"/>
    </row>
    <row r="5417" spans="5403:5418" x14ac:dyDescent="0.3">
      <c r="GZC5417" s="5369"/>
    </row>
    <row r="5418" spans="5403:5418" x14ac:dyDescent="0.3">
      <c r="GZD5418" s="5370"/>
    </row>
    <row r="5419" spans="5403:5418" x14ac:dyDescent="0.3">
      <c r="GZE5419" s="5371"/>
    </row>
    <row r="5420" spans="5403:5418" x14ac:dyDescent="0.3">
      <c r="GZF5420" s="5372"/>
    </row>
    <row r="5421" spans="5403:5418" x14ac:dyDescent="0.3">
      <c r="GZG5421" s="5373"/>
    </row>
    <row r="5422" spans="5403:5418" x14ac:dyDescent="0.3">
      <c r="GZH5422" s="5374"/>
    </row>
    <row r="5423" spans="5403:5418" x14ac:dyDescent="0.3">
      <c r="GZI5423" s="5375"/>
    </row>
    <row r="5424" spans="5403:5418" x14ac:dyDescent="0.3">
      <c r="GZJ5424" s="5376"/>
    </row>
    <row r="5425" spans="5419:5434" x14ac:dyDescent="0.3">
      <c r="GZK5425" s="5377"/>
    </row>
    <row r="5426" spans="5419:5434" x14ac:dyDescent="0.3">
      <c r="GZL5426" s="5378"/>
    </row>
    <row r="5427" spans="5419:5434" x14ac:dyDescent="0.3">
      <c r="GZM5427" s="5379"/>
    </row>
    <row r="5428" spans="5419:5434" x14ac:dyDescent="0.3">
      <c r="GZN5428" s="5380"/>
    </row>
    <row r="5429" spans="5419:5434" x14ac:dyDescent="0.3">
      <c r="GZO5429" s="5381"/>
    </row>
    <row r="5430" spans="5419:5434" x14ac:dyDescent="0.3">
      <c r="GZP5430" s="5382"/>
    </row>
    <row r="5431" spans="5419:5434" x14ac:dyDescent="0.3">
      <c r="GZQ5431" s="5383"/>
    </row>
    <row r="5432" spans="5419:5434" x14ac:dyDescent="0.3">
      <c r="GZR5432" s="5384"/>
    </row>
    <row r="5433" spans="5419:5434" x14ac:dyDescent="0.3">
      <c r="GZS5433" s="5385"/>
    </row>
    <row r="5434" spans="5419:5434" x14ac:dyDescent="0.3">
      <c r="GZT5434" s="5386"/>
    </row>
    <row r="5435" spans="5419:5434" x14ac:dyDescent="0.3">
      <c r="GZU5435" s="5387"/>
    </row>
    <row r="5436" spans="5419:5434" x14ac:dyDescent="0.3">
      <c r="GZV5436" s="5388"/>
    </row>
    <row r="5437" spans="5419:5434" x14ac:dyDescent="0.3">
      <c r="GZW5437" s="5389"/>
    </row>
    <row r="5438" spans="5419:5434" x14ac:dyDescent="0.3">
      <c r="GZX5438" s="5390"/>
    </row>
    <row r="5439" spans="5419:5434" x14ac:dyDescent="0.3">
      <c r="GZY5439" s="5391"/>
    </row>
    <row r="5440" spans="5419:5434" x14ac:dyDescent="0.3">
      <c r="GZZ5440" s="5392"/>
    </row>
    <row r="5441" spans="5435:5450" x14ac:dyDescent="0.3">
      <c r="HAA5441" s="5393"/>
    </row>
    <row r="5442" spans="5435:5450" x14ac:dyDescent="0.3">
      <c r="HAB5442" s="5394"/>
    </row>
    <row r="5443" spans="5435:5450" x14ac:dyDescent="0.3">
      <c r="HAC5443" s="5395"/>
    </row>
    <row r="5444" spans="5435:5450" x14ac:dyDescent="0.3">
      <c r="HAD5444" s="5396"/>
    </row>
    <row r="5445" spans="5435:5450" x14ac:dyDescent="0.3">
      <c r="HAE5445" s="5397"/>
    </row>
    <row r="5446" spans="5435:5450" x14ac:dyDescent="0.3">
      <c r="HAF5446" s="5398"/>
    </row>
    <row r="5447" spans="5435:5450" x14ac:dyDescent="0.3">
      <c r="HAG5447" s="5399"/>
    </row>
    <row r="5448" spans="5435:5450" x14ac:dyDescent="0.3">
      <c r="HAH5448" s="5400"/>
    </row>
    <row r="5449" spans="5435:5450" x14ac:dyDescent="0.3">
      <c r="HAI5449" s="5401"/>
    </row>
    <row r="5450" spans="5435:5450" x14ac:dyDescent="0.3">
      <c r="HAJ5450" s="5402"/>
    </row>
    <row r="5451" spans="5435:5450" x14ac:dyDescent="0.3">
      <c r="HAK5451" s="5403"/>
    </row>
    <row r="5452" spans="5435:5450" x14ac:dyDescent="0.3">
      <c r="HAL5452" s="5404"/>
    </row>
    <row r="5453" spans="5435:5450" x14ac:dyDescent="0.3">
      <c r="HAM5453" s="5405"/>
    </row>
    <row r="5454" spans="5435:5450" x14ac:dyDescent="0.3">
      <c r="HAN5454" s="5406"/>
    </row>
    <row r="5455" spans="5435:5450" x14ac:dyDescent="0.3">
      <c r="HAO5455" s="5407"/>
    </row>
    <row r="5456" spans="5435:5450" x14ac:dyDescent="0.3">
      <c r="HAP5456" s="5408"/>
    </row>
    <row r="5457" spans="5451:5466" x14ac:dyDescent="0.3">
      <c r="HAQ5457" s="5409"/>
    </row>
    <row r="5458" spans="5451:5466" x14ac:dyDescent="0.3">
      <c r="HAR5458" s="5410"/>
    </row>
    <row r="5459" spans="5451:5466" x14ac:dyDescent="0.3">
      <c r="HAS5459" s="5411"/>
    </row>
    <row r="5460" spans="5451:5466" x14ac:dyDescent="0.3">
      <c r="HAT5460" s="5412"/>
    </row>
    <row r="5461" spans="5451:5466" x14ac:dyDescent="0.3">
      <c r="HAU5461" s="5413"/>
    </row>
    <row r="5462" spans="5451:5466" x14ac:dyDescent="0.3">
      <c r="HAV5462" s="5414"/>
    </row>
    <row r="5463" spans="5451:5466" x14ac:dyDescent="0.3">
      <c r="HAW5463" s="5415"/>
    </row>
    <row r="5464" spans="5451:5466" x14ac:dyDescent="0.3">
      <c r="HAX5464" s="5416"/>
    </row>
    <row r="5465" spans="5451:5466" x14ac:dyDescent="0.3">
      <c r="HAY5465" s="5417"/>
    </row>
    <row r="5466" spans="5451:5466" x14ac:dyDescent="0.3">
      <c r="HAZ5466" s="5418"/>
    </row>
    <row r="5467" spans="5451:5466" x14ac:dyDescent="0.3">
      <c r="HBA5467" s="5419"/>
    </row>
    <row r="5468" spans="5451:5466" x14ac:dyDescent="0.3">
      <c r="HBB5468" s="5420"/>
    </row>
    <row r="5469" spans="5451:5466" x14ac:dyDescent="0.3">
      <c r="HBC5469" s="5421"/>
    </row>
    <row r="5470" spans="5451:5466" x14ac:dyDescent="0.3">
      <c r="HBD5470" s="5422"/>
    </row>
    <row r="5471" spans="5451:5466" x14ac:dyDescent="0.3">
      <c r="HBE5471" s="5423"/>
    </row>
    <row r="5472" spans="5451:5466" x14ac:dyDescent="0.3">
      <c r="HBF5472" s="5424"/>
    </row>
    <row r="5473" spans="5467:5482" x14ac:dyDescent="0.3">
      <c r="HBG5473" s="5425"/>
    </row>
    <row r="5474" spans="5467:5482" x14ac:dyDescent="0.3">
      <c r="HBH5474" s="5426"/>
    </row>
    <row r="5475" spans="5467:5482" x14ac:dyDescent="0.3">
      <c r="HBI5475" s="5427"/>
    </row>
    <row r="5476" spans="5467:5482" x14ac:dyDescent="0.3">
      <c r="HBJ5476" s="5428"/>
    </row>
    <row r="5477" spans="5467:5482" x14ac:dyDescent="0.3">
      <c r="HBK5477" s="5429"/>
    </row>
    <row r="5478" spans="5467:5482" x14ac:dyDescent="0.3">
      <c r="HBL5478" s="5430"/>
    </row>
    <row r="5479" spans="5467:5482" x14ac:dyDescent="0.3">
      <c r="HBM5479" s="5431"/>
    </row>
    <row r="5480" spans="5467:5482" x14ac:dyDescent="0.3">
      <c r="HBN5480" s="5432"/>
    </row>
    <row r="5481" spans="5467:5482" x14ac:dyDescent="0.3">
      <c r="HBO5481" s="5433"/>
    </row>
    <row r="5482" spans="5467:5482" x14ac:dyDescent="0.3">
      <c r="HBP5482" s="5434"/>
    </row>
    <row r="5483" spans="5467:5482" x14ac:dyDescent="0.3">
      <c r="HBQ5483" s="5435"/>
    </row>
    <row r="5484" spans="5467:5482" x14ac:dyDescent="0.3">
      <c r="HBR5484" s="5436"/>
    </row>
    <row r="5485" spans="5467:5482" x14ac:dyDescent="0.3">
      <c r="HBS5485" s="5437"/>
    </row>
    <row r="5486" spans="5467:5482" x14ac:dyDescent="0.3">
      <c r="HBT5486" s="5438"/>
    </row>
    <row r="5487" spans="5467:5482" x14ac:dyDescent="0.3">
      <c r="HBU5487" s="5439"/>
    </row>
    <row r="5488" spans="5467:5482" x14ac:dyDescent="0.3">
      <c r="HBV5488" s="5440"/>
    </row>
    <row r="5489" spans="5483:5498" x14ac:dyDescent="0.3">
      <c r="HBW5489" s="5441"/>
    </row>
    <row r="5490" spans="5483:5498" x14ac:dyDescent="0.3">
      <c r="HBX5490" s="5442"/>
    </row>
    <row r="5491" spans="5483:5498" x14ac:dyDescent="0.3">
      <c r="HBY5491" s="5443"/>
    </row>
    <row r="5492" spans="5483:5498" x14ac:dyDescent="0.3">
      <c r="HBZ5492" s="5444"/>
    </row>
    <row r="5493" spans="5483:5498" x14ac:dyDescent="0.3">
      <c r="HCA5493" s="5445"/>
    </row>
    <row r="5494" spans="5483:5498" x14ac:dyDescent="0.3">
      <c r="HCB5494" s="5446"/>
    </row>
    <row r="5495" spans="5483:5498" x14ac:dyDescent="0.3">
      <c r="HCC5495" s="5447"/>
    </row>
    <row r="5496" spans="5483:5498" x14ac:dyDescent="0.3">
      <c r="HCD5496" s="5448"/>
    </row>
    <row r="5497" spans="5483:5498" x14ac:dyDescent="0.3">
      <c r="HCE5497" s="5449"/>
    </row>
    <row r="5498" spans="5483:5498" x14ac:dyDescent="0.3">
      <c r="HCF5498" s="5450"/>
    </row>
    <row r="5499" spans="5483:5498" x14ac:dyDescent="0.3">
      <c r="HCG5499" s="5451"/>
    </row>
    <row r="5500" spans="5483:5498" x14ac:dyDescent="0.3">
      <c r="HCH5500" s="5452"/>
    </row>
    <row r="5501" spans="5483:5498" x14ac:dyDescent="0.3">
      <c r="HCI5501" s="5453"/>
    </row>
    <row r="5502" spans="5483:5498" x14ac:dyDescent="0.3">
      <c r="HCJ5502" s="5454"/>
    </row>
    <row r="5503" spans="5483:5498" x14ac:dyDescent="0.3">
      <c r="HCK5503" s="5455"/>
    </row>
    <row r="5504" spans="5483:5498" x14ac:dyDescent="0.3">
      <c r="HCL5504" s="5456"/>
    </row>
    <row r="5505" spans="5499:5514" x14ac:dyDescent="0.3">
      <c r="HCM5505" s="5457"/>
    </row>
    <row r="5506" spans="5499:5514" x14ac:dyDescent="0.3">
      <c r="HCN5506" s="5458"/>
    </row>
    <row r="5507" spans="5499:5514" x14ac:dyDescent="0.3">
      <c r="HCO5507" s="5459"/>
    </row>
    <row r="5508" spans="5499:5514" x14ac:dyDescent="0.3">
      <c r="HCP5508" s="5460"/>
    </row>
    <row r="5509" spans="5499:5514" x14ac:dyDescent="0.3">
      <c r="HCQ5509" s="5461"/>
    </row>
    <row r="5510" spans="5499:5514" x14ac:dyDescent="0.3">
      <c r="HCR5510" s="5462"/>
    </row>
    <row r="5511" spans="5499:5514" x14ac:dyDescent="0.3">
      <c r="HCS5511" s="5463"/>
    </row>
    <row r="5512" spans="5499:5514" x14ac:dyDescent="0.3">
      <c r="HCT5512" s="5464"/>
    </row>
    <row r="5513" spans="5499:5514" x14ac:dyDescent="0.3">
      <c r="HCU5513" s="5465"/>
    </row>
    <row r="5514" spans="5499:5514" x14ac:dyDescent="0.3">
      <c r="HCV5514" s="5466"/>
    </row>
    <row r="5515" spans="5499:5514" x14ac:dyDescent="0.3">
      <c r="HCW5515" s="5467"/>
    </row>
    <row r="5516" spans="5499:5514" x14ac:dyDescent="0.3">
      <c r="HCX5516" s="5468"/>
    </row>
    <row r="5517" spans="5499:5514" x14ac:dyDescent="0.3">
      <c r="HCY5517" s="5469"/>
    </row>
    <row r="5518" spans="5499:5514" x14ac:dyDescent="0.3">
      <c r="HCZ5518" s="5470"/>
    </row>
    <row r="5519" spans="5499:5514" x14ac:dyDescent="0.3">
      <c r="HDA5519" s="5471"/>
    </row>
    <row r="5520" spans="5499:5514" x14ac:dyDescent="0.3">
      <c r="HDB5520" s="5472"/>
    </row>
    <row r="5521" spans="5515:5530" x14ac:dyDescent="0.3">
      <c r="HDC5521" s="5473"/>
    </row>
    <row r="5522" spans="5515:5530" x14ac:dyDescent="0.3">
      <c r="HDD5522" s="5474"/>
    </row>
    <row r="5523" spans="5515:5530" x14ac:dyDescent="0.3">
      <c r="HDE5523" s="5475"/>
    </row>
    <row r="5524" spans="5515:5530" x14ac:dyDescent="0.3">
      <c r="HDF5524" s="5476"/>
    </row>
    <row r="5525" spans="5515:5530" x14ac:dyDescent="0.3">
      <c r="HDG5525" s="5477"/>
    </row>
    <row r="5526" spans="5515:5530" x14ac:dyDescent="0.3">
      <c r="HDH5526" s="5478"/>
    </row>
    <row r="5527" spans="5515:5530" x14ac:dyDescent="0.3">
      <c r="HDI5527" s="5479"/>
    </row>
    <row r="5528" spans="5515:5530" x14ac:dyDescent="0.3">
      <c r="HDJ5528" s="5480"/>
    </row>
    <row r="5529" spans="5515:5530" x14ac:dyDescent="0.3">
      <c r="HDK5529" s="5481"/>
    </row>
    <row r="5530" spans="5515:5530" x14ac:dyDescent="0.3">
      <c r="HDL5530" s="5482"/>
    </row>
    <row r="5531" spans="5515:5530" x14ac:dyDescent="0.3">
      <c r="HDM5531" s="5483"/>
    </row>
    <row r="5532" spans="5515:5530" x14ac:dyDescent="0.3">
      <c r="HDN5532" s="5484"/>
    </row>
    <row r="5533" spans="5515:5530" x14ac:dyDescent="0.3">
      <c r="HDO5533" s="5485"/>
    </row>
    <row r="5534" spans="5515:5530" x14ac:dyDescent="0.3">
      <c r="HDP5534" s="5486"/>
    </row>
    <row r="5535" spans="5515:5530" x14ac:dyDescent="0.3">
      <c r="HDQ5535" s="5487"/>
    </row>
    <row r="5536" spans="5515:5530" x14ac:dyDescent="0.3">
      <c r="HDR5536" s="5488"/>
    </row>
    <row r="5537" spans="5531:5546" x14ac:dyDescent="0.3">
      <c r="HDS5537" s="5489"/>
    </row>
    <row r="5538" spans="5531:5546" x14ac:dyDescent="0.3">
      <c r="HDT5538" s="5490"/>
    </row>
    <row r="5539" spans="5531:5546" x14ac:dyDescent="0.3">
      <c r="HDU5539" s="5491"/>
    </row>
    <row r="5540" spans="5531:5546" x14ac:dyDescent="0.3">
      <c r="HDV5540" s="5492"/>
    </row>
    <row r="5541" spans="5531:5546" x14ac:dyDescent="0.3">
      <c r="HDW5541" s="5493"/>
    </row>
    <row r="5542" spans="5531:5546" x14ac:dyDescent="0.3">
      <c r="HDX5542" s="5494"/>
    </row>
    <row r="5543" spans="5531:5546" x14ac:dyDescent="0.3">
      <c r="HDY5543" s="5495"/>
    </row>
    <row r="5544" spans="5531:5546" x14ac:dyDescent="0.3">
      <c r="HDZ5544" s="5496"/>
    </row>
    <row r="5545" spans="5531:5546" x14ac:dyDescent="0.3">
      <c r="HEA5545" s="5497"/>
    </row>
    <row r="5546" spans="5531:5546" x14ac:dyDescent="0.3">
      <c r="HEB5546" s="5498"/>
    </row>
    <row r="5547" spans="5531:5546" x14ac:dyDescent="0.3">
      <c r="HEC5547" s="5499"/>
    </row>
    <row r="5548" spans="5531:5546" x14ac:dyDescent="0.3">
      <c r="HED5548" s="5500"/>
    </row>
    <row r="5549" spans="5531:5546" x14ac:dyDescent="0.3">
      <c r="HEE5549" s="5501"/>
    </row>
    <row r="5550" spans="5531:5546" x14ac:dyDescent="0.3">
      <c r="HEF5550" s="5502"/>
    </row>
    <row r="5551" spans="5531:5546" x14ac:dyDescent="0.3">
      <c r="HEG5551" s="5503"/>
    </row>
    <row r="5552" spans="5531:5546" x14ac:dyDescent="0.3">
      <c r="HEH5552" s="5504"/>
    </row>
    <row r="5553" spans="5547:5562" x14ac:dyDescent="0.3">
      <c r="HEI5553" s="5505"/>
    </row>
    <row r="5554" spans="5547:5562" x14ac:dyDescent="0.3">
      <c r="HEJ5554" s="5506"/>
    </row>
    <row r="5555" spans="5547:5562" x14ac:dyDescent="0.3">
      <c r="HEK5555" s="5507"/>
    </row>
    <row r="5556" spans="5547:5562" x14ac:dyDescent="0.3">
      <c r="HEL5556" s="5508"/>
    </row>
    <row r="5557" spans="5547:5562" x14ac:dyDescent="0.3">
      <c r="HEM5557" s="5509"/>
    </row>
    <row r="5558" spans="5547:5562" x14ac:dyDescent="0.3">
      <c r="HEN5558" s="5510"/>
    </row>
    <row r="5559" spans="5547:5562" x14ac:dyDescent="0.3">
      <c r="HEO5559" s="5511"/>
    </row>
    <row r="5560" spans="5547:5562" x14ac:dyDescent="0.3">
      <c r="HEP5560" s="5512"/>
    </row>
    <row r="5561" spans="5547:5562" x14ac:dyDescent="0.3">
      <c r="HEQ5561" s="5513"/>
    </row>
    <row r="5562" spans="5547:5562" x14ac:dyDescent="0.3">
      <c r="HER5562" s="5514"/>
    </row>
    <row r="5563" spans="5547:5562" x14ac:dyDescent="0.3">
      <c r="HES5563" s="5515"/>
    </row>
    <row r="5564" spans="5547:5562" x14ac:dyDescent="0.3">
      <c r="HET5564" s="5516"/>
    </row>
    <row r="5565" spans="5547:5562" x14ac:dyDescent="0.3">
      <c r="HEU5565" s="5517"/>
    </row>
    <row r="5566" spans="5547:5562" x14ac:dyDescent="0.3">
      <c r="HEV5566" s="5518"/>
    </row>
    <row r="5567" spans="5547:5562" x14ac:dyDescent="0.3">
      <c r="HEW5567" s="5519"/>
    </row>
    <row r="5568" spans="5547:5562" x14ac:dyDescent="0.3">
      <c r="HEX5568" s="5520"/>
    </row>
    <row r="5569" spans="5563:5578" x14ac:dyDescent="0.3">
      <c r="HEY5569" s="5521"/>
    </row>
    <row r="5570" spans="5563:5578" x14ac:dyDescent="0.3">
      <c r="HEZ5570" s="5522"/>
    </row>
    <row r="5571" spans="5563:5578" x14ac:dyDescent="0.3">
      <c r="HFA5571" s="5523"/>
    </row>
    <row r="5572" spans="5563:5578" x14ac:dyDescent="0.3">
      <c r="HFB5572" s="5524"/>
    </row>
    <row r="5573" spans="5563:5578" x14ac:dyDescent="0.3">
      <c r="HFC5573" s="5525"/>
    </row>
    <row r="5574" spans="5563:5578" x14ac:dyDescent="0.3">
      <c r="HFD5574" s="5526"/>
    </row>
    <row r="5575" spans="5563:5578" x14ac:dyDescent="0.3">
      <c r="HFE5575" s="5527"/>
    </row>
    <row r="5576" spans="5563:5578" x14ac:dyDescent="0.3">
      <c r="HFF5576" s="5528"/>
    </row>
    <row r="5577" spans="5563:5578" x14ac:dyDescent="0.3">
      <c r="HFG5577" s="5529"/>
    </row>
    <row r="5578" spans="5563:5578" x14ac:dyDescent="0.3">
      <c r="HFH5578" s="5530"/>
    </row>
    <row r="5579" spans="5563:5578" x14ac:dyDescent="0.3">
      <c r="HFI5579" s="5531"/>
    </row>
    <row r="5580" spans="5563:5578" x14ac:dyDescent="0.3">
      <c r="HFJ5580" s="5532"/>
    </row>
    <row r="5581" spans="5563:5578" x14ac:dyDescent="0.3">
      <c r="HFK5581" s="5533"/>
    </row>
    <row r="5582" spans="5563:5578" x14ac:dyDescent="0.3">
      <c r="HFL5582" s="5534"/>
    </row>
    <row r="5583" spans="5563:5578" x14ac:dyDescent="0.3">
      <c r="HFM5583" s="5535"/>
    </row>
    <row r="5584" spans="5563:5578" x14ac:dyDescent="0.3">
      <c r="HFN5584" s="5536"/>
    </row>
    <row r="5585" spans="5579:5594" x14ac:dyDescent="0.3">
      <c r="HFO5585" s="5537"/>
    </row>
    <row r="5586" spans="5579:5594" x14ac:dyDescent="0.3">
      <c r="HFP5586" s="5538"/>
    </row>
    <row r="5587" spans="5579:5594" x14ac:dyDescent="0.3">
      <c r="HFQ5587" s="5539"/>
    </row>
    <row r="5588" spans="5579:5594" x14ac:dyDescent="0.3">
      <c r="HFR5588" s="5540"/>
    </row>
    <row r="5589" spans="5579:5594" x14ac:dyDescent="0.3">
      <c r="HFS5589" s="5541"/>
    </row>
    <row r="5590" spans="5579:5594" x14ac:dyDescent="0.3">
      <c r="HFT5590" s="5542"/>
    </row>
    <row r="5591" spans="5579:5594" x14ac:dyDescent="0.3">
      <c r="HFU5591" s="5543"/>
    </row>
    <row r="5592" spans="5579:5594" x14ac:dyDescent="0.3">
      <c r="HFV5592" s="5544"/>
    </row>
    <row r="5593" spans="5579:5594" x14ac:dyDescent="0.3">
      <c r="HFW5593" s="5545"/>
    </row>
    <row r="5594" spans="5579:5594" x14ac:dyDescent="0.3">
      <c r="HFX5594" s="5546"/>
    </row>
    <row r="5595" spans="5579:5594" x14ac:dyDescent="0.3">
      <c r="HFY5595" s="5547"/>
    </row>
    <row r="5596" spans="5579:5594" x14ac:dyDescent="0.3">
      <c r="HFZ5596" s="5548"/>
    </row>
    <row r="5597" spans="5579:5594" x14ac:dyDescent="0.3">
      <c r="HGA5597" s="5549"/>
    </row>
    <row r="5598" spans="5579:5594" x14ac:dyDescent="0.3">
      <c r="HGB5598" s="5550"/>
    </row>
    <row r="5599" spans="5579:5594" x14ac:dyDescent="0.3">
      <c r="HGC5599" s="5551"/>
    </row>
    <row r="5600" spans="5579:5594" x14ac:dyDescent="0.3">
      <c r="HGD5600" s="5552"/>
    </row>
    <row r="5601" spans="5595:5610" x14ac:dyDescent="0.3">
      <c r="HGE5601" s="5553"/>
    </row>
    <row r="5602" spans="5595:5610" x14ac:dyDescent="0.3">
      <c r="HGF5602" s="5554"/>
    </row>
    <row r="5603" spans="5595:5610" x14ac:dyDescent="0.3">
      <c r="HGG5603" s="5555"/>
    </row>
    <row r="5604" spans="5595:5610" x14ac:dyDescent="0.3">
      <c r="HGH5604" s="5556"/>
    </row>
    <row r="5605" spans="5595:5610" x14ac:dyDescent="0.3">
      <c r="HGI5605" s="5557"/>
    </row>
    <row r="5606" spans="5595:5610" x14ac:dyDescent="0.3">
      <c r="HGJ5606" s="5558"/>
    </row>
    <row r="5607" spans="5595:5610" x14ac:dyDescent="0.3">
      <c r="HGK5607" s="5559"/>
    </row>
    <row r="5608" spans="5595:5610" x14ac:dyDescent="0.3">
      <c r="HGL5608" s="5560"/>
    </row>
    <row r="5609" spans="5595:5610" x14ac:dyDescent="0.3">
      <c r="HGM5609" s="5561"/>
    </row>
    <row r="5610" spans="5595:5610" x14ac:dyDescent="0.3">
      <c r="HGN5610" s="5562"/>
    </row>
    <row r="5611" spans="5595:5610" x14ac:dyDescent="0.3">
      <c r="HGO5611" s="5563"/>
    </row>
    <row r="5612" spans="5595:5610" x14ac:dyDescent="0.3">
      <c r="HGP5612" s="5564"/>
    </row>
    <row r="5613" spans="5595:5610" x14ac:dyDescent="0.3">
      <c r="HGQ5613" s="5565"/>
    </row>
    <row r="5614" spans="5595:5610" x14ac:dyDescent="0.3">
      <c r="HGR5614" s="5566"/>
    </row>
    <row r="5615" spans="5595:5610" x14ac:dyDescent="0.3">
      <c r="HGS5615" s="5567"/>
    </row>
    <row r="5616" spans="5595:5610" x14ac:dyDescent="0.3">
      <c r="HGT5616" s="5568"/>
    </row>
    <row r="5617" spans="5611:5626" x14ac:dyDescent="0.3">
      <c r="HGU5617" s="5569"/>
    </row>
    <row r="5618" spans="5611:5626" x14ac:dyDescent="0.3">
      <c r="HGV5618" s="5570"/>
    </row>
    <row r="5619" spans="5611:5626" x14ac:dyDescent="0.3">
      <c r="HGW5619" s="5571"/>
    </row>
    <row r="5620" spans="5611:5626" x14ac:dyDescent="0.3">
      <c r="HGX5620" s="5572"/>
    </row>
    <row r="5621" spans="5611:5626" x14ac:dyDescent="0.3">
      <c r="HGY5621" s="5573"/>
    </row>
    <row r="5622" spans="5611:5626" x14ac:dyDescent="0.3">
      <c r="HGZ5622" s="5574"/>
    </row>
    <row r="5623" spans="5611:5626" x14ac:dyDescent="0.3">
      <c r="HHA5623" s="5575"/>
    </row>
    <row r="5624" spans="5611:5626" x14ac:dyDescent="0.3">
      <c r="HHB5624" s="5576"/>
    </row>
    <row r="5625" spans="5611:5626" x14ac:dyDescent="0.3">
      <c r="HHC5625" s="5577"/>
    </row>
    <row r="5626" spans="5611:5626" x14ac:dyDescent="0.3">
      <c r="HHD5626" s="5578"/>
    </row>
    <row r="5627" spans="5611:5626" x14ac:dyDescent="0.3">
      <c r="HHE5627" s="5579"/>
    </row>
    <row r="5628" spans="5611:5626" x14ac:dyDescent="0.3">
      <c r="HHF5628" s="5580"/>
    </row>
    <row r="5629" spans="5611:5626" x14ac:dyDescent="0.3">
      <c r="HHG5629" s="5581"/>
    </row>
    <row r="5630" spans="5611:5626" x14ac:dyDescent="0.3">
      <c r="HHH5630" s="5582"/>
    </row>
    <row r="5631" spans="5611:5626" x14ac:dyDescent="0.3">
      <c r="HHI5631" s="5583"/>
    </row>
    <row r="5632" spans="5611:5626" x14ac:dyDescent="0.3">
      <c r="HHJ5632" s="5584"/>
    </row>
    <row r="5633" spans="5627:5642" x14ac:dyDescent="0.3">
      <c r="HHK5633" s="5585"/>
    </row>
    <row r="5634" spans="5627:5642" x14ac:dyDescent="0.3">
      <c r="HHL5634" s="5586"/>
    </row>
    <row r="5635" spans="5627:5642" x14ac:dyDescent="0.3">
      <c r="HHM5635" s="5587"/>
    </row>
    <row r="5636" spans="5627:5642" x14ac:dyDescent="0.3">
      <c r="HHN5636" s="5588"/>
    </row>
    <row r="5637" spans="5627:5642" x14ac:dyDescent="0.3">
      <c r="HHO5637" s="5589"/>
    </row>
    <row r="5638" spans="5627:5642" x14ac:dyDescent="0.3">
      <c r="HHP5638" s="5590"/>
    </row>
    <row r="5639" spans="5627:5642" x14ac:dyDescent="0.3">
      <c r="HHQ5639" s="5591"/>
    </row>
    <row r="5640" spans="5627:5642" x14ac:dyDescent="0.3">
      <c r="HHR5640" s="5592"/>
    </row>
    <row r="5641" spans="5627:5642" x14ac:dyDescent="0.3">
      <c r="HHS5641" s="5593"/>
    </row>
    <row r="5642" spans="5627:5642" x14ac:dyDescent="0.3">
      <c r="HHT5642" s="5594"/>
    </row>
    <row r="5643" spans="5627:5642" x14ac:dyDescent="0.3">
      <c r="HHU5643" s="5595"/>
    </row>
    <row r="5644" spans="5627:5642" x14ac:dyDescent="0.3">
      <c r="HHV5644" s="5596"/>
    </row>
    <row r="5645" spans="5627:5642" x14ac:dyDescent="0.3">
      <c r="HHW5645" s="5597"/>
    </row>
    <row r="5646" spans="5627:5642" x14ac:dyDescent="0.3">
      <c r="HHX5646" s="5598"/>
    </row>
    <row r="5647" spans="5627:5642" x14ac:dyDescent="0.3">
      <c r="HHY5647" s="5599"/>
    </row>
    <row r="5648" spans="5627:5642" x14ac:dyDescent="0.3">
      <c r="HHZ5648" s="5600"/>
    </row>
    <row r="5649" spans="5643:5658" x14ac:dyDescent="0.3">
      <c r="HIA5649" s="5601"/>
    </row>
    <row r="5650" spans="5643:5658" x14ac:dyDescent="0.3">
      <c r="HIB5650" s="5602"/>
    </row>
    <row r="5651" spans="5643:5658" x14ac:dyDescent="0.3">
      <c r="HIC5651" s="5603"/>
    </row>
    <row r="5652" spans="5643:5658" x14ac:dyDescent="0.3">
      <c r="HID5652" s="5604"/>
    </row>
    <row r="5653" spans="5643:5658" x14ac:dyDescent="0.3">
      <c r="HIE5653" s="5605"/>
    </row>
    <row r="5654" spans="5643:5658" x14ac:dyDescent="0.3">
      <c r="HIF5654" s="5606"/>
    </row>
    <row r="5655" spans="5643:5658" x14ac:dyDescent="0.3">
      <c r="HIG5655" s="5607"/>
    </row>
    <row r="5656" spans="5643:5658" x14ac:dyDescent="0.3">
      <c r="HIH5656" s="5608"/>
    </row>
    <row r="5657" spans="5643:5658" x14ac:dyDescent="0.3">
      <c r="HII5657" s="5609"/>
    </row>
    <row r="5658" spans="5643:5658" x14ac:dyDescent="0.3">
      <c r="HIJ5658" s="5610"/>
    </row>
    <row r="5659" spans="5643:5658" x14ac:dyDescent="0.3">
      <c r="HIK5659" s="5611"/>
    </row>
    <row r="5660" spans="5643:5658" x14ac:dyDescent="0.3">
      <c r="HIL5660" s="5611"/>
    </row>
    <row r="5661" spans="5643:5658" x14ac:dyDescent="0.3">
      <c r="HIM5661" s="5612"/>
    </row>
    <row r="5662" spans="5643:5658" x14ac:dyDescent="0.3">
      <c r="HIN5662" s="5613"/>
    </row>
    <row r="5663" spans="5643:5658" x14ac:dyDescent="0.3">
      <c r="HIO5663" s="5614"/>
    </row>
    <row r="5664" spans="5643:5658" x14ac:dyDescent="0.3">
      <c r="HIP5664" s="5615"/>
    </row>
    <row r="5665" spans="5659:5674" x14ac:dyDescent="0.3">
      <c r="HIQ5665" s="5616"/>
    </row>
    <row r="5666" spans="5659:5674" x14ac:dyDescent="0.3">
      <c r="HIR5666" s="5617"/>
    </row>
    <row r="5667" spans="5659:5674" x14ac:dyDescent="0.3">
      <c r="HIS5667" s="5618"/>
    </row>
    <row r="5668" spans="5659:5674" x14ac:dyDescent="0.3">
      <c r="HIT5668" s="5619"/>
    </row>
    <row r="5669" spans="5659:5674" x14ac:dyDescent="0.3">
      <c r="HIU5669" s="5620"/>
    </row>
    <row r="5670" spans="5659:5674" x14ac:dyDescent="0.3">
      <c r="HIV5670" s="5621"/>
    </row>
    <row r="5671" spans="5659:5674" x14ac:dyDescent="0.3">
      <c r="HIW5671" s="5622"/>
    </row>
    <row r="5672" spans="5659:5674" x14ac:dyDescent="0.3">
      <c r="HIX5672" s="5623"/>
    </row>
    <row r="5673" spans="5659:5674" x14ac:dyDescent="0.3">
      <c r="HIY5673" s="5624"/>
    </row>
    <row r="5674" spans="5659:5674" x14ac:dyDescent="0.3">
      <c r="HIZ5674" s="5625"/>
    </row>
    <row r="5675" spans="5659:5674" x14ac:dyDescent="0.3">
      <c r="HJA5675" s="5626"/>
    </row>
    <row r="5676" spans="5659:5674" x14ac:dyDescent="0.3">
      <c r="HJB5676" s="5627"/>
    </row>
    <row r="5677" spans="5659:5674" x14ac:dyDescent="0.3">
      <c r="HJC5677" s="5628"/>
    </row>
    <row r="5678" spans="5659:5674" x14ac:dyDescent="0.3">
      <c r="HJD5678" s="5629"/>
    </row>
    <row r="5679" spans="5659:5674" x14ac:dyDescent="0.3">
      <c r="HJE5679" s="5630"/>
    </row>
    <row r="5680" spans="5659:5674" x14ac:dyDescent="0.3">
      <c r="HJF5680" s="5631"/>
    </row>
    <row r="5681" spans="5675:5690" x14ac:dyDescent="0.3">
      <c r="HJG5681" s="5632"/>
    </row>
    <row r="5682" spans="5675:5690" x14ac:dyDescent="0.3">
      <c r="HJH5682" s="5633"/>
    </row>
    <row r="5683" spans="5675:5690" x14ac:dyDescent="0.3">
      <c r="HJI5683" s="5634"/>
    </row>
    <row r="5684" spans="5675:5690" x14ac:dyDescent="0.3">
      <c r="HJJ5684" s="5635"/>
    </row>
    <row r="5685" spans="5675:5690" x14ac:dyDescent="0.3">
      <c r="HJK5685" s="5636"/>
    </row>
    <row r="5686" spans="5675:5690" x14ac:dyDescent="0.3">
      <c r="HJL5686" s="5637"/>
    </row>
    <row r="5687" spans="5675:5690" x14ac:dyDescent="0.3">
      <c r="HJM5687" s="5638"/>
    </row>
    <row r="5688" spans="5675:5690" x14ac:dyDescent="0.3">
      <c r="HJN5688" s="5639"/>
    </row>
    <row r="5689" spans="5675:5690" x14ac:dyDescent="0.3">
      <c r="HJO5689" s="5640"/>
    </row>
    <row r="5690" spans="5675:5690" x14ac:dyDescent="0.3">
      <c r="HJP5690" s="5641"/>
    </row>
    <row r="5691" spans="5675:5690" x14ac:dyDescent="0.3">
      <c r="HJQ5691" s="5642"/>
    </row>
    <row r="5692" spans="5675:5690" x14ac:dyDescent="0.3">
      <c r="HJR5692" s="5643"/>
    </row>
    <row r="5693" spans="5675:5690" x14ac:dyDescent="0.3">
      <c r="HJS5693" s="5644"/>
    </row>
    <row r="5694" spans="5675:5690" x14ac:dyDescent="0.3">
      <c r="HJT5694" s="5645"/>
    </row>
    <row r="5695" spans="5675:5690" x14ac:dyDescent="0.3">
      <c r="HJU5695" s="5646"/>
    </row>
    <row r="5696" spans="5675:5690" x14ac:dyDescent="0.3">
      <c r="HJV5696" s="5647"/>
    </row>
    <row r="5697" spans="5691:5706" x14ac:dyDescent="0.3">
      <c r="HJW5697" s="5648"/>
    </row>
    <row r="5698" spans="5691:5706" x14ac:dyDescent="0.3">
      <c r="HJX5698" s="5649"/>
    </row>
    <row r="5699" spans="5691:5706" x14ac:dyDescent="0.3">
      <c r="HJY5699" s="5650"/>
    </row>
    <row r="5700" spans="5691:5706" x14ac:dyDescent="0.3">
      <c r="HJZ5700" s="5651"/>
    </row>
    <row r="5701" spans="5691:5706" x14ac:dyDescent="0.3">
      <c r="HKA5701" s="5652"/>
    </row>
    <row r="5702" spans="5691:5706" x14ac:dyDescent="0.3">
      <c r="HKB5702" s="5653"/>
    </row>
    <row r="5703" spans="5691:5706" x14ac:dyDescent="0.3">
      <c r="HKC5703" s="5654"/>
    </row>
    <row r="5704" spans="5691:5706" x14ac:dyDescent="0.3">
      <c r="HKD5704" s="5655"/>
    </row>
    <row r="5705" spans="5691:5706" x14ac:dyDescent="0.3">
      <c r="HKE5705" s="5656"/>
    </row>
    <row r="5706" spans="5691:5706" x14ac:dyDescent="0.3">
      <c r="HKF5706" s="5657"/>
    </row>
    <row r="5707" spans="5691:5706" x14ac:dyDescent="0.3">
      <c r="HKG5707" s="5658"/>
    </row>
    <row r="5708" spans="5691:5706" x14ac:dyDescent="0.3">
      <c r="HKH5708" s="5659"/>
    </row>
    <row r="5709" spans="5691:5706" x14ac:dyDescent="0.3">
      <c r="HKI5709" s="5660"/>
    </row>
    <row r="5710" spans="5691:5706" x14ac:dyDescent="0.3">
      <c r="HKJ5710" s="5661"/>
    </row>
    <row r="5711" spans="5691:5706" x14ac:dyDescent="0.3">
      <c r="HKK5711" s="5662"/>
    </row>
    <row r="5712" spans="5691:5706" x14ac:dyDescent="0.3">
      <c r="HKL5712" s="5663"/>
    </row>
    <row r="5713" spans="5707:5722" x14ac:dyDescent="0.3">
      <c r="HKM5713" s="5664"/>
    </row>
    <row r="5714" spans="5707:5722" x14ac:dyDescent="0.3">
      <c r="HKN5714" s="5665"/>
    </row>
    <row r="5715" spans="5707:5722" x14ac:dyDescent="0.3">
      <c r="HKO5715" s="5666"/>
    </row>
    <row r="5716" spans="5707:5722" x14ac:dyDescent="0.3">
      <c r="HKP5716" s="5667"/>
    </row>
    <row r="5717" spans="5707:5722" x14ac:dyDescent="0.3">
      <c r="HKQ5717" s="5668"/>
    </row>
    <row r="5718" spans="5707:5722" x14ac:dyDescent="0.3">
      <c r="HKR5718" s="5669"/>
    </row>
    <row r="5719" spans="5707:5722" x14ac:dyDescent="0.3">
      <c r="HKS5719" s="5670"/>
    </row>
    <row r="5720" spans="5707:5722" x14ac:dyDescent="0.3">
      <c r="HKT5720" s="5671"/>
    </row>
    <row r="5721" spans="5707:5722" x14ac:dyDescent="0.3">
      <c r="HKU5721" s="5672"/>
    </row>
    <row r="5722" spans="5707:5722" x14ac:dyDescent="0.3">
      <c r="HKV5722" s="5673"/>
    </row>
    <row r="5723" spans="5707:5722" x14ac:dyDescent="0.3">
      <c r="HKW5723" s="5674"/>
    </row>
    <row r="5724" spans="5707:5722" x14ac:dyDescent="0.3">
      <c r="HKX5724" s="5675"/>
    </row>
    <row r="5725" spans="5707:5722" x14ac:dyDescent="0.3">
      <c r="HKY5725" s="5676"/>
    </row>
    <row r="5726" spans="5707:5722" x14ac:dyDescent="0.3">
      <c r="HKZ5726" s="5677"/>
    </row>
    <row r="5727" spans="5707:5722" x14ac:dyDescent="0.3">
      <c r="HLA5727" s="5678"/>
    </row>
    <row r="5728" spans="5707:5722" x14ac:dyDescent="0.3">
      <c r="HLB5728" s="5679"/>
    </row>
    <row r="5729" spans="5723:5738" x14ac:dyDescent="0.3">
      <c r="HLC5729" s="5680"/>
    </row>
    <row r="5730" spans="5723:5738" x14ac:dyDescent="0.3">
      <c r="HLD5730" s="5681"/>
    </row>
    <row r="5731" spans="5723:5738" x14ac:dyDescent="0.3">
      <c r="HLE5731" s="5682"/>
    </row>
    <row r="5732" spans="5723:5738" x14ac:dyDescent="0.3">
      <c r="HLF5732" s="5683"/>
    </row>
    <row r="5733" spans="5723:5738" x14ac:dyDescent="0.3">
      <c r="HLG5733" s="5684"/>
    </row>
    <row r="5734" spans="5723:5738" x14ac:dyDescent="0.3">
      <c r="HLH5734" s="5685"/>
    </row>
    <row r="5735" spans="5723:5738" x14ac:dyDescent="0.3">
      <c r="HLI5735" s="5686"/>
    </row>
    <row r="5736" spans="5723:5738" x14ac:dyDescent="0.3">
      <c r="HLJ5736" s="5687"/>
    </row>
    <row r="5737" spans="5723:5738" x14ac:dyDescent="0.3">
      <c r="HLK5737" s="5688"/>
    </row>
    <row r="5738" spans="5723:5738" x14ac:dyDescent="0.3">
      <c r="HLL5738" s="5689"/>
    </row>
    <row r="5739" spans="5723:5738" x14ac:dyDescent="0.3">
      <c r="HLM5739" s="5690"/>
    </row>
    <row r="5740" spans="5723:5738" x14ac:dyDescent="0.3">
      <c r="HLN5740" s="5691"/>
    </row>
    <row r="5741" spans="5723:5738" x14ac:dyDescent="0.3">
      <c r="HLO5741" s="5692"/>
    </row>
    <row r="5742" spans="5723:5738" x14ac:dyDescent="0.3">
      <c r="HLP5742" s="5693"/>
    </row>
    <row r="5743" spans="5723:5738" x14ac:dyDescent="0.3">
      <c r="HLQ5743" s="5694"/>
    </row>
    <row r="5744" spans="5723:5738" x14ac:dyDescent="0.3">
      <c r="HLR5744" s="5695"/>
    </row>
    <row r="5745" spans="5739:5754" x14ac:dyDescent="0.3">
      <c r="HLS5745" s="5696"/>
    </row>
    <row r="5746" spans="5739:5754" x14ac:dyDescent="0.3">
      <c r="HLT5746" s="5697"/>
    </row>
    <row r="5747" spans="5739:5754" x14ac:dyDescent="0.3">
      <c r="HLU5747" s="5698"/>
    </row>
    <row r="5748" spans="5739:5754" x14ac:dyDescent="0.3">
      <c r="HLV5748" s="5699"/>
    </row>
    <row r="5749" spans="5739:5754" x14ac:dyDescent="0.3">
      <c r="HLW5749" s="5700"/>
    </row>
    <row r="5750" spans="5739:5754" x14ac:dyDescent="0.3">
      <c r="HLX5750" s="5701"/>
    </row>
    <row r="5751" spans="5739:5754" x14ac:dyDescent="0.3">
      <c r="HLY5751" s="5702"/>
    </row>
    <row r="5752" spans="5739:5754" x14ac:dyDescent="0.3">
      <c r="HLZ5752" s="5703"/>
    </row>
    <row r="5753" spans="5739:5754" x14ac:dyDescent="0.3">
      <c r="HMA5753" s="5704"/>
    </row>
    <row r="5754" spans="5739:5754" x14ac:dyDescent="0.3">
      <c r="HMB5754" s="5705"/>
    </row>
    <row r="5755" spans="5739:5754" x14ac:dyDescent="0.3">
      <c r="HMC5755" s="5706"/>
    </row>
    <row r="5756" spans="5739:5754" x14ac:dyDescent="0.3">
      <c r="HMD5756" s="5707"/>
    </row>
    <row r="5757" spans="5739:5754" x14ac:dyDescent="0.3">
      <c r="HME5757" s="5708"/>
    </row>
    <row r="5758" spans="5739:5754" x14ac:dyDescent="0.3">
      <c r="HMF5758" s="5709"/>
    </row>
    <row r="5759" spans="5739:5754" x14ac:dyDescent="0.3">
      <c r="HMG5759" s="5710"/>
    </row>
    <row r="5760" spans="5739:5754" x14ac:dyDescent="0.3">
      <c r="HMH5760" s="5711"/>
    </row>
    <row r="5761" spans="5755:5770" x14ac:dyDescent="0.3">
      <c r="HMI5761" s="5712"/>
    </row>
    <row r="5762" spans="5755:5770" x14ac:dyDescent="0.3">
      <c r="HMJ5762" s="5713"/>
    </row>
    <row r="5763" spans="5755:5770" x14ac:dyDescent="0.3">
      <c r="HMK5763" s="5714"/>
    </row>
    <row r="5764" spans="5755:5770" x14ac:dyDescent="0.3">
      <c r="HML5764" s="5715"/>
    </row>
    <row r="5765" spans="5755:5770" x14ac:dyDescent="0.3">
      <c r="HMM5765" s="5716"/>
    </row>
    <row r="5766" spans="5755:5770" x14ac:dyDescent="0.3">
      <c r="HMN5766" s="5717"/>
    </row>
    <row r="5767" spans="5755:5770" x14ac:dyDescent="0.3">
      <c r="HMO5767" s="5718"/>
    </row>
    <row r="5768" spans="5755:5770" x14ac:dyDescent="0.3">
      <c r="HMP5768" s="5719"/>
    </row>
    <row r="5769" spans="5755:5770" x14ac:dyDescent="0.3">
      <c r="HMQ5769" s="5720"/>
    </row>
    <row r="5770" spans="5755:5770" x14ac:dyDescent="0.3">
      <c r="HMR5770" s="5721"/>
    </row>
    <row r="5771" spans="5755:5770" x14ac:dyDescent="0.3">
      <c r="HMS5771" s="5722"/>
    </row>
    <row r="5772" spans="5755:5770" x14ac:dyDescent="0.3">
      <c r="HMT5772" s="5723"/>
    </row>
    <row r="5773" spans="5755:5770" x14ac:dyDescent="0.3">
      <c r="HMU5773" s="5724"/>
    </row>
    <row r="5774" spans="5755:5770" x14ac:dyDescent="0.3">
      <c r="HMV5774" s="5725"/>
    </row>
    <row r="5775" spans="5755:5770" x14ac:dyDescent="0.3">
      <c r="HMW5775" s="5726"/>
    </row>
    <row r="5776" spans="5755:5770" x14ac:dyDescent="0.3">
      <c r="HMX5776" s="5727"/>
    </row>
    <row r="5777" spans="5771:5786" x14ac:dyDescent="0.3">
      <c r="HMY5777" s="5728"/>
    </row>
    <row r="5778" spans="5771:5786" x14ac:dyDescent="0.3">
      <c r="HMZ5778" s="5729"/>
    </row>
    <row r="5779" spans="5771:5786" x14ac:dyDescent="0.3">
      <c r="HNA5779" s="5730"/>
    </row>
    <row r="5780" spans="5771:5786" x14ac:dyDescent="0.3">
      <c r="HNB5780" s="5731"/>
    </row>
    <row r="5781" spans="5771:5786" x14ac:dyDescent="0.3">
      <c r="HNC5781" s="5732"/>
    </row>
    <row r="5782" spans="5771:5786" x14ac:dyDescent="0.3">
      <c r="HND5782" s="5733"/>
    </row>
    <row r="5783" spans="5771:5786" x14ac:dyDescent="0.3">
      <c r="HNE5783" s="5734"/>
    </row>
    <row r="5784" spans="5771:5786" x14ac:dyDescent="0.3">
      <c r="HNF5784" s="5735"/>
    </row>
    <row r="5785" spans="5771:5786" x14ac:dyDescent="0.3">
      <c r="HNG5785" s="5736"/>
    </row>
    <row r="5786" spans="5771:5786" x14ac:dyDescent="0.3">
      <c r="HNH5786" s="5737"/>
    </row>
    <row r="5787" spans="5771:5786" x14ac:dyDescent="0.3">
      <c r="HNI5787" s="5738"/>
    </row>
    <row r="5788" spans="5771:5786" x14ac:dyDescent="0.3">
      <c r="HNJ5788" s="5739"/>
    </row>
    <row r="5789" spans="5771:5786" x14ac:dyDescent="0.3">
      <c r="HNK5789" s="5740"/>
    </row>
    <row r="5790" spans="5771:5786" x14ac:dyDescent="0.3">
      <c r="HNL5790" s="5741"/>
    </row>
    <row r="5791" spans="5771:5786" x14ac:dyDescent="0.3">
      <c r="HNM5791" s="5742"/>
    </row>
    <row r="5792" spans="5771:5786" x14ac:dyDescent="0.3">
      <c r="HNN5792" s="5743"/>
    </row>
    <row r="5793" spans="5787:5802" x14ac:dyDescent="0.3">
      <c r="HNO5793" s="5744"/>
    </row>
    <row r="5794" spans="5787:5802" x14ac:dyDescent="0.3">
      <c r="HNP5794" s="5745"/>
    </row>
    <row r="5795" spans="5787:5802" x14ac:dyDescent="0.3">
      <c r="HNQ5795" s="5746"/>
    </row>
    <row r="5796" spans="5787:5802" x14ac:dyDescent="0.3">
      <c r="HNR5796" s="5747"/>
    </row>
    <row r="5797" spans="5787:5802" x14ac:dyDescent="0.3">
      <c r="HNS5797" s="5748"/>
    </row>
    <row r="5798" spans="5787:5802" x14ac:dyDescent="0.3">
      <c r="HNT5798" s="5749"/>
    </row>
    <row r="5799" spans="5787:5802" x14ac:dyDescent="0.3">
      <c r="HNU5799" s="5750"/>
    </row>
    <row r="5800" spans="5787:5802" x14ac:dyDescent="0.3">
      <c r="HNV5800" s="5751"/>
    </row>
    <row r="5801" spans="5787:5802" x14ac:dyDescent="0.3">
      <c r="HNW5801" s="5752"/>
    </row>
    <row r="5802" spans="5787:5802" x14ac:dyDescent="0.3">
      <c r="HNX5802" s="5753"/>
    </row>
    <row r="5803" spans="5787:5802" x14ac:dyDescent="0.3">
      <c r="HNY5803" s="5754"/>
    </row>
    <row r="5804" spans="5787:5802" x14ac:dyDescent="0.3">
      <c r="HNZ5804" s="5755"/>
    </row>
    <row r="5805" spans="5787:5802" x14ac:dyDescent="0.3">
      <c r="HOA5805" s="5756"/>
    </row>
    <row r="5806" spans="5787:5802" x14ac:dyDescent="0.3">
      <c r="HOB5806" s="5757"/>
    </row>
    <row r="5807" spans="5787:5802" x14ac:dyDescent="0.3">
      <c r="HOC5807" s="5758"/>
    </row>
    <row r="5808" spans="5787:5802" x14ac:dyDescent="0.3">
      <c r="HOD5808" s="5759"/>
    </row>
    <row r="5809" spans="5803:5818" x14ac:dyDescent="0.3">
      <c r="HOE5809" s="5760"/>
    </row>
    <row r="5810" spans="5803:5818" x14ac:dyDescent="0.3">
      <c r="HOF5810" s="5761"/>
    </row>
    <row r="5811" spans="5803:5818" x14ac:dyDescent="0.3">
      <c r="HOG5811" s="5762"/>
    </row>
    <row r="5812" spans="5803:5818" x14ac:dyDescent="0.3">
      <c r="HOH5812" s="5763"/>
    </row>
    <row r="5813" spans="5803:5818" x14ac:dyDescent="0.3">
      <c r="HOI5813" s="5764"/>
    </row>
    <row r="5814" spans="5803:5818" x14ac:dyDescent="0.3">
      <c r="HOJ5814" s="5765"/>
    </row>
    <row r="5815" spans="5803:5818" x14ac:dyDescent="0.3">
      <c r="HOK5815" s="5766"/>
    </row>
    <row r="5816" spans="5803:5818" x14ac:dyDescent="0.3">
      <c r="HOL5816" s="5767"/>
    </row>
    <row r="5817" spans="5803:5818" x14ac:dyDescent="0.3">
      <c r="HOM5817" s="5768"/>
    </row>
    <row r="5818" spans="5803:5818" x14ac:dyDescent="0.3">
      <c r="HON5818" s="5769"/>
    </row>
    <row r="5819" spans="5803:5818" x14ac:dyDescent="0.3">
      <c r="HOO5819" s="5770"/>
    </row>
    <row r="5820" spans="5803:5818" x14ac:dyDescent="0.3">
      <c r="HOP5820" s="5771"/>
    </row>
    <row r="5821" spans="5803:5818" x14ac:dyDescent="0.3">
      <c r="HOQ5821" s="5772"/>
    </row>
    <row r="5822" spans="5803:5818" x14ac:dyDescent="0.3">
      <c r="HOR5822" s="5773"/>
    </row>
    <row r="5823" spans="5803:5818" x14ac:dyDescent="0.3">
      <c r="HOS5823" s="5774"/>
    </row>
    <row r="5824" spans="5803:5818" x14ac:dyDescent="0.3">
      <c r="HOT5824" s="5775"/>
    </row>
    <row r="5825" spans="5819:5834" x14ac:dyDescent="0.3">
      <c r="HOU5825" s="5776"/>
    </row>
    <row r="5826" spans="5819:5834" x14ac:dyDescent="0.3">
      <c r="HOV5826" s="5777"/>
    </row>
    <row r="5827" spans="5819:5834" x14ac:dyDescent="0.3">
      <c r="HOW5827" s="5778"/>
    </row>
    <row r="5828" spans="5819:5834" x14ac:dyDescent="0.3">
      <c r="HOX5828" s="5779"/>
    </row>
    <row r="5829" spans="5819:5834" x14ac:dyDescent="0.3">
      <c r="HOY5829" s="5780"/>
    </row>
    <row r="5830" spans="5819:5834" x14ac:dyDescent="0.3">
      <c r="HOZ5830" s="5781"/>
    </row>
    <row r="5831" spans="5819:5834" x14ac:dyDescent="0.3">
      <c r="HPA5831" s="5782"/>
    </row>
    <row r="5832" spans="5819:5834" x14ac:dyDescent="0.3">
      <c r="HPB5832" s="5783"/>
    </row>
    <row r="5833" spans="5819:5834" x14ac:dyDescent="0.3">
      <c r="HPC5833" s="5784"/>
    </row>
    <row r="5834" spans="5819:5834" x14ac:dyDescent="0.3">
      <c r="HPD5834" s="5785"/>
    </row>
    <row r="5835" spans="5819:5834" x14ac:dyDescent="0.3">
      <c r="HPE5835" s="5786"/>
    </row>
    <row r="5836" spans="5819:5834" x14ac:dyDescent="0.3">
      <c r="HPF5836" s="5787"/>
    </row>
    <row r="5837" spans="5819:5834" x14ac:dyDescent="0.3">
      <c r="HPG5837" s="5788"/>
    </row>
    <row r="5838" spans="5819:5834" x14ac:dyDescent="0.3">
      <c r="HPH5838" s="5789"/>
    </row>
    <row r="5839" spans="5819:5834" x14ac:dyDescent="0.3">
      <c r="HPI5839" s="5790"/>
    </row>
    <row r="5840" spans="5819:5834" x14ac:dyDescent="0.3">
      <c r="HPJ5840" s="5791"/>
    </row>
    <row r="5841" spans="5835:5850" x14ac:dyDescent="0.3">
      <c r="HPK5841" s="5792"/>
    </row>
    <row r="5842" spans="5835:5850" x14ac:dyDescent="0.3">
      <c r="HPL5842" s="5793"/>
    </row>
    <row r="5843" spans="5835:5850" x14ac:dyDescent="0.3">
      <c r="HPM5843" s="5794"/>
    </row>
    <row r="5844" spans="5835:5850" x14ac:dyDescent="0.3">
      <c r="HPN5844" s="5795"/>
    </row>
    <row r="5845" spans="5835:5850" x14ac:dyDescent="0.3">
      <c r="HPO5845" s="5796"/>
    </row>
    <row r="5846" spans="5835:5850" x14ac:dyDescent="0.3">
      <c r="HPP5846" s="5797"/>
    </row>
    <row r="5847" spans="5835:5850" x14ac:dyDescent="0.3">
      <c r="HPQ5847" s="5798"/>
    </row>
    <row r="5848" spans="5835:5850" x14ac:dyDescent="0.3">
      <c r="HPR5848" s="5799"/>
    </row>
    <row r="5849" spans="5835:5850" x14ac:dyDescent="0.3">
      <c r="HPS5849" s="5800"/>
    </row>
    <row r="5850" spans="5835:5850" x14ac:dyDescent="0.3">
      <c r="HPT5850" s="5801"/>
    </row>
    <row r="5851" spans="5835:5850" x14ac:dyDescent="0.3">
      <c r="HPU5851" s="5802"/>
    </row>
    <row r="5852" spans="5835:5850" x14ac:dyDescent="0.3">
      <c r="HPV5852" s="5803"/>
    </row>
    <row r="5853" spans="5835:5850" x14ac:dyDescent="0.3">
      <c r="HPW5853" s="5804"/>
    </row>
    <row r="5854" spans="5835:5850" x14ac:dyDescent="0.3">
      <c r="HPX5854" s="5805"/>
    </row>
    <row r="5855" spans="5835:5850" x14ac:dyDescent="0.3">
      <c r="HPY5855" s="5806"/>
    </row>
    <row r="5856" spans="5835:5850" x14ac:dyDescent="0.3">
      <c r="HPZ5856" s="5807"/>
    </row>
    <row r="5857" spans="5851:5866" x14ac:dyDescent="0.3">
      <c r="HQA5857" s="5808"/>
    </row>
    <row r="5858" spans="5851:5866" x14ac:dyDescent="0.3">
      <c r="HQB5858" s="5809"/>
    </row>
    <row r="5859" spans="5851:5866" x14ac:dyDescent="0.3">
      <c r="HQC5859" s="5810"/>
    </row>
    <row r="5860" spans="5851:5866" x14ac:dyDescent="0.3">
      <c r="HQD5860" s="5811"/>
    </row>
    <row r="5861" spans="5851:5866" x14ac:dyDescent="0.3">
      <c r="HQE5861" s="5812"/>
    </row>
    <row r="5862" spans="5851:5866" x14ac:dyDescent="0.3">
      <c r="HQF5862" s="5813"/>
    </row>
    <row r="5863" spans="5851:5866" x14ac:dyDescent="0.3">
      <c r="HQG5863" s="5814"/>
    </row>
    <row r="5864" spans="5851:5866" x14ac:dyDescent="0.3">
      <c r="HQH5864" s="5815"/>
    </row>
    <row r="5865" spans="5851:5866" x14ac:dyDescent="0.3">
      <c r="HQI5865" s="5816"/>
    </row>
    <row r="5866" spans="5851:5866" x14ac:dyDescent="0.3">
      <c r="HQJ5866" s="5817"/>
    </row>
    <row r="5867" spans="5851:5866" x14ac:dyDescent="0.3">
      <c r="HQK5867" s="5818"/>
    </row>
    <row r="5868" spans="5851:5866" x14ac:dyDescent="0.3">
      <c r="HQL5868" s="5819"/>
    </row>
    <row r="5869" spans="5851:5866" x14ac:dyDescent="0.3">
      <c r="HQM5869" s="5820"/>
    </row>
    <row r="5870" spans="5851:5866" x14ac:dyDescent="0.3">
      <c r="HQN5870" s="5821"/>
    </row>
    <row r="5871" spans="5851:5866" x14ac:dyDescent="0.3">
      <c r="HQO5871" s="5822"/>
    </row>
    <row r="5872" spans="5851:5866" x14ac:dyDescent="0.3">
      <c r="HQP5872" s="5823"/>
    </row>
    <row r="5873" spans="5867:5882" x14ac:dyDescent="0.3">
      <c r="HQQ5873" s="5824"/>
    </row>
    <row r="5874" spans="5867:5882" x14ac:dyDescent="0.3">
      <c r="HQR5874" s="5825"/>
    </row>
    <row r="5875" spans="5867:5882" x14ac:dyDescent="0.3">
      <c r="HQS5875" s="5826"/>
    </row>
    <row r="5876" spans="5867:5882" x14ac:dyDescent="0.3">
      <c r="HQT5876" s="5827"/>
    </row>
    <row r="5877" spans="5867:5882" x14ac:dyDescent="0.3">
      <c r="HQU5877" s="5828"/>
    </row>
    <row r="5878" spans="5867:5882" x14ac:dyDescent="0.3">
      <c r="HQV5878" s="5829"/>
    </row>
    <row r="5879" spans="5867:5882" x14ac:dyDescent="0.3">
      <c r="HQW5879" s="5830"/>
    </row>
    <row r="5880" spans="5867:5882" x14ac:dyDescent="0.3">
      <c r="HQX5880" s="5831"/>
    </row>
    <row r="5881" spans="5867:5882" x14ac:dyDescent="0.3">
      <c r="HQY5881" s="5832"/>
    </row>
    <row r="5882" spans="5867:5882" x14ac:dyDescent="0.3">
      <c r="HQZ5882" s="5833"/>
    </row>
    <row r="5883" spans="5867:5882" x14ac:dyDescent="0.3">
      <c r="HRA5883" s="5834"/>
    </row>
    <row r="5884" spans="5867:5882" x14ac:dyDescent="0.3">
      <c r="HRB5884" s="5835"/>
    </row>
    <row r="5885" spans="5867:5882" x14ac:dyDescent="0.3">
      <c r="HRC5885" s="5836"/>
    </row>
    <row r="5886" spans="5867:5882" x14ac:dyDescent="0.3">
      <c r="HRD5886" s="5837"/>
    </row>
    <row r="5887" spans="5867:5882" x14ac:dyDescent="0.3">
      <c r="HRE5887" s="5838"/>
    </row>
    <row r="5888" spans="5867:5882" x14ac:dyDescent="0.3">
      <c r="HRF5888" s="5839"/>
    </row>
    <row r="5889" spans="5883:5898" x14ac:dyDescent="0.3">
      <c r="HRG5889" s="5840"/>
    </row>
    <row r="5890" spans="5883:5898" x14ac:dyDescent="0.3">
      <c r="HRH5890" s="5841"/>
    </row>
    <row r="5891" spans="5883:5898" x14ac:dyDescent="0.3">
      <c r="HRI5891" s="5842"/>
    </row>
    <row r="5892" spans="5883:5898" x14ac:dyDescent="0.3">
      <c r="HRJ5892" s="5843"/>
    </row>
    <row r="5893" spans="5883:5898" x14ac:dyDescent="0.3">
      <c r="HRK5893" s="5844"/>
    </row>
    <row r="5894" spans="5883:5898" x14ac:dyDescent="0.3">
      <c r="HRL5894" s="5845"/>
    </row>
    <row r="5895" spans="5883:5898" x14ac:dyDescent="0.3">
      <c r="HRM5895" s="5846"/>
    </row>
    <row r="5896" spans="5883:5898" x14ac:dyDescent="0.3">
      <c r="HRN5896" s="5847"/>
    </row>
    <row r="5897" spans="5883:5898" x14ac:dyDescent="0.3">
      <c r="HRO5897" s="5848"/>
    </row>
    <row r="5898" spans="5883:5898" x14ac:dyDescent="0.3">
      <c r="HRP5898" s="5849"/>
    </row>
    <row r="5899" spans="5883:5898" x14ac:dyDescent="0.3">
      <c r="HRQ5899" s="5850"/>
    </row>
    <row r="5900" spans="5883:5898" x14ac:dyDescent="0.3">
      <c r="HRR5900" s="5851"/>
    </row>
    <row r="5901" spans="5883:5898" x14ac:dyDescent="0.3">
      <c r="HRS5901" s="5852"/>
    </row>
    <row r="5902" spans="5883:5898" x14ac:dyDescent="0.3">
      <c r="HRT5902" s="5853"/>
    </row>
    <row r="5903" spans="5883:5898" x14ac:dyDescent="0.3">
      <c r="HRU5903" s="5854"/>
    </row>
    <row r="5904" spans="5883:5898" x14ac:dyDescent="0.3">
      <c r="HRV5904" s="5855"/>
    </row>
    <row r="5905" spans="5899:5914" x14ac:dyDescent="0.3">
      <c r="HRW5905" s="5856"/>
    </row>
    <row r="5906" spans="5899:5914" x14ac:dyDescent="0.3">
      <c r="HRX5906" s="5857"/>
    </row>
    <row r="5907" spans="5899:5914" x14ac:dyDescent="0.3">
      <c r="HRY5907" s="5858"/>
    </row>
    <row r="5908" spans="5899:5914" x14ac:dyDescent="0.3">
      <c r="HRZ5908" s="5859"/>
    </row>
    <row r="5909" spans="5899:5914" x14ac:dyDescent="0.3">
      <c r="HSA5909" s="5860"/>
    </row>
    <row r="5910" spans="5899:5914" x14ac:dyDescent="0.3">
      <c r="HSB5910" s="5861"/>
    </row>
    <row r="5911" spans="5899:5914" x14ac:dyDescent="0.3">
      <c r="HSC5911" s="5862"/>
    </row>
    <row r="5912" spans="5899:5914" x14ac:dyDescent="0.3">
      <c r="HSD5912" s="5863"/>
    </row>
    <row r="5913" spans="5899:5914" x14ac:dyDescent="0.3">
      <c r="HSE5913" s="5864"/>
    </row>
    <row r="5914" spans="5899:5914" x14ac:dyDescent="0.3">
      <c r="HSF5914" s="5865"/>
    </row>
    <row r="5915" spans="5899:5914" x14ac:dyDescent="0.3">
      <c r="HSG5915" s="5866"/>
    </row>
    <row r="5916" spans="5899:5914" x14ac:dyDescent="0.3">
      <c r="HSH5916" s="5867"/>
    </row>
    <row r="5917" spans="5899:5914" x14ac:dyDescent="0.3">
      <c r="HSI5917" s="5867"/>
    </row>
    <row r="5918" spans="5899:5914" x14ac:dyDescent="0.3">
      <c r="HSJ5918" s="5868"/>
    </row>
    <row r="5919" spans="5899:5914" x14ac:dyDescent="0.3">
      <c r="HSK5919" s="5869"/>
    </row>
    <row r="5920" spans="5899:5914" x14ac:dyDescent="0.3">
      <c r="HSL5920" s="5870"/>
    </row>
    <row r="5921" spans="5915:5930" x14ac:dyDescent="0.3">
      <c r="HSM5921" s="5871"/>
    </row>
    <row r="5922" spans="5915:5930" x14ac:dyDescent="0.3">
      <c r="HSN5922" s="5872"/>
    </row>
    <row r="5923" spans="5915:5930" x14ac:dyDescent="0.3">
      <c r="HSO5923" s="5873"/>
    </row>
    <row r="5924" spans="5915:5930" x14ac:dyDescent="0.3">
      <c r="HSP5924" s="5874"/>
    </row>
    <row r="5925" spans="5915:5930" x14ac:dyDescent="0.3">
      <c r="HSQ5925" s="5875"/>
    </row>
    <row r="5926" spans="5915:5930" x14ac:dyDescent="0.3">
      <c r="HSR5926" s="5876"/>
    </row>
    <row r="5927" spans="5915:5930" x14ac:dyDescent="0.3">
      <c r="HSS5927" s="5877"/>
    </row>
    <row r="5928" spans="5915:5930" x14ac:dyDescent="0.3">
      <c r="HST5928" s="5878"/>
    </row>
    <row r="5929" spans="5915:5930" x14ac:dyDescent="0.3">
      <c r="HSU5929" s="5879"/>
    </row>
    <row r="5930" spans="5915:5930" x14ac:dyDescent="0.3">
      <c r="HSV5930" s="5880"/>
    </row>
    <row r="5931" spans="5915:5930" x14ac:dyDescent="0.3">
      <c r="HSW5931" s="5881"/>
    </row>
    <row r="5932" spans="5915:5930" x14ac:dyDescent="0.3">
      <c r="HSX5932" s="5882"/>
    </row>
    <row r="5933" spans="5915:5930" x14ac:dyDescent="0.3">
      <c r="HSY5933" s="5883"/>
    </row>
    <row r="5934" spans="5915:5930" x14ac:dyDescent="0.3">
      <c r="HSZ5934" s="5884"/>
    </row>
    <row r="5935" spans="5915:5930" x14ac:dyDescent="0.3">
      <c r="HTA5935" s="5885"/>
    </row>
    <row r="5936" spans="5915:5930" x14ac:dyDescent="0.3">
      <c r="HTB5936" s="5886"/>
    </row>
    <row r="5937" spans="5931:5946" x14ac:dyDescent="0.3">
      <c r="HTC5937" s="5887"/>
    </row>
    <row r="5938" spans="5931:5946" x14ac:dyDescent="0.3">
      <c r="HTD5938" s="5888"/>
    </row>
    <row r="5939" spans="5931:5946" x14ac:dyDescent="0.3">
      <c r="HTE5939" s="5889"/>
    </row>
    <row r="5940" spans="5931:5946" x14ac:dyDescent="0.3">
      <c r="HTF5940" s="5890"/>
    </row>
    <row r="5941" spans="5931:5946" x14ac:dyDescent="0.3">
      <c r="HTG5941" s="5891"/>
    </row>
    <row r="5942" spans="5931:5946" x14ac:dyDescent="0.3">
      <c r="HTH5942" s="5892"/>
    </row>
    <row r="5943" spans="5931:5946" x14ac:dyDescent="0.3">
      <c r="HTI5943" s="5893"/>
    </row>
    <row r="5944" spans="5931:5946" x14ac:dyDescent="0.3">
      <c r="HTJ5944" s="5894"/>
    </row>
    <row r="5945" spans="5931:5946" x14ac:dyDescent="0.3">
      <c r="HTK5945" s="5895"/>
    </row>
    <row r="5946" spans="5931:5946" x14ac:dyDescent="0.3">
      <c r="HTL5946" s="5896"/>
    </row>
    <row r="5947" spans="5931:5946" x14ac:dyDescent="0.3">
      <c r="HTM5947" s="5897"/>
    </row>
    <row r="5948" spans="5931:5946" x14ac:dyDescent="0.3">
      <c r="HTN5948" s="5898"/>
    </row>
    <row r="5949" spans="5931:5946" x14ac:dyDescent="0.3">
      <c r="HTO5949" s="5899"/>
    </row>
    <row r="5950" spans="5931:5946" x14ac:dyDescent="0.3">
      <c r="HTP5950" s="5900"/>
    </row>
    <row r="5951" spans="5931:5946" x14ac:dyDescent="0.3">
      <c r="HTQ5951" s="5901"/>
    </row>
    <row r="5952" spans="5931:5946" x14ac:dyDescent="0.3">
      <c r="HTR5952" s="5902"/>
    </row>
    <row r="5953" spans="5947:5962" x14ac:dyDescent="0.3">
      <c r="HTS5953" s="5903"/>
    </row>
    <row r="5954" spans="5947:5962" x14ac:dyDescent="0.3">
      <c r="HTT5954" s="5904"/>
    </row>
    <row r="5955" spans="5947:5962" x14ac:dyDescent="0.3">
      <c r="HTU5955" s="5905"/>
    </row>
    <row r="5956" spans="5947:5962" x14ac:dyDescent="0.3">
      <c r="HTV5956" s="5906"/>
    </row>
    <row r="5957" spans="5947:5962" x14ac:dyDescent="0.3">
      <c r="HTW5957" s="5907"/>
    </row>
    <row r="5958" spans="5947:5962" x14ac:dyDescent="0.3">
      <c r="HTX5958" s="5908"/>
    </row>
    <row r="5959" spans="5947:5962" x14ac:dyDescent="0.3">
      <c r="HTY5959" s="5909"/>
    </row>
    <row r="5960" spans="5947:5962" x14ac:dyDescent="0.3">
      <c r="HTZ5960" s="5910"/>
    </row>
    <row r="5961" spans="5947:5962" x14ac:dyDescent="0.3">
      <c r="HUA5961" s="5911"/>
    </row>
    <row r="5962" spans="5947:5962" x14ac:dyDescent="0.3">
      <c r="HUB5962" s="5912"/>
    </row>
    <row r="5963" spans="5947:5962" x14ac:dyDescent="0.3">
      <c r="HUC5963" s="5913"/>
    </row>
    <row r="5964" spans="5947:5962" x14ac:dyDescent="0.3">
      <c r="HUD5964" s="5914"/>
    </row>
    <row r="5965" spans="5947:5962" x14ac:dyDescent="0.3">
      <c r="HUE5965" s="5915"/>
    </row>
    <row r="5966" spans="5947:5962" x14ac:dyDescent="0.3">
      <c r="HUF5966" s="5916"/>
    </row>
    <row r="5967" spans="5947:5962" x14ac:dyDescent="0.3">
      <c r="HUG5967" s="5917"/>
    </row>
    <row r="5968" spans="5947:5962" x14ac:dyDescent="0.3">
      <c r="HUH5968" s="5918"/>
    </row>
    <row r="5969" spans="5963:5978" x14ac:dyDescent="0.3">
      <c r="HUI5969" s="5919"/>
    </row>
    <row r="5970" spans="5963:5978" x14ac:dyDescent="0.3">
      <c r="HUJ5970" s="5920"/>
    </row>
    <row r="5971" spans="5963:5978" x14ac:dyDescent="0.3">
      <c r="HUK5971" s="5921"/>
    </row>
    <row r="5972" spans="5963:5978" x14ac:dyDescent="0.3">
      <c r="HUL5972" s="5922"/>
    </row>
    <row r="5973" spans="5963:5978" x14ac:dyDescent="0.3">
      <c r="HUM5973" s="5923"/>
    </row>
    <row r="5974" spans="5963:5978" x14ac:dyDescent="0.3">
      <c r="HUN5974" s="5924"/>
    </row>
    <row r="5975" spans="5963:5978" x14ac:dyDescent="0.3">
      <c r="HUO5975" s="5925"/>
    </row>
    <row r="5976" spans="5963:5978" x14ac:dyDescent="0.3">
      <c r="HUP5976" s="5926"/>
    </row>
    <row r="5977" spans="5963:5978" x14ac:dyDescent="0.3">
      <c r="HUQ5977" s="5927"/>
    </row>
    <row r="5978" spans="5963:5978" x14ac:dyDescent="0.3">
      <c r="HUR5978" s="5928"/>
    </row>
    <row r="5979" spans="5963:5978" x14ac:dyDescent="0.3">
      <c r="HUS5979" s="5929"/>
    </row>
    <row r="5980" spans="5963:5978" x14ac:dyDescent="0.3">
      <c r="HUT5980" s="5930"/>
    </row>
    <row r="5981" spans="5963:5978" x14ac:dyDescent="0.3">
      <c r="HUU5981" s="5931"/>
    </row>
    <row r="5982" spans="5963:5978" x14ac:dyDescent="0.3">
      <c r="HUV5982" s="5932"/>
    </row>
    <row r="5983" spans="5963:5978" x14ac:dyDescent="0.3">
      <c r="HUW5983" s="5933"/>
    </row>
    <row r="5984" spans="5963:5978" x14ac:dyDescent="0.3">
      <c r="HUX5984" s="5934"/>
    </row>
    <row r="5985" spans="5979:5994" x14ac:dyDescent="0.3">
      <c r="HUY5985" s="5935"/>
    </row>
    <row r="5986" spans="5979:5994" x14ac:dyDescent="0.3">
      <c r="HUZ5986" s="5936"/>
    </row>
    <row r="5987" spans="5979:5994" x14ac:dyDescent="0.3">
      <c r="HVA5987" s="5937"/>
    </row>
    <row r="5988" spans="5979:5994" x14ac:dyDescent="0.3">
      <c r="HVB5988" s="5938"/>
    </row>
    <row r="5989" spans="5979:5994" x14ac:dyDescent="0.3">
      <c r="HVC5989" s="5939"/>
    </row>
    <row r="5990" spans="5979:5994" x14ac:dyDescent="0.3">
      <c r="HVD5990" s="5940"/>
    </row>
    <row r="5991" spans="5979:5994" x14ac:dyDescent="0.3">
      <c r="HVE5991" s="5941"/>
    </row>
    <row r="5992" spans="5979:5994" x14ac:dyDescent="0.3">
      <c r="HVF5992" s="5942"/>
    </row>
    <row r="5993" spans="5979:5994" x14ac:dyDescent="0.3">
      <c r="HVG5993" s="5943"/>
    </row>
    <row r="5994" spans="5979:5994" x14ac:dyDescent="0.3">
      <c r="HVH5994" s="5944"/>
    </row>
    <row r="5995" spans="5979:5994" x14ac:dyDescent="0.3">
      <c r="HVI5995" s="5945"/>
    </row>
    <row r="5996" spans="5979:5994" x14ac:dyDescent="0.3">
      <c r="HVJ5996" s="5946"/>
    </row>
    <row r="5997" spans="5979:5994" x14ac:dyDescent="0.3">
      <c r="HVK5997" s="5947"/>
    </row>
    <row r="5998" spans="5979:5994" x14ac:dyDescent="0.3">
      <c r="HVL5998" s="5948"/>
    </row>
    <row r="5999" spans="5979:5994" x14ac:dyDescent="0.3">
      <c r="HVM5999" s="5949"/>
    </row>
    <row r="6000" spans="5979:5994" x14ac:dyDescent="0.3">
      <c r="HVN6000" s="5950"/>
    </row>
    <row r="6001" spans="5995:6010" x14ac:dyDescent="0.3">
      <c r="HVO6001" s="5951"/>
    </row>
    <row r="6002" spans="5995:6010" x14ac:dyDescent="0.3">
      <c r="HVP6002" s="5952"/>
    </row>
    <row r="6003" spans="5995:6010" x14ac:dyDescent="0.3">
      <c r="HVQ6003" s="5953"/>
    </row>
    <row r="6004" spans="5995:6010" x14ac:dyDescent="0.3">
      <c r="HVR6004" s="5954"/>
    </row>
    <row r="6005" spans="5995:6010" x14ac:dyDescent="0.3">
      <c r="HVS6005" s="5955"/>
    </row>
    <row r="6006" spans="5995:6010" x14ac:dyDescent="0.3">
      <c r="HVT6006" s="5956"/>
    </row>
    <row r="6007" spans="5995:6010" x14ac:dyDescent="0.3">
      <c r="HVU6007" s="5957"/>
    </row>
    <row r="6008" spans="5995:6010" x14ac:dyDescent="0.3">
      <c r="HVV6008" s="5958"/>
    </row>
    <row r="6009" spans="5995:6010" x14ac:dyDescent="0.3">
      <c r="HVW6009" s="5959"/>
    </row>
    <row r="6010" spans="5995:6010" x14ac:dyDescent="0.3">
      <c r="HVX6010" s="5960"/>
    </row>
    <row r="6011" spans="5995:6010" x14ac:dyDescent="0.3">
      <c r="HVY6011" s="5961"/>
    </row>
    <row r="6012" spans="5995:6010" x14ac:dyDescent="0.3">
      <c r="HVZ6012" s="5962"/>
    </row>
    <row r="6013" spans="5995:6010" x14ac:dyDescent="0.3">
      <c r="HWA6013" s="5963"/>
    </row>
    <row r="6014" spans="5995:6010" x14ac:dyDescent="0.3">
      <c r="HWB6014" s="5964"/>
    </row>
    <row r="6015" spans="5995:6010" x14ac:dyDescent="0.3">
      <c r="HWC6015" s="5965"/>
    </row>
    <row r="6016" spans="5995:6010" x14ac:dyDescent="0.3">
      <c r="HWD6016" s="5966"/>
    </row>
    <row r="6017" spans="6011:6026" x14ac:dyDescent="0.3">
      <c r="HWE6017" s="5967"/>
    </row>
    <row r="6018" spans="6011:6026" x14ac:dyDescent="0.3">
      <c r="HWF6018" s="5968"/>
    </row>
    <row r="6019" spans="6011:6026" x14ac:dyDescent="0.3">
      <c r="HWG6019" s="5969"/>
    </row>
    <row r="6020" spans="6011:6026" x14ac:dyDescent="0.3">
      <c r="HWH6020" s="5970"/>
    </row>
    <row r="6021" spans="6011:6026" x14ac:dyDescent="0.3">
      <c r="HWI6021" s="5971"/>
    </row>
    <row r="6022" spans="6011:6026" x14ac:dyDescent="0.3">
      <c r="HWJ6022" s="5972"/>
    </row>
    <row r="6023" spans="6011:6026" x14ac:dyDescent="0.3">
      <c r="HWK6023" s="5973"/>
    </row>
    <row r="6024" spans="6011:6026" x14ac:dyDescent="0.3">
      <c r="HWL6024" s="5974"/>
    </row>
    <row r="6025" spans="6011:6026" x14ac:dyDescent="0.3">
      <c r="HWM6025" s="5975"/>
    </row>
    <row r="6026" spans="6011:6026" x14ac:dyDescent="0.3">
      <c r="HWN6026" s="5976"/>
    </row>
    <row r="6027" spans="6011:6026" x14ac:dyDescent="0.3">
      <c r="HWO6027" s="5977"/>
    </row>
    <row r="6028" spans="6011:6026" x14ac:dyDescent="0.3">
      <c r="HWP6028" s="5978"/>
    </row>
    <row r="6029" spans="6011:6026" x14ac:dyDescent="0.3">
      <c r="HWQ6029" s="5979"/>
    </row>
    <row r="6030" spans="6011:6026" x14ac:dyDescent="0.3">
      <c r="HWR6030" s="5980"/>
    </row>
    <row r="6031" spans="6011:6026" x14ac:dyDescent="0.3">
      <c r="HWS6031" s="5981"/>
    </row>
    <row r="6032" spans="6011:6026" x14ac:dyDescent="0.3">
      <c r="HWT6032" s="5982"/>
    </row>
    <row r="6033" spans="6027:6042" x14ac:dyDescent="0.3">
      <c r="HWU6033" s="5983"/>
    </row>
    <row r="6034" spans="6027:6042" x14ac:dyDescent="0.3">
      <c r="HWV6034" s="5984"/>
    </row>
    <row r="6035" spans="6027:6042" x14ac:dyDescent="0.3">
      <c r="HWW6035" s="5985"/>
    </row>
    <row r="6036" spans="6027:6042" x14ac:dyDescent="0.3">
      <c r="HWX6036" s="5986"/>
    </row>
    <row r="6037" spans="6027:6042" x14ac:dyDescent="0.3">
      <c r="HWY6037" s="5987"/>
    </row>
    <row r="6038" spans="6027:6042" x14ac:dyDescent="0.3">
      <c r="HWZ6038" s="5988"/>
    </row>
    <row r="6039" spans="6027:6042" x14ac:dyDescent="0.3">
      <c r="HXA6039" s="5989"/>
    </row>
    <row r="6040" spans="6027:6042" x14ac:dyDescent="0.3">
      <c r="HXB6040" s="5990"/>
    </row>
    <row r="6041" spans="6027:6042" x14ac:dyDescent="0.3">
      <c r="HXC6041" s="5991"/>
    </row>
    <row r="6042" spans="6027:6042" x14ac:dyDescent="0.3">
      <c r="HXD6042" s="5992"/>
    </row>
    <row r="6043" spans="6027:6042" x14ac:dyDescent="0.3">
      <c r="HXE6043" s="5993"/>
    </row>
    <row r="6044" spans="6027:6042" x14ac:dyDescent="0.3">
      <c r="HXF6044" s="5994"/>
    </row>
    <row r="6045" spans="6027:6042" x14ac:dyDescent="0.3">
      <c r="HXG6045" s="5995"/>
    </row>
    <row r="6046" spans="6027:6042" x14ac:dyDescent="0.3">
      <c r="HXH6046" s="5996"/>
    </row>
    <row r="6047" spans="6027:6042" x14ac:dyDescent="0.3">
      <c r="HXI6047" s="5997"/>
    </row>
    <row r="6048" spans="6027:6042" x14ac:dyDescent="0.3">
      <c r="HXJ6048" s="5998"/>
    </row>
    <row r="6049" spans="6043:6058" x14ac:dyDescent="0.3">
      <c r="HXK6049" s="5999"/>
    </row>
    <row r="6050" spans="6043:6058" x14ac:dyDescent="0.3">
      <c r="HXL6050" s="6000"/>
    </row>
    <row r="6051" spans="6043:6058" x14ac:dyDescent="0.3">
      <c r="HXM6051" s="6001"/>
    </row>
    <row r="6052" spans="6043:6058" x14ac:dyDescent="0.3">
      <c r="HXN6052" s="6002"/>
    </row>
    <row r="6053" spans="6043:6058" x14ac:dyDescent="0.3">
      <c r="HXO6053" s="6003"/>
    </row>
    <row r="6054" spans="6043:6058" x14ac:dyDescent="0.3">
      <c r="HXP6054" s="6004"/>
    </row>
    <row r="6055" spans="6043:6058" x14ac:dyDescent="0.3">
      <c r="HXQ6055" s="6005"/>
    </row>
    <row r="6056" spans="6043:6058" x14ac:dyDescent="0.3">
      <c r="HXR6056" s="6006"/>
    </row>
    <row r="6057" spans="6043:6058" x14ac:dyDescent="0.3">
      <c r="HXS6057" s="6007"/>
    </row>
    <row r="6058" spans="6043:6058" x14ac:dyDescent="0.3">
      <c r="HXT6058" s="6008"/>
    </row>
    <row r="6059" spans="6043:6058" x14ac:dyDescent="0.3">
      <c r="HXU6059" s="6009"/>
    </row>
    <row r="6060" spans="6043:6058" x14ac:dyDescent="0.3">
      <c r="HXV6060" s="6010"/>
    </row>
    <row r="6061" spans="6043:6058" x14ac:dyDescent="0.3">
      <c r="HXW6061" s="6011"/>
    </row>
    <row r="6062" spans="6043:6058" x14ac:dyDescent="0.3">
      <c r="HXX6062" s="6012"/>
    </row>
    <row r="6063" spans="6043:6058" x14ac:dyDescent="0.3">
      <c r="HXY6063" s="6013"/>
    </row>
    <row r="6064" spans="6043:6058" x14ac:dyDescent="0.3">
      <c r="HXZ6064" s="6014"/>
    </row>
    <row r="6065" spans="6059:6074" x14ac:dyDescent="0.3">
      <c r="HYA6065" s="6015"/>
    </row>
    <row r="6066" spans="6059:6074" x14ac:dyDescent="0.3">
      <c r="HYB6066" s="6016"/>
    </row>
    <row r="6067" spans="6059:6074" x14ac:dyDescent="0.3">
      <c r="HYC6067" s="6017"/>
    </row>
    <row r="6068" spans="6059:6074" x14ac:dyDescent="0.3">
      <c r="HYD6068" s="6018"/>
    </row>
    <row r="6069" spans="6059:6074" x14ac:dyDescent="0.3">
      <c r="HYE6069" s="6019"/>
    </row>
    <row r="6070" spans="6059:6074" x14ac:dyDescent="0.3">
      <c r="HYF6070" s="6020"/>
    </row>
    <row r="6071" spans="6059:6074" x14ac:dyDescent="0.3">
      <c r="HYG6071" s="6021"/>
    </row>
    <row r="6072" spans="6059:6074" x14ac:dyDescent="0.3">
      <c r="HYH6072" s="6022"/>
    </row>
    <row r="6073" spans="6059:6074" x14ac:dyDescent="0.3">
      <c r="HYI6073" s="6023"/>
    </row>
    <row r="6074" spans="6059:6074" x14ac:dyDescent="0.3">
      <c r="HYJ6074" s="6024"/>
    </row>
    <row r="6075" spans="6059:6074" x14ac:dyDescent="0.3">
      <c r="HYK6075" s="6025"/>
    </row>
    <row r="6076" spans="6059:6074" x14ac:dyDescent="0.3">
      <c r="HYL6076" s="6026"/>
    </row>
    <row r="6077" spans="6059:6074" x14ac:dyDescent="0.3">
      <c r="HYM6077" s="6027"/>
    </row>
    <row r="6078" spans="6059:6074" x14ac:dyDescent="0.3">
      <c r="HYN6078" s="6028"/>
    </row>
    <row r="6079" spans="6059:6074" x14ac:dyDescent="0.3">
      <c r="HYO6079" s="6029"/>
    </row>
    <row r="6080" spans="6059:6074" x14ac:dyDescent="0.3">
      <c r="HYP6080" s="6030"/>
    </row>
    <row r="6081" spans="6075:6090" x14ac:dyDescent="0.3">
      <c r="HYQ6081" s="6031"/>
    </row>
    <row r="6082" spans="6075:6090" x14ac:dyDescent="0.3">
      <c r="HYR6082" s="6032"/>
    </row>
    <row r="6083" spans="6075:6090" x14ac:dyDescent="0.3">
      <c r="HYS6083" s="6033"/>
    </row>
    <row r="6084" spans="6075:6090" x14ac:dyDescent="0.3">
      <c r="HYT6084" s="6034"/>
    </row>
    <row r="6085" spans="6075:6090" x14ac:dyDescent="0.3">
      <c r="HYU6085" s="6035"/>
    </row>
    <row r="6086" spans="6075:6090" x14ac:dyDescent="0.3">
      <c r="HYV6086" s="6036"/>
    </row>
    <row r="6087" spans="6075:6090" x14ac:dyDescent="0.3">
      <c r="HYW6087" s="6037"/>
    </row>
    <row r="6088" spans="6075:6090" x14ac:dyDescent="0.3">
      <c r="HYX6088" s="6038"/>
    </row>
    <row r="6089" spans="6075:6090" x14ac:dyDescent="0.3">
      <c r="HYY6089" s="6039"/>
    </row>
    <row r="6090" spans="6075:6090" x14ac:dyDescent="0.3">
      <c r="HYZ6090" s="6040"/>
    </row>
    <row r="6091" spans="6075:6090" x14ac:dyDescent="0.3">
      <c r="HZA6091" s="6041"/>
    </row>
    <row r="6092" spans="6075:6090" x14ac:dyDescent="0.3">
      <c r="HZB6092" s="6042"/>
    </row>
    <row r="6093" spans="6075:6090" x14ac:dyDescent="0.3">
      <c r="HZC6093" s="6043"/>
    </row>
    <row r="6094" spans="6075:6090" x14ac:dyDescent="0.3">
      <c r="HZD6094" s="6044"/>
    </row>
    <row r="6095" spans="6075:6090" x14ac:dyDescent="0.3">
      <c r="HZE6095" s="6045"/>
    </row>
    <row r="6096" spans="6075:6090" x14ac:dyDescent="0.3">
      <c r="HZF6096" s="6046"/>
    </row>
    <row r="6097" spans="6091:6106" x14ac:dyDescent="0.3">
      <c r="HZG6097" s="6047"/>
    </row>
    <row r="6098" spans="6091:6106" x14ac:dyDescent="0.3">
      <c r="HZH6098" s="6048"/>
    </row>
    <row r="6099" spans="6091:6106" x14ac:dyDescent="0.3">
      <c r="HZI6099" s="6049"/>
    </row>
    <row r="6100" spans="6091:6106" x14ac:dyDescent="0.3">
      <c r="HZJ6100" s="6050"/>
    </row>
    <row r="6101" spans="6091:6106" x14ac:dyDescent="0.3">
      <c r="HZK6101" s="6051"/>
    </row>
    <row r="6102" spans="6091:6106" x14ac:dyDescent="0.3">
      <c r="HZL6102" s="6052"/>
    </row>
    <row r="6103" spans="6091:6106" x14ac:dyDescent="0.3">
      <c r="HZM6103" s="6053"/>
    </row>
    <row r="6104" spans="6091:6106" x14ac:dyDescent="0.3">
      <c r="HZN6104" s="6054"/>
    </row>
    <row r="6105" spans="6091:6106" x14ac:dyDescent="0.3">
      <c r="HZO6105" s="6055"/>
    </row>
    <row r="6106" spans="6091:6106" x14ac:dyDescent="0.3">
      <c r="HZP6106" s="6056"/>
    </row>
    <row r="6107" spans="6091:6106" x14ac:dyDescent="0.3">
      <c r="HZQ6107" s="6057"/>
    </row>
    <row r="6108" spans="6091:6106" x14ac:dyDescent="0.3">
      <c r="HZR6108" s="6058"/>
    </row>
    <row r="6109" spans="6091:6106" x14ac:dyDescent="0.3">
      <c r="HZS6109" s="6059"/>
    </row>
    <row r="6110" spans="6091:6106" x14ac:dyDescent="0.3">
      <c r="HZT6110" s="6060"/>
    </row>
    <row r="6111" spans="6091:6106" x14ac:dyDescent="0.3">
      <c r="HZU6111" s="6061"/>
    </row>
    <row r="6112" spans="6091:6106" x14ac:dyDescent="0.3">
      <c r="HZV6112" s="6062"/>
    </row>
    <row r="6113" spans="6107:6122" x14ac:dyDescent="0.3">
      <c r="HZW6113" s="6063"/>
    </row>
    <row r="6114" spans="6107:6122" x14ac:dyDescent="0.3">
      <c r="HZX6114" s="6064"/>
    </row>
    <row r="6115" spans="6107:6122" x14ac:dyDescent="0.3">
      <c r="HZY6115" s="6065"/>
    </row>
    <row r="6116" spans="6107:6122" x14ac:dyDescent="0.3">
      <c r="HZZ6116" s="6066"/>
    </row>
    <row r="6117" spans="6107:6122" x14ac:dyDescent="0.3">
      <c r="IAA6117" s="6067"/>
    </row>
    <row r="6118" spans="6107:6122" x14ac:dyDescent="0.3">
      <c r="IAB6118" s="6068"/>
    </row>
    <row r="6119" spans="6107:6122" x14ac:dyDescent="0.3">
      <c r="IAC6119" s="6069"/>
    </row>
    <row r="6120" spans="6107:6122" x14ac:dyDescent="0.3">
      <c r="IAD6120" s="6070"/>
    </row>
    <row r="6121" spans="6107:6122" x14ac:dyDescent="0.3">
      <c r="IAE6121" s="6071"/>
    </row>
    <row r="6122" spans="6107:6122" x14ac:dyDescent="0.3">
      <c r="IAF6122" s="6072"/>
    </row>
    <row r="6123" spans="6107:6122" x14ac:dyDescent="0.3">
      <c r="IAG6123" s="6073"/>
    </row>
    <row r="6124" spans="6107:6122" x14ac:dyDescent="0.3">
      <c r="IAH6124" s="6074"/>
    </row>
    <row r="6125" spans="6107:6122" x14ac:dyDescent="0.3">
      <c r="IAI6125" s="6075"/>
    </row>
    <row r="6126" spans="6107:6122" x14ac:dyDescent="0.3">
      <c r="IAJ6126" s="6076"/>
    </row>
    <row r="6127" spans="6107:6122" x14ac:dyDescent="0.3">
      <c r="IAK6127" s="6077"/>
    </row>
    <row r="6128" spans="6107:6122" x14ac:dyDescent="0.3">
      <c r="IAL6128" s="6078"/>
    </row>
    <row r="6129" spans="6123:6138" x14ac:dyDescent="0.3">
      <c r="IAM6129" s="6079"/>
    </row>
    <row r="6130" spans="6123:6138" x14ac:dyDescent="0.3">
      <c r="IAN6130" s="6080"/>
    </row>
    <row r="6131" spans="6123:6138" x14ac:dyDescent="0.3">
      <c r="IAO6131" s="6081"/>
    </row>
    <row r="6132" spans="6123:6138" x14ac:dyDescent="0.3">
      <c r="IAP6132" s="6082"/>
    </row>
    <row r="6133" spans="6123:6138" x14ac:dyDescent="0.3">
      <c r="IAQ6133" s="6083"/>
    </row>
    <row r="6134" spans="6123:6138" x14ac:dyDescent="0.3">
      <c r="IAR6134" s="6084"/>
    </row>
    <row r="6135" spans="6123:6138" x14ac:dyDescent="0.3">
      <c r="IAS6135" s="6085"/>
    </row>
    <row r="6136" spans="6123:6138" x14ac:dyDescent="0.3">
      <c r="IAT6136" s="6086"/>
    </row>
    <row r="6137" spans="6123:6138" x14ac:dyDescent="0.3">
      <c r="IAU6137" s="6087"/>
    </row>
    <row r="6138" spans="6123:6138" x14ac:dyDescent="0.3">
      <c r="IAV6138" s="6088"/>
    </row>
    <row r="6139" spans="6123:6138" x14ac:dyDescent="0.3">
      <c r="IAW6139" s="6089"/>
    </row>
    <row r="6140" spans="6123:6138" x14ac:dyDescent="0.3">
      <c r="IAX6140" s="6090"/>
    </row>
    <row r="6141" spans="6123:6138" x14ac:dyDescent="0.3">
      <c r="IAY6141" s="6091"/>
    </row>
    <row r="6142" spans="6123:6138" x14ac:dyDescent="0.3">
      <c r="IAZ6142" s="6092"/>
    </row>
    <row r="6143" spans="6123:6138" x14ac:dyDescent="0.3">
      <c r="IBA6143" s="6093"/>
    </row>
    <row r="6144" spans="6123:6138" x14ac:dyDescent="0.3">
      <c r="IBB6144" s="6094"/>
    </row>
    <row r="6145" spans="6139:6154" x14ac:dyDescent="0.3">
      <c r="IBC6145" s="6095"/>
    </row>
    <row r="6146" spans="6139:6154" x14ac:dyDescent="0.3">
      <c r="IBD6146" s="6096"/>
    </row>
    <row r="6147" spans="6139:6154" x14ac:dyDescent="0.3">
      <c r="IBE6147" s="6097"/>
    </row>
    <row r="6148" spans="6139:6154" x14ac:dyDescent="0.3">
      <c r="IBF6148" s="6098"/>
    </row>
    <row r="6149" spans="6139:6154" x14ac:dyDescent="0.3">
      <c r="IBG6149" s="6099"/>
    </row>
    <row r="6150" spans="6139:6154" x14ac:dyDescent="0.3">
      <c r="IBH6150" s="6100"/>
    </row>
    <row r="6151" spans="6139:6154" x14ac:dyDescent="0.3">
      <c r="IBI6151" s="6101"/>
    </row>
    <row r="6152" spans="6139:6154" x14ac:dyDescent="0.3">
      <c r="IBJ6152" s="6102"/>
    </row>
    <row r="6153" spans="6139:6154" x14ac:dyDescent="0.3">
      <c r="IBK6153" s="6103"/>
    </row>
    <row r="6154" spans="6139:6154" x14ac:dyDescent="0.3">
      <c r="IBL6154" s="6104"/>
    </row>
    <row r="6155" spans="6139:6154" x14ac:dyDescent="0.3">
      <c r="IBM6155" s="6105"/>
    </row>
    <row r="6156" spans="6139:6154" x14ac:dyDescent="0.3">
      <c r="IBN6156" s="6106"/>
    </row>
    <row r="6157" spans="6139:6154" x14ac:dyDescent="0.3">
      <c r="IBO6157" s="6107"/>
    </row>
    <row r="6158" spans="6139:6154" x14ac:dyDescent="0.3">
      <c r="IBP6158" s="6108"/>
    </row>
    <row r="6159" spans="6139:6154" x14ac:dyDescent="0.3">
      <c r="IBQ6159" s="6109"/>
    </row>
    <row r="6160" spans="6139:6154" x14ac:dyDescent="0.3">
      <c r="IBR6160" s="6110"/>
    </row>
    <row r="6161" spans="6155:6170" x14ac:dyDescent="0.3">
      <c r="IBS6161" s="6111"/>
    </row>
    <row r="6162" spans="6155:6170" x14ac:dyDescent="0.3">
      <c r="IBT6162" s="6112"/>
    </row>
    <row r="6163" spans="6155:6170" x14ac:dyDescent="0.3">
      <c r="IBU6163" s="6113"/>
    </row>
    <row r="6164" spans="6155:6170" x14ac:dyDescent="0.3">
      <c r="IBV6164" s="6114"/>
    </row>
    <row r="6165" spans="6155:6170" x14ac:dyDescent="0.3">
      <c r="IBW6165" s="6115"/>
    </row>
    <row r="6166" spans="6155:6170" x14ac:dyDescent="0.3">
      <c r="IBX6166" s="6116"/>
    </row>
    <row r="6167" spans="6155:6170" x14ac:dyDescent="0.3">
      <c r="IBY6167" s="6117"/>
    </row>
    <row r="6168" spans="6155:6170" x14ac:dyDescent="0.3">
      <c r="IBZ6168" s="6118"/>
    </row>
    <row r="6169" spans="6155:6170" x14ac:dyDescent="0.3">
      <c r="ICA6169" s="6119"/>
    </row>
    <row r="6170" spans="6155:6170" x14ac:dyDescent="0.3">
      <c r="ICB6170" s="6120"/>
    </row>
    <row r="6171" spans="6155:6170" x14ac:dyDescent="0.3">
      <c r="ICC6171" s="6121"/>
    </row>
    <row r="6172" spans="6155:6170" x14ac:dyDescent="0.3">
      <c r="ICD6172" s="6122"/>
    </row>
    <row r="6173" spans="6155:6170" x14ac:dyDescent="0.3">
      <c r="ICE6173" s="6123"/>
    </row>
    <row r="6174" spans="6155:6170" x14ac:dyDescent="0.3">
      <c r="ICF6174" s="6123"/>
    </row>
    <row r="6175" spans="6155:6170" x14ac:dyDescent="0.3">
      <c r="ICG6175" s="6124"/>
    </row>
    <row r="6176" spans="6155:6170" x14ac:dyDescent="0.3">
      <c r="ICH6176" s="6125"/>
    </row>
    <row r="6177" spans="6171:6186" x14ac:dyDescent="0.3">
      <c r="ICI6177" s="6126"/>
    </row>
    <row r="6178" spans="6171:6186" x14ac:dyDescent="0.3">
      <c r="ICJ6178" s="6127"/>
    </row>
    <row r="6179" spans="6171:6186" x14ac:dyDescent="0.3">
      <c r="ICK6179" s="6128"/>
    </row>
    <row r="6180" spans="6171:6186" x14ac:dyDescent="0.3">
      <c r="ICL6180" s="6129"/>
    </row>
    <row r="6181" spans="6171:6186" x14ac:dyDescent="0.3">
      <c r="ICM6181" s="6130"/>
    </row>
    <row r="6182" spans="6171:6186" x14ac:dyDescent="0.3">
      <c r="ICN6182" s="6131"/>
    </row>
    <row r="6183" spans="6171:6186" x14ac:dyDescent="0.3">
      <c r="ICO6183" s="6132"/>
    </row>
    <row r="6184" spans="6171:6186" x14ac:dyDescent="0.3">
      <c r="ICP6184" s="6133"/>
    </row>
    <row r="6185" spans="6171:6186" x14ac:dyDescent="0.3">
      <c r="ICQ6185" s="6134"/>
    </row>
    <row r="6186" spans="6171:6186" x14ac:dyDescent="0.3">
      <c r="ICR6186" s="6135"/>
    </row>
    <row r="6187" spans="6171:6186" x14ac:dyDescent="0.3">
      <c r="ICS6187" s="6136"/>
    </row>
    <row r="6188" spans="6171:6186" x14ac:dyDescent="0.3">
      <c r="ICT6188" s="6137"/>
    </row>
    <row r="6189" spans="6171:6186" x14ac:dyDescent="0.3">
      <c r="ICU6189" s="6138"/>
    </row>
    <row r="6190" spans="6171:6186" x14ac:dyDescent="0.3">
      <c r="ICV6190" s="6139"/>
    </row>
    <row r="6191" spans="6171:6186" x14ac:dyDescent="0.3">
      <c r="ICW6191" s="6140"/>
    </row>
    <row r="6192" spans="6171:6186" x14ac:dyDescent="0.3">
      <c r="ICX6192" s="6141"/>
    </row>
    <row r="6193" spans="6187:6202" x14ac:dyDescent="0.3">
      <c r="ICY6193" s="6142"/>
    </row>
    <row r="6194" spans="6187:6202" x14ac:dyDescent="0.3">
      <c r="ICZ6194" s="6143"/>
    </row>
    <row r="6195" spans="6187:6202" x14ac:dyDescent="0.3">
      <c r="IDA6195" s="6144"/>
    </row>
    <row r="6196" spans="6187:6202" x14ac:dyDescent="0.3">
      <c r="IDB6196" s="6145"/>
    </row>
    <row r="6197" spans="6187:6202" x14ac:dyDescent="0.3">
      <c r="IDC6197" s="6146"/>
    </row>
    <row r="6198" spans="6187:6202" x14ac:dyDescent="0.3">
      <c r="IDD6198" s="6147"/>
    </row>
    <row r="6199" spans="6187:6202" x14ac:dyDescent="0.3">
      <c r="IDE6199" s="6148"/>
    </row>
    <row r="6200" spans="6187:6202" x14ac:dyDescent="0.3">
      <c r="IDF6200" s="6149"/>
    </row>
    <row r="6201" spans="6187:6202" x14ac:dyDescent="0.3">
      <c r="IDG6201" s="6150"/>
    </row>
    <row r="6202" spans="6187:6202" x14ac:dyDescent="0.3">
      <c r="IDH6202" s="6151"/>
    </row>
    <row r="6203" spans="6187:6202" x14ac:dyDescent="0.3">
      <c r="IDI6203" s="6152"/>
    </row>
    <row r="6204" spans="6187:6202" x14ac:dyDescent="0.3">
      <c r="IDJ6204" s="6153"/>
    </row>
    <row r="6205" spans="6187:6202" x14ac:dyDescent="0.3">
      <c r="IDK6205" s="6154"/>
    </row>
    <row r="6206" spans="6187:6202" x14ac:dyDescent="0.3">
      <c r="IDL6206" s="6155"/>
    </row>
    <row r="6207" spans="6187:6202" x14ac:dyDescent="0.3">
      <c r="IDM6207" s="6156"/>
    </row>
    <row r="6208" spans="6187:6202" x14ac:dyDescent="0.3">
      <c r="IDN6208" s="6157"/>
    </row>
    <row r="6209" spans="6203:6218" x14ac:dyDescent="0.3">
      <c r="IDO6209" s="6158"/>
    </row>
    <row r="6210" spans="6203:6218" x14ac:dyDescent="0.3">
      <c r="IDP6210" s="6159"/>
    </row>
    <row r="6211" spans="6203:6218" x14ac:dyDescent="0.3">
      <c r="IDQ6211" s="6160"/>
    </row>
    <row r="6212" spans="6203:6218" x14ac:dyDescent="0.3">
      <c r="IDR6212" s="6161"/>
    </row>
    <row r="6213" spans="6203:6218" x14ac:dyDescent="0.3">
      <c r="IDS6213" s="6162"/>
    </row>
    <row r="6214" spans="6203:6218" x14ac:dyDescent="0.3">
      <c r="IDT6214" s="6163"/>
    </row>
    <row r="6215" spans="6203:6218" x14ac:dyDescent="0.3">
      <c r="IDU6215" s="6164"/>
    </row>
    <row r="6216" spans="6203:6218" x14ac:dyDescent="0.3">
      <c r="IDV6216" s="6165"/>
    </row>
    <row r="6217" spans="6203:6218" x14ac:dyDescent="0.3">
      <c r="IDW6217" s="6166"/>
    </row>
    <row r="6218" spans="6203:6218" x14ac:dyDescent="0.3">
      <c r="IDX6218" s="6167"/>
    </row>
    <row r="6219" spans="6203:6218" x14ac:dyDescent="0.3">
      <c r="IDY6219" s="6168"/>
    </row>
    <row r="6220" spans="6203:6218" x14ac:dyDescent="0.3">
      <c r="IDZ6220" s="6169"/>
    </row>
    <row r="6221" spans="6203:6218" x14ac:dyDescent="0.3">
      <c r="IEA6221" s="6170"/>
    </row>
    <row r="6222" spans="6203:6218" x14ac:dyDescent="0.3">
      <c r="IEB6222" s="6171"/>
    </row>
    <row r="6223" spans="6203:6218" x14ac:dyDescent="0.3">
      <c r="IEC6223" s="6172"/>
    </row>
    <row r="6224" spans="6203:6218" x14ac:dyDescent="0.3">
      <c r="IED6224" s="6173"/>
    </row>
    <row r="6225" spans="6219:6234" x14ac:dyDescent="0.3">
      <c r="IEE6225" s="6174"/>
    </row>
    <row r="6226" spans="6219:6234" x14ac:dyDescent="0.3">
      <c r="IEF6226" s="6175"/>
    </row>
    <row r="6227" spans="6219:6234" x14ac:dyDescent="0.3">
      <c r="IEG6227" s="6176"/>
    </row>
    <row r="6228" spans="6219:6234" x14ac:dyDescent="0.3">
      <c r="IEH6228" s="6177"/>
    </row>
    <row r="6229" spans="6219:6234" x14ac:dyDescent="0.3">
      <c r="IEI6229" s="6178"/>
    </row>
    <row r="6230" spans="6219:6234" x14ac:dyDescent="0.3">
      <c r="IEJ6230" s="6179"/>
    </row>
    <row r="6231" spans="6219:6234" x14ac:dyDescent="0.3">
      <c r="IEK6231" s="6180"/>
    </row>
    <row r="6232" spans="6219:6234" x14ac:dyDescent="0.3">
      <c r="IEL6232" s="6181"/>
    </row>
    <row r="6233" spans="6219:6234" x14ac:dyDescent="0.3">
      <c r="IEM6233" s="6182"/>
    </row>
    <row r="6234" spans="6219:6234" x14ac:dyDescent="0.3">
      <c r="IEN6234" s="6183"/>
    </row>
    <row r="6235" spans="6219:6234" x14ac:dyDescent="0.3">
      <c r="IEO6235" s="6184"/>
    </row>
    <row r="6236" spans="6219:6234" x14ac:dyDescent="0.3">
      <c r="IEP6236" s="6185"/>
    </row>
    <row r="6237" spans="6219:6234" x14ac:dyDescent="0.3">
      <c r="IEQ6237" s="6186"/>
    </row>
    <row r="6238" spans="6219:6234" x14ac:dyDescent="0.3">
      <c r="IER6238" s="6187"/>
    </row>
    <row r="6239" spans="6219:6234" x14ac:dyDescent="0.3">
      <c r="IES6239" s="6188"/>
    </row>
    <row r="6240" spans="6219:6234" x14ac:dyDescent="0.3">
      <c r="IET6240" s="6189"/>
    </row>
    <row r="6241" spans="6235:6250" x14ac:dyDescent="0.3">
      <c r="IEU6241" s="6190"/>
    </row>
    <row r="6242" spans="6235:6250" x14ac:dyDescent="0.3">
      <c r="IEV6242" s="6191"/>
    </row>
    <row r="6243" spans="6235:6250" x14ac:dyDescent="0.3">
      <c r="IEW6243" s="6192"/>
    </row>
    <row r="6244" spans="6235:6250" x14ac:dyDescent="0.3">
      <c r="IEX6244" s="6193"/>
    </row>
    <row r="6245" spans="6235:6250" x14ac:dyDescent="0.3">
      <c r="IEY6245" s="6194"/>
    </row>
    <row r="6246" spans="6235:6250" x14ac:dyDescent="0.3">
      <c r="IEZ6246" s="6195"/>
    </row>
    <row r="6247" spans="6235:6250" x14ac:dyDescent="0.3">
      <c r="IFA6247" s="6196"/>
    </row>
    <row r="6248" spans="6235:6250" x14ac:dyDescent="0.3">
      <c r="IFB6248" s="6197"/>
    </row>
    <row r="6249" spans="6235:6250" x14ac:dyDescent="0.3">
      <c r="IFC6249" s="6198"/>
    </row>
    <row r="6250" spans="6235:6250" x14ac:dyDescent="0.3">
      <c r="IFD6250" s="6199"/>
    </row>
    <row r="6251" spans="6235:6250" x14ac:dyDescent="0.3">
      <c r="IFE6251" s="6200"/>
    </row>
    <row r="6252" spans="6235:6250" x14ac:dyDescent="0.3">
      <c r="IFF6252" s="6201"/>
    </row>
    <row r="6253" spans="6235:6250" x14ac:dyDescent="0.3">
      <c r="IFG6253" s="6202"/>
    </row>
    <row r="6254" spans="6235:6250" x14ac:dyDescent="0.3">
      <c r="IFH6254" s="6203"/>
    </row>
    <row r="6255" spans="6235:6250" x14ac:dyDescent="0.3">
      <c r="IFI6255" s="6204"/>
    </row>
    <row r="6256" spans="6235:6250" x14ac:dyDescent="0.3">
      <c r="IFJ6256" s="6205"/>
    </row>
    <row r="6257" spans="6251:6266" x14ac:dyDescent="0.3">
      <c r="IFK6257" s="6206"/>
    </row>
    <row r="6258" spans="6251:6266" x14ac:dyDescent="0.3">
      <c r="IFL6258" s="6207"/>
    </row>
    <row r="6259" spans="6251:6266" x14ac:dyDescent="0.3">
      <c r="IFM6259" s="6208"/>
    </row>
    <row r="6260" spans="6251:6266" x14ac:dyDescent="0.3">
      <c r="IFN6260" s="6209"/>
    </row>
    <row r="6261" spans="6251:6266" x14ac:dyDescent="0.3">
      <c r="IFO6261" s="6210"/>
    </row>
    <row r="6262" spans="6251:6266" x14ac:dyDescent="0.3">
      <c r="IFP6262" s="6211"/>
    </row>
    <row r="6263" spans="6251:6266" x14ac:dyDescent="0.3">
      <c r="IFQ6263" s="6212"/>
    </row>
    <row r="6264" spans="6251:6266" x14ac:dyDescent="0.3">
      <c r="IFR6264" s="6213"/>
    </row>
    <row r="6265" spans="6251:6266" x14ac:dyDescent="0.3">
      <c r="IFS6265" s="6214"/>
    </row>
    <row r="6266" spans="6251:6266" x14ac:dyDescent="0.3">
      <c r="IFT6266" s="6215"/>
    </row>
    <row r="6267" spans="6251:6266" x14ac:dyDescent="0.3">
      <c r="IFU6267" s="6216"/>
    </row>
    <row r="6268" spans="6251:6266" x14ac:dyDescent="0.3">
      <c r="IFV6268" s="6217"/>
    </row>
    <row r="6269" spans="6251:6266" x14ac:dyDescent="0.3">
      <c r="IFW6269" s="6218"/>
    </row>
    <row r="6270" spans="6251:6266" x14ac:dyDescent="0.3">
      <c r="IFX6270" s="6219"/>
    </row>
    <row r="6271" spans="6251:6266" x14ac:dyDescent="0.3">
      <c r="IFY6271" s="6220"/>
    </row>
    <row r="6272" spans="6251:6266" x14ac:dyDescent="0.3">
      <c r="IFZ6272" s="6221"/>
    </row>
    <row r="6273" spans="6267:6282" x14ac:dyDescent="0.3">
      <c r="IGA6273" s="6222"/>
    </row>
    <row r="6274" spans="6267:6282" x14ac:dyDescent="0.3">
      <c r="IGB6274" s="6223"/>
    </row>
    <row r="6275" spans="6267:6282" x14ac:dyDescent="0.3">
      <c r="IGC6275" s="6224"/>
    </row>
    <row r="6276" spans="6267:6282" x14ac:dyDescent="0.3">
      <c r="IGD6276" s="6225"/>
    </row>
    <row r="6277" spans="6267:6282" x14ac:dyDescent="0.3">
      <c r="IGE6277" s="6226"/>
    </row>
    <row r="6278" spans="6267:6282" x14ac:dyDescent="0.3">
      <c r="IGF6278" s="6227"/>
    </row>
    <row r="6279" spans="6267:6282" x14ac:dyDescent="0.3">
      <c r="IGG6279" s="6228"/>
    </row>
    <row r="6280" spans="6267:6282" x14ac:dyDescent="0.3">
      <c r="IGH6280" s="6229"/>
    </row>
    <row r="6281" spans="6267:6282" x14ac:dyDescent="0.3">
      <c r="IGI6281" s="6230"/>
    </row>
    <row r="6282" spans="6267:6282" x14ac:dyDescent="0.3">
      <c r="IGJ6282" s="6231"/>
    </row>
    <row r="6283" spans="6267:6282" x14ac:dyDescent="0.3">
      <c r="IGK6283" s="6232"/>
    </row>
    <row r="6284" spans="6267:6282" x14ac:dyDescent="0.3">
      <c r="IGL6284" s="6233"/>
    </row>
    <row r="6285" spans="6267:6282" x14ac:dyDescent="0.3">
      <c r="IGM6285" s="6234"/>
    </row>
    <row r="6286" spans="6267:6282" x14ac:dyDescent="0.3">
      <c r="IGN6286" s="6235"/>
    </row>
    <row r="6287" spans="6267:6282" x14ac:dyDescent="0.3">
      <c r="IGO6287" s="6236"/>
    </row>
    <row r="6288" spans="6267:6282" x14ac:dyDescent="0.3">
      <c r="IGP6288" s="6237"/>
    </row>
    <row r="6289" spans="6283:6298" x14ac:dyDescent="0.3">
      <c r="IGQ6289" s="6238"/>
    </row>
    <row r="6290" spans="6283:6298" x14ac:dyDescent="0.3">
      <c r="IGR6290" s="6239"/>
    </row>
    <row r="6291" spans="6283:6298" x14ac:dyDescent="0.3">
      <c r="IGS6291" s="6240"/>
    </row>
    <row r="6292" spans="6283:6298" x14ac:dyDescent="0.3">
      <c r="IGT6292" s="6241"/>
    </row>
    <row r="6293" spans="6283:6298" x14ac:dyDescent="0.3">
      <c r="IGU6293" s="6242"/>
    </row>
    <row r="6294" spans="6283:6298" x14ac:dyDescent="0.3">
      <c r="IGV6294" s="6243"/>
    </row>
    <row r="6295" spans="6283:6298" x14ac:dyDescent="0.3">
      <c r="IGW6295" s="6244"/>
    </row>
    <row r="6296" spans="6283:6298" x14ac:dyDescent="0.3">
      <c r="IGX6296" s="6245"/>
    </row>
    <row r="6297" spans="6283:6298" x14ac:dyDescent="0.3">
      <c r="IGY6297" s="6246"/>
    </row>
    <row r="6298" spans="6283:6298" x14ac:dyDescent="0.3">
      <c r="IGZ6298" s="6247"/>
    </row>
    <row r="6299" spans="6283:6298" x14ac:dyDescent="0.3">
      <c r="IHA6299" s="6248"/>
    </row>
    <row r="6300" spans="6283:6298" x14ac:dyDescent="0.3">
      <c r="IHB6300" s="6249"/>
    </row>
    <row r="6301" spans="6283:6298" x14ac:dyDescent="0.3">
      <c r="IHC6301" s="6250"/>
    </row>
    <row r="6302" spans="6283:6298" x14ac:dyDescent="0.3">
      <c r="IHD6302" s="6251"/>
    </row>
    <row r="6303" spans="6283:6298" x14ac:dyDescent="0.3">
      <c r="IHE6303" s="6252"/>
    </row>
    <row r="6304" spans="6283:6298" x14ac:dyDescent="0.3">
      <c r="IHF6304" s="6253"/>
    </row>
    <row r="6305" spans="6299:6314" x14ac:dyDescent="0.3">
      <c r="IHG6305" s="6254"/>
    </row>
    <row r="6306" spans="6299:6314" x14ac:dyDescent="0.3">
      <c r="IHH6306" s="6255"/>
    </row>
    <row r="6307" spans="6299:6314" x14ac:dyDescent="0.3">
      <c r="IHI6307" s="6256"/>
    </row>
    <row r="6308" spans="6299:6314" x14ac:dyDescent="0.3">
      <c r="IHJ6308" s="6257"/>
    </row>
    <row r="6309" spans="6299:6314" x14ac:dyDescent="0.3">
      <c r="IHK6309" s="6258"/>
    </row>
    <row r="6310" spans="6299:6314" x14ac:dyDescent="0.3">
      <c r="IHL6310" s="6259"/>
    </row>
    <row r="6311" spans="6299:6314" x14ac:dyDescent="0.3">
      <c r="IHM6311" s="6260"/>
    </row>
    <row r="6312" spans="6299:6314" x14ac:dyDescent="0.3">
      <c r="IHN6312" s="6261"/>
    </row>
    <row r="6313" spans="6299:6314" x14ac:dyDescent="0.3">
      <c r="IHO6313" s="6262"/>
    </row>
    <row r="6314" spans="6299:6314" x14ac:dyDescent="0.3">
      <c r="IHP6314" s="6263"/>
    </row>
    <row r="6315" spans="6299:6314" x14ac:dyDescent="0.3">
      <c r="IHQ6315" s="6264"/>
    </row>
    <row r="6316" spans="6299:6314" x14ac:dyDescent="0.3">
      <c r="IHR6316" s="6265"/>
    </row>
    <row r="6317" spans="6299:6314" x14ac:dyDescent="0.3">
      <c r="IHS6317" s="6266"/>
    </row>
    <row r="6318" spans="6299:6314" x14ac:dyDescent="0.3">
      <c r="IHT6318" s="6267"/>
    </row>
    <row r="6319" spans="6299:6314" x14ac:dyDescent="0.3">
      <c r="IHU6319" s="6268"/>
    </row>
    <row r="6320" spans="6299:6314" x14ac:dyDescent="0.3">
      <c r="IHV6320" s="6269"/>
    </row>
    <row r="6321" spans="6315:6330" x14ac:dyDescent="0.3">
      <c r="IHW6321" s="6270"/>
    </row>
    <row r="6322" spans="6315:6330" x14ac:dyDescent="0.3">
      <c r="IHX6322" s="6271"/>
    </row>
    <row r="6323" spans="6315:6330" x14ac:dyDescent="0.3">
      <c r="IHY6323" s="6272"/>
    </row>
    <row r="6324" spans="6315:6330" x14ac:dyDescent="0.3">
      <c r="IHZ6324" s="6273"/>
    </row>
    <row r="6325" spans="6315:6330" x14ac:dyDescent="0.3">
      <c r="IIA6325" s="6274"/>
    </row>
    <row r="6326" spans="6315:6330" x14ac:dyDescent="0.3">
      <c r="IIB6326" s="6275"/>
    </row>
    <row r="6327" spans="6315:6330" x14ac:dyDescent="0.3">
      <c r="IIC6327" s="6276"/>
    </row>
    <row r="6328" spans="6315:6330" x14ac:dyDescent="0.3">
      <c r="IID6328" s="6277"/>
    </row>
    <row r="6329" spans="6315:6330" x14ac:dyDescent="0.3">
      <c r="IIE6329" s="6278"/>
    </row>
    <row r="6330" spans="6315:6330" x14ac:dyDescent="0.3">
      <c r="IIF6330" s="6279"/>
    </row>
    <row r="6331" spans="6315:6330" x14ac:dyDescent="0.3">
      <c r="IIG6331" s="6280"/>
    </row>
    <row r="6332" spans="6315:6330" x14ac:dyDescent="0.3">
      <c r="IIH6332" s="6281"/>
    </row>
    <row r="6333" spans="6315:6330" x14ac:dyDescent="0.3">
      <c r="III6333" s="6282"/>
    </row>
    <row r="6334" spans="6315:6330" x14ac:dyDescent="0.3">
      <c r="IIJ6334" s="6283"/>
    </row>
    <row r="6335" spans="6315:6330" x14ac:dyDescent="0.3">
      <c r="IIK6335" s="6284"/>
    </row>
    <row r="6336" spans="6315:6330" x14ac:dyDescent="0.3">
      <c r="IIL6336" s="6285"/>
    </row>
    <row r="6337" spans="6331:6346" x14ac:dyDescent="0.3">
      <c r="IIM6337" s="6286"/>
    </row>
    <row r="6338" spans="6331:6346" x14ac:dyDescent="0.3">
      <c r="IIN6338" s="6287"/>
    </row>
    <row r="6339" spans="6331:6346" x14ac:dyDescent="0.3">
      <c r="IIO6339" s="6288"/>
    </row>
    <row r="6340" spans="6331:6346" x14ac:dyDescent="0.3">
      <c r="IIP6340" s="6289"/>
    </row>
    <row r="6341" spans="6331:6346" x14ac:dyDescent="0.3">
      <c r="IIQ6341" s="6290"/>
    </row>
    <row r="6342" spans="6331:6346" x14ac:dyDescent="0.3">
      <c r="IIR6342" s="6291"/>
    </row>
    <row r="6343" spans="6331:6346" x14ac:dyDescent="0.3">
      <c r="IIS6343" s="6292"/>
    </row>
    <row r="6344" spans="6331:6346" x14ac:dyDescent="0.3">
      <c r="IIT6344" s="6293"/>
    </row>
    <row r="6345" spans="6331:6346" x14ac:dyDescent="0.3">
      <c r="IIU6345" s="6294"/>
    </row>
    <row r="6346" spans="6331:6346" x14ac:dyDescent="0.3">
      <c r="IIV6346" s="6295"/>
    </row>
    <row r="6347" spans="6331:6346" x14ac:dyDescent="0.3">
      <c r="IIW6347" s="6296"/>
    </row>
    <row r="6348" spans="6331:6346" x14ac:dyDescent="0.3">
      <c r="IIX6348" s="6297"/>
    </row>
    <row r="6349" spans="6331:6346" x14ac:dyDescent="0.3">
      <c r="IIY6349" s="6298"/>
    </row>
    <row r="6350" spans="6331:6346" x14ac:dyDescent="0.3">
      <c r="IIZ6350" s="6299"/>
    </row>
    <row r="6351" spans="6331:6346" x14ac:dyDescent="0.3">
      <c r="IJA6351" s="6300"/>
    </row>
    <row r="6352" spans="6331:6346" x14ac:dyDescent="0.3">
      <c r="IJB6352" s="6301"/>
    </row>
    <row r="6353" spans="6347:6362" x14ac:dyDescent="0.3">
      <c r="IJC6353" s="6302"/>
    </row>
    <row r="6354" spans="6347:6362" x14ac:dyDescent="0.3">
      <c r="IJD6354" s="6303"/>
    </row>
    <row r="6355" spans="6347:6362" x14ac:dyDescent="0.3">
      <c r="IJE6355" s="6304"/>
    </row>
    <row r="6356" spans="6347:6362" x14ac:dyDescent="0.3">
      <c r="IJF6356" s="6305"/>
    </row>
    <row r="6357" spans="6347:6362" x14ac:dyDescent="0.3">
      <c r="IJG6357" s="6306"/>
    </row>
    <row r="6358" spans="6347:6362" x14ac:dyDescent="0.3">
      <c r="IJH6358" s="6307"/>
    </row>
    <row r="6359" spans="6347:6362" x14ac:dyDescent="0.3">
      <c r="IJI6359" s="6308"/>
    </row>
    <row r="6360" spans="6347:6362" x14ac:dyDescent="0.3">
      <c r="IJJ6360" s="6309"/>
    </row>
    <row r="6361" spans="6347:6362" x14ac:dyDescent="0.3">
      <c r="IJK6361" s="6310"/>
    </row>
    <row r="6362" spans="6347:6362" x14ac:dyDescent="0.3">
      <c r="IJL6362" s="6311"/>
    </row>
    <row r="6363" spans="6347:6362" x14ac:dyDescent="0.3">
      <c r="IJM6363" s="6312"/>
    </row>
    <row r="6364" spans="6347:6362" x14ac:dyDescent="0.3">
      <c r="IJN6364" s="6313"/>
    </row>
    <row r="6365" spans="6347:6362" x14ac:dyDescent="0.3">
      <c r="IJO6365" s="6314"/>
    </row>
    <row r="6366" spans="6347:6362" x14ac:dyDescent="0.3">
      <c r="IJP6366" s="6315"/>
    </row>
    <row r="6367" spans="6347:6362" x14ac:dyDescent="0.3">
      <c r="IJQ6367" s="6316"/>
    </row>
    <row r="6368" spans="6347:6362" x14ac:dyDescent="0.3">
      <c r="IJR6368" s="6317"/>
    </row>
    <row r="6369" spans="6363:6378" x14ac:dyDescent="0.3">
      <c r="IJS6369" s="6318"/>
    </row>
    <row r="6370" spans="6363:6378" x14ac:dyDescent="0.3">
      <c r="IJT6370" s="6319"/>
    </row>
    <row r="6371" spans="6363:6378" x14ac:dyDescent="0.3">
      <c r="IJU6371" s="6320"/>
    </row>
    <row r="6372" spans="6363:6378" x14ac:dyDescent="0.3">
      <c r="IJV6372" s="6321"/>
    </row>
    <row r="6373" spans="6363:6378" x14ac:dyDescent="0.3">
      <c r="IJW6373" s="6322"/>
    </row>
    <row r="6374" spans="6363:6378" x14ac:dyDescent="0.3">
      <c r="IJX6374" s="6323"/>
    </row>
    <row r="6375" spans="6363:6378" x14ac:dyDescent="0.3">
      <c r="IJY6375" s="6324"/>
    </row>
    <row r="6376" spans="6363:6378" x14ac:dyDescent="0.3">
      <c r="IJZ6376" s="6325"/>
    </row>
    <row r="6377" spans="6363:6378" x14ac:dyDescent="0.3">
      <c r="IKA6377" s="6326"/>
    </row>
    <row r="6378" spans="6363:6378" x14ac:dyDescent="0.3">
      <c r="IKB6378" s="6327"/>
    </row>
    <row r="6379" spans="6363:6378" x14ac:dyDescent="0.3">
      <c r="IKC6379" s="6328"/>
    </row>
    <row r="6380" spans="6363:6378" x14ac:dyDescent="0.3">
      <c r="IKD6380" s="6329"/>
    </row>
    <row r="6381" spans="6363:6378" x14ac:dyDescent="0.3">
      <c r="IKE6381" s="6330"/>
    </row>
    <row r="6382" spans="6363:6378" x14ac:dyDescent="0.3">
      <c r="IKF6382" s="6331"/>
    </row>
    <row r="6383" spans="6363:6378" x14ac:dyDescent="0.3">
      <c r="IKG6383" s="6332"/>
    </row>
    <row r="6384" spans="6363:6378" x14ac:dyDescent="0.3">
      <c r="IKH6384" s="6333"/>
    </row>
    <row r="6385" spans="6379:6394" x14ac:dyDescent="0.3">
      <c r="IKI6385" s="6334"/>
    </row>
    <row r="6386" spans="6379:6394" x14ac:dyDescent="0.3">
      <c r="IKJ6386" s="6335"/>
    </row>
    <row r="6387" spans="6379:6394" x14ac:dyDescent="0.3">
      <c r="IKK6387" s="6336"/>
    </row>
    <row r="6388" spans="6379:6394" x14ac:dyDescent="0.3">
      <c r="IKL6388" s="6337"/>
    </row>
    <row r="6389" spans="6379:6394" x14ac:dyDescent="0.3">
      <c r="IKM6389" s="6338"/>
    </row>
    <row r="6390" spans="6379:6394" x14ac:dyDescent="0.3">
      <c r="IKN6390" s="6339"/>
    </row>
    <row r="6391" spans="6379:6394" x14ac:dyDescent="0.3">
      <c r="IKO6391" s="6340"/>
    </row>
    <row r="6392" spans="6379:6394" x14ac:dyDescent="0.3">
      <c r="IKP6392" s="6341"/>
    </row>
    <row r="6393" spans="6379:6394" x14ac:dyDescent="0.3">
      <c r="IKQ6393" s="6342"/>
    </row>
    <row r="6394" spans="6379:6394" x14ac:dyDescent="0.3">
      <c r="IKR6394" s="6343"/>
    </row>
    <row r="6395" spans="6379:6394" x14ac:dyDescent="0.3">
      <c r="IKS6395" s="6344"/>
    </row>
    <row r="6396" spans="6379:6394" x14ac:dyDescent="0.3">
      <c r="IKT6396" s="6345"/>
    </row>
    <row r="6397" spans="6379:6394" x14ac:dyDescent="0.3">
      <c r="IKU6397" s="6346"/>
    </row>
    <row r="6398" spans="6379:6394" x14ac:dyDescent="0.3">
      <c r="IKV6398" s="6347"/>
    </row>
    <row r="6399" spans="6379:6394" x14ac:dyDescent="0.3">
      <c r="IKW6399" s="6348"/>
    </row>
    <row r="6400" spans="6379:6394" x14ac:dyDescent="0.3">
      <c r="IKX6400" s="6349"/>
    </row>
    <row r="6401" spans="6395:6410" x14ac:dyDescent="0.3">
      <c r="IKY6401" s="6350"/>
    </row>
    <row r="6402" spans="6395:6410" x14ac:dyDescent="0.3">
      <c r="IKZ6402" s="6351"/>
    </row>
    <row r="6403" spans="6395:6410" x14ac:dyDescent="0.3">
      <c r="ILA6403" s="6352"/>
    </row>
    <row r="6404" spans="6395:6410" x14ac:dyDescent="0.3">
      <c r="ILB6404" s="6353"/>
    </row>
    <row r="6405" spans="6395:6410" x14ac:dyDescent="0.3">
      <c r="ILC6405" s="6354"/>
    </row>
    <row r="6406" spans="6395:6410" x14ac:dyDescent="0.3">
      <c r="ILD6406" s="6355"/>
    </row>
    <row r="6407" spans="6395:6410" x14ac:dyDescent="0.3">
      <c r="ILE6407" s="6356"/>
    </row>
    <row r="6408" spans="6395:6410" x14ac:dyDescent="0.3">
      <c r="ILF6408" s="6357"/>
    </row>
    <row r="6409" spans="6395:6410" x14ac:dyDescent="0.3">
      <c r="ILG6409" s="6358"/>
    </row>
    <row r="6410" spans="6395:6410" x14ac:dyDescent="0.3">
      <c r="ILH6410" s="6359"/>
    </row>
    <row r="6411" spans="6395:6410" x14ac:dyDescent="0.3">
      <c r="ILI6411" s="6360"/>
    </row>
    <row r="6412" spans="6395:6410" x14ac:dyDescent="0.3">
      <c r="ILJ6412" s="6361"/>
    </row>
    <row r="6413" spans="6395:6410" x14ac:dyDescent="0.3">
      <c r="ILK6413" s="6362"/>
    </row>
    <row r="6414" spans="6395:6410" x14ac:dyDescent="0.3">
      <c r="ILL6414" s="6363"/>
    </row>
    <row r="6415" spans="6395:6410" x14ac:dyDescent="0.3">
      <c r="ILM6415" s="6364"/>
    </row>
    <row r="6416" spans="6395:6410" x14ac:dyDescent="0.3">
      <c r="ILN6416" s="6365"/>
    </row>
    <row r="6417" spans="6411:6426" x14ac:dyDescent="0.3">
      <c r="ILO6417" s="6366"/>
    </row>
    <row r="6418" spans="6411:6426" x14ac:dyDescent="0.3">
      <c r="ILP6418" s="6367"/>
    </row>
    <row r="6419" spans="6411:6426" x14ac:dyDescent="0.3">
      <c r="ILQ6419" s="6368"/>
    </row>
    <row r="6420" spans="6411:6426" x14ac:dyDescent="0.3">
      <c r="ILR6420" s="6369"/>
    </row>
    <row r="6421" spans="6411:6426" x14ac:dyDescent="0.3">
      <c r="ILS6421" s="6370"/>
    </row>
    <row r="6422" spans="6411:6426" x14ac:dyDescent="0.3">
      <c r="ILT6422" s="6371"/>
    </row>
    <row r="6423" spans="6411:6426" x14ac:dyDescent="0.3">
      <c r="ILU6423" s="6372"/>
    </row>
    <row r="6424" spans="6411:6426" x14ac:dyDescent="0.3">
      <c r="ILV6424" s="6373"/>
    </row>
    <row r="6425" spans="6411:6426" x14ac:dyDescent="0.3">
      <c r="ILW6425" s="6374"/>
    </row>
    <row r="6426" spans="6411:6426" x14ac:dyDescent="0.3">
      <c r="ILX6426" s="6375"/>
    </row>
    <row r="6427" spans="6411:6426" x14ac:dyDescent="0.3">
      <c r="ILY6427" s="6376"/>
    </row>
    <row r="6428" spans="6411:6426" x14ac:dyDescent="0.3">
      <c r="ILZ6428" s="6377"/>
    </row>
    <row r="6429" spans="6411:6426" x14ac:dyDescent="0.3">
      <c r="IMA6429" s="6378"/>
    </row>
    <row r="6430" spans="6411:6426" x14ac:dyDescent="0.3">
      <c r="IMB6430" s="6379"/>
    </row>
    <row r="6431" spans="6411:6426" x14ac:dyDescent="0.3">
      <c r="IMC6431" s="6379"/>
    </row>
    <row r="6432" spans="6411:6426" x14ac:dyDescent="0.3">
      <c r="IMD6432" s="6380"/>
    </row>
    <row r="6433" spans="6427:6442" x14ac:dyDescent="0.3">
      <c r="IME6433" s="6381"/>
    </row>
    <row r="6434" spans="6427:6442" x14ac:dyDescent="0.3">
      <c r="IMF6434" s="6382"/>
    </row>
    <row r="6435" spans="6427:6442" x14ac:dyDescent="0.3">
      <c r="IMG6435" s="6383"/>
    </row>
    <row r="6436" spans="6427:6442" x14ac:dyDescent="0.3">
      <c r="IMH6436" s="6384"/>
    </row>
    <row r="6437" spans="6427:6442" x14ac:dyDescent="0.3">
      <c r="IMI6437" s="6385"/>
    </row>
    <row r="6438" spans="6427:6442" x14ac:dyDescent="0.3">
      <c r="IMJ6438" s="6386"/>
    </row>
    <row r="6439" spans="6427:6442" x14ac:dyDescent="0.3">
      <c r="IMK6439" s="6387"/>
    </row>
    <row r="6440" spans="6427:6442" x14ac:dyDescent="0.3">
      <c r="IML6440" s="6388"/>
    </row>
    <row r="6441" spans="6427:6442" x14ac:dyDescent="0.3">
      <c r="IMM6441" s="6389"/>
    </row>
    <row r="6442" spans="6427:6442" x14ac:dyDescent="0.3">
      <c r="IMN6442" s="6390"/>
    </row>
    <row r="6443" spans="6427:6442" x14ac:dyDescent="0.3">
      <c r="IMO6443" s="6391"/>
    </row>
    <row r="6444" spans="6427:6442" x14ac:dyDescent="0.3">
      <c r="IMP6444" s="6392"/>
    </row>
    <row r="6445" spans="6427:6442" x14ac:dyDescent="0.3">
      <c r="IMQ6445" s="6393"/>
    </row>
    <row r="6446" spans="6427:6442" x14ac:dyDescent="0.3">
      <c r="IMR6446" s="6394"/>
    </row>
    <row r="6447" spans="6427:6442" x14ac:dyDescent="0.3">
      <c r="IMS6447" s="6395"/>
    </row>
    <row r="6448" spans="6427:6442" x14ac:dyDescent="0.3">
      <c r="IMT6448" s="6396"/>
    </row>
    <row r="6449" spans="6443:6458" x14ac:dyDescent="0.3">
      <c r="IMU6449" s="6397"/>
    </row>
    <row r="6450" spans="6443:6458" x14ac:dyDescent="0.3">
      <c r="IMV6450" s="6398"/>
    </row>
    <row r="6451" spans="6443:6458" x14ac:dyDescent="0.3">
      <c r="IMW6451" s="6399"/>
    </row>
    <row r="6452" spans="6443:6458" x14ac:dyDescent="0.3">
      <c r="IMX6452" s="6400"/>
    </row>
    <row r="6453" spans="6443:6458" x14ac:dyDescent="0.3">
      <c r="IMY6453" s="6401"/>
    </row>
    <row r="6454" spans="6443:6458" x14ac:dyDescent="0.3">
      <c r="IMZ6454" s="6402"/>
    </row>
    <row r="6455" spans="6443:6458" x14ac:dyDescent="0.3">
      <c r="INA6455" s="6403"/>
    </row>
    <row r="6456" spans="6443:6458" x14ac:dyDescent="0.3">
      <c r="INB6456" s="6404"/>
    </row>
    <row r="6457" spans="6443:6458" x14ac:dyDescent="0.3">
      <c r="INC6457" s="6405"/>
    </row>
    <row r="6458" spans="6443:6458" x14ac:dyDescent="0.3">
      <c r="IND6458" s="6406"/>
    </row>
    <row r="6459" spans="6443:6458" x14ac:dyDescent="0.3">
      <c r="INE6459" s="6407"/>
    </row>
    <row r="6460" spans="6443:6458" x14ac:dyDescent="0.3">
      <c r="INF6460" s="6408"/>
    </row>
    <row r="6461" spans="6443:6458" x14ac:dyDescent="0.3">
      <c r="ING6461" s="6409"/>
    </row>
    <row r="6462" spans="6443:6458" x14ac:dyDescent="0.3">
      <c r="INH6462" s="6410"/>
    </row>
    <row r="6463" spans="6443:6458" x14ac:dyDescent="0.3">
      <c r="INI6463" s="6411"/>
    </row>
    <row r="6464" spans="6443:6458" x14ac:dyDescent="0.3">
      <c r="INJ6464" s="6412"/>
    </row>
    <row r="6465" spans="6459:6474" x14ac:dyDescent="0.3">
      <c r="INK6465" s="6413"/>
    </row>
    <row r="6466" spans="6459:6474" x14ac:dyDescent="0.3">
      <c r="INL6466" s="6414"/>
    </row>
    <row r="6467" spans="6459:6474" x14ac:dyDescent="0.3">
      <c r="INM6467" s="6415"/>
    </row>
    <row r="6468" spans="6459:6474" x14ac:dyDescent="0.3">
      <c r="INN6468" s="6416"/>
    </row>
    <row r="6469" spans="6459:6474" x14ac:dyDescent="0.3">
      <c r="INO6469" s="6417"/>
    </row>
    <row r="6470" spans="6459:6474" x14ac:dyDescent="0.3">
      <c r="INP6470" s="6418"/>
    </row>
    <row r="6471" spans="6459:6474" x14ac:dyDescent="0.3">
      <c r="INQ6471" s="6419"/>
    </row>
    <row r="6472" spans="6459:6474" x14ac:dyDescent="0.3">
      <c r="INR6472" s="6420"/>
    </row>
    <row r="6473" spans="6459:6474" x14ac:dyDescent="0.3">
      <c r="INS6473" s="6421"/>
    </row>
    <row r="6474" spans="6459:6474" x14ac:dyDescent="0.3">
      <c r="INT6474" s="6422"/>
    </row>
    <row r="6475" spans="6459:6474" x14ac:dyDescent="0.3">
      <c r="INU6475" s="6423"/>
    </row>
    <row r="6476" spans="6459:6474" x14ac:dyDescent="0.3">
      <c r="INV6476" s="6424"/>
    </row>
    <row r="6477" spans="6459:6474" x14ac:dyDescent="0.3">
      <c r="INW6477" s="6425"/>
    </row>
    <row r="6478" spans="6459:6474" x14ac:dyDescent="0.3">
      <c r="INX6478" s="6426"/>
    </row>
    <row r="6479" spans="6459:6474" x14ac:dyDescent="0.3">
      <c r="INY6479" s="6427"/>
    </row>
    <row r="6480" spans="6459:6474" x14ac:dyDescent="0.3">
      <c r="INZ6480" s="6428"/>
    </row>
    <row r="6481" spans="6475:6490" x14ac:dyDescent="0.3">
      <c r="IOA6481" s="6429"/>
    </row>
    <row r="6482" spans="6475:6490" x14ac:dyDescent="0.3">
      <c r="IOB6482" s="6430"/>
    </row>
    <row r="6483" spans="6475:6490" x14ac:dyDescent="0.3">
      <c r="IOC6483" s="6431"/>
    </row>
    <row r="6484" spans="6475:6490" x14ac:dyDescent="0.3">
      <c r="IOD6484" s="6432"/>
    </row>
    <row r="6485" spans="6475:6490" x14ac:dyDescent="0.3">
      <c r="IOE6485" s="6433"/>
    </row>
    <row r="6486" spans="6475:6490" x14ac:dyDescent="0.3">
      <c r="IOF6486" s="6434"/>
    </row>
    <row r="6487" spans="6475:6490" x14ac:dyDescent="0.3">
      <c r="IOG6487" s="6435"/>
    </row>
    <row r="6488" spans="6475:6490" x14ac:dyDescent="0.3">
      <c r="IOH6488" s="6436"/>
    </row>
    <row r="6489" spans="6475:6490" x14ac:dyDescent="0.3">
      <c r="IOI6489" s="6437"/>
    </row>
    <row r="6490" spans="6475:6490" x14ac:dyDescent="0.3">
      <c r="IOJ6490" s="6438"/>
    </row>
    <row r="6491" spans="6475:6490" x14ac:dyDescent="0.3">
      <c r="IOK6491" s="6439"/>
    </row>
    <row r="6492" spans="6475:6490" x14ac:dyDescent="0.3">
      <c r="IOL6492" s="6440"/>
    </row>
    <row r="6493" spans="6475:6490" x14ac:dyDescent="0.3">
      <c r="IOM6493" s="6441"/>
    </row>
    <row r="6494" spans="6475:6490" x14ac:dyDescent="0.3">
      <c r="ION6494" s="6442"/>
    </row>
    <row r="6495" spans="6475:6490" x14ac:dyDescent="0.3">
      <c r="IOO6495" s="6443"/>
    </row>
    <row r="6496" spans="6475:6490" x14ac:dyDescent="0.3">
      <c r="IOP6496" s="6444"/>
    </row>
    <row r="6497" spans="6491:6506" x14ac:dyDescent="0.3">
      <c r="IOQ6497" s="6445"/>
    </row>
    <row r="6498" spans="6491:6506" x14ac:dyDescent="0.3">
      <c r="IOR6498" s="6446"/>
    </row>
    <row r="6499" spans="6491:6506" x14ac:dyDescent="0.3">
      <c r="IOS6499" s="6447"/>
    </row>
    <row r="6500" spans="6491:6506" x14ac:dyDescent="0.3">
      <c r="IOT6500" s="6448"/>
    </row>
    <row r="6501" spans="6491:6506" x14ac:dyDescent="0.3">
      <c r="IOU6501" s="6449"/>
    </row>
    <row r="6502" spans="6491:6506" x14ac:dyDescent="0.3">
      <c r="IOV6502" s="6450"/>
    </row>
    <row r="6503" spans="6491:6506" x14ac:dyDescent="0.3">
      <c r="IOW6503" s="6451"/>
    </row>
    <row r="6504" spans="6491:6506" x14ac:dyDescent="0.3">
      <c r="IOX6504" s="6452"/>
    </row>
    <row r="6505" spans="6491:6506" x14ac:dyDescent="0.3">
      <c r="IOY6505" s="6453"/>
    </row>
    <row r="6506" spans="6491:6506" x14ac:dyDescent="0.3">
      <c r="IOZ6506" s="6454"/>
    </row>
    <row r="6507" spans="6491:6506" x14ac:dyDescent="0.3">
      <c r="IPA6507" s="6455"/>
    </row>
    <row r="6508" spans="6491:6506" x14ac:dyDescent="0.3">
      <c r="IPB6508" s="6456"/>
    </row>
    <row r="6509" spans="6491:6506" x14ac:dyDescent="0.3">
      <c r="IPC6509" s="6457"/>
    </row>
    <row r="6510" spans="6491:6506" x14ac:dyDescent="0.3">
      <c r="IPD6510" s="6458"/>
    </row>
    <row r="6511" spans="6491:6506" x14ac:dyDescent="0.3">
      <c r="IPE6511" s="6459"/>
    </row>
    <row r="6512" spans="6491:6506" x14ac:dyDescent="0.3">
      <c r="IPF6512" s="6460"/>
    </row>
    <row r="6513" spans="6507:6522" x14ac:dyDescent="0.3">
      <c r="IPG6513" s="6461"/>
    </row>
    <row r="6514" spans="6507:6522" x14ac:dyDescent="0.3">
      <c r="IPH6514" s="6462"/>
    </row>
    <row r="6515" spans="6507:6522" x14ac:dyDescent="0.3">
      <c r="IPI6515" s="6463"/>
    </row>
    <row r="6516" spans="6507:6522" x14ac:dyDescent="0.3">
      <c r="IPJ6516" s="6464"/>
    </row>
    <row r="6517" spans="6507:6522" x14ac:dyDescent="0.3">
      <c r="IPK6517" s="6465"/>
    </row>
    <row r="6518" spans="6507:6522" x14ac:dyDescent="0.3">
      <c r="IPL6518" s="6466"/>
    </row>
    <row r="6519" spans="6507:6522" x14ac:dyDescent="0.3">
      <c r="IPM6519" s="6467"/>
    </row>
    <row r="6520" spans="6507:6522" x14ac:dyDescent="0.3">
      <c r="IPN6520" s="6468"/>
    </row>
    <row r="6521" spans="6507:6522" x14ac:dyDescent="0.3">
      <c r="IPO6521" s="6469"/>
    </row>
    <row r="6522" spans="6507:6522" x14ac:dyDescent="0.3">
      <c r="IPP6522" s="6470"/>
    </row>
    <row r="6523" spans="6507:6522" x14ac:dyDescent="0.3">
      <c r="IPQ6523" s="6471"/>
    </row>
    <row r="6524" spans="6507:6522" x14ac:dyDescent="0.3">
      <c r="IPR6524" s="6472"/>
    </row>
    <row r="6525" spans="6507:6522" x14ac:dyDescent="0.3">
      <c r="IPS6525" s="6473"/>
    </row>
    <row r="6526" spans="6507:6522" x14ac:dyDescent="0.3">
      <c r="IPT6526" s="6474"/>
    </row>
    <row r="6527" spans="6507:6522" x14ac:dyDescent="0.3">
      <c r="IPU6527" s="6475"/>
    </row>
    <row r="6528" spans="6507:6522" x14ac:dyDescent="0.3">
      <c r="IPV6528" s="6476"/>
    </row>
    <row r="6529" spans="6523:6538" x14ac:dyDescent="0.3">
      <c r="IPW6529" s="6477"/>
    </row>
    <row r="6530" spans="6523:6538" x14ac:dyDescent="0.3">
      <c r="IPX6530" s="6478"/>
    </row>
    <row r="6531" spans="6523:6538" x14ac:dyDescent="0.3">
      <c r="IPY6531" s="6479"/>
    </row>
    <row r="6532" spans="6523:6538" x14ac:dyDescent="0.3">
      <c r="IPZ6532" s="6480"/>
    </row>
    <row r="6533" spans="6523:6538" x14ac:dyDescent="0.3">
      <c r="IQA6533" s="6481"/>
    </row>
    <row r="6534" spans="6523:6538" x14ac:dyDescent="0.3">
      <c r="IQB6534" s="6482"/>
    </row>
    <row r="6535" spans="6523:6538" x14ac:dyDescent="0.3">
      <c r="IQC6535" s="6483"/>
    </row>
    <row r="6536" spans="6523:6538" x14ac:dyDescent="0.3">
      <c r="IQD6536" s="6484"/>
    </row>
    <row r="6537" spans="6523:6538" x14ac:dyDescent="0.3">
      <c r="IQE6537" s="6485"/>
    </row>
    <row r="6538" spans="6523:6538" x14ac:dyDescent="0.3">
      <c r="IQF6538" s="6486"/>
    </row>
    <row r="6539" spans="6523:6538" x14ac:dyDescent="0.3">
      <c r="IQG6539" s="6487"/>
    </row>
    <row r="6540" spans="6523:6538" x14ac:dyDescent="0.3">
      <c r="IQH6540" s="6488"/>
    </row>
    <row r="6541" spans="6523:6538" x14ac:dyDescent="0.3">
      <c r="IQI6541" s="6489"/>
    </row>
    <row r="6542" spans="6523:6538" x14ac:dyDescent="0.3">
      <c r="IQJ6542" s="6490"/>
    </row>
    <row r="6543" spans="6523:6538" x14ac:dyDescent="0.3">
      <c r="IQK6543" s="6491"/>
    </row>
    <row r="6544" spans="6523:6538" x14ac:dyDescent="0.3">
      <c r="IQL6544" s="6492"/>
    </row>
    <row r="6545" spans="6539:6554" x14ac:dyDescent="0.3">
      <c r="IQM6545" s="6493"/>
    </row>
    <row r="6546" spans="6539:6554" x14ac:dyDescent="0.3">
      <c r="IQN6546" s="6494"/>
    </row>
    <row r="6547" spans="6539:6554" x14ac:dyDescent="0.3">
      <c r="IQO6547" s="6495"/>
    </row>
    <row r="6548" spans="6539:6554" x14ac:dyDescent="0.3">
      <c r="IQP6548" s="6496"/>
    </row>
    <row r="6549" spans="6539:6554" x14ac:dyDescent="0.3">
      <c r="IQQ6549" s="6497"/>
    </row>
    <row r="6550" spans="6539:6554" x14ac:dyDescent="0.3">
      <c r="IQR6550" s="6498"/>
    </row>
    <row r="6551" spans="6539:6554" x14ac:dyDescent="0.3">
      <c r="IQS6551" s="6499"/>
    </row>
    <row r="6552" spans="6539:6554" x14ac:dyDescent="0.3">
      <c r="IQT6552" s="6500"/>
    </row>
    <row r="6553" spans="6539:6554" x14ac:dyDescent="0.3">
      <c r="IQU6553" s="6501"/>
    </row>
    <row r="6554" spans="6539:6554" x14ac:dyDescent="0.3">
      <c r="IQV6554" s="6502"/>
    </row>
    <row r="6555" spans="6539:6554" x14ac:dyDescent="0.3">
      <c r="IQW6555" s="6503"/>
    </row>
    <row r="6556" spans="6539:6554" x14ac:dyDescent="0.3">
      <c r="IQX6556" s="6504"/>
    </row>
    <row r="6557" spans="6539:6554" x14ac:dyDescent="0.3">
      <c r="IQY6557" s="6505"/>
    </row>
    <row r="6558" spans="6539:6554" x14ac:dyDescent="0.3">
      <c r="IQZ6558" s="6506"/>
    </row>
    <row r="6559" spans="6539:6554" x14ac:dyDescent="0.3">
      <c r="IRA6559" s="6507"/>
    </row>
    <row r="6560" spans="6539:6554" x14ac:dyDescent="0.3">
      <c r="IRB6560" s="6508"/>
    </row>
    <row r="6561" spans="6555:6570" x14ac:dyDescent="0.3">
      <c r="IRC6561" s="6509"/>
    </row>
    <row r="6562" spans="6555:6570" x14ac:dyDescent="0.3">
      <c r="IRD6562" s="6510"/>
    </row>
    <row r="6563" spans="6555:6570" x14ac:dyDescent="0.3">
      <c r="IRE6563" s="6511"/>
    </row>
    <row r="6564" spans="6555:6570" x14ac:dyDescent="0.3">
      <c r="IRF6564" s="6512"/>
    </row>
    <row r="6565" spans="6555:6570" x14ac:dyDescent="0.3">
      <c r="IRG6565" s="6513"/>
    </row>
    <row r="6566" spans="6555:6570" x14ac:dyDescent="0.3">
      <c r="IRH6566" s="6514"/>
    </row>
    <row r="6567" spans="6555:6570" x14ac:dyDescent="0.3">
      <c r="IRI6567" s="6515"/>
    </row>
    <row r="6568" spans="6555:6570" x14ac:dyDescent="0.3">
      <c r="IRJ6568" s="6516"/>
    </row>
    <row r="6569" spans="6555:6570" x14ac:dyDescent="0.3">
      <c r="IRK6569" s="6517"/>
    </row>
    <row r="6570" spans="6555:6570" x14ac:dyDescent="0.3">
      <c r="IRL6570" s="6518"/>
    </row>
    <row r="6571" spans="6555:6570" x14ac:dyDescent="0.3">
      <c r="IRM6571" s="6519"/>
    </row>
    <row r="6572" spans="6555:6570" x14ac:dyDescent="0.3">
      <c r="IRN6572" s="6520"/>
    </row>
    <row r="6573" spans="6555:6570" x14ac:dyDescent="0.3">
      <c r="IRO6573" s="6521"/>
    </row>
    <row r="6574" spans="6555:6570" x14ac:dyDescent="0.3">
      <c r="IRP6574" s="6522"/>
    </row>
    <row r="6575" spans="6555:6570" x14ac:dyDescent="0.3">
      <c r="IRQ6575" s="6523"/>
    </row>
    <row r="6576" spans="6555:6570" x14ac:dyDescent="0.3">
      <c r="IRR6576" s="6524"/>
    </row>
    <row r="6577" spans="6571:6586" x14ac:dyDescent="0.3">
      <c r="IRS6577" s="6525"/>
    </row>
    <row r="6578" spans="6571:6586" x14ac:dyDescent="0.3">
      <c r="IRT6578" s="6526"/>
    </row>
    <row r="6579" spans="6571:6586" x14ac:dyDescent="0.3">
      <c r="IRU6579" s="6527"/>
    </row>
    <row r="6580" spans="6571:6586" x14ac:dyDescent="0.3">
      <c r="IRV6580" s="6528"/>
    </row>
    <row r="6581" spans="6571:6586" x14ac:dyDescent="0.3">
      <c r="IRW6581" s="6529"/>
    </row>
    <row r="6582" spans="6571:6586" x14ac:dyDescent="0.3">
      <c r="IRX6582" s="6530"/>
    </row>
    <row r="6583" spans="6571:6586" x14ac:dyDescent="0.3">
      <c r="IRY6583" s="6531"/>
    </row>
    <row r="6584" spans="6571:6586" x14ac:dyDescent="0.3">
      <c r="IRZ6584" s="6532"/>
    </row>
    <row r="6585" spans="6571:6586" x14ac:dyDescent="0.3">
      <c r="ISA6585" s="6533"/>
    </row>
    <row r="6586" spans="6571:6586" x14ac:dyDescent="0.3">
      <c r="ISB6586" s="6534"/>
    </row>
    <row r="6587" spans="6571:6586" x14ac:dyDescent="0.3">
      <c r="ISC6587" s="6535"/>
    </row>
    <row r="6588" spans="6571:6586" x14ac:dyDescent="0.3">
      <c r="ISD6588" s="6536"/>
    </row>
    <row r="6589" spans="6571:6586" x14ac:dyDescent="0.3">
      <c r="ISE6589" s="6537"/>
    </row>
    <row r="6590" spans="6571:6586" x14ac:dyDescent="0.3">
      <c r="ISF6590" s="6538"/>
    </row>
    <row r="6591" spans="6571:6586" x14ac:dyDescent="0.3">
      <c r="ISG6591" s="6539"/>
    </row>
    <row r="6592" spans="6571:6586" x14ac:dyDescent="0.3">
      <c r="ISH6592" s="6540"/>
    </row>
    <row r="6593" spans="6587:6602" x14ac:dyDescent="0.3">
      <c r="ISI6593" s="6541"/>
    </row>
    <row r="6594" spans="6587:6602" x14ac:dyDescent="0.3">
      <c r="ISJ6594" s="6542"/>
    </row>
    <row r="6595" spans="6587:6602" x14ac:dyDescent="0.3">
      <c r="ISK6595" s="6543"/>
    </row>
    <row r="6596" spans="6587:6602" x14ac:dyDescent="0.3">
      <c r="ISL6596" s="6544"/>
    </row>
    <row r="6597" spans="6587:6602" x14ac:dyDescent="0.3">
      <c r="ISM6597" s="6545"/>
    </row>
    <row r="6598" spans="6587:6602" x14ac:dyDescent="0.3">
      <c r="ISN6598" s="6546"/>
    </row>
    <row r="6599" spans="6587:6602" x14ac:dyDescent="0.3">
      <c r="ISO6599" s="6547"/>
    </row>
    <row r="6600" spans="6587:6602" x14ac:dyDescent="0.3">
      <c r="ISP6600" s="6548"/>
    </row>
    <row r="6601" spans="6587:6602" x14ac:dyDescent="0.3">
      <c r="ISQ6601" s="6549"/>
    </row>
    <row r="6602" spans="6587:6602" x14ac:dyDescent="0.3">
      <c r="ISR6602" s="6550"/>
    </row>
    <row r="6603" spans="6587:6602" x14ac:dyDescent="0.3">
      <c r="ISS6603" s="6551"/>
    </row>
    <row r="6604" spans="6587:6602" x14ac:dyDescent="0.3">
      <c r="IST6604" s="6552"/>
    </row>
    <row r="6605" spans="6587:6602" x14ac:dyDescent="0.3">
      <c r="ISU6605" s="6553"/>
    </row>
    <row r="6606" spans="6587:6602" x14ac:dyDescent="0.3">
      <c r="ISV6606" s="6554"/>
    </row>
    <row r="6607" spans="6587:6602" x14ac:dyDescent="0.3">
      <c r="ISW6607" s="6555"/>
    </row>
    <row r="6608" spans="6587:6602" x14ac:dyDescent="0.3">
      <c r="ISX6608" s="6556"/>
    </row>
    <row r="6609" spans="6603:6618" x14ac:dyDescent="0.3">
      <c r="ISY6609" s="6557"/>
    </row>
    <row r="6610" spans="6603:6618" x14ac:dyDescent="0.3">
      <c r="ISZ6610" s="6558"/>
    </row>
    <row r="6611" spans="6603:6618" x14ac:dyDescent="0.3">
      <c r="ITA6611" s="6559"/>
    </row>
    <row r="6612" spans="6603:6618" x14ac:dyDescent="0.3">
      <c r="ITB6612" s="6560"/>
    </row>
    <row r="6613" spans="6603:6618" x14ac:dyDescent="0.3">
      <c r="ITC6613" s="6561"/>
    </row>
    <row r="6614" spans="6603:6618" x14ac:dyDescent="0.3">
      <c r="ITD6614" s="6562"/>
    </row>
    <row r="6615" spans="6603:6618" x14ac:dyDescent="0.3">
      <c r="ITE6615" s="6563"/>
    </row>
    <row r="6616" spans="6603:6618" x14ac:dyDescent="0.3">
      <c r="ITF6616" s="6564"/>
    </row>
    <row r="6617" spans="6603:6618" x14ac:dyDescent="0.3">
      <c r="ITG6617" s="6565"/>
    </row>
    <row r="6618" spans="6603:6618" x14ac:dyDescent="0.3">
      <c r="ITH6618" s="6566"/>
    </row>
    <row r="6619" spans="6603:6618" x14ac:dyDescent="0.3">
      <c r="ITI6619" s="6567"/>
    </row>
    <row r="6620" spans="6603:6618" x14ac:dyDescent="0.3">
      <c r="ITJ6620" s="6568"/>
    </row>
    <row r="6621" spans="6603:6618" x14ac:dyDescent="0.3">
      <c r="ITK6621" s="6569"/>
    </row>
    <row r="6622" spans="6603:6618" x14ac:dyDescent="0.3">
      <c r="ITL6622" s="6570"/>
    </row>
    <row r="6623" spans="6603:6618" x14ac:dyDescent="0.3">
      <c r="ITM6623" s="6571"/>
    </row>
    <row r="6624" spans="6603:6618" x14ac:dyDescent="0.3">
      <c r="ITN6624" s="6572"/>
    </row>
    <row r="6625" spans="6619:6634" x14ac:dyDescent="0.3">
      <c r="ITO6625" s="6573"/>
    </row>
    <row r="6626" spans="6619:6634" x14ac:dyDescent="0.3">
      <c r="ITP6626" s="6574"/>
    </row>
    <row r="6627" spans="6619:6634" x14ac:dyDescent="0.3">
      <c r="ITQ6627" s="6575"/>
    </row>
    <row r="6628" spans="6619:6634" x14ac:dyDescent="0.3">
      <c r="ITR6628" s="6576"/>
    </row>
    <row r="6629" spans="6619:6634" x14ac:dyDescent="0.3">
      <c r="ITS6629" s="6577"/>
    </row>
    <row r="6630" spans="6619:6634" x14ac:dyDescent="0.3">
      <c r="ITT6630" s="6578"/>
    </row>
    <row r="6631" spans="6619:6634" x14ac:dyDescent="0.3">
      <c r="ITU6631" s="6579"/>
    </row>
    <row r="6632" spans="6619:6634" x14ac:dyDescent="0.3">
      <c r="ITV6632" s="6580"/>
    </row>
    <row r="6633" spans="6619:6634" x14ac:dyDescent="0.3">
      <c r="ITW6633" s="6581"/>
    </row>
    <row r="6634" spans="6619:6634" x14ac:dyDescent="0.3">
      <c r="ITX6634" s="6582"/>
    </row>
    <row r="6635" spans="6619:6634" x14ac:dyDescent="0.3">
      <c r="ITY6635" s="6583"/>
    </row>
    <row r="6636" spans="6619:6634" x14ac:dyDescent="0.3">
      <c r="ITZ6636" s="6584"/>
    </row>
    <row r="6637" spans="6619:6634" x14ac:dyDescent="0.3">
      <c r="IUA6637" s="6585"/>
    </row>
    <row r="6638" spans="6619:6634" x14ac:dyDescent="0.3">
      <c r="IUB6638" s="6586"/>
    </row>
    <row r="6639" spans="6619:6634" x14ac:dyDescent="0.3">
      <c r="IUC6639" s="6587"/>
    </row>
    <row r="6640" spans="6619:6634" x14ac:dyDescent="0.3">
      <c r="IUD6640" s="6588"/>
    </row>
    <row r="6641" spans="6635:6650" x14ac:dyDescent="0.3">
      <c r="IUE6641" s="6589"/>
    </row>
    <row r="6642" spans="6635:6650" x14ac:dyDescent="0.3">
      <c r="IUF6642" s="6590"/>
    </row>
    <row r="6643" spans="6635:6650" x14ac:dyDescent="0.3">
      <c r="IUG6643" s="6591"/>
    </row>
    <row r="6644" spans="6635:6650" x14ac:dyDescent="0.3">
      <c r="IUH6644" s="6592"/>
    </row>
    <row r="6645" spans="6635:6650" x14ac:dyDescent="0.3">
      <c r="IUI6645" s="6593"/>
    </row>
    <row r="6646" spans="6635:6650" x14ac:dyDescent="0.3">
      <c r="IUJ6646" s="6594"/>
    </row>
    <row r="6647" spans="6635:6650" x14ac:dyDescent="0.3">
      <c r="IUK6647" s="6595"/>
    </row>
    <row r="6648" spans="6635:6650" x14ac:dyDescent="0.3">
      <c r="IUL6648" s="6596"/>
    </row>
    <row r="6649" spans="6635:6650" x14ac:dyDescent="0.3">
      <c r="IUM6649" s="6597"/>
    </row>
    <row r="6650" spans="6635:6650" x14ac:dyDescent="0.3">
      <c r="IUN6650" s="6598"/>
    </row>
    <row r="6651" spans="6635:6650" x14ac:dyDescent="0.3">
      <c r="IUO6651" s="6599"/>
    </row>
    <row r="6652" spans="6635:6650" x14ac:dyDescent="0.3">
      <c r="IUP6652" s="6600"/>
    </row>
    <row r="6653" spans="6635:6650" x14ac:dyDescent="0.3">
      <c r="IUQ6653" s="6601"/>
    </row>
    <row r="6654" spans="6635:6650" x14ac:dyDescent="0.3">
      <c r="IUR6654" s="6602"/>
    </row>
    <row r="6655" spans="6635:6650" x14ac:dyDescent="0.3">
      <c r="IUS6655" s="6603"/>
    </row>
    <row r="6656" spans="6635:6650" x14ac:dyDescent="0.3">
      <c r="IUT6656" s="6604"/>
    </row>
    <row r="6657" spans="6651:6666" x14ac:dyDescent="0.3">
      <c r="IUU6657" s="6605"/>
    </row>
    <row r="6658" spans="6651:6666" x14ac:dyDescent="0.3">
      <c r="IUV6658" s="6606"/>
    </row>
    <row r="6659" spans="6651:6666" x14ac:dyDescent="0.3">
      <c r="IUW6659" s="6607"/>
    </row>
    <row r="6660" spans="6651:6666" x14ac:dyDescent="0.3">
      <c r="IUX6660" s="6608"/>
    </row>
    <row r="6661" spans="6651:6666" x14ac:dyDescent="0.3">
      <c r="IUY6661" s="6609"/>
    </row>
    <row r="6662" spans="6651:6666" x14ac:dyDescent="0.3">
      <c r="IUZ6662" s="6610"/>
    </row>
    <row r="6663" spans="6651:6666" x14ac:dyDescent="0.3">
      <c r="IVA6663" s="6611"/>
    </row>
    <row r="6664" spans="6651:6666" x14ac:dyDescent="0.3">
      <c r="IVB6664" s="6612"/>
    </row>
    <row r="6665" spans="6651:6666" x14ac:dyDescent="0.3">
      <c r="IVC6665" s="6613"/>
    </row>
    <row r="6666" spans="6651:6666" x14ac:dyDescent="0.3">
      <c r="IVD6666" s="6614"/>
    </row>
    <row r="6667" spans="6651:6666" x14ac:dyDescent="0.3">
      <c r="IVE6667" s="6615"/>
    </row>
    <row r="6668" spans="6651:6666" x14ac:dyDescent="0.3">
      <c r="IVF6668" s="6616"/>
    </row>
    <row r="6669" spans="6651:6666" x14ac:dyDescent="0.3">
      <c r="IVG6669" s="6617"/>
    </row>
    <row r="6670" spans="6651:6666" x14ac:dyDescent="0.3">
      <c r="IVH6670" s="6618"/>
    </row>
    <row r="6671" spans="6651:6666" x14ac:dyDescent="0.3">
      <c r="IVI6671" s="6619"/>
    </row>
    <row r="6672" spans="6651:6666" x14ac:dyDescent="0.3">
      <c r="IVJ6672" s="6620"/>
    </row>
    <row r="6673" spans="6667:6682" x14ac:dyDescent="0.3">
      <c r="IVK6673" s="6621"/>
    </row>
    <row r="6674" spans="6667:6682" x14ac:dyDescent="0.3">
      <c r="IVL6674" s="6622"/>
    </row>
    <row r="6675" spans="6667:6682" x14ac:dyDescent="0.3">
      <c r="IVM6675" s="6623"/>
    </row>
    <row r="6676" spans="6667:6682" x14ac:dyDescent="0.3">
      <c r="IVN6676" s="6624"/>
    </row>
    <row r="6677" spans="6667:6682" x14ac:dyDescent="0.3">
      <c r="IVO6677" s="6625"/>
    </row>
    <row r="6678" spans="6667:6682" x14ac:dyDescent="0.3">
      <c r="IVP6678" s="6626"/>
    </row>
    <row r="6679" spans="6667:6682" x14ac:dyDescent="0.3">
      <c r="IVQ6679" s="6627"/>
    </row>
    <row r="6680" spans="6667:6682" x14ac:dyDescent="0.3">
      <c r="IVR6680" s="6628"/>
    </row>
    <row r="6681" spans="6667:6682" x14ac:dyDescent="0.3">
      <c r="IVS6681" s="6629"/>
    </row>
    <row r="6682" spans="6667:6682" x14ac:dyDescent="0.3">
      <c r="IVT6682" s="6630"/>
    </row>
    <row r="6683" spans="6667:6682" x14ac:dyDescent="0.3">
      <c r="IVU6683" s="6631"/>
    </row>
    <row r="6684" spans="6667:6682" x14ac:dyDescent="0.3">
      <c r="IVV6684" s="6632"/>
    </row>
    <row r="6685" spans="6667:6682" x14ac:dyDescent="0.3">
      <c r="IVW6685" s="6633"/>
    </row>
    <row r="6686" spans="6667:6682" x14ac:dyDescent="0.3">
      <c r="IVX6686" s="6634"/>
    </row>
    <row r="6687" spans="6667:6682" x14ac:dyDescent="0.3">
      <c r="IVY6687" s="6635"/>
    </row>
    <row r="6688" spans="6667:6682" x14ac:dyDescent="0.3">
      <c r="IVZ6688" s="6635"/>
    </row>
    <row r="6689" spans="6683:6698" x14ac:dyDescent="0.3">
      <c r="IWA6689" s="6636"/>
    </row>
    <row r="6690" spans="6683:6698" x14ac:dyDescent="0.3">
      <c r="IWB6690" s="6637"/>
    </row>
    <row r="6691" spans="6683:6698" x14ac:dyDescent="0.3">
      <c r="IWC6691" s="6638"/>
    </row>
    <row r="6692" spans="6683:6698" x14ac:dyDescent="0.3">
      <c r="IWD6692" s="6639"/>
    </row>
    <row r="6693" spans="6683:6698" x14ac:dyDescent="0.3">
      <c r="IWE6693" s="6640"/>
    </row>
    <row r="6694" spans="6683:6698" x14ac:dyDescent="0.3">
      <c r="IWF6694" s="6641"/>
    </row>
    <row r="6695" spans="6683:6698" x14ac:dyDescent="0.3">
      <c r="IWG6695" s="6642"/>
    </row>
    <row r="6696" spans="6683:6698" x14ac:dyDescent="0.3">
      <c r="IWH6696" s="6643"/>
    </row>
    <row r="6697" spans="6683:6698" x14ac:dyDescent="0.3">
      <c r="IWI6697" s="6644"/>
    </row>
    <row r="6698" spans="6683:6698" x14ac:dyDescent="0.3">
      <c r="IWJ6698" s="6645"/>
    </row>
    <row r="6699" spans="6683:6698" x14ac:dyDescent="0.3">
      <c r="IWK6699" s="6646"/>
    </row>
    <row r="6700" spans="6683:6698" x14ac:dyDescent="0.3">
      <c r="IWL6700" s="6647"/>
    </row>
    <row r="6701" spans="6683:6698" x14ac:dyDescent="0.3">
      <c r="IWM6701" s="6648"/>
    </row>
    <row r="6702" spans="6683:6698" x14ac:dyDescent="0.3">
      <c r="IWN6702" s="6649"/>
    </row>
    <row r="6703" spans="6683:6698" x14ac:dyDescent="0.3">
      <c r="IWO6703" s="6650"/>
    </row>
    <row r="6704" spans="6683:6698" x14ac:dyDescent="0.3">
      <c r="IWP6704" s="6651"/>
    </row>
    <row r="6705" spans="6699:6714" x14ac:dyDescent="0.3">
      <c r="IWQ6705" s="6652"/>
    </row>
    <row r="6706" spans="6699:6714" x14ac:dyDescent="0.3">
      <c r="IWR6706" s="6653"/>
    </row>
    <row r="6707" spans="6699:6714" x14ac:dyDescent="0.3">
      <c r="IWS6707" s="6654"/>
    </row>
    <row r="6708" spans="6699:6714" x14ac:dyDescent="0.3">
      <c r="IWT6708" s="6655"/>
    </row>
    <row r="6709" spans="6699:6714" x14ac:dyDescent="0.3">
      <c r="IWU6709" s="6656"/>
    </row>
    <row r="6710" spans="6699:6714" x14ac:dyDescent="0.3">
      <c r="IWV6710" s="6657"/>
    </row>
    <row r="6711" spans="6699:6714" x14ac:dyDescent="0.3">
      <c r="IWW6711" s="6658"/>
    </row>
    <row r="6712" spans="6699:6714" x14ac:dyDescent="0.3">
      <c r="IWX6712" s="6659"/>
    </row>
    <row r="6713" spans="6699:6714" x14ac:dyDescent="0.3">
      <c r="IWY6713" s="6660"/>
    </row>
    <row r="6714" spans="6699:6714" x14ac:dyDescent="0.3">
      <c r="IWZ6714" s="6661"/>
    </row>
    <row r="6715" spans="6699:6714" x14ac:dyDescent="0.3">
      <c r="IXA6715" s="6662"/>
    </row>
    <row r="6716" spans="6699:6714" x14ac:dyDescent="0.3">
      <c r="IXB6716" s="6663"/>
    </row>
    <row r="6717" spans="6699:6714" x14ac:dyDescent="0.3">
      <c r="IXC6717" s="6664"/>
    </row>
    <row r="6718" spans="6699:6714" x14ac:dyDescent="0.3">
      <c r="IXD6718" s="6665"/>
    </row>
    <row r="6719" spans="6699:6714" x14ac:dyDescent="0.3">
      <c r="IXE6719" s="6666"/>
    </row>
    <row r="6720" spans="6699:6714" x14ac:dyDescent="0.3">
      <c r="IXF6720" s="6667"/>
    </row>
    <row r="6721" spans="6715:6730" x14ac:dyDescent="0.3">
      <c r="IXG6721" s="6668"/>
    </row>
    <row r="6722" spans="6715:6730" x14ac:dyDescent="0.3">
      <c r="IXH6722" s="6669"/>
    </row>
    <row r="6723" spans="6715:6730" x14ac:dyDescent="0.3">
      <c r="IXI6723" s="6670"/>
    </row>
    <row r="6724" spans="6715:6730" x14ac:dyDescent="0.3">
      <c r="IXJ6724" s="6671"/>
    </row>
    <row r="6725" spans="6715:6730" x14ac:dyDescent="0.3">
      <c r="IXK6725" s="6672"/>
    </row>
    <row r="6726" spans="6715:6730" x14ac:dyDescent="0.3">
      <c r="IXL6726" s="6673"/>
    </row>
    <row r="6727" spans="6715:6730" x14ac:dyDescent="0.3">
      <c r="IXM6727" s="6674"/>
    </row>
    <row r="6728" spans="6715:6730" x14ac:dyDescent="0.3">
      <c r="IXN6728" s="6675"/>
    </row>
    <row r="6729" spans="6715:6730" x14ac:dyDescent="0.3">
      <c r="IXO6729" s="6676"/>
    </row>
    <row r="6730" spans="6715:6730" x14ac:dyDescent="0.3">
      <c r="IXP6730" s="6677"/>
    </row>
    <row r="6731" spans="6715:6730" x14ac:dyDescent="0.3">
      <c r="IXQ6731" s="6678"/>
    </row>
    <row r="6732" spans="6715:6730" x14ac:dyDescent="0.3">
      <c r="IXR6732" s="6679"/>
    </row>
    <row r="6733" spans="6715:6730" x14ac:dyDescent="0.3">
      <c r="IXS6733" s="6680"/>
    </row>
    <row r="6734" spans="6715:6730" x14ac:dyDescent="0.3">
      <c r="IXT6734" s="6681"/>
    </row>
    <row r="6735" spans="6715:6730" x14ac:dyDescent="0.3">
      <c r="IXU6735" s="6682"/>
    </row>
    <row r="6736" spans="6715:6730" x14ac:dyDescent="0.3">
      <c r="IXV6736" s="6683"/>
    </row>
    <row r="6737" spans="6731:6746" x14ac:dyDescent="0.3">
      <c r="IXW6737" s="6684"/>
    </row>
    <row r="6738" spans="6731:6746" x14ac:dyDescent="0.3">
      <c r="IXX6738" s="6685"/>
    </row>
    <row r="6739" spans="6731:6746" x14ac:dyDescent="0.3">
      <c r="IXY6739" s="6686"/>
    </row>
    <row r="6740" spans="6731:6746" x14ac:dyDescent="0.3">
      <c r="IXZ6740" s="6687"/>
    </row>
    <row r="6741" spans="6731:6746" x14ac:dyDescent="0.3">
      <c r="IYA6741" s="6688"/>
    </row>
    <row r="6742" spans="6731:6746" x14ac:dyDescent="0.3">
      <c r="IYB6742" s="6689"/>
    </row>
    <row r="6743" spans="6731:6746" x14ac:dyDescent="0.3">
      <c r="IYC6743" s="6690"/>
    </row>
    <row r="6744" spans="6731:6746" x14ac:dyDescent="0.3">
      <c r="IYD6744" s="6691"/>
    </row>
    <row r="6745" spans="6731:6746" x14ac:dyDescent="0.3">
      <c r="IYE6745" s="6692"/>
    </row>
    <row r="6746" spans="6731:6746" x14ac:dyDescent="0.3">
      <c r="IYF6746" s="6693"/>
    </row>
    <row r="6747" spans="6731:6746" x14ac:dyDescent="0.3">
      <c r="IYG6747" s="6694"/>
    </row>
    <row r="6748" spans="6731:6746" x14ac:dyDescent="0.3">
      <c r="IYH6748" s="6695"/>
    </row>
    <row r="6749" spans="6731:6746" x14ac:dyDescent="0.3">
      <c r="IYI6749" s="6696"/>
    </row>
    <row r="6750" spans="6731:6746" x14ac:dyDescent="0.3">
      <c r="IYJ6750" s="6697"/>
    </row>
    <row r="6751" spans="6731:6746" x14ac:dyDescent="0.3">
      <c r="IYK6751" s="6698"/>
    </row>
    <row r="6752" spans="6731:6746" x14ac:dyDescent="0.3">
      <c r="IYL6752" s="6699"/>
    </row>
    <row r="6753" spans="6747:6762" x14ac:dyDescent="0.3">
      <c r="IYM6753" s="6700"/>
    </row>
    <row r="6754" spans="6747:6762" x14ac:dyDescent="0.3">
      <c r="IYN6754" s="6701"/>
    </row>
    <row r="6755" spans="6747:6762" x14ac:dyDescent="0.3">
      <c r="IYO6755" s="6702"/>
    </row>
    <row r="6756" spans="6747:6762" x14ac:dyDescent="0.3">
      <c r="IYP6756" s="6703"/>
    </row>
    <row r="6757" spans="6747:6762" x14ac:dyDescent="0.3">
      <c r="IYQ6757" s="6704"/>
    </row>
    <row r="6758" spans="6747:6762" x14ac:dyDescent="0.3">
      <c r="IYR6758" s="6705"/>
    </row>
    <row r="6759" spans="6747:6762" x14ac:dyDescent="0.3">
      <c r="IYS6759" s="6706"/>
    </row>
    <row r="6760" spans="6747:6762" x14ac:dyDescent="0.3">
      <c r="IYT6760" s="6707"/>
    </row>
    <row r="6761" spans="6747:6762" x14ac:dyDescent="0.3">
      <c r="IYU6761" s="6708"/>
    </row>
    <row r="6762" spans="6747:6762" x14ac:dyDescent="0.3">
      <c r="IYV6762" s="6709"/>
    </row>
    <row r="6763" spans="6747:6762" x14ac:dyDescent="0.3">
      <c r="IYW6763" s="6710"/>
    </row>
    <row r="6764" spans="6747:6762" x14ac:dyDescent="0.3">
      <c r="IYX6764" s="6711"/>
    </row>
    <row r="6765" spans="6747:6762" x14ac:dyDescent="0.3">
      <c r="IYY6765" s="6712"/>
    </row>
    <row r="6766" spans="6747:6762" x14ac:dyDescent="0.3">
      <c r="IYZ6766" s="6713"/>
    </row>
    <row r="6767" spans="6747:6762" x14ac:dyDescent="0.3">
      <c r="IZA6767" s="6714"/>
    </row>
    <row r="6768" spans="6747:6762" x14ac:dyDescent="0.3">
      <c r="IZB6768" s="6715"/>
    </row>
    <row r="6769" spans="6763:6778" x14ac:dyDescent="0.3">
      <c r="IZC6769" s="6716"/>
    </row>
    <row r="6770" spans="6763:6778" x14ac:dyDescent="0.3">
      <c r="IZD6770" s="6717"/>
    </row>
    <row r="6771" spans="6763:6778" x14ac:dyDescent="0.3">
      <c r="IZE6771" s="6718"/>
    </row>
    <row r="6772" spans="6763:6778" x14ac:dyDescent="0.3">
      <c r="IZF6772" s="6719"/>
    </row>
    <row r="6773" spans="6763:6778" x14ac:dyDescent="0.3">
      <c r="IZG6773" s="6720"/>
    </row>
    <row r="6774" spans="6763:6778" x14ac:dyDescent="0.3">
      <c r="IZH6774" s="6721"/>
    </row>
    <row r="6775" spans="6763:6778" x14ac:dyDescent="0.3">
      <c r="IZI6775" s="6722"/>
    </row>
    <row r="6776" spans="6763:6778" x14ac:dyDescent="0.3">
      <c r="IZJ6776" s="6723"/>
    </row>
    <row r="6777" spans="6763:6778" x14ac:dyDescent="0.3">
      <c r="IZK6777" s="6724"/>
    </row>
    <row r="6778" spans="6763:6778" x14ac:dyDescent="0.3">
      <c r="IZL6778" s="6725"/>
    </row>
    <row r="6779" spans="6763:6778" x14ac:dyDescent="0.3">
      <c r="IZM6779" s="6726"/>
    </row>
    <row r="6780" spans="6763:6778" x14ac:dyDescent="0.3">
      <c r="IZN6780" s="6727"/>
    </row>
    <row r="6781" spans="6763:6778" x14ac:dyDescent="0.3">
      <c r="IZO6781" s="6728"/>
    </row>
    <row r="6782" spans="6763:6778" x14ac:dyDescent="0.3">
      <c r="IZP6782" s="6729"/>
    </row>
    <row r="6783" spans="6763:6778" x14ac:dyDescent="0.3">
      <c r="IZQ6783" s="6730"/>
    </row>
    <row r="6784" spans="6763:6778" x14ac:dyDescent="0.3">
      <c r="IZR6784" s="6731"/>
    </row>
    <row r="6785" spans="6779:6794" x14ac:dyDescent="0.3">
      <c r="IZS6785" s="6732"/>
    </row>
    <row r="6786" spans="6779:6794" x14ac:dyDescent="0.3">
      <c r="IZT6786" s="6733"/>
    </row>
    <row r="6787" spans="6779:6794" x14ac:dyDescent="0.3">
      <c r="IZU6787" s="6734"/>
    </row>
    <row r="6788" spans="6779:6794" x14ac:dyDescent="0.3">
      <c r="IZV6788" s="6735"/>
    </row>
    <row r="6789" spans="6779:6794" x14ac:dyDescent="0.3">
      <c r="IZW6789" s="6736"/>
    </row>
    <row r="6790" spans="6779:6794" x14ac:dyDescent="0.3">
      <c r="IZX6790" s="6737"/>
    </row>
    <row r="6791" spans="6779:6794" x14ac:dyDescent="0.3">
      <c r="IZY6791" s="6738"/>
    </row>
    <row r="6792" spans="6779:6794" x14ac:dyDescent="0.3">
      <c r="IZZ6792" s="6739"/>
    </row>
    <row r="6793" spans="6779:6794" x14ac:dyDescent="0.3">
      <c r="JAA6793" s="6740"/>
    </row>
    <row r="6794" spans="6779:6794" x14ac:dyDescent="0.3">
      <c r="JAB6794" s="6741"/>
    </row>
    <row r="6795" spans="6779:6794" x14ac:dyDescent="0.3">
      <c r="JAC6795" s="6742"/>
    </row>
    <row r="6796" spans="6779:6794" x14ac:dyDescent="0.3">
      <c r="JAD6796" s="6743"/>
    </row>
    <row r="6797" spans="6779:6794" x14ac:dyDescent="0.3">
      <c r="JAE6797" s="6744"/>
    </row>
    <row r="6798" spans="6779:6794" x14ac:dyDescent="0.3">
      <c r="JAF6798" s="6745"/>
    </row>
    <row r="6799" spans="6779:6794" x14ac:dyDescent="0.3">
      <c r="JAG6799" s="6746"/>
    </row>
    <row r="6800" spans="6779:6794" x14ac:dyDescent="0.3">
      <c r="JAH6800" s="6747"/>
    </row>
    <row r="6801" spans="6795:6810" x14ac:dyDescent="0.3">
      <c r="JAI6801" s="6748"/>
    </row>
    <row r="6802" spans="6795:6810" x14ac:dyDescent="0.3">
      <c r="JAJ6802" s="6749"/>
    </row>
    <row r="6803" spans="6795:6810" x14ac:dyDescent="0.3">
      <c r="JAK6803" s="6750"/>
    </row>
    <row r="6804" spans="6795:6810" x14ac:dyDescent="0.3">
      <c r="JAL6804" s="6751"/>
    </row>
    <row r="6805" spans="6795:6810" x14ac:dyDescent="0.3">
      <c r="JAM6805" s="6752"/>
    </row>
    <row r="6806" spans="6795:6810" x14ac:dyDescent="0.3">
      <c r="JAN6806" s="6753"/>
    </row>
    <row r="6807" spans="6795:6810" x14ac:dyDescent="0.3">
      <c r="JAO6807" s="6754"/>
    </row>
    <row r="6808" spans="6795:6810" x14ac:dyDescent="0.3">
      <c r="JAP6808" s="6755"/>
    </row>
    <row r="6809" spans="6795:6810" x14ac:dyDescent="0.3">
      <c r="JAQ6809" s="6756"/>
    </row>
    <row r="6810" spans="6795:6810" x14ac:dyDescent="0.3">
      <c r="JAR6810" s="6757"/>
    </row>
    <row r="6811" spans="6795:6810" x14ac:dyDescent="0.3">
      <c r="JAS6811" s="6758"/>
    </row>
    <row r="6812" spans="6795:6810" x14ac:dyDescent="0.3">
      <c r="JAT6812" s="6759"/>
    </row>
    <row r="6813" spans="6795:6810" x14ac:dyDescent="0.3">
      <c r="JAU6813" s="6760"/>
    </row>
    <row r="6814" spans="6795:6810" x14ac:dyDescent="0.3">
      <c r="JAV6814" s="6761"/>
    </row>
    <row r="6815" spans="6795:6810" x14ac:dyDescent="0.3">
      <c r="JAW6815" s="6762"/>
    </row>
    <row r="6816" spans="6795:6810" x14ac:dyDescent="0.3">
      <c r="JAX6816" s="6763"/>
    </row>
    <row r="6817" spans="6811:6826" x14ac:dyDescent="0.3">
      <c r="JAY6817" s="6764"/>
    </row>
    <row r="6818" spans="6811:6826" x14ac:dyDescent="0.3">
      <c r="JAZ6818" s="6765"/>
    </row>
    <row r="6819" spans="6811:6826" x14ac:dyDescent="0.3">
      <c r="JBA6819" s="6766"/>
    </row>
    <row r="6820" spans="6811:6826" x14ac:dyDescent="0.3">
      <c r="JBB6820" s="6767"/>
    </row>
    <row r="6821" spans="6811:6826" x14ac:dyDescent="0.3">
      <c r="JBC6821" s="6768"/>
    </row>
    <row r="6822" spans="6811:6826" x14ac:dyDescent="0.3">
      <c r="JBD6822" s="6769"/>
    </row>
    <row r="6823" spans="6811:6826" x14ac:dyDescent="0.3">
      <c r="JBE6823" s="6770"/>
    </row>
    <row r="6824" spans="6811:6826" x14ac:dyDescent="0.3">
      <c r="JBF6824" s="6771"/>
    </row>
    <row r="6825" spans="6811:6826" x14ac:dyDescent="0.3">
      <c r="JBG6825" s="6772"/>
    </row>
    <row r="6826" spans="6811:6826" x14ac:dyDescent="0.3">
      <c r="JBH6826" s="6773"/>
    </row>
    <row r="6827" spans="6811:6826" x14ac:dyDescent="0.3">
      <c r="JBI6827" s="6774"/>
    </row>
    <row r="6828" spans="6811:6826" x14ac:dyDescent="0.3">
      <c r="JBJ6828" s="6775"/>
    </row>
    <row r="6829" spans="6811:6826" x14ac:dyDescent="0.3">
      <c r="JBK6829" s="6776"/>
    </row>
    <row r="6830" spans="6811:6826" x14ac:dyDescent="0.3">
      <c r="JBL6830" s="6777"/>
    </row>
    <row r="6831" spans="6811:6826" x14ac:dyDescent="0.3">
      <c r="JBM6831" s="6778"/>
    </row>
    <row r="6832" spans="6811:6826" x14ac:dyDescent="0.3">
      <c r="JBN6832" s="6779"/>
    </row>
    <row r="6833" spans="6827:6842" x14ac:dyDescent="0.3">
      <c r="JBO6833" s="6780"/>
    </row>
    <row r="6834" spans="6827:6842" x14ac:dyDescent="0.3">
      <c r="JBP6834" s="6781"/>
    </row>
    <row r="6835" spans="6827:6842" x14ac:dyDescent="0.3">
      <c r="JBQ6835" s="6782"/>
    </row>
    <row r="6836" spans="6827:6842" x14ac:dyDescent="0.3">
      <c r="JBR6836" s="6783"/>
    </row>
    <row r="6837" spans="6827:6842" x14ac:dyDescent="0.3">
      <c r="JBS6837" s="6784"/>
    </row>
    <row r="6838" spans="6827:6842" x14ac:dyDescent="0.3">
      <c r="JBT6838" s="6785"/>
    </row>
    <row r="6839" spans="6827:6842" x14ac:dyDescent="0.3">
      <c r="JBU6839" s="6786"/>
    </row>
    <row r="6840" spans="6827:6842" x14ac:dyDescent="0.3">
      <c r="JBV6840" s="6787"/>
    </row>
    <row r="6841" spans="6827:6842" x14ac:dyDescent="0.3">
      <c r="JBW6841" s="6788"/>
    </row>
    <row r="6842" spans="6827:6842" x14ac:dyDescent="0.3">
      <c r="JBX6842" s="6789"/>
    </row>
    <row r="6843" spans="6827:6842" x14ac:dyDescent="0.3">
      <c r="JBY6843" s="6790"/>
    </row>
    <row r="6844" spans="6827:6842" x14ac:dyDescent="0.3">
      <c r="JBZ6844" s="6791"/>
    </row>
    <row r="6845" spans="6827:6842" x14ac:dyDescent="0.3">
      <c r="JCA6845" s="6792"/>
    </row>
    <row r="6846" spans="6827:6842" x14ac:dyDescent="0.3">
      <c r="JCB6846" s="6793"/>
    </row>
    <row r="6847" spans="6827:6842" x14ac:dyDescent="0.3">
      <c r="JCC6847" s="6794"/>
    </row>
    <row r="6848" spans="6827:6842" x14ac:dyDescent="0.3">
      <c r="JCD6848" s="6795"/>
    </row>
    <row r="6849" spans="6843:6858" x14ac:dyDescent="0.3">
      <c r="JCE6849" s="6796"/>
    </row>
    <row r="6850" spans="6843:6858" x14ac:dyDescent="0.3">
      <c r="JCF6850" s="6797"/>
    </row>
    <row r="6851" spans="6843:6858" x14ac:dyDescent="0.3">
      <c r="JCG6851" s="6798"/>
    </row>
    <row r="6852" spans="6843:6858" x14ac:dyDescent="0.3">
      <c r="JCH6852" s="6799"/>
    </row>
    <row r="6853" spans="6843:6858" x14ac:dyDescent="0.3">
      <c r="JCI6853" s="6800"/>
    </row>
    <row r="6854" spans="6843:6858" x14ac:dyDescent="0.3">
      <c r="JCJ6854" s="6801"/>
    </row>
    <row r="6855" spans="6843:6858" x14ac:dyDescent="0.3">
      <c r="JCK6855" s="6802"/>
    </row>
    <row r="6856" spans="6843:6858" x14ac:dyDescent="0.3">
      <c r="JCL6856" s="6803"/>
    </row>
    <row r="6857" spans="6843:6858" x14ac:dyDescent="0.3">
      <c r="JCM6857" s="6804"/>
    </row>
    <row r="6858" spans="6843:6858" x14ac:dyDescent="0.3">
      <c r="JCN6858" s="6805"/>
    </row>
    <row r="6859" spans="6843:6858" x14ac:dyDescent="0.3">
      <c r="JCO6859" s="6806"/>
    </row>
    <row r="6860" spans="6843:6858" x14ac:dyDescent="0.3">
      <c r="JCP6860" s="6807"/>
    </row>
    <row r="6861" spans="6843:6858" x14ac:dyDescent="0.3">
      <c r="JCQ6861" s="6808"/>
    </row>
    <row r="6862" spans="6843:6858" x14ac:dyDescent="0.3">
      <c r="JCR6862" s="6809"/>
    </row>
    <row r="6863" spans="6843:6858" x14ac:dyDescent="0.3">
      <c r="JCS6863" s="6810"/>
    </row>
    <row r="6864" spans="6843:6858" x14ac:dyDescent="0.3">
      <c r="JCT6864" s="6811"/>
    </row>
    <row r="6865" spans="6859:6874" x14ac:dyDescent="0.3">
      <c r="JCU6865" s="6812"/>
    </row>
    <row r="6866" spans="6859:6874" x14ac:dyDescent="0.3">
      <c r="JCV6866" s="6813"/>
    </row>
    <row r="6867" spans="6859:6874" x14ac:dyDescent="0.3">
      <c r="JCW6867" s="6814"/>
    </row>
    <row r="6868" spans="6859:6874" x14ac:dyDescent="0.3">
      <c r="JCX6868" s="6815"/>
    </row>
    <row r="6869" spans="6859:6874" x14ac:dyDescent="0.3">
      <c r="JCY6869" s="6816"/>
    </row>
    <row r="6870" spans="6859:6874" x14ac:dyDescent="0.3">
      <c r="JCZ6870" s="6817"/>
    </row>
    <row r="6871" spans="6859:6874" x14ac:dyDescent="0.3">
      <c r="JDA6871" s="6818"/>
    </row>
    <row r="6872" spans="6859:6874" x14ac:dyDescent="0.3">
      <c r="JDB6872" s="6819"/>
    </row>
    <row r="6873" spans="6859:6874" x14ac:dyDescent="0.3">
      <c r="JDC6873" s="6820"/>
    </row>
    <row r="6874" spans="6859:6874" x14ac:dyDescent="0.3">
      <c r="JDD6874" s="6821"/>
    </row>
    <row r="6875" spans="6859:6874" x14ac:dyDescent="0.3">
      <c r="JDE6875" s="6822"/>
    </row>
    <row r="6876" spans="6859:6874" x14ac:dyDescent="0.3">
      <c r="JDF6876" s="6823"/>
    </row>
    <row r="6877" spans="6859:6874" x14ac:dyDescent="0.3">
      <c r="JDG6877" s="6824"/>
    </row>
    <row r="6878" spans="6859:6874" x14ac:dyDescent="0.3">
      <c r="JDH6878" s="6825"/>
    </row>
    <row r="6879" spans="6859:6874" x14ac:dyDescent="0.3">
      <c r="JDI6879" s="6826"/>
    </row>
    <row r="6880" spans="6859:6874" x14ac:dyDescent="0.3">
      <c r="JDJ6880" s="6827"/>
    </row>
    <row r="6881" spans="6875:6890" x14ac:dyDescent="0.3">
      <c r="JDK6881" s="6828"/>
    </row>
    <row r="6882" spans="6875:6890" x14ac:dyDescent="0.3">
      <c r="JDL6882" s="6829"/>
    </row>
    <row r="6883" spans="6875:6890" x14ac:dyDescent="0.3">
      <c r="JDM6883" s="6830"/>
    </row>
    <row r="6884" spans="6875:6890" x14ac:dyDescent="0.3">
      <c r="JDN6884" s="6831"/>
    </row>
    <row r="6885" spans="6875:6890" x14ac:dyDescent="0.3">
      <c r="JDO6885" s="6832"/>
    </row>
    <row r="6886" spans="6875:6890" x14ac:dyDescent="0.3">
      <c r="JDP6886" s="6833"/>
    </row>
    <row r="6887" spans="6875:6890" x14ac:dyDescent="0.3">
      <c r="JDQ6887" s="6834"/>
    </row>
    <row r="6888" spans="6875:6890" x14ac:dyDescent="0.3">
      <c r="JDR6888" s="6835"/>
    </row>
    <row r="6889" spans="6875:6890" x14ac:dyDescent="0.3">
      <c r="JDS6889" s="6836"/>
    </row>
    <row r="6890" spans="6875:6890" x14ac:dyDescent="0.3">
      <c r="JDT6890" s="6837"/>
    </row>
    <row r="6891" spans="6875:6890" x14ac:dyDescent="0.3">
      <c r="JDU6891" s="6838"/>
    </row>
    <row r="6892" spans="6875:6890" x14ac:dyDescent="0.3">
      <c r="JDV6892" s="6839"/>
    </row>
    <row r="6893" spans="6875:6890" x14ac:dyDescent="0.3">
      <c r="JDW6893" s="6840"/>
    </row>
    <row r="6894" spans="6875:6890" x14ac:dyDescent="0.3">
      <c r="JDX6894" s="6841"/>
    </row>
    <row r="6895" spans="6875:6890" x14ac:dyDescent="0.3">
      <c r="JDY6895" s="6842"/>
    </row>
    <row r="6896" spans="6875:6890" x14ac:dyDescent="0.3">
      <c r="JDZ6896" s="6843"/>
    </row>
    <row r="6897" spans="6891:6906" x14ac:dyDescent="0.3">
      <c r="JEA6897" s="6844"/>
    </row>
    <row r="6898" spans="6891:6906" x14ac:dyDescent="0.3">
      <c r="JEB6898" s="6845"/>
    </row>
    <row r="6899" spans="6891:6906" x14ac:dyDescent="0.3">
      <c r="JEC6899" s="6846"/>
    </row>
    <row r="6900" spans="6891:6906" x14ac:dyDescent="0.3">
      <c r="JED6900" s="6847"/>
    </row>
    <row r="6901" spans="6891:6906" x14ac:dyDescent="0.3">
      <c r="JEE6901" s="6848"/>
    </row>
    <row r="6902" spans="6891:6906" x14ac:dyDescent="0.3">
      <c r="JEF6902" s="6849"/>
    </row>
    <row r="6903" spans="6891:6906" x14ac:dyDescent="0.3">
      <c r="JEG6903" s="6850"/>
    </row>
    <row r="6904" spans="6891:6906" x14ac:dyDescent="0.3">
      <c r="JEH6904" s="6851"/>
    </row>
    <row r="6905" spans="6891:6906" x14ac:dyDescent="0.3">
      <c r="JEI6905" s="6852"/>
    </row>
    <row r="6906" spans="6891:6906" x14ac:dyDescent="0.3">
      <c r="JEJ6906" s="6853"/>
    </row>
    <row r="6907" spans="6891:6906" x14ac:dyDescent="0.3">
      <c r="JEK6907" s="6854"/>
    </row>
    <row r="6908" spans="6891:6906" x14ac:dyDescent="0.3">
      <c r="JEL6908" s="6855"/>
    </row>
    <row r="6909" spans="6891:6906" x14ac:dyDescent="0.3">
      <c r="JEM6909" s="6856"/>
    </row>
    <row r="6910" spans="6891:6906" x14ac:dyDescent="0.3">
      <c r="JEN6910" s="6857"/>
    </row>
    <row r="6911" spans="6891:6906" x14ac:dyDescent="0.3">
      <c r="JEO6911" s="6858"/>
    </row>
    <row r="6912" spans="6891:6906" x14ac:dyDescent="0.3">
      <c r="JEP6912" s="6859"/>
    </row>
    <row r="6913" spans="6907:6922" x14ac:dyDescent="0.3">
      <c r="JEQ6913" s="6860"/>
    </row>
    <row r="6914" spans="6907:6922" x14ac:dyDescent="0.3">
      <c r="JER6914" s="6861"/>
    </row>
    <row r="6915" spans="6907:6922" x14ac:dyDescent="0.3">
      <c r="JES6915" s="6862"/>
    </row>
    <row r="6916" spans="6907:6922" x14ac:dyDescent="0.3">
      <c r="JET6916" s="6863"/>
    </row>
    <row r="6917" spans="6907:6922" x14ac:dyDescent="0.3">
      <c r="JEU6917" s="6864"/>
    </row>
    <row r="6918" spans="6907:6922" x14ac:dyDescent="0.3">
      <c r="JEV6918" s="6865"/>
    </row>
    <row r="6919" spans="6907:6922" x14ac:dyDescent="0.3">
      <c r="JEW6919" s="6866"/>
    </row>
    <row r="6920" spans="6907:6922" x14ac:dyDescent="0.3">
      <c r="JEX6920" s="6867"/>
    </row>
    <row r="6921" spans="6907:6922" x14ac:dyDescent="0.3">
      <c r="JEY6921" s="6868"/>
    </row>
    <row r="6922" spans="6907:6922" x14ac:dyDescent="0.3">
      <c r="JEZ6922" s="6869"/>
    </row>
    <row r="6923" spans="6907:6922" x14ac:dyDescent="0.3">
      <c r="JFA6923" s="6870"/>
    </row>
    <row r="6924" spans="6907:6922" x14ac:dyDescent="0.3">
      <c r="JFB6924" s="6871"/>
    </row>
    <row r="6925" spans="6907:6922" x14ac:dyDescent="0.3">
      <c r="JFC6925" s="6872"/>
    </row>
    <row r="6926" spans="6907:6922" x14ac:dyDescent="0.3">
      <c r="JFD6926" s="6873"/>
    </row>
    <row r="6927" spans="6907:6922" x14ac:dyDescent="0.3">
      <c r="JFE6927" s="6874"/>
    </row>
    <row r="6928" spans="6907:6922" x14ac:dyDescent="0.3">
      <c r="JFF6928" s="6875"/>
    </row>
    <row r="6929" spans="6923:6938" x14ac:dyDescent="0.3">
      <c r="JFG6929" s="6876"/>
    </row>
    <row r="6930" spans="6923:6938" x14ac:dyDescent="0.3">
      <c r="JFH6930" s="6877"/>
    </row>
    <row r="6931" spans="6923:6938" x14ac:dyDescent="0.3">
      <c r="JFI6931" s="6878"/>
    </row>
    <row r="6932" spans="6923:6938" x14ac:dyDescent="0.3">
      <c r="JFJ6932" s="6879"/>
    </row>
    <row r="6933" spans="6923:6938" x14ac:dyDescent="0.3">
      <c r="JFK6933" s="6880"/>
    </row>
    <row r="6934" spans="6923:6938" x14ac:dyDescent="0.3">
      <c r="JFL6934" s="6881"/>
    </row>
    <row r="6935" spans="6923:6938" x14ac:dyDescent="0.3">
      <c r="JFM6935" s="6882"/>
    </row>
    <row r="6936" spans="6923:6938" x14ac:dyDescent="0.3">
      <c r="JFN6936" s="6883"/>
    </row>
    <row r="6937" spans="6923:6938" x14ac:dyDescent="0.3">
      <c r="JFO6937" s="6884"/>
    </row>
    <row r="6938" spans="6923:6938" x14ac:dyDescent="0.3">
      <c r="JFP6938" s="6885"/>
    </row>
    <row r="6939" spans="6923:6938" x14ac:dyDescent="0.3">
      <c r="JFQ6939" s="6886"/>
    </row>
    <row r="6940" spans="6923:6938" x14ac:dyDescent="0.3">
      <c r="JFR6940" s="6887"/>
    </row>
    <row r="6941" spans="6923:6938" x14ac:dyDescent="0.3">
      <c r="JFS6941" s="6888"/>
    </row>
    <row r="6942" spans="6923:6938" x14ac:dyDescent="0.3">
      <c r="JFT6942" s="6889"/>
    </row>
    <row r="6943" spans="6923:6938" x14ac:dyDescent="0.3">
      <c r="JFU6943" s="6890"/>
    </row>
    <row r="6944" spans="6923:6938" x14ac:dyDescent="0.3">
      <c r="JFV6944" s="6891"/>
    </row>
    <row r="6945" spans="6939:6954" x14ac:dyDescent="0.3">
      <c r="JFW6945" s="6891"/>
    </row>
    <row r="6946" spans="6939:6954" x14ac:dyDescent="0.3">
      <c r="JFX6946" s="6892"/>
    </row>
    <row r="6947" spans="6939:6954" x14ac:dyDescent="0.3">
      <c r="JFY6947" s="6893"/>
    </row>
    <row r="6948" spans="6939:6954" x14ac:dyDescent="0.3">
      <c r="JFZ6948" s="6894"/>
    </row>
    <row r="6949" spans="6939:6954" x14ac:dyDescent="0.3">
      <c r="JGA6949" s="6895"/>
    </row>
    <row r="6950" spans="6939:6954" x14ac:dyDescent="0.3">
      <c r="JGB6950" s="6896"/>
    </row>
    <row r="6951" spans="6939:6954" x14ac:dyDescent="0.3">
      <c r="JGC6951" s="6897"/>
    </row>
    <row r="6952" spans="6939:6954" x14ac:dyDescent="0.3">
      <c r="JGD6952" s="6898"/>
    </row>
    <row r="6953" spans="6939:6954" x14ac:dyDescent="0.3">
      <c r="JGE6953" s="6899"/>
    </row>
    <row r="6954" spans="6939:6954" x14ac:dyDescent="0.3">
      <c r="JGF6954" s="6900"/>
    </row>
    <row r="6955" spans="6939:6954" x14ac:dyDescent="0.3">
      <c r="JGG6955" s="6901"/>
    </row>
    <row r="6956" spans="6939:6954" x14ac:dyDescent="0.3">
      <c r="JGH6956" s="6902"/>
    </row>
    <row r="6957" spans="6939:6954" x14ac:dyDescent="0.3">
      <c r="JGI6957" s="6903"/>
    </row>
    <row r="6958" spans="6939:6954" x14ac:dyDescent="0.3">
      <c r="JGJ6958" s="6904"/>
    </row>
    <row r="6959" spans="6939:6954" x14ac:dyDescent="0.3">
      <c r="JGK6959" s="6905"/>
    </row>
    <row r="6960" spans="6939:6954" x14ac:dyDescent="0.3">
      <c r="JGL6960" s="6906"/>
    </row>
    <row r="6961" spans="6955:6970" x14ac:dyDescent="0.3">
      <c r="JGM6961" s="6907"/>
    </row>
    <row r="6962" spans="6955:6970" x14ac:dyDescent="0.3">
      <c r="JGN6962" s="6908"/>
    </row>
    <row r="6963" spans="6955:6970" x14ac:dyDescent="0.3">
      <c r="JGO6963" s="6909"/>
    </row>
    <row r="6964" spans="6955:6970" x14ac:dyDescent="0.3">
      <c r="JGP6964" s="6910"/>
    </row>
    <row r="6965" spans="6955:6970" x14ac:dyDescent="0.3">
      <c r="JGQ6965" s="6911"/>
    </row>
    <row r="6966" spans="6955:6970" x14ac:dyDescent="0.3">
      <c r="JGR6966" s="6912"/>
    </row>
    <row r="6967" spans="6955:6970" x14ac:dyDescent="0.3">
      <c r="JGS6967" s="6913"/>
    </row>
    <row r="6968" spans="6955:6970" x14ac:dyDescent="0.3">
      <c r="JGT6968" s="6914"/>
    </row>
    <row r="6969" spans="6955:6970" x14ac:dyDescent="0.3">
      <c r="JGU6969" s="6915"/>
    </row>
    <row r="6970" spans="6955:6970" x14ac:dyDescent="0.3">
      <c r="JGV6970" s="6916"/>
    </row>
    <row r="6971" spans="6955:6970" x14ac:dyDescent="0.3">
      <c r="JGW6971" s="6917"/>
    </row>
    <row r="6972" spans="6955:6970" x14ac:dyDescent="0.3">
      <c r="JGX6972" s="6918"/>
    </row>
    <row r="6973" spans="6955:6970" x14ac:dyDescent="0.3">
      <c r="JGY6973" s="6919"/>
    </row>
    <row r="6974" spans="6955:6970" x14ac:dyDescent="0.3">
      <c r="JGZ6974" s="6920"/>
    </row>
    <row r="6975" spans="6955:6970" x14ac:dyDescent="0.3">
      <c r="JHA6975" s="6921"/>
    </row>
    <row r="6976" spans="6955:6970" x14ac:dyDescent="0.3">
      <c r="JHB6976" s="6922"/>
    </row>
    <row r="6977" spans="6971:6986" x14ac:dyDescent="0.3">
      <c r="JHC6977" s="6923"/>
    </row>
    <row r="6978" spans="6971:6986" x14ac:dyDescent="0.3">
      <c r="JHD6978" s="6924"/>
    </row>
    <row r="6979" spans="6971:6986" x14ac:dyDescent="0.3">
      <c r="JHE6979" s="6925"/>
    </row>
    <row r="6980" spans="6971:6986" x14ac:dyDescent="0.3">
      <c r="JHF6980" s="6926"/>
    </row>
    <row r="6981" spans="6971:6986" x14ac:dyDescent="0.3">
      <c r="JHG6981" s="6927"/>
    </row>
    <row r="6982" spans="6971:6986" x14ac:dyDescent="0.3">
      <c r="JHH6982" s="6928"/>
    </row>
    <row r="6983" spans="6971:6986" x14ac:dyDescent="0.3">
      <c r="JHI6983" s="6929"/>
    </row>
    <row r="6984" spans="6971:6986" x14ac:dyDescent="0.3">
      <c r="JHJ6984" s="6930"/>
    </row>
    <row r="6985" spans="6971:6986" x14ac:dyDescent="0.3">
      <c r="JHK6985" s="6931"/>
    </row>
    <row r="6986" spans="6971:6986" x14ac:dyDescent="0.3">
      <c r="JHL6986" s="6932"/>
    </row>
    <row r="6987" spans="6971:6986" x14ac:dyDescent="0.3">
      <c r="JHM6987" s="6933"/>
    </row>
    <row r="6988" spans="6971:6986" x14ac:dyDescent="0.3">
      <c r="JHN6988" s="6934"/>
    </row>
    <row r="6989" spans="6971:6986" x14ac:dyDescent="0.3">
      <c r="JHO6989" s="6935"/>
    </row>
    <row r="6990" spans="6971:6986" x14ac:dyDescent="0.3">
      <c r="JHP6990" s="6936"/>
    </row>
    <row r="6991" spans="6971:6986" x14ac:dyDescent="0.3">
      <c r="JHQ6991" s="6937"/>
    </row>
    <row r="6992" spans="6971:6986" x14ac:dyDescent="0.3">
      <c r="JHR6992" s="6938"/>
    </row>
    <row r="6993" spans="6987:7002" x14ac:dyDescent="0.3">
      <c r="JHS6993" s="6939"/>
    </row>
    <row r="6994" spans="6987:7002" x14ac:dyDescent="0.3">
      <c r="JHT6994" s="6940"/>
    </row>
    <row r="6995" spans="6987:7002" x14ac:dyDescent="0.3">
      <c r="JHU6995" s="6941"/>
    </row>
    <row r="6996" spans="6987:7002" x14ac:dyDescent="0.3">
      <c r="JHV6996" s="6942"/>
    </row>
    <row r="6997" spans="6987:7002" x14ac:dyDescent="0.3">
      <c r="JHW6997" s="6943"/>
    </row>
    <row r="6998" spans="6987:7002" x14ac:dyDescent="0.3">
      <c r="JHX6998" s="6944"/>
    </row>
    <row r="6999" spans="6987:7002" x14ac:dyDescent="0.3">
      <c r="JHY6999" s="6945"/>
    </row>
    <row r="7000" spans="6987:7002" x14ac:dyDescent="0.3">
      <c r="JHZ7000" s="6946"/>
    </row>
    <row r="7001" spans="6987:7002" x14ac:dyDescent="0.3">
      <c r="JIA7001" s="6947"/>
    </row>
    <row r="7002" spans="6987:7002" x14ac:dyDescent="0.3">
      <c r="JIB7002" s="6948"/>
    </row>
    <row r="7003" spans="6987:7002" x14ac:dyDescent="0.3">
      <c r="JIC7003" s="6949"/>
    </row>
    <row r="7004" spans="6987:7002" x14ac:dyDescent="0.3">
      <c r="JID7004" s="6950"/>
    </row>
    <row r="7005" spans="6987:7002" x14ac:dyDescent="0.3">
      <c r="JIE7005" s="6951"/>
    </row>
    <row r="7006" spans="6987:7002" x14ac:dyDescent="0.3">
      <c r="JIF7006" s="6952"/>
    </row>
    <row r="7007" spans="6987:7002" x14ac:dyDescent="0.3">
      <c r="JIG7007" s="6953"/>
    </row>
    <row r="7008" spans="6987:7002" x14ac:dyDescent="0.3">
      <c r="JIH7008" s="6954"/>
    </row>
    <row r="7009" spans="7003:7018" x14ac:dyDescent="0.3">
      <c r="JII7009" s="6955"/>
    </row>
    <row r="7010" spans="7003:7018" x14ac:dyDescent="0.3">
      <c r="JIJ7010" s="6956"/>
    </row>
    <row r="7011" spans="7003:7018" x14ac:dyDescent="0.3">
      <c r="JIK7011" s="6957"/>
    </row>
    <row r="7012" spans="7003:7018" x14ac:dyDescent="0.3">
      <c r="JIL7012" s="6958"/>
    </row>
    <row r="7013" spans="7003:7018" x14ac:dyDescent="0.3">
      <c r="JIM7013" s="6959"/>
    </row>
    <row r="7014" spans="7003:7018" x14ac:dyDescent="0.3">
      <c r="JIN7014" s="6960"/>
    </row>
    <row r="7015" spans="7003:7018" x14ac:dyDescent="0.3">
      <c r="JIO7015" s="6961"/>
    </row>
    <row r="7016" spans="7003:7018" x14ac:dyDescent="0.3">
      <c r="JIP7016" s="6962"/>
    </row>
    <row r="7017" spans="7003:7018" x14ac:dyDescent="0.3">
      <c r="JIQ7017" s="6963"/>
    </row>
    <row r="7018" spans="7003:7018" x14ac:dyDescent="0.3">
      <c r="JIR7018" s="6964"/>
    </row>
    <row r="7019" spans="7003:7018" x14ac:dyDescent="0.3">
      <c r="JIS7019" s="6965"/>
    </row>
    <row r="7020" spans="7003:7018" x14ac:dyDescent="0.3">
      <c r="JIT7020" s="6966"/>
    </row>
    <row r="7021" spans="7003:7018" x14ac:dyDescent="0.3">
      <c r="JIU7021" s="6967"/>
    </row>
    <row r="7022" spans="7003:7018" x14ac:dyDescent="0.3">
      <c r="JIV7022" s="6968"/>
    </row>
    <row r="7023" spans="7003:7018" x14ac:dyDescent="0.3">
      <c r="JIW7023" s="6969"/>
    </row>
    <row r="7024" spans="7003:7018" x14ac:dyDescent="0.3">
      <c r="JIX7024" s="6970"/>
    </row>
    <row r="7025" spans="7019:7034" x14ac:dyDescent="0.3">
      <c r="JIY7025" s="6971"/>
    </row>
    <row r="7026" spans="7019:7034" x14ac:dyDescent="0.3">
      <c r="JIZ7026" s="6972"/>
    </row>
    <row r="7027" spans="7019:7034" x14ac:dyDescent="0.3">
      <c r="JJA7027" s="6973"/>
    </row>
    <row r="7028" spans="7019:7034" x14ac:dyDescent="0.3">
      <c r="JJB7028" s="6974"/>
    </row>
    <row r="7029" spans="7019:7034" x14ac:dyDescent="0.3">
      <c r="JJC7029" s="6975"/>
    </row>
    <row r="7030" spans="7019:7034" x14ac:dyDescent="0.3">
      <c r="JJD7030" s="6976"/>
    </row>
    <row r="7031" spans="7019:7034" x14ac:dyDescent="0.3">
      <c r="JJE7031" s="6977"/>
    </row>
    <row r="7032" spans="7019:7034" x14ac:dyDescent="0.3">
      <c r="JJF7032" s="6978"/>
    </row>
    <row r="7033" spans="7019:7034" x14ac:dyDescent="0.3">
      <c r="JJG7033" s="6979"/>
    </row>
    <row r="7034" spans="7019:7034" x14ac:dyDescent="0.3">
      <c r="JJH7034" s="6980"/>
    </row>
    <row r="7035" spans="7019:7034" x14ac:dyDescent="0.3">
      <c r="JJI7035" s="6981"/>
    </row>
    <row r="7036" spans="7019:7034" x14ac:dyDescent="0.3">
      <c r="JJJ7036" s="6982"/>
    </row>
    <row r="7037" spans="7019:7034" x14ac:dyDescent="0.3">
      <c r="JJK7037" s="6983"/>
    </row>
    <row r="7038" spans="7019:7034" x14ac:dyDescent="0.3">
      <c r="JJL7038" s="6984"/>
    </row>
    <row r="7039" spans="7019:7034" x14ac:dyDescent="0.3">
      <c r="JJM7039" s="6985"/>
    </row>
    <row r="7040" spans="7019:7034" x14ac:dyDescent="0.3">
      <c r="JJN7040" s="6986"/>
    </row>
    <row r="7041" spans="7035:7050" x14ac:dyDescent="0.3">
      <c r="JJO7041" s="6987"/>
    </row>
    <row r="7042" spans="7035:7050" x14ac:dyDescent="0.3">
      <c r="JJP7042" s="6988"/>
    </row>
    <row r="7043" spans="7035:7050" x14ac:dyDescent="0.3">
      <c r="JJQ7043" s="6989"/>
    </row>
    <row r="7044" spans="7035:7050" x14ac:dyDescent="0.3">
      <c r="JJR7044" s="6990"/>
    </row>
    <row r="7045" spans="7035:7050" x14ac:dyDescent="0.3">
      <c r="JJS7045" s="6991"/>
    </row>
    <row r="7046" spans="7035:7050" x14ac:dyDescent="0.3">
      <c r="JJT7046" s="6992"/>
    </row>
    <row r="7047" spans="7035:7050" x14ac:dyDescent="0.3">
      <c r="JJU7047" s="6993"/>
    </row>
    <row r="7048" spans="7035:7050" x14ac:dyDescent="0.3">
      <c r="JJV7048" s="6994"/>
    </row>
    <row r="7049" spans="7035:7050" x14ac:dyDescent="0.3">
      <c r="JJW7049" s="6995"/>
    </row>
    <row r="7050" spans="7035:7050" x14ac:dyDescent="0.3">
      <c r="JJX7050" s="6996"/>
    </row>
    <row r="7051" spans="7035:7050" x14ac:dyDescent="0.3">
      <c r="JJY7051" s="6997"/>
    </row>
    <row r="7052" spans="7035:7050" x14ac:dyDescent="0.3">
      <c r="JJZ7052" s="6998"/>
    </row>
    <row r="7053" spans="7035:7050" x14ac:dyDescent="0.3">
      <c r="JKA7053" s="6999"/>
    </row>
    <row r="7054" spans="7035:7050" x14ac:dyDescent="0.3">
      <c r="JKB7054" s="7000"/>
    </row>
    <row r="7055" spans="7035:7050" x14ac:dyDescent="0.3">
      <c r="JKC7055" s="7001"/>
    </row>
    <row r="7056" spans="7035:7050" x14ac:dyDescent="0.3">
      <c r="JKD7056" s="7002"/>
    </row>
    <row r="7057" spans="7051:7066" x14ac:dyDescent="0.3">
      <c r="JKE7057" s="7003"/>
    </row>
    <row r="7058" spans="7051:7066" x14ac:dyDescent="0.3">
      <c r="JKF7058" s="7004"/>
    </row>
    <row r="7059" spans="7051:7066" x14ac:dyDescent="0.3">
      <c r="JKG7059" s="7005"/>
    </row>
    <row r="7060" spans="7051:7066" x14ac:dyDescent="0.3">
      <c r="JKH7060" s="7006"/>
    </row>
    <row r="7061" spans="7051:7066" x14ac:dyDescent="0.3">
      <c r="JKI7061" s="7007"/>
    </row>
    <row r="7062" spans="7051:7066" x14ac:dyDescent="0.3">
      <c r="JKJ7062" s="7008"/>
    </row>
    <row r="7063" spans="7051:7066" x14ac:dyDescent="0.3">
      <c r="JKK7063" s="7009"/>
    </row>
    <row r="7064" spans="7051:7066" x14ac:dyDescent="0.3">
      <c r="JKL7064" s="7010"/>
    </row>
    <row r="7065" spans="7051:7066" x14ac:dyDescent="0.3">
      <c r="JKM7065" s="7011"/>
    </row>
    <row r="7066" spans="7051:7066" x14ac:dyDescent="0.3">
      <c r="JKN7066" s="7012"/>
    </row>
    <row r="7067" spans="7051:7066" x14ac:dyDescent="0.3">
      <c r="JKO7067" s="7013"/>
    </row>
    <row r="7068" spans="7051:7066" x14ac:dyDescent="0.3">
      <c r="JKP7068" s="7014"/>
    </row>
    <row r="7069" spans="7051:7066" x14ac:dyDescent="0.3">
      <c r="JKQ7069" s="7015"/>
    </row>
    <row r="7070" spans="7051:7066" x14ac:dyDescent="0.3">
      <c r="JKR7070" s="7016"/>
    </row>
    <row r="7071" spans="7051:7066" x14ac:dyDescent="0.3">
      <c r="JKS7071" s="7017"/>
    </row>
    <row r="7072" spans="7051:7066" x14ac:dyDescent="0.3">
      <c r="JKT7072" s="7018"/>
    </row>
    <row r="7073" spans="7067:7082" x14ac:dyDescent="0.3">
      <c r="JKU7073" s="7019"/>
    </row>
    <row r="7074" spans="7067:7082" x14ac:dyDescent="0.3">
      <c r="JKV7074" s="7020"/>
    </row>
    <row r="7075" spans="7067:7082" x14ac:dyDescent="0.3">
      <c r="JKW7075" s="7021"/>
    </row>
    <row r="7076" spans="7067:7082" x14ac:dyDescent="0.3">
      <c r="JKX7076" s="7022"/>
    </row>
    <row r="7077" spans="7067:7082" x14ac:dyDescent="0.3">
      <c r="JKY7077" s="7023"/>
    </row>
    <row r="7078" spans="7067:7082" x14ac:dyDescent="0.3">
      <c r="JKZ7078" s="7024"/>
    </row>
    <row r="7079" spans="7067:7082" x14ac:dyDescent="0.3">
      <c r="JLA7079" s="7025"/>
    </row>
    <row r="7080" spans="7067:7082" x14ac:dyDescent="0.3">
      <c r="JLB7080" s="7026"/>
    </row>
    <row r="7081" spans="7067:7082" x14ac:dyDescent="0.3">
      <c r="JLC7081" s="7027"/>
    </row>
    <row r="7082" spans="7067:7082" x14ac:dyDescent="0.3">
      <c r="JLD7082" s="7028"/>
    </row>
    <row r="7083" spans="7067:7082" x14ac:dyDescent="0.3">
      <c r="JLE7083" s="7029"/>
    </row>
    <row r="7084" spans="7067:7082" x14ac:dyDescent="0.3">
      <c r="JLF7084" s="7030"/>
    </row>
    <row r="7085" spans="7067:7082" x14ac:dyDescent="0.3">
      <c r="JLG7085" s="7031"/>
    </row>
    <row r="7086" spans="7067:7082" x14ac:dyDescent="0.3">
      <c r="JLH7086" s="7032"/>
    </row>
    <row r="7087" spans="7067:7082" x14ac:dyDescent="0.3">
      <c r="JLI7087" s="7033"/>
    </row>
    <row r="7088" spans="7067:7082" x14ac:dyDescent="0.3">
      <c r="JLJ7088" s="7034"/>
    </row>
    <row r="7089" spans="7083:7098" x14ac:dyDescent="0.3">
      <c r="JLK7089" s="7035"/>
    </row>
    <row r="7090" spans="7083:7098" x14ac:dyDescent="0.3">
      <c r="JLL7090" s="7036"/>
    </row>
    <row r="7091" spans="7083:7098" x14ac:dyDescent="0.3">
      <c r="JLM7091" s="7037"/>
    </row>
    <row r="7092" spans="7083:7098" x14ac:dyDescent="0.3">
      <c r="JLN7092" s="7038"/>
    </row>
    <row r="7093" spans="7083:7098" x14ac:dyDescent="0.3">
      <c r="JLO7093" s="7039"/>
    </row>
    <row r="7094" spans="7083:7098" x14ac:dyDescent="0.3">
      <c r="JLP7094" s="7040"/>
    </row>
    <row r="7095" spans="7083:7098" x14ac:dyDescent="0.3">
      <c r="JLQ7095" s="7041"/>
    </row>
    <row r="7096" spans="7083:7098" x14ac:dyDescent="0.3">
      <c r="JLR7096" s="7042"/>
    </row>
    <row r="7097" spans="7083:7098" x14ac:dyDescent="0.3">
      <c r="JLS7097" s="7043"/>
    </row>
    <row r="7098" spans="7083:7098" x14ac:dyDescent="0.3">
      <c r="JLT7098" s="7044"/>
    </row>
    <row r="7099" spans="7083:7098" x14ac:dyDescent="0.3">
      <c r="JLU7099" s="7045"/>
    </row>
    <row r="7100" spans="7083:7098" x14ac:dyDescent="0.3">
      <c r="JLV7100" s="7046"/>
    </row>
    <row r="7101" spans="7083:7098" x14ac:dyDescent="0.3">
      <c r="JLW7101" s="7047"/>
    </row>
    <row r="7102" spans="7083:7098" x14ac:dyDescent="0.3">
      <c r="JLX7102" s="7048"/>
    </row>
    <row r="7103" spans="7083:7098" x14ac:dyDescent="0.3">
      <c r="JLY7103" s="7049"/>
    </row>
    <row r="7104" spans="7083:7098" x14ac:dyDescent="0.3">
      <c r="JLZ7104" s="7050"/>
    </row>
    <row r="7105" spans="7099:7114" x14ac:dyDescent="0.3">
      <c r="JMA7105" s="7051"/>
    </row>
    <row r="7106" spans="7099:7114" x14ac:dyDescent="0.3">
      <c r="JMB7106" s="7052"/>
    </row>
    <row r="7107" spans="7099:7114" x14ac:dyDescent="0.3">
      <c r="JMC7107" s="7053"/>
    </row>
    <row r="7108" spans="7099:7114" x14ac:dyDescent="0.3">
      <c r="JMD7108" s="7054"/>
    </row>
    <row r="7109" spans="7099:7114" x14ac:dyDescent="0.3">
      <c r="JME7109" s="7055"/>
    </row>
    <row r="7110" spans="7099:7114" x14ac:dyDescent="0.3">
      <c r="JMF7110" s="7056"/>
    </row>
    <row r="7111" spans="7099:7114" x14ac:dyDescent="0.3">
      <c r="JMG7111" s="7057"/>
    </row>
    <row r="7112" spans="7099:7114" x14ac:dyDescent="0.3">
      <c r="JMH7112" s="7058"/>
    </row>
    <row r="7113" spans="7099:7114" x14ac:dyDescent="0.3">
      <c r="JMI7113" s="7059"/>
    </row>
    <row r="7114" spans="7099:7114" x14ac:dyDescent="0.3">
      <c r="JMJ7114" s="7060"/>
    </row>
    <row r="7115" spans="7099:7114" x14ac:dyDescent="0.3">
      <c r="JMK7115" s="7061"/>
    </row>
    <row r="7116" spans="7099:7114" x14ac:dyDescent="0.3">
      <c r="JML7116" s="7062"/>
    </row>
    <row r="7117" spans="7099:7114" x14ac:dyDescent="0.3">
      <c r="JMM7117" s="7063"/>
    </row>
    <row r="7118" spans="7099:7114" x14ac:dyDescent="0.3">
      <c r="JMN7118" s="7064"/>
    </row>
    <row r="7119" spans="7099:7114" x14ac:dyDescent="0.3">
      <c r="JMO7119" s="7065"/>
    </row>
    <row r="7120" spans="7099:7114" x14ac:dyDescent="0.3">
      <c r="JMP7120" s="7066"/>
    </row>
    <row r="7121" spans="7115:7130" x14ac:dyDescent="0.3">
      <c r="JMQ7121" s="7067"/>
    </row>
    <row r="7122" spans="7115:7130" x14ac:dyDescent="0.3">
      <c r="JMR7122" s="7068"/>
    </row>
    <row r="7123" spans="7115:7130" x14ac:dyDescent="0.3">
      <c r="JMS7123" s="7069"/>
    </row>
    <row r="7124" spans="7115:7130" x14ac:dyDescent="0.3">
      <c r="JMT7124" s="7070"/>
    </row>
    <row r="7125" spans="7115:7130" x14ac:dyDescent="0.3">
      <c r="JMU7125" s="7071"/>
    </row>
    <row r="7126" spans="7115:7130" x14ac:dyDescent="0.3">
      <c r="JMV7126" s="7072"/>
    </row>
    <row r="7127" spans="7115:7130" x14ac:dyDescent="0.3">
      <c r="JMW7127" s="7073"/>
    </row>
    <row r="7128" spans="7115:7130" x14ac:dyDescent="0.3">
      <c r="JMX7128" s="7074"/>
    </row>
    <row r="7129" spans="7115:7130" x14ac:dyDescent="0.3">
      <c r="JMY7129" s="7075"/>
    </row>
    <row r="7130" spans="7115:7130" x14ac:dyDescent="0.3">
      <c r="JMZ7130" s="7076"/>
    </row>
    <row r="7131" spans="7115:7130" x14ac:dyDescent="0.3">
      <c r="JNA7131" s="7077"/>
    </row>
    <row r="7132" spans="7115:7130" x14ac:dyDescent="0.3">
      <c r="JNB7132" s="7078"/>
    </row>
    <row r="7133" spans="7115:7130" x14ac:dyDescent="0.3">
      <c r="JNC7133" s="7079"/>
    </row>
    <row r="7134" spans="7115:7130" x14ac:dyDescent="0.3">
      <c r="JND7134" s="7080"/>
    </row>
    <row r="7135" spans="7115:7130" x14ac:dyDescent="0.3">
      <c r="JNE7135" s="7081"/>
    </row>
    <row r="7136" spans="7115:7130" x14ac:dyDescent="0.3">
      <c r="JNF7136" s="7082"/>
    </row>
    <row r="7137" spans="7131:7146" x14ac:dyDescent="0.3">
      <c r="JNG7137" s="7083"/>
    </row>
    <row r="7138" spans="7131:7146" x14ac:dyDescent="0.3">
      <c r="JNH7138" s="7084"/>
    </row>
    <row r="7139" spans="7131:7146" x14ac:dyDescent="0.3">
      <c r="JNI7139" s="7085"/>
    </row>
    <row r="7140" spans="7131:7146" x14ac:dyDescent="0.3">
      <c r="JNJ7140" s="7086"/>
    </row>
    <row r="7141" spans="7131:7146" x14ac:dyDescent="0.3">
      <c r="JNK7141" s="7087"/>
    </row>
    <row r="7142" spans="7131:7146" x14ac:dyDescent="0.3">
      <c r="JNL7142" s="7088"/>
    </row>
    <row r="7143" spans="7131:7146" x14ac:dyDescent="0.3">
      <c r="JNM7143" s="7089"/>
    </row>
    <row r="7144" spans="7131:7146" x14ac:dyDescent="0.3">
      <c r="JNN7144" s="7090"/>
    </row>
    <row r="7145" spans="7131:7146" x14ac:dyDescent="0.3">
      <c r="JNO7145" s="7091"/>
    </row>
    <row r="7146" spans="7131:7146" x14ac:dyDescent="0.3">
      <c r="JNP7146" s="7092"/>
    </row>
    <row r="7147" spans="7131:7146" x14ac:dyDescent="0.3">
      <c r="JNQ7147" s="7093"/>
    </row>
    <row r="7148" spans="7131:7146" x14ac:dyDescent="0.3">
      <c r="JNR7148" s="7094"/>
    </row>
    <row r="7149" spans="7131:7146" x14ac:dyDescent="0.3">
      <c r="JNS7149" s="7095"/>
    </row>
    <row r="7150" spans="7131:7146" x14ac:dyDescent="0.3">
      <c r="JNT7150" s="7096"/>
    </row>
    <row r="7151" spans="7131:7146" x14ac:dyDescent="0.3">
      <c r="JNU7151" s="7097"/>
    </row>
    <row r="7152" spans="7131:7146" x14ac:dyDescent="0.3">
      <c r="JNV7152" s="7098"/>
    </row>
    <row r="7153" spans="7147:7162" x14ac:dyDescent="0.3">
      <c r="JNW7153" s="7099"/>
    </row>
    <row r="7154" spans="7147:7162" x14ac:dyDescent="0.3">
      <c r="JNX7154" s="7100"/>
    </row>
    <row r="7155" spans="7147:7162" x14ac:dyDescent="0.3">
      <c r="JNY7155" s="7101"/>
    </row>
    <row r="7156" spans="7147:7162" x14ac:dyDescent="0.3">
      <c r="JNZ7156" s="7102"/>
    </row>
    <row r="7157" spans="7147:7162" x14ac:dyDescent="0.3">
      <c r="JOA7157" s="7103"/>
    </row>
    <row r="7158" spans="7147:7162" x14ac:dyDescent="0.3">
      <c r="JOB7158" s="7104"/>
    </row>
    <row r="7159" spans="7147:7162" x14ac:dyDescent="0.3">
      <c r="JOC7159" s="7105"/>
    </row>
    <row r="7160" spans="7147:7162" x14ac:dyDescent="0.3">
      <c r="JOD7160" s="7106"/>
    </row>
    <row r="7161" spans="7147:7162" x14ac:dyDescent="0.3">
      <c r="JOE7161" s="7107"/>
    </row>
    <row r="7162" spans="7147:7162" x14ac:dyDescent="0.3">
      <c r="JOF7162" s="7108"/>
    </row>
    <row r="7163" spans="7147:7162" x14ac:dyDescent="0.3">
      <c r="JOG7163" s="7109"/>
    </row>
    <row r="7164" spans="7147:7162" x14ac:dyDescent="0.3">
      <c r="JOH7164" s="7110"/>
    </row>
    <row r="7165" spans="7147:7162" x14ac:dyDescent="0.3">
      <c r="JOI7165" s="7111"/>
    </row>
    <row r="7166" spans="7147:7162" x14ac:dyDescent="0.3">
      <c r="JOJ7166" s="7112"/>
    </row>
    <row r="7167" spans="7147:7162" x14ac:dyDescent="0.3">
      <c r="JOK7167" s="7113"/>
    </row>
    <row r="7168" spans="7147:7162" x14ac:dyDescent="0.3">
      <c r="JOL7168" s="7114"/>
    </row>
    <row r="7169" spans="7163:7178" x14ac:dyDescent="0.3">
      <c r="JOM7169" s="7115"/>
    </row>
    <row r="7170" spans="7163:7178" x14ac:dyDescent="0.3">
      <c r="JON7170" s="7116"/>
    </row>
    <row r="7171" spans="7163:7178" x14ac:dyDescent="0.3">
      <c r="JOO7171" s="7117"/>
    </row>
    <row r="7172" spans="7163:7178" x14ac:dyDescent="0.3">
      <c r="JOP7172" s="7118"/>
    </row>
    <row r="7173" spans="7163:7178" x14ac:dyDescent="0.3">
      <c r="JOQ7173" s="7119"/>
    </row>
    <row r="7174" spans="7163:7178" x14ac:dyDescent="0.3">
      <c r="JOR7174" s="7120"/>
    </row>
    <row r="7175" spans="7163:7178" x14ac:dyDescent="0.3">
      <c r="JOS7175" s="7121"/>
    </row>
    <row r="7176" spans="7163:7178" x14ac:dyDescent="0.3">
      <c r="JOT7176" s="7122"/>
    </row>
    <row r="7177" spans="7163:7178" x14ac:dyDescent="0.3">
      <c r="JOU7177" s="7123"/>
    </row>
    <row r="7178" spans="7163:7178" x14ac:dyDescent="0.3">
      <c r="JOV7178" s="7124"/>
    </row>
    <row r="7179" spans="7163:7178" x14ac:dyDescent="0.3">
      <c r="JOW7179" s="7125"/>
    </row>
    <row r="7180" spans="7163:7178" x14ac:dyDescent="0.3">
      <c r="JOX7180" s="7126"/>
    </row>
    <row r="7181" spans="7163:7178" x14ac:dyDescent="0.3">
      <c r="JOY7181" s="7127"/>
    </row>
    <row r="7182" spans="7163:7178" x14ac:dyDescent="0.3">
      <c r="JOZ7182" s="7128"/>
    </row>
    <row r="7183" spans="7163:7178" x14ac:dyDescent="0.3">
      <c r="JPA7183" s="7129"/>
    </row>
    <row r="7184" spans="7163:7178" x14ac:dyDescent="0.3">
      <c r="JPB7184" s="7130"/>
    </row>
    <row r="7185" spans="7179:7194" x14ac:dyDescent="0.3">
      <c r="JPC7185" s="7131"/>
    </row>
    <row r="7186" spans="7179:7194" x14ac:dyDescent="0.3">
      <c r="JPD7186" s="7132"/>
    </row>
    <row r="7187" spans="7179:7194" x14ac:dyDescent="0.3">
      <c r="JPE7187" s="7133"/>
    </row>
    <row r="7188" spans="7179:7194" x14ac:dyDescent="0.3">
      <c r="JPF7188" s="7134"/>
    </row>
    <row r="7189" spans="7179:7194" x14ac:dyDescent="0.3">
      <c r="JPG7189" s="7135"/>
    </row>
    <row r="7190" spans="7179:7194" x14ac:dyDescent="0.3">
      <c r="JPH7190" s="7136"/>
    </row>
    <row r="7191" spans="7179:7194" x14ac:dyDescent="0.3">
      <c r="JPI7191" s="7137"/>
    </row>
    <row r="7192" spans="7179:7194" x14ac:dyDescent="0.3">
      <c r="JPJ7192" s="7138"/>
    </row>
    <row r="7193" spans="7179:7194" x14ac:dyDescent="0.3">
      <c r="JPK7193" s="7139"/>
    </row>
    <row r="7194" spans="7179:7194" x14ac:dyDescent="0.3">
      <c r="JPL7194" s="7140"/>
    </row>
    <row r="7195" spans="7179:7194" x14ac:dyDescent="0.3">
      <c r="JPM7195" s="7141"/>
    </row>
    <row r="7196" spans="7179:7194" x14ac:dyDescent="0.3">
      <c r="JPN7196" s="7142"/>
    </row>
    <row r="7197" spans="7179:7194" x14ac:dyDescent="0.3">
      <c r="JPO7197" s="7143"/>
    </row>
    <row r="7198" spans="7179:7194" x14ac:dyDescent="0.3">
      <c r="JPP7198" s="7144"/>
    </row>
    <row r="7199" spans="7179:7194" x14ac:dyDescent="0.3">
      <c r="JPQ7199" s="7145"/>
    </row>
    <row r="7200" spans="7179:7194" x14ac:dyDescent="0.3">
      <c r="JPR7200" s="7146"/>
    </row>
    <row r="7201" spans="7195:7210" x14ac:dyDescent="0.3">
      <c r="JPS7201" s="7147"/>
    </row>
    <row r="7202" spans="7195:7210" x14ac:dyDescent="0.3">
      <c r="JPT7202" s="7147"/>
    </row>
    <row r="7203" spans="7195:7210" x14ac:dyDescent="0.3">
      <c r="JPU7203" s="7148"/>
    </row>
    <row r="7204" spans="7195:7210" x14ac:dyDescent="0.3">
      <c r="JPV7204" s="7149"/>
    </row>
    <row r="7205" spans="7195:7210" x14ac:dyDescent="0.3">
      <c r="JPW7205" s="7150"/>
    </row>
    <row r="7206" spans="7195:7210" x14ac:dyDescent="0.3">
      <c r="JPX7206" s="7151"/>
    </row>
    <row r="7207" spans="7195:7210" x14ac:dyDescent="0.3">
      <c r="JPY7207" s="7152"/>
    </row>
    <row r="7208" spans="7195:7210" x14ac:dyDescent="0.3">
      <c r="JPZ7208" s="7153"/>
    </row>
    <row r="7209" spans="7195:7210" x14ac:dyDescent="0.3">
      <c r="JQA7209" s="7154"/>
    </row>
    <row r="7210" spans="7195:7210" x14ac:dyDescent="0.3">
      <c r="JQB7210" s="7155"/>
    </row>
    <row r="7211" spans="7195:7210" x14ac:dyDescent="0.3">
      <c r="JQC7211" s="7156"/>
    </row>
    <row r="7212" spans="7195:7210" x14ac:dyDescent="0.3">
      <c r="JQD7212" s="7157"/>
    </row>
    <row r="7213" spans="7195:7210" x14ac:dyDescent="0.3">
      <c r="JQE7213" s="7158"/>
    </row>
    <row r="7214" spans="7195:7210" x14ac:dyDescent="0.3">
      <c r="JQF7214" s="7159"/>
    </row>
    <row r="7215" spans="7195:7210" x14ac:dyDescent="0.3">
      <c r="JQG7215" s="7160"/>
    </row>
    <row r="7216" spans="7195:7210" x14ac:dyDescent="0.3">
      <c r="JQH7216" s="7161"/>
    </row>
    <row r="7217" spans="7211:7226" x14ac:dyDescent="0.3">
      <c r="JQI7217" s="7162"/>
    </row>
    <row r="7218" spans="7211:7226" x14ac:dyDescent="0.3">
      <c r="JQJ7218" s="7163"/>
    </row>
    <row r="7219" spans="7211:7226" x14ac:dyDescent="0.3">
      <c r="JQK7219" s="7164"/>
    </row>
    <row r="7220" spans="7211:7226" x14ac:dyDescent="0.3">
      <c r="JQL7220" s="7165"/>
    </row>
    <row r="7221" spans="7211:7226" x14ac:dyDescent="0.3">
      <c r="JQM7221" s="7166"/>
    </row>
    <row r="7222" spans="7211:7226" x14ac:dyDescent="0.3">
      <c r="JQN7222" s="7167"/>
    </row>
    <row r="7223" spans="7211:7226" x14ac:dyDescent="0.3">
      <c r="JQO7223" s="7168"/>
    </row>
    <row r="7224" spans="7211:7226" x14ac:dyDescent="0.3">
      <c r="JQP7224" s="7169"/>
    </row>
    <row r="7225" spans="7211:7226" x14ac:dyDescent="0.3">
      <c r="JQQ7225" s="7170"/>
    </row>
    <row r="7226" spans="7211:7226" x14ac:dyDescent="0.3">
      <c r="JQR7226" s="7171"/>
    </row>
    <row r="7227" spans="7211:7226" x14ac:dyDescent="0.3">
      <c r="JQS7227" s="7172"/>
    </row>
    <row r="7228" spans="7211:7226" x14ac:dyDescent="0.3">
      <c r="JQT7228" s="7173"/>
    </row>
    <row r="7229" spans="7211:7226" x14ac:dyDescent="0.3">
      <c r="JQU7229" s="7174"/>
    </row>
    <row r="7230" spans="7211:7226" x14ac:dyDescent="0.3">
      <c r="JQV7230" s="7175"/>
    </row>
    <row r="7231" spans="7211:7226" x14ac:dyDescent="0.3">
      <c r="JQW7231" s="7176"/>
    </row>
    <row r="7232" spans="7211:7226" x14ac:dyDescent="0.3">
      <c r="JQX7232" s="7177"/>
    </row>
    <row r="7233" spans="7227:7242" x14ac:dyDescent="0.3">
      <c r="JQY7233" s="7178"/>
    </row>
    <row r="7234" spans="7227:7242" x14ac:dyDescent="0.3">
      <c r="JQZ7234" s="7179"/>
    </row>
    <row r="7235" spans="7227:7242" x14ac:dyDescent="0.3">
      <c r="JRA7235" s="7180"/>
    </row>
    <row r="7236" spans="7227:7242" x14ac:dyDescent="0.3">
      <c r="JRB7236" s="7181"/>
    </row>
    <row r="7237" spans="7227:7242" x14ac:dyDescent="0.3">
      <c r="JRC7237" s="7182"/>
    </row>
    <row r="7238" spans="7227:7242" x14ac:dyDescent="0.3">
      <c r="JRD7238" s="7183"/>
    </row>
    <row r="7239" spans="7227:7242" x14ac:dyDescent="0.3">
      <c r="JRE7239" s="7184"/>
    </row>
    <row r="7240" spans="7227:7242" x14ac:dyDescent="0.3">
      <c r="JRF7240" s="7185"/>
    </row>
    <row r="7241" spans="7227:7242" x14ac:dyDescent="0.3">
      <c r="JRG7241" s="7186"/>
    </row>
    <row r="7242" spans="7227:7242" x14ac:dyDescent="0.3">
      <c r="JRH7242" s="7187"/>
    </row>
    <row r="7243" spans="7227:7242" x14ac:dyDescent="0.3">
      <c r="JRI7243" s="7188"/>
    </row>
    <row r="7244" spans="7227:7242" x14ac:dyDescent="0.3">
      <c r="JRJ7244" s="7189"/>
    </row>
    <row r="7245" spans="7227:7242" x14ac:dyDescent="0.3">
      <c r="JRK7245" s="7190"/>
    </row>
    <row r="7246" spans="7227:7242" x14ac:dyDescent="0.3">
      <c r="JRL7246" s="7191"/>
    </row>
    <row r="7247" spans="7227:7242" x14ac:dyDescent="0.3">
      <c r="JRM7247" s="7192"/>
    </row>
    <row r="7248" spans="7227:7242" x14ac:dyDescent="0.3">
      <c r="JRN7248" s="7193"/>
    </row>
    <row r="7249" spans="7243:7258" x14ac:dyDescent="0.3">
      <c r="JRO7249" s="7194"/>
    </row>
    <row r="7250" spans="7243:7258" x14ac:dyDescent="0.3">
      <c r="JRP7250" s="7195"/>
    </row>
    <row r="7251" spans="7243:7258" x14ac:dyDescent="0.3">
      <c r="JRQ7251" s="7196"/>
    </row>
    <row r="7252" spans="7243:7258" x14ac:dyDescent="0.3">
      <c r="JRR7252" s="7197"/>
    </row>
    <row r="7253" spans="7243:7258" x14ac:dyDescent="0.3">
      <c r="JRS7253" s="7198"/>
    </row>
    <row r="7254" spans="7243:7258" x14ac:dyDescent="0.3">
      <c r="JRT7254" s="7199"/>
    </row>
    <row r="7255" spans="7243:7258" x14ac:dyDescent="0.3">
      <c r="JRU7255" s="7200"/>
    </row>
    <row r="7256" spans="7243:7258" x14ac:dyDescent="0.3">
      <c r="JRV7256" s="7201"/>
    </row>
    <row r="7257" spans="7243:7258" x14ac:dyDescent="0.3">
      <c r="JRW7257" s="7202"/>
    </row>
    <row r="7258" spans="7243:7258" x14ac:dyDescent="0.3">
      <c r="JRX7258" s="7203"/>
    </row>
    <row r="7259" spans="7243:7258" x14ac:dyDescent="0.3">
      <c r="JRY7259" s="7204"/>
    </row>
    <row r="7260" spans="7243:7258" x14ac:dyDescent="0.3">
      <c r="JRZ7260" s="7205"/>
    </row>
    <row r="7261" spans="7243:7258" x14ac:dyDescent="0.3">
      <c r="JSA7261" s="7206"/>
    </row>
    <row r="7262" spans="7243:7258" x14ac:dyDescent="0.3">
      <c r="JSB7262" s="7207"/>
    </row>
    <row r="7263" spans="7243:7258" x14ac:dyDescent="0.3">
      <c r="JSC7263" s="7208"/>
    </row>
    <row r="7264" spans="7243:7258" x14ac:dyDescent="0.3">
      <c r="JSD7264" s="7209"/>
    </row>
    <row r="7265" spans="7259:7274" x14ac:dyDescent="0.3">
      <c r="JSE7265" s="7210"/>
    </row>
    <row r="7266" spans="7259:7274" x14ac:dyDescent="0.3">
      <c r="JSF7266" s="7211"/>
    </row>
    <row r="7267" spans="7259:7274" x14ac:dyDescent="0.3">
      <c r="JSG7267" s="7212"/>
    </row>
    <row r="7268" spans="7259:7274" x14ac:dyDescent="0.3">
      <c r="JSH7268" s="7213"/>
    </row>
    <row r="7269" spans="7259:7274" x14ac:dyDescent="0.3">
      <c r="JSI7269" s="7214"/>
    </row>
    <row r="7270" spans="7259:7274" x14ac:dyDescent="0.3">
      <c r="JSJ7270" s="7215"/>
    </row>
    <row r="7271" spans="7259:7274" x14ac:dyDescent="0.3">
      <c r="JSK7271" s="7216"/>
    </row>
    <row r="7272" spans="7259:7274" x14ac:dyDescent="0.3">
      <c r="JSL7272" s="7217"/>
    </row>
    <row r="7273" spans="7259:7274" x14ac:dyDescent="0.3">
      <c r="JSM7273" s="7218"/>
    </row>
    <row r="7274" spans="7259:7274" x14ac:dyDescent="0.3">
      <c r="JSN7274" s="7219"/>
    </row>
    <row r="7275" spans="7259:7274" x14ac:dyDescent="0.3">
      <c r="JSO7275" s="7220"/>
    </row>
    <row r="7276" spans="7259:7274" x14ac:dyDescent="0.3">
      <c r="JSP7276" s="7221"/>
    </row>
    <row r="7277" spans="7259:7274" x14ac:dyDescent="0.3">
      <c r="JSQ7277" s="7222"/>
    </row>
    <row r="7278" spans="7259:7274" x14ac:dyDescent="0.3">
      <c r="JSR7278" s="7223"/>
    </row>
    <row r="7279" spans="7259:7274" x14ac:dyDescent="0.3">
      <c r="JSS7279" s="7224"/>
    </row>
    <row r="7280" spans="7259:7274" x14ac:dyDescent="0.3">
      <c r="JST7280" s="7225"/>
    </row>
    <row r="7281" spans="7275:7290" x14ac:dyDescent="0.3">
      <c r="JSU7281" s="7226"/>
    </row>
    <row r="7282" spans="7275:7290" x14ac:dyDescent="0.3">
      <c r="JSV7282" s="7227"/>
    </row>
    <row r="7283" spans="7275:7290" x14ac:dyDescent="0.3">
      <c r="JSW7283" s="7228"/>
    </row>
    <row r="7284" spans="7275:7290" x14ac:dyDescent="0.3">
      <c r="JSX7284" s="7229"/>
    </row>
    <row r="7285" spans="7275:7290" x14ac:dyDescent="0.3">
      <c r="JSY7285" s="7230"/>
    </row>
    <row r="7286" spans="7275:7290" x14ac:dyDescent="0.3">
      <c r="JSZ7286" s="7231"/>
    </row>
    <row r="7287" spans="7275:7290" x14ac:dyDescent="0.3">
      <c r="JTA7287" s="7232"/>
    </row>
    <row r="7288" spans="7275:7290" x14ac:dyDescent="0.3">
      <c r="JTB7288" s="7233"/>
    </row>
    <row r="7289" spans="7275:7290" x14ac:dyDescent="0.3">
      <c r="JTC7289" s="7234"/>
    </row>
    <row r="7290" spans="7275:7290" x14ac:dyDescent="0.3">
      <c r="JTD7290" s="7235"/>
    </row>
    <row r="7291" spans="7275:7290" x14ac:dyDescent="0.3">
      <c r="JTE7291" s="7236"/>
    </row>
    <row r="7292" spans="7275:7290" x14ac:dyDescent="0.3">
      <c r="JTF7292" s="7237"/>
    </row>
    <row r="7293" spans="7275:7290" x14ac:dyDescent="0.3">
      <c r="JTG7293" s="7238"/>
    </row>
    <row r="7294" spans="7275:7290" x14ac:dyDescent="0.3">
      <c r="JTH7294" s="7239"/>
    </row>
    <row r="7295" spans="7275:7290" x14ac:dyDescent="0.3">
      <c r="JTI7295" s="7240"/>
    </row>
    <row r="7296" spans="7275:7290" x14ac:dyDescent="0.3">
      <c r="JTJ7296" s="7241"/>
    </row>
    <row r="7297" spans="7291:7306" x14ac:dyDescent="0.3">
      <c r="JTK7297" s="7242"/>
    </row>
    <row r="7298" spans="7291:7306" x14ac:dyDescent="0.3">
      <c r="JTL7298" s="7243"/>
    </row>
    <row r="7299" spans="7291:7306" x14ac:dyDescent="0.3">
      <c r="JTM7299" s="7244"/>
    </row>
    <row r="7300" spans="7291:7306" x14ac:dyDescent="0.3">
      <c r="JTN7300" s="7245"/>
    </row>
    <row r="7301" spans="7291:7306" x14ac:dyDescent="0.3">
      <c r="JTO7301" s="7246"/>
    </row>
    <row r="7302" spans="7291:7306" x14ac:dyDescent="0.3">
      <c r="JTP7302" s="7247"/>
    </row>
    <row r="7303" spans="7291:7306" x14ac:dyDescent="0.3">
      <c r="JTQ7303" s="7248"/>
    </row>
    <row r="7304" spans="7291:7306" x14ac:dyDescent="0.3">
      <c r="JTR7304" s="7249"/>
    </row>
    <row r="7305" spans="7291:7306" x14ac:dyDescent="0.3">
      <c r="JTS7305" s="7250"/>
    </row>
    <row r="7306" spans="7291:7306" x14ac:dyDescent="0.3">
      <c r="JTT7306" s="7251"/>
    </row>
    <row r="7307" spans="7291:7306" x14ac:dyDescent="0.3">
      <c r="JTU7307" s="7252"/>
    </row>
    <row r="7308" spans="7291:7306" x14ac:dyDescent="0.3">
      <c r="JTV7308" s="7253"/>
    </row>
    <row r="7309" spans="7291:7306" x14ac:dyDescent="0.3">
      <c r="JTW7309" s="7254"/>
    </row>
    <row r="7310" spans="7291:7306" x14ac:dyDescent="0.3">
      <c r="JTX7310" s="7255"/>
    </row>
    <row r="7311" spans="7291:7306" x14ac:dyDescent="0.3">
      <c r="JTY7311" s="7256"/>
    </row>
    <row r="7312" spans="7291:7306" x14ac:dyDescent="0.3">
      <c r="JTZ7312" s="7257"/>
    </row>
    <row r="7313" spans="7307:7322" x14ac:dyDescent="0.3">
      <c r="JUA7313" s="7258"/>
    </row>
    <row r="7314" spans="7307:7322" x14ac:dyDescent="0.3">
      <c r="JUB7314" s="7259"/>
    </row>
    <row r="7315" spans="7307:7322" x14ac:dyDescent="0.3">
      <c r="JUC7315" s="7260"/>
    </row>
    <row r="7316" spans="7307:7322" x14ac:dyDescent="0.3">
      <c r="JUD7316" s="7261"/>
    </row>
    <row r="7317" spans="7307:7322" x14ac:dyDescent="0.3">
      <c r="JUE7317" s="7262"/>
    </row>
    <row r="7318" spans="7307:7322" x14ac:dyDescent="0.3">
      <c r="JUF7318" s="7263"/>
    </row>
    <row r="7319" spans="7307:7322" x14ac:dyDescent="0.3">
      <c r="JUG7319" s="7264"/>
    </row>
    <row r="7320" spans="7307:7322" x14ac:dyDescent="0.3">
      <c r="JUH7320" s="7265"/>
    </row>
    <row r="7321" spans="7307:7322" x14ac:dyDescent="0.3">
      <c r="JUI7321" s="7266"/>
    </row>
    <row r="7322" spans="7307:7322" x14ac:dyDescent="0.3">
      <c r="JUJ7322" s="7267"/>
    </row>
    <row r="7323" spans="7307:7322" x14ac:dyDescent="0.3">
      <c r="JUK7323" s="7268"/>
    </row>
    <row r="7324" spans="7307:7322" x14ac:dyDescent="0.3">
      <c r="JUL7324" s="7269"/>
    </row>
    <row r="7325" spans="7307:7322" x14ac:dyDescent="0.3">
      <c r="JUM7325" s="7270"/>
    </row>
    <row r="7326" spans="7307:7322" x14ac:dyDescent="0.3">
      <c r="JUN7326" s="7271"/>
    </row>
    <row r="7327" spans="7307:7322" x14ac:dyDescent="0.3">
      <c r="JUO7327" s="7272"/>
    </row>
    <row r="7328" spans="7307:7322" x14ac:dyDescent="0.3">
      <c r="JUP7328" s="7273"/>
    </row>
    <row r="7329" spans="7323:7338" x14ac:dyDescent="0.3">
      <c r="JUQ7329" s="7274"/>
    </row>
    <row r="7330" spans="7323:7338" x14ac:dyDescent="0.3">
      <c r="JUR7330" s="7275"/>
    </row>
    <row r="7331" spans="7323:7338" x14ac:dyDescent="0.3">
      <c r="JUS7331" s="7276"/>
    </row>
    <row r="7332" spans="7323:7338" x14ac:dyDescent="0.3">
      <c r="JUT7332" s="7277"/>
    </row>
    <row r="7333" spans="7323:7338" x14ac:dyDescent="0.3">
      <c r="JUU7333" s="7278"/>
    </row>
    <row r="7334" spans="7323:7338" x14ac:dyDescent="0.3">
      <c r="JUV7334" s="7279"/>
    </row>
    <row r="7335" spans="7323:7338" x14ac:dyDescent="0.3">
      <c r="JUW7335" s="7280"/>
    </row>
    <row r="7336" spans="7323:7338" x14ac:dyDescent="0.3">
      <c r="JUX7336" s="7281"/>
    </row>
    <row r="7337" spans="7323:7338" x14ac:dyDescent="0.3">
      <c r="JUY7337" s="7282"/>
    </row>
    <row r="7338" spans="7323:7338" x14ac:dyDescent="0.3">
      <c r="JUZ7338" s="7283"/>
    </row>
    <row r="7339" spans="7323:7338" x14ac:dyDescent="0.3">
      <c r="JVA7339" s="7284"/>
    </row>
    <row r="7340" spans="7323:7338" x14ac:dyDescent="0.3">
      <c r="JVB7340" s="7285"/>
    </row>
    <row r="7341" spans="7323:7338" x14ac:dyDescent="0.3">
      <c r="JVC7341" s="7286"/>
    </row>
    <row r="7342" spans="7323:7338" x14ac:dyDescent="0.3">
      <c r="JVD7342" s="7287"/>
    </row>
    <row r="7343" spans="7323:7338" x14ac:dyDescent="0.3">
      <c r="JVE7343" s="7288"/>
    </row>
    <row r="7344" spans="7323:7338" x14ac:dyDescent="0.3">
      <c r="JVF7344" s="7289"/>
    </row>
    <row r="7345" spans="7339:7354" x14ac:dyDescent="0.3">
      <c r="JVG7345" s="7290"/>
    </row>
    <row r="7346" spans="7339:7354" x14ac:dyDescent="0.3">
      <c r="JVH7346" s="7291"/>
    </row>
    <row r="7347" spans="7339:7354" x14ac:dyDescent="0.3">
      <c r="JVI7347" s="7292"/>
    </row>
    <row r="7348" spans="7339:7354" x14ac:dyDescent="0.3">
      <c r="JVJ7348" s="7293"/>
    </row>
    <row r="7349" spans="7339:7354" x14ac:dyDescent="0.3">
      <c r="JVK7349" s="7294"/>
    </row>
    <row r="7350" spans="7339:7354" x14ac:dyDescent="0.3">
      <c r="JVL7350" s="7295"/>
    </row>
    <row r="7351" spans="7339:7354" x14ac:dyDescent="0.3">
      <c r="JVM7351" s="7296"/>
    </row>
    <row r="7352" spans="7339:7354" x14ac:dyDescent="0.3">
      <c r="JVN7352" s="7297"/>
    </row>
    <row r="7353" spans="7339:7354" x14ac:dyDescent="0.3">
      <c r="JVO7353" s="7298"/>
    </row>
    <row r="7354" spans="7339:7354" x14ac:dyDescent="0.3">
      <c r="JVP7354" s="7299"/>
    </row>
    <row r="7355" spans="7339:7354" x14ac:dyDescent="0.3">
      <c r="JVQ7355" s="7300"/>
    </row>
    <row r="7356" spans="7339:7354" x14ac:dyDescent="0.3">
      <c r="JVR7356" s="7301"/>
    </row>
    <row r="7357" spans="7339:7354" x14ac:dyDescent="0.3">
      <c r="JVS7357" s="7302"/>
    </row>
    <row r="7358" spans="7339:7354" x14ac:dyDescent="0.3">
      <c r="JVT7358" s="7303"/>
    </row>
    <row r="7359" spans="7339:7354" x14ac:dyDescent="0.3">
      <c r="JVU7359" s="7304"/>
    </row>
    <row r="7360" spans="7339:7354" x14ac:dyDescent="0.3">
      <c r="JVV7360" s="7305"/>
    </row>
    <row r="7361" spans="7355:7370" x14ac:dyDescent="0.3">
      <c r="JVW7361" s="7306"/>
    </row>
    <row r="7362" spans="7355:7370" x14ac:dyDescent="0.3">
      <c r="JVX7362" s="7307"/>
    </row>
    <row r="7363" spans="7355:7370" x14ac:dyDescent="0.3">
      <c r="JVY7363" s="7308"/>
    </row>
    <row r="7364" spans="7355:7370" x14ac:dyDescent="0.3">
      <c r="JVZ7364" s="7309"/>
    </row>
    <row r="7365" spans="7355:7370" x14ac:dyDescent="0.3">
      <c r="JWA7365" s="7310"/>
    </row>
    <row r="7366" spans="7355:7370" x14ac:dyDescent="0.3">
      <c r="JWB7366" s="7311"/>
    </row>
    <row r="7367" spans="7355:7370" x14ac:dyDescent="0.3">
      <c r="JWC7367" s="7312"/>
    </row>
    <row r="7368" spans="7355:7370" x14ac:dyDescent="0.3">
      <c r="JWD7368" s="7313"/>
    </row>
    <row r="7369" spans="7355:7370" x14ac:dyDescent="0.3">
      <c r="JWE7369" s="7314"/>
    </row>
    <row r="7370" spans="7355:7370" x14ac:dyDescent="0.3">
      <c r="JWF7370" s="7315"/>
    </row>
    <row r="7371" spans="7355:7370" x14ac:dyDescent="0.3">
      <c r="JWG7371" s="7316"/>
    </row>
    <row r="7372" spans="7355:7370" x14ac:dyDescent="0.3">
      <c r="JWH7372" s="7317"/>
    </row>
    <row r="7373" spans="7355:7370" x14ac:dyDescent="0.3">
      <c r="JWI7373" s="7318"/>
    </row>
    <row r="7374" spans="7355:7370" x14ac:dyDescent="0.3">
      <c r="JWJ7374" s="7319"/>
    </row>
    <row r="7375" spans="7355:7370" x14ac:dyDescent="0.3">
      <c r="JWK7375" s="7320"/>
    </row>
    <row r="7376" spans="7355:7370" x14ac:dyDescent="0.3">
      <c r="JWL7376" s="7321"/>
    </row>
    <row r="7377" spans="7371:7386" x14ac:dyDescent="0.3">
      <c r="JWM7377" s="7322"/>
    </row>
    <row r="7378" spans="7371:7386" x14ac:dyDescent="0.3">
      <c r="JWN7378" s="7323"/>
    </row>
    <row r="7379" spans="7371:7386" x14ac:dyDescent="0.3">
      <c r="JWO7379" s="7324"/>
    </row>
    <row r="7380" spans="7371:7386" x14ac:dyDescent="0.3">
      <c r="JWP7380" s="7325"/>
    </row>
    <row r="7381" spans="7371:7386" x14ac:dyDescent="0.3">
      <c r="JWQ7381" s="7326"/>
    </row>
    <row r="7382" spans="7371:7386" x14ac:dyDescent="0.3">
      <c r="JWR7382" s="7327"/>
    </row>
    <row r="7383" spans="7371:7386" x14ac:dyDescent="0.3">
      <c r="JWS7383" s="7328"/>
    </row>
    <row r="7384" spans="7371:7386" x14ac:dyDescent="0.3">
      <c r="JWT7384" s="7329"/>
    </row>
    <row r="7385" spans="7371:7386" x14ac:dyDescent="0.3">
      <c r="JWU7385" s="7330"/>
    </row>
    <row r="7386" spans="7371:7386" x14ac:dyDescent="0.3">
      <c r="JWV7386" s="7331"/>
    </row>
    <row r="7387" spans="7371:7386" x14ac:dyDescent="0.3">
      <c r="JWW7387" s="7332"/>
    </row>
    <row r="7388" spans="7371:7386" x14ac:dyDescent="0.3">
      <c r="JWX7388" s="7333"/>
    </row>
    <row r="7389" spans="7371:7386" x14ac:dyDescent="0.3">
      <c r="JWY7389" s="7334"/>
    </row>
    <row r="7390" spans="7371:7386" x14ac:dyDescent="0.3">
      <c r="JWZ7390" s="7335"/>
    </row>
    <row r="7391" spans="7371:7386" x14ac:dyDescent="0.3">
      <c r="JXA7391" s="7336"/>
    </row>
    <row r="7392" spans="7371:7386" x14ac:dyDescent="0.3">
      <c r="JXB7392" s="7337"/>
    </row>
    <row r="7393" spans="7387:7402" x14ac:dyDescent="0.3">
      <c r="JXC7393" s="7338"/>
    </row>
    <row r="7394" spans="7387:7402" x14ac:dyDescent="0.3">
      <c r="JXD7394" s="7339"/>
    </row>
    <row r="7395" spans="7387:7402" x14ac:dyDescent="0.3">
      <c r="JXE7395" s="7340"/>
    </row>
    <row r="7396" spans="7387:7402" x14ac:dyDescent="0.3">
      <c r="JXF7396" s="7341"/>
    </row>
    <row r="7397" spans="7387:7402" x14ac:dyDescent="0.3">
      <c r="JXG7397" s="7342"/>
    </row>
    <row r="7398" spans="7387:7402" x14ac:dyDescent="0.3">
      <c r="JXH7398" s="7343"/>
    </row>
    <row r="7399" spans="7387:7402" x14ac:dyDescent="0.3">
      <c r="JXI7399" s="7344"/>
    </row>
    <row r="7400" spans="7387:7402" x14ac:dyDescent="0.3">
      <c r="JXJ7400" s="7345"/>
    </row>
    <row r="7401" spans="7387:7402" x14ac:dyDescent="0.3">
      <c r="JXK7401" s="7346"/>
    </row>
    <row r="7402" spans="7387:7402" x14ac:dyDescent="0.3">
      <c r="JXL7402" s="7347"/>
    </row>
    <row r="7403" spans="7387:7402" x14ac:dyDescent="0.3">
      <c r="JXM7403" s="7348"/>
    </row>
    <row r="7404" spans="7387:7402" x14ac:dyDescent="0.3">
      <c r="JXN7404" s="7349"/>
    </row>
    <row r="7405" spans="7387:7402" x14ac:dyDescent="0.3">
      <c r="JXO7405" s="7350"/>
    </row>
    <row r="7406" spans="7387:7402" x14ac:dyDescent="0.3">
      <c r="JXP7406" s="7351"/>
    </row>
    <row r="7407" spans="7387:7402" x14ac:dyDescent="0.3">
      <c r="JXQ7407" s="7352"/>
    </row>
    <row r="7408" spans="7387:7402" x14ac:dyDescent="0.3">
      <c r="JXR7408" s="7353"/>
    </row>
    <row r="7409" spans="7403:7418" x14ac:dyDescent="0.3">
      <c r="JXS7409" s="7354"/>
    </row>
    <row r="7410" spans="7403:7418" x14ac:dyDescent="0.3">
      <c r="JXT7410" s="7355"/>
    </row>
    <row r="7411" spans="7403:7418" x14ac:dyDescent="0.3">
      <c r="JXU7411" s="7356"/>
    </row>
    <row r="7412" spans="7403:7418" x14ac:dyDescent="0.3">
      <c r="JXV7412" s="7357"/>
    </row>
    <row r="7413" spans="7403:7418" x14ac:dyDescent="0.3">
      <c r="JXW7413" s="7358"/>
    </row>
    <row r="7414" spans="7403:7418" x14ac:dyDescent="0.3">
      <c r="JXX7414" s="7359"/>
    </row>
    <row r="7415" spans="7403:7418" x14ac:dyDescent="0.3">
      <c r="JXY7415" s="7360"/>
    </row>
    <row r="7416" spans="7403:7418" x14ac:dyDescent="0.3">
      <c r="JXZ7416" s="7361"/>
    </row>
    <row r="7417" spans="7403:7418" x14ac:dyDescent="0.3">
      <c r="JYA7417" s="7362"/>
    </row>
    <row r="7418" spans="7403:7418" x14ac:dyDescent="0.3">
      <c r="JYB7418" s="7363"/>
    </row>
    <row r="7419" spans="7403:7418" x14ac:dyDescent="0.3">
      <c r="JYC7419" s="7364"/>
    </row>
    <row r="7420" spans="7403:7418" x14ac:dyDescent="0.3">
      <c r="JYD7420" s="7365"/>
    </row>
    <row r="7421" spans="7403:7418" x14ac:dyDescent="0.3">
      <c r="JYE7421" s="7366"/>
    </row>
    <row r="7422" spans="7403:7418" x14ac:dyDescent="0.3">
      <c r="JYF7422" s="7367"/>
    </row>
    <row r="7423" spans="7403:7418" x14ac:dyDescent="0.3">
      <c r="JYG7423" s="7368"/>
    </row>
    <row r="7424" spans="7403:7418" x14ac:dyDescent="0.3">
      <c r="JYH7424" s="7369"/>
    </row>
    <row r="7425" spans="7419:7434" x14ac:dyDescent="0.3">
      <c r="JYI7425" s="7370"/>
    </row>
    <row r="7426" spans="7419:7434" x14ac:dyDescent="0.3">
      <c r="JYJ7426" s="7371"/>
    </row>
    <row r="7427" spans="7419:7434" x14ac:dyDescent="0.3">
      <c r="JYK7427" s="7372"/>
    </row>
    <row r="7428" spans="7419:7434" x14ac:dyDescent="0.3">
      <c r="JYL7428" s="7373"/>
    </row>
    <row r="7429" spans="7419:7434" x14ac:dyDescent="0.3">
      <c r="JYM7429" s="7374"/>
    </row>
    <row r="7430" spans="7419:7434" x14ac:dyDescent="0.3">
      <c r="JYN7430" s="7375"/>
    </row>
    <row r="7431" spans="7419:7434" x14ac:dyDescent="0.3">
      <c r="JYO7431" s="7376"/>
    </row>
    <row r="7432" spans="7419:7434" x14ac:dyDescent="0.3">
      <c r="JYP7432" s="7377"/>
    </row>
    <row r="7433" spans="7419:7434" x14ac:dyDescent="0.3">
      <c r="JYQ7433" s="7378"/>
    </row>
    <row r="7434" spans="7419:7434" x14ac:dyDescent="0.3">
      <c r="JYR7434" s="7379"/>
    </row>
    <row r="7435" spans="7419:7434" x14ac:dyDescent="0.3">
      <c r="JYS7435" s="7380"/>
    </row>
    <row r="7436" spans="7419:7434" x14ac:dyDescent="0.3">
      <c r="JYT7436" s="7381"/>
    </row>
    <row r="7437" spans="7419:7434" x14ac:dyDescent="0.3">
      <c r="JYU7437" s="7382"/>
    </row>
    <row r="7438" spans="7419:7434" x14ac:dyDescent="0.3">
      <c r="JYV7438" s="7383"/>
    </row>
    <row r="7439" spans="7419:7434" x14ac:dyDescent="0.3">
      <c r="JYW7439" s="7384"/>
    </row>
    <row r="7440" spans="7419:7434" x14ac:dyDescent="0.3">
      <c r="JYX7440" s="7385"/>
    </row>
    <row r="7441" spans="7435:7450" x14ac:dyDescent="0.3">
      <c r="JYY7441" s="7386"/>
    </row>
    <row r="7442" spans="7435:7450" x14ac:dyDescent="0.3">
      <c r="JYZ7442" s="7387"/>
    </row>
    <row r="7443" spans="7435:7450" x14ac:dyDescent="0.3">
      <c r="JZA7443" s="7388"/>
    </row>
    <row r="7444" spans="7435:7450" x14ac:dyDescent="0.3">
      <c r="JZB7444" s="7389"/>
    </row>
    <row r="7445" spans="7435:7450" x14ac:dyDescent="0.3">
      <c r="JZC7445" s="7390"/>
    </row>
    <row r="7446" spans="7435:7450" x14ac:dyDescent="0.3">
      <c r="JZD7446" s="7391"/>
    </row>
    <row r="7447" spans="7435:7450" x14ac:dyDescent="0.3">
      <c r="JZE7447" s="7392"/>
    </row>
    <row r="7448" spans="7435:7450" x14ac:dyDescent="0.3">
      <c r="JZF7448" s="7393"/>
    </row>
    <row r="7449" spans="7435:7450" x14ac:dyDescent="0.3">
      <c r="JZG7449" s="7394"/>
    </row>
    <row r="7450" spans="7435:7450" x14ac:dyDescent="0.3">
      <c r="JZH7450" s="7395"/>
    </row>
    <row r="7451" spans="7435:7450" x14ac:dyDescent="0.3">
      <c r="JZI7451" s="7396"/>
    </row>
    <row r="7452" spans="7435:7450" x14ac:dyDescent="0.3">
      <c r="JZJ7452" s="7397"/>
    </row>
    <row r="7453" spans="7435:7450" x14ac:dyDescent="0.3">
      <c r="JZK7453" s="7398"/>
    </row>
    <row r="7454" spans="7435:7450" x14ac:dyDescent="0.3">
      <c r="JZL7454" s="7399"/>
    </row>
    <row r="7455" spans="7435:7450" x14ac:dyDescent="0.3">
      <c r="JZM7455" s="7400"/>
    </row>
    <row r="7456" spans="7435:7450" x14ac:dyDescent="0.3">
      <c r="JZN7456" s="7401"/>
    </row>
    <row r="7457" spans="7451:7466" x14ac:dyDescent="0.3">
      <c r="JZO7457" s="7402"/>
    </row>
    <row r="7458" spans="7451:7466" x14ac:dyDescent="0.3">
      <c r="JZP7458" s="7403"/>
    </row>
    <row r="7459" spans="7451:7466" x14ac:dyDescent="0.3">
      <c r="JZQ7459" s="7403"/>
    </row>
    <row r="7460" spans="7451:7466" x14ac:dyDescent="0.3">
      <c r="JZR7460" s="7404"/>
    </row>
    <row r="7461" spans="7451:7466" x14ac:dyDescent="0.3">
      <c r="JZS7461" s="7405"/>
    </row>
    <row r="7462" spans="7451:7466" x14ac:dyDescent="0.3">
      <c r="JZT7462" s="7406"/>
    </row>
    <row r="7463" spans="7451:7466" x14ac:dyDescent="0.3">
      <c r="JZU7463" s="7407"/>
    </row>
    <row r="7464" spans="7451:7466" x14ac:dyDescent="0.3">
      <c r="JZV7464" s="7408"/>
    </row>
    <row r="7465" spans="7451:7466" x14ac:dyDescent="0.3">
      <c r="JZW7465" s="7409"/>
    </row>
    <row r="7466" spans="7451:7466" x14ac:dyDescent="0.3">
      <c r="JZX7466" s="7410"/>
    </row>
    <row r="7467" spans="7451:7466" x14ac:dyDescent="0.3">
      <c r="JZY7467" s="7411"/>
    </row>
    <row r="7468" spans="7451:7466" x14ac:dyDescent="0.3">
      <c r="JZZ7468" s="7412"/>
    </row>
    <row r="7469" spans="7451:7466" x14ac:dyDescent="0.3">
      <c r="KAA7469" s="7413"/>
    </row>
    <row r="7470" spans="7451:7466" x14ac:dyDescent="0.3">
      <c r="KAB7470" s="7414"/>
    </row>
    <row r="7471" spans="7451:7466" x14ac:dyDescent="0.3">
      <c r="KAC7471" s="7415"/>
    </row>
    <row r="7472" spans="7451:7466" x14ac:dyDescent="0.3">
      <c r="KAD7472" s="7416"/>
    </row>
    <row r="7473" spans="7467:7482" x14ac:dyDescent="0.3">
      <c r="KAE7473" s="7417"/>
    </row>
    <row r="7474" spans="7467:7482" x14ac:dyDescent="0.3">
      <c r="KAF7474" s="7418"/>
    </row>
    <row r="7475" spans="7467:7482" x14ac:dyDescent="0.3">
      <c r="KAG7475" s="7419"/>
    </row>
    <row r="7476" spans="7467:7482" x14ac:dyDescent="0.3">
      <c r="KAH7476" s="7420"/>
    </row>
    <row r="7477" spans="7467:7482" x14ac:dyDescent="0.3">
      <c r="KAI7477" s="7421"/>
    </row>
    <row r="7478" spans="7467:7482" x14ac:dyDescent="0.3">
      <c r="KAJ7478" s="7422"/>
    </row>
    <row r="7479" spans="7467:7482" x14ac:dyDescent="0.3">
      <c r="KAK7479" s="7423"/>
    </row>
    <row r="7480" spans="7467:7482" x14ac:dyDescent="0.3">
      <c r="KAL7480" s="7424"/>
    </row>
    <row r="7481" spans="7467:7482" x14ac:dyDescent="0.3">
      <c r="KAM7481" s="7425"/>
    </row>
    <row r="7482" spans="7467:7482" x14ac:dyDescent="0.3">
      <c r="KAN7482" s="7426"/>
    </row>
    <row r="7483" spans="7467:7482" x14ac:dyDescent="0.3">
      <c r="KAO7483" s="7427"/>
    </row>
    <row r="7484" spans="7467:7482" x14ac:dyDescent="0.3">
      <c r="KAP7484" s="7428"/>
    </row>
    <row r="7485" spans="7467:7482" x14ac:dyDescent="0.3">
      <c r="KAQ7485" s="7429"/>
    </row>
    <row r="7486" spans="7467:7482" x14ac:dyDescent="0.3">
      <c r="KAR7486" s="7430"/>
    </row>
    <row r="7487" spans="7467:7482" x14ac:dyDescent="0.3">
      <c r="KAS7487" s="7431"/>
    </row>
    <row r="7488" spans="7467:7482" x14ac:dyDescent="0.3">
      <c r="KAT7488" s="7432"/>
    </row>
    <row r="7489" spans="7483:7498" x14ac:dyDescent="0.3">
      <c r="KAU7489" s="7433"/>
    </row>
    <row r="7490" spans="7483:7498" x14ac:dyDescent="0.3">
      <c r="KAV7490" s="7434"/>
    </row>
    <row r="7491" spans="7483:7498" x14ac:dyDescent="0.3">
      <c r="KAW7491" s="7435"/>
    </row>
    <row r="7492" spans="7483:7498" x14ac:dyDescent="0.3">
      <c r="KAX7492" s="7436"/>
    </row>
    <row r="7493" spans="7483:7498" x14ac:dyDescent="0.3">
      <c r="KAY7493" s="7437"/>
    </row>
    <row r="7494" spans="7483:7498" x14ac:dyDescent="0.3">
      <c r="KAZ7494" s="7438"/>
    </row>
    <row r="7495" spans="7483:7498" x14ac:dyDescent="0.3">
      <c r="KBA7495" s="7439"/>
    </row>
    <row r="7496" spans="7483:7498" x14ac:dyDescent="0.3">
      <c r="KBB7496" s="7440"/>
    </row>
    <row r="7497" spans="7483:7498" x14ac:dyDescent="0.3">
      <c r="KBC7497" s="7441"/>
    </row>
    <row r="7498" spans="7483:7498" x14ac:dyDescent="0.3">
      <c r="KBD7498" s="7442"/>
    </row>
    <row r="7499" spans="7483:7498" x14ac:dyDescent="0.3">
      <c r="KBE7499" s="7443"/>
    </row>
    <row r="7500" spans="7483:7498" x14ac:dyDescent="0.3">
      <c r="KBF7500" s="7444"/>
    </row>
    <row r="7501" spans="7483:7498" x14ac:dyDescent="0.3">
      <c r="KBG7501" s="7445"/>
    </row>
    <row r="7502" spans="7483:7498" x14ac:dyDescent="0.3">
      <c r="KBH7502" s="7446"/>
    </row>
    <row r="7503" spans="7483:7498" x14ac:dyDescent="0.3">
      <c r="KBI7503" s="7447"/>
    </row>
    <row r="7504" spans="7483:7498" x14ac:dyDescent="0.3">
      <c r="KBJ7504" s="7448"/>
    </row>
    <row r="7505" spans="7499:7514" x14ac:dyDescent="0.3">
      <c r="KBK7505" s="7449"/>
    </row>
    <row r="7506" spans="7499:7514" x14ac:dyDescent="0.3">
      <c r="KBL7506" s="7450"/>
    </row>
    <row r="7507" spans="7499:7514" x14ac:dyDescent="0.3">
      <c r="KBM7507" s="7451"/>
    </row>
    <row r="7508" spans="7499:7514" x14ac:dyDescent="0.3">
      <c r="KBN7508" s="7452"/>
    </row>
    <row r="7509" spans="7499:7514" x14ac:dyDescent="0.3">
      <c r="KBO7509" s="7453"/>
    </row>
    <row r="7510" spans="7499:7514" x14ac:dyDescent="0.3">
      <c r="KBP7510" s="7454"/>
    </row>
    <row r="7511" spans="7499:7514" x14ac:dyDescent="0.3">
      <c r="KBQ7511" s="7455"/>
    </row>
    <row r="7512" spans="7499:7514" x14ac:dyDescent="0.3">
      <c r="KBR7512" s="7456"/>
    </row>
    <row r="7513" spans="7499:7514" x14ac:dyDescent="0.3">
      <c r="KBS7513" s="7457"/>
    </row>
    <row r="7514" spans="7499:7514" x14ac:dyDescent="0.3">
      <c r="KBT7514" s="7458"/>
    </row>
    <row r="7515" spans="7499:7514" x14ac:dyDescent="0.3">
      <c r="KBU7515" s="7459"/>
    </row>
    <row r="7516" spans="7499:7514" x14ac:dyDescent="0.3">
      <c r="KBV7516" s="7460"/>
    </row>
    <row r="7517" spans="7499:7514" x14ac:dyDescent="0.3">
      <c r="KBW7517" s="7461"/>
    </row>
    <row r="7518" spans="7499:7514" x14ac:dyDescent="0.3">
      <c r="KBX7518" s="7462"/>
    </row>
    <row r="7519" spans="7499:7514" x14ac:dyDescent="0.3">
      <c r="KBY7519" s="7463"/>
    </row>
    <row r="7520" spans="7499:7514" x14ac:dyDescent="0.3">
      <c r="KBZ7520" s="7464"/>
    </row>
    <row r="7521" spans="7515:7530" x14ac:dyDescent="0.3">
      <c r="KCA7521" s="7465"/>
    </row>
    <row r="7522" spans="7515:7530" x14ac:dyDescent="0.3">
      <c r="KCB7522" s="7466"/>
    </row>
    <row r="7523" spans="7515:7530" x14ac:dyDescent="0.3">
      <c r="KCC7523" s="7467"/>
    </row>
    <row r="7524" spans="7515:7530" x14ac:dyDescent="0.3">
      <c r="KCD7524" s="7468"/>
    </row>
    <row r="7525" spans="7515:7530" x14ac:dyDescent="0.3">
      <c r="KCE7525" s="7469"/>
    </row>
    <row r="7526" spans="7515:7530" x14ac:dyDescent="0.3">
      <c r="KCF7526" s="7470"/>
    </row>
    <row r="7527" spans="7515:7530" x14ac:dyDescent="0.3">
      <c r="KCG7527" s="7471"/>
    </row>
    <row r="7528" spans="7515:7530" x14ac:dyDescent="0.3">
      <c r="KCH7528" s="7472"/>
    </row>
    <row r="7529" spans="7515:7530" x14ac:dyDescent="0.3">
      <c r="KCI7529" s="7473"/>
    </row>
    <row r="7530" spans="7515:7530" x14ac:dyDescent="0.3">
      <c r="KCJ7530" s="7474"/>
    </row>
    <row r="7531" spans="7515:7530" x14ac:dyDescent="0.3">
      <c r="KCK7531" s="7475"/>
    </row>
    <row r="7532" spans="7515:7530" x14ac:dyDescent="0.3">
      <c r="KCL7532" s="7476"/>
    </row>
    <row r="7533" spans="7515:7530" x14ac:dyDescent="0.3">
      <c r="KCM7533" s="7477"/>
    </row>
    <row r="7534" spans="7515:7530" x14ac:dyDescent="0.3">
      <c r="KCN7534" s="7478"/>
    </row>
    <row r="7535" spans="7515:7530" x14ac:dyDescent="0.3">
      <c r="KCO7535" s="7479"/>
    </row>
    <row r="7536" spans="7515:7530" x14ac:dyDescent="0.3">
      <c r="KCP7536" s="7480"/>
    </row>
    <row r="7537" spans="7531:7546" x14ac:dyDescent="0.3">
      <c r="KCQ7537" s="7481"/>
    </row>
    <row r="7538" spans="7531:7546" x14ac:dyDescent="0.3">
      <c r="KCR7538" s="7482"/>
    </row>
    <row r="7539" spans="7531:7546" x14ac:dyDescent="0.3">
      <c r="KCS7539" s="7483"/>
    </row>
    <row r="7540" spans="7531:7546" x14ac:dyDescent="0.3">
      <c r="KCT7540" s="7484"/>
    </row>
    <row r="7541" spans="7531:7546" x14ac:dyDescent="0.3">
      <c r="KCU7541" s="7485"/>
    </row>
    <row r="7542" spans="7531:7546" x14ac:dyDescent="0.3">
      <c r="KCV7542" s="7486"/>
    </row>
    <row r="7543" spans="7531:7546" x14ac:dyDescent="0.3">
      <c r="KCW7543" s="7487"/>
    </row>
    <row r="7544" spans="7531:7546" x14ac:dyDescent="0.3">
      <c r="KCX7544" s="7488"/>
    </row>
    <row r="7545" spans="7531:7546" x14ac:dyDescent="0.3">
      <c r="KCY7545" s="7489"/>
    </row>
    <row r="7546" spans="7531:7546" x14ac:dyDescent="0.3">
      <c r="KCZ7546" s="7490"/>
    </row>
    <row r="7547" spans="7531:7546" x14ac:dyDescent="0.3">
      <c r="KDA7547" s="7491"/>
    </row>
    <row r="7548" spans="7531:7546" x14ac:dyDescent="0.3">
      <c r="KDB7548" s="7492"/>
    </row>
    <row r="7549" spans="7531:7546" x14ac:dyDescent="0.3">
      <c r="KDC7549" s="7493"/>
    </row>
    <row r="7550" spans="7531:7546" x14ac:dyDescent="0.3">
      <c r="KDD7550" s="7494"/>
    </row>
    <row r="7551" spans="7531:7546" x14ac:dyDescent="0.3">
      <c r="KDE7551" s="7495"/>
    </row>
    <row r="7552" spans="7531:7546" x14ac:dyDescent="0.3">
      <c r="KDF7552" s="7496"/>
    </row>
    <row r="7553" spans="7547:7562" x14ac:dyDescent="0.3">
      <c r="KDG7553" s="7497"/>
    </row>
    <row r="7554" spans="7547:7562" x14ac:dyDescent="0.3">
      <c r="KDH7554" s="7498"/>
    </row>
    <row r="7555" spans="7547:7562" x14ac:dyDescent="0.3">
      <c r="KDI7555" s="7499"/>
    </row>
    <row r="7556" spans="7547:7562" x14ac:dyDescent="0.3">
      <c r="KDJ7556" s="7500"/>
    </row>
    <row r="7557" spans="7547:7562" x14ac:dyDescent="0.3">
      <c r="KDK7557" s="7501"/>
    </row>
    <row r="7558" spans="7547:7562" x14ac:dyDescent="0.3">
      <c r="KDL7558" s="7502"/>
    </row>
    <row r="7559" spans="7547:7562" x14ac:dyDescent="0.3">
      <c r="KDM7559" s="7503"/>
    </row>
    <row r="7560" spans="7547:7562" x14ac:dyDescent="0.3">
      <c r="KDN7560" s="7504"/>
    </row>
    <row r="7561" spans="7547:7562" x14ac:dyDescent="0.3">
      <c r="KDO7561" s="7505"/>
    </row>
    <row r="7562" spans="7547:7562" x14ac:dyDescent="0.3">
      <c r="KDP7562" s="7506"/>
    </row>
    <row r="7563" spans="7547:7562" x14ac:dyDescent="0.3">
      <c r="KDQ7563" s="7507"/>
    </row>
    <row r="7564" spans="7547:7562" x14ac:dyDescent="0.3">
      <c r="KDR7564" s="7508"/>
    </row>
    <row r="7565" spans="7547:7562" x14ac:dyDescent="0.3">
      <c r="KDS7565" s="7509"/>
    </row>
    <row r="7566" spans="7547:7562" x14ac:dyDescent="0.3">
      <c r="KDT7566" s="7510"/>
    </row>
    <row r="7567" spans="7547:7562" x14ac:dyDescent="0.3">
      <c r="KDU7567" s="7511"/>
    </row>
    <row r="7568" spans="7547:7562" x14ac:dyDescent="0.3">
      <c r="KDV7568" s="7512"/>
    </row>
    <row r="7569" spans="7563:7578" x14ac:dyDescent="0.3">
      <c r="KDW7569" s="7513"/>
    </row>
    <row r="7570" spans="7563:7578" x14ac:dyDescent="0.3">
      <c r="KDX7570" s="7514"/>
    </row>
    <row r="7571" spans="7563:7578" x14ac:dyDescent="0.3">
      <c r="KDY7571" s="7515"/>
    </row>
    <row r="7572" spans="7563:7578" x14ac:dyDescent="0.3">
      <c r="KDZ7572" s="7516"/>
    </row>
    <row r="7573" spans="7563:7578" x14ac:dyDescent="0.3">
      <c r="KEA7573" s="7517"/>
    </row>
    <row r="7574" spans="7563:7578" x14ac:dyDescent="0.3">
      <c r="KEB7574" s="7518"/>
    </row>
    <row r="7575" spans="7563:7578" x14ac:dyDescent="0.3">
      <c r="KEC7575" s="7519"/>
    </row>
    <row r="7576" spans="7563:7578" x14ac:dyDescent="0.3">
      <c r="KED7576" s="7520"/>
    </row>
    <row r="7577" spans="7563:7578" x14ac:dyDescent="0.3">
      <c r="KEE7577" s="7521"/>
    </row>
    <row r="7578" spans="7563:7578" x14ac:dyDescent="0.3">
      <c r="KEF7578" s="7522"/>
    </row>
    <row r="7579" spans="7563:7578" x14ac:dyDescent="0.3">
      <c r="KEG7579" s="7523"/>
    </row>
    <row r="7580" spans="7563:7578" x14ac:dyDescent="0.3">
      <c r="KEH7580" s="7524"/>
    </row>
    <row r="7581" spans="7563:7578" x14ac:dyDescent="0.3">
      <c r="KEI7581" s="7525"/>
    </row>
    <row r="7582" spans="7563:7578" x14ac:dyDescent="0.3">
      <c r="KEJ7582" s="7526"/>
    </row>
    <row r="7583" spans="7563:7578" x14ac:dyDescent="0.3">
      <c r="KEK7583" s="7527"/>
    </row>
    <row r="7584" spans="7563:7578" x14ac:dyDescent="0.3">
      <c r="KEL7584" s="7528"/>
    </row>
    <row r="7585" spans="7579:7594" x14ac:dyDescent="0.3">
      <c r="KEM7585" s="7529"/>
    </row>
    <row r="7586" spans="7579:7594" x14ac:dyDescent="0.3">
      <c r="KEN7586" s="7530"/>
    </row>
    <row r="7587" spans="7579:7594" x14ac:dyDescent="0.3">
      <c r="KEO7587" s="7531"/>
    </row>
    <row r="7588" spans="7579:7594" x14ac:dyDescent="0.3">
      <c r="KEP7588" s="7532"/>
    </row>
    <row r="7589" spans="7579:7594" x14ac:dyDescent="0.3">
      <c r="KEQ7589" s="7533"/>
    </row>
    <row r="7590" spans="7579:7594" x14ac:dyDescent="0.3">
      <c r="KER7590" s="7534"/>
    </row>
    <row r="7591" spans="7579:7594" x14ac:dyDescent="0.3">
      <c r="KES7591" s="7535"/>
    </row>
    <row r="7592" spans="7579:7594" x14ac:dyDescent="0.3">
      <c r="KET7592" s="7536"/>
    </row>
    <row r="7593" spans="7579:7594" x14ac:dyDescent="0.3">
      <c r="KEU7593" s="7537"/>
    </row>
    <row r="7594" spans="7579:7594" x14ac:dyDescent="0.3">
      <c r="KEV7594" s="7538"/>
    </row>
    <row r="7595" spans="7579:7594" x14ac:dyDescent="0.3">
      <c r="KEW7595" s="7539"/>
    </row>
    <row r="7596" spans="7579:7594" x14ac:dyDescent="0.3">
      <c r="KEX7596" s="7540"/>
    </row>
    <row r="7597" spans="7579:7594" x14ac:dyDescent="0.3">
      <c r="KEY7597" s="7541"/>
    </row>
    <row r="7598" spans="7579:7594" x14ac:dyDescent="0.3">
      <c r="KEZ7598" s="7542"/>
    </row>
    <row r="7599" spans="7579:7594" x14ac:dyDescent="0.3">
      <c r="KFA7599" s="7543"/>
    </row>
    <row r="7600" spans="7579:7594" x14ac:dyDescent="0.3">
      <c r="KFB7600" s="7544"/>
    </row>
    <row r="7601" spans="7595:7610" x14ac:dyDescent="0.3">
      <c r="KFC7601" s="7545"/>
    </row>
    <row r="7602" spans="7595:7610" x14ac:dyDescent="0.3">
      <c r="KFD7602" s="7546"/>
    </row>
    <row r="7603" spans="7595:7610" x14ac:dyDescent="0.3">
      <c r="KFE7603" s="7547"/>
    </row>
    <row r="7604" spans="7595:7610" x14ac:dyDescent="0.3">
      <c r="KFF7604" s="7548"/>
    </row>
    <row r="7605" spans="7595:7610" x14ac:dyDescent="0.3">
      <c r="KFG7605" s="7549"/>
    </row>
    <row r="7606" spans="7595:7610" x14ac:dyDescent="0.3">
      <c r="KFH7606" s="7550"/>
    </row>
    <row r="7607" spans="7595:7610" x14ac:dyDescent="0.3">
      <c r="KFI7607" s="7551"/>
    </row>
    <row r="7608" spans="7595:7610" x14ac:dyDescent="0.3">
      <c r="KFJ7608" s="7552"/>
    </row>
    <row r="7609" spans="7595:7610" x14ac:dyDescent="0.3">
      <c r="KFK7609" s="7553"/>
    </row>
    <row r="7610" spans="7595:7610" x14ac:dyDescent="0.3">
      <c r="KFL7610" s="7554"/>
    </row>
    <row r="7611" spans="7595:7610" x14ac:dyDescent="0.3">
      <c r="KFM7611" s="7555"/>
    </row>
    <row r="7612" spans="7595:7610" x14ac:dyDescent="0.3">
      <c r="KFN7612" s="7556"/>
    </row>
    <row r="7613" spans="7595:7610" x14ac:dyDescent="0.3">
      <c r="KFO7613" s="7557"/>
    </row>
    <row r="7614" spans="7595:7610" x14ac:dyDescent="0.3">
      <c r="KFP7614" s="7558"/>
    </row>
    <row r="7615" spans="7595:7610" x14ac:dyDescent="0.3">
      <c r="KFQ7615" s="7559"/>
    </row>
    <row r="7616" spans="7595:7610" x14ac:dyDescent="0.3">
      <c r="KFR7616" s="7560"/>
    </row>
    <row r="7617" spans="7611:7626" x14ac:dyDescent="0.3">
      <c r="KFS7617" s="7561"/>
    </row>
    <row r="7618" spans="7611:7626" x14ac:dyDescent="0.3">
      <c r="KFT7618" s="7562"/>
    </row>
    <row r="7619" spans="7611:7626" x14ac:dyDescent="0.3">
      <c r="KFU7619" s="7563"/>
    </row>
    <row r="7620" spans="7611:7626" x14ac:dyDescent="0.3">
      <c r="KFV7620" s="7564"/>
    </row>
    <row r="7621" spans="7611:7626" x14ac:dyDescent="0.3">
      <c r="KFW7621" s="7565"/>
    </row>
    <row r="7622" spans="7611:7626" x14ac:dyDescent="0.3">
      <c r="KFX7622" s="7566"/>
    </row>
    <row r="7623" spans="7611:7626" x14ac:dyDescent="0.3">
      <c r="KFY7623" s="7567"/>
    </row>
    <row r="7624" spans="7611:7626" x14ac:dyDescent="0.3">
      <c r="KFZ7624" s="7568"/>
    </row>
    <row r="7625" spans="7611:7626" x14ac:dyDescent="0.3">
      <c r="KGA7625" s="7569"/>
    </row>
    <row r="7626" spans="7611:7626" x14ac:dyDescent="0.3">
      <c r="KGB7626" s="7570"/>
    </row>
    <row r="7627" spans="7611:7626" x14ac:dyDescent="0.3">
      <c r="KGC7627" s="7571"/>
    </row>
    <row r="7628" spans="7611:7626" x14ac:dyDescent="0.3">
      <c r="KGD7628" s="7572"/>
    </row>
    <row r="7629" spans="7611:7626" x14ac:dyDescent="0.3">
      <c r="KGE7629" s="7573"/>
    </row>
    <row r="7630" spans="7611:7626" x14ac:dyDescent="0.3">
      <c r="KGF7630" s="7574"/>
    </row>
    <row r="7631" spans="7611:7626" x14ac:dyDescent="0.3">
      <c r="KGG7631" s="7575"/>
    </row>
    <row r="7632" spans="7611:7626" x14ac:dyDescent="0.3">
      <c r="KGH7632" s="7576"/>
    </row>
    <row r="7633" spans="7627:7642" x14ac:dyDescent="0.3">
      <c r="KGI7633" s="7577"/>
    </row>
    <row r="7634" spans="7627:7642" x14ac:dyDescent="0.3">
      <c r="KGJ7634" s="7578"/>
    </row>
    <row r="7635" spans="7627:7642" x14ac:dyDescent="0.3">
      <c r="KGK7635" s="7579"/>
    </row>
    <row r="7636" spans="7627:7642" x14ac:dyDescent="0.3">
      <c r="KGL7636" s="7580"/>
    </row>
    <row r="7637" spans="7627:7642" x14ac:dyDescent="0.3">
      <c r="KGM7637" s="7581"/>
    </row>
    <row r="7638" spans="7627:7642" x14ac:dyDescent="0.3">
      <c r="KGN7638" s="7582"/>
    </row>
    <row r="7639" spans="7627:7642" x14ac:dyDescent="0.3">
      <c r="KGO7639" s="7583"/>
    </row>
    <row r="7640" spans="7627:7642" x14ac:dyDescent="0.3">
      <c r="KGP7640" s="7584"/>
    </row>
    <row r="7641" spans="7627:7642" x14ac:dyDescent="0.3">
      <c r="KGQ7641" s="7585"/>
    </row>
    <row r="7642" spans="7627:7642" x14ac:dyDescent="0.3">
      <c r="KGR7642" s="7586"/>
    </row>
    <row r="7643" spans="7627:7642" x14ac:dyDescent="0.3">
      <c r="KGS7643" s="7587"/>
    </row>
    <row r="7644" spans="7627:7642" x14ac:dyDescent="0.3">
      <c r="KGT7644" s="7588"/>
    </row>
    <row r="7645" spans="7627:7642" x14ac:dyDescent="0.3">
      <c r="KGU7645" s="7589"/>
    </row>
    <row r="7646" spans="7627:7642" x14ac:dyDescent="0.3">
      <c r="KGV7646" s="7590"/>
    </row>
    <row r="7647" spans="7627:7642" x14ac:dyDescent="0.3">
      <c r="KGW7647" s="7591"/>
    </row>
    <row r="7648" spans="7627:7642" x14ac:dyDescent="0.3">
      <c r="KGX7648" s="7592"/>
    </row>
    <row r="7649" spans="7643:7658" x14ac:dyDescent="0.3">
      <c r="KGY7649" s="7593"/>
    </row>
    <row r="7650" spans="7643:7658" x14ac:dyDescent="0.3">
      <c r="KGZ7650" s="7594"/>
    </row>
    <row r="7651" spans="7643:7658" x14ac:dyDescent="0.3">
      <c r="KHA7651" s="7595"/>
    </row>
    <row r="7652" spans="7643:7658" x14ac:dyDescent="0.3">
      <c r="KHB7652" s="7596"/>
    </row>
    <row r="7653" spans="7643:7658" x14ac:dyDescent="0.3">
      <c r="KHC7653" s="7597"/>
    </row>
    <row r="7654" spans="7643:7658" x14ac:dyDescent="0.3">
      <c r="KHD7654" s="7598"/>
    </row>
    <row r="7655" spans="7643:7658" x14ac:dyDescent="0.3">
      <c r="KHE7655" s="7599"/>
    </row>
    <row r="7656" spans="7643:7658" x14ac:dyDescent="0.3">
      <c r="KHF7656" s="7600"/>
    </row>
    <row r="7657" spans="7643:7658" x14ac:dyDescent="0.3">
      <c r="KHG7657" s="7601"/>
    </row>
    <row r="7658" spans="7643:7658" x14ac:dyDescent="0.3">
      <c r="KHH7658" s="7602"/>
    </row>
    <row r="7659" spans="7643:7658" x14ac:dyDescent="0.3">
      <c r="KHI7659" s="7603"/>
    </row>
    <row r="7660" spans="7643:7658" x14ac:dyDescent="0.3">
      <c r="KHJ7660" s="7604"/>
    </row>
    <row r="7661" spans="7643:7658" x14ac:dyDescent="0.3">
      <c r="KHK7661" s="7605"/>
    </row>
    <row r="7662" spans="7643:7658" x14ac:dyDescent="0.3">
      <c r="KHL7662" s="7606"/>
    </row>
    <row r="7663" spans="7643:7658" x14ac:dyDescent="0.3">
      <c r="KHM7663" s="7607"/>
    </row>
    <row r="7664" spans="7643:7658" x14ac:dyDescent="0.3">
      <c r="KHN7664" s="7608"/>
    </row>
    <row r="7665" spans="7659:7674" x14ac:dyDescent="0.3">
      <c r="KHO7665" s="7609"/>
    </row>
    <row r="7666" spans="7659:7674" x14ac:dyDescent="0.3">
      <c r="KHP7666" s="7610"/>
    </row>
    <row r="7667" spans="7659:7674" x14ac:dyDescent="0.3">
      <c r="KHQ7667" s="7611"/>
    </row>
    <row r="7668" spans="7659:7674" x14ac:dyDescent="0.3">
      <c r="KHR7668" s="7612"/>
    </row>
    <row r="7669" spans="7659:7674" x14ac:dyDescent="0.3">
      <c r="KHS7669" s="7613"/>
    </row>
    <row r="7670" spans="7659:7674" x14ac:dyDescent="0.3">
      <c r="KHT7670" s="7614"/>
    </row>
    <row r="7671" spans="7659:7674" x14ac:dyDescent="0.3">
      <c r="KHU7671" s="7615"/>
    </row>
    <row r="7672" spans="7659:7674" x14ac:dyDescent="0.3">
      <c r="KHV7672" s="7616"/>
    </row>
    <row r="7673" spans="7659:7674" x14ac:dyDescent="0.3">
      <c r="KHW7673" s="7617"/>
    </row>
    <row r="7674" spans="7659:7674" x14ac:dyDescent="0.3">
      <c r="KHX7674" s="7618"/>
    </row>
    <row r="7675" spans="7659:7674" x14ac:dyDescent="0.3">
      <c r="KHY7675" s="7619"/>
    </row>
    <row r="7676" spans="7659:7674" x14ac:dyDescent="0.3">
      <c r="KHZ7676" s="7620"/>
    </row>
    <row r="7677" spans="7659:7674" x14ac:dyDescent="0.3">
      <c r="KIA7677" s="7621"/>
    </row>
    <row r="7678" spans="7659:7674" x14ac:dyDescent="0.3">
      <c r="KIB7678" s="7622"/>
    </row>
    <row r="7679" spans="7659:7674" x14ac:dyDescent="0.3">
      <c r="KIC7679" s="7623"/>
    </row>
    <row r="7680" spans="7659:7674" x14ac:dyDescent="0.3">
      <c r="KID7680" s="7624"/>
    </row>
    <row r="7681" spans="7675:7690" x14ac:dyDescent="0.3">
      <c r="KIE7681" s="7625"/>
    </row>
    <row r="7682" spans="7675:7690" x14ac:dyDescent="0.3">
      <c r="KIF7682" s="7626"/>
    </row>
    <row r="7683" spans="7675:7690" x14ac:dyDescent="0.3">
      <c r="KIG7683" s="7627"/>
    </row>
    <row r="7684" spans="7675:7690" x14ac:dyDescent="0.3">
      <c r="KIH7684" s="7628"/>
    </row>
    <row r="7685" spans="7675:7690" x14ac:dyDescent="0.3">
      <c r="KII7685" s="7629"/>
    </row>
    <row r="7686" spans="7675:7690" x14ac:dyDescent="0.3">
      <c r="KIJ7686" s="7630"/>
    </row>
    <row r="7687" spans="7675:7690" x14ac:dyDescent="0.3">
      <c r="KIK7687" s="7631"/>
    </row>
    <row r="7688" spans="7675:7690" x14ac:dyDescent="0.3">
      <c r="KIL7688" s="7632"/>
    </row>
    <row r="7689" spans="7675:7690" x14ac:dyDescent="0.3">
      <c r="KIM7689" s="7633"/>
    </row>
    <row r="7690" spans="7675:7690" x14ac:dyDescent="0.3">
      <c r="KIN7690" s="7634"/>
    </row>
    <row r="7691" spans="7675:7690" x14ac:dyDescent="0.3">
      <c r="KIO7691" s="7635"/>
    </row>
    <row r="7692" spans="7675:7690" x14ac:dyDescent="0.3">
      <c r="KIP7692" s="7636"/>
    </row>
    <row r="7693" spans="7675:7690" x14ac:dyDescent="0.3">
      <c r="KIQ7693" s="7637"/>
    </row>
    <row r="7694" spans="7675:7690" x14ac:dyDescent="0.3">
      <c r="KIR7694" s="7638"/>
    </row>
    <row r="7695" spans="7675:7690" x14ac:dyDescent="0.3">
      <c r="KIS7695" s="7639"/>
    </row>
    <row r="7696" spans="7675:7690" x14ac:dyDescent="0.3">
      <c r="KIT7696" s="7640"/>
    </row>
    <row r="7697" spans="7691:7706" x14ac:dyDescent="0.3">
      <c r="KIU7697" s="7641"/>
    </row>
    <row r="7698" spans="7691:7706" x14ac:dyDescent="0.3">
      <c r="KIV7698" s="7642"/>
    </row>
    <row r="7699" spans="7691:7706" x14ac:dyDescent="0.3">
      <c r="KIW7699" s="7643"/>
    </row>
    <row r="7700" spans="7691:7706" x14ac:dyDescent="0.3">
      <c r="KIX7700" s="7644"/>
    </row>
    <row r="7701" spans="7691:7706" x14ac:dyDescent="0.3">
      <c r="KIY7701" s="7645"/>
    </row>
    <row r="7702" spans="7691:7706" x14ac:dyDescent="0.3">
      <c r="KIZ7702" s="7646"/>
    </row>
    <row r="7703" spans="7691:7706" x14ac:dyDescent="0.3">
      <c r="KJA7703" s="7647"/>
    </row>
    <row r="7704" spans="7691:7706" x14ac:dyDescent="0.3">
      <c r="KJB7704" s="7648"/>
    </row>
    <row r="7705" spans="7691:7706" x14ac:dyDescent="0.3">
      <c r="KJC7705" s="7649"/>
    </row>
    <row r="7706" spans="7691:7706" x14ac:dyDescent="0.3">
      <c r="KJD7706" s="7650"/>
    </row>
    <row r="7707" spans="7691:7706" x14ac:dyDescent="0.3">
      <c r="KJE7707" s="7651"/>
    </row>
    <row r="7708" spans="7691:7706" x14ac:dyDescent="0.3">
      <c r="KJF7708" s="7652"/>
    </row>
    <row r="7709" spans="7691:7706" x14ac:dyDescent="0.3">
      <c r="KJG7709" s="7653"/>
    </row>
    <row r="7710" spans="7691:7706" x14ac:dyDescent="0.3">
      <c r="KJH7710" s="7654"/>
    </row>
    <row r="7711" spans="7691:7706" x14ac:dyDescent="0.3">
      <c r="KJI7711" s="7655"/>
    </row>
    <row r="7712" spans="7691:7706" x14ac:dyDescent="0.3">
      <c r="KJJ7712" s="7656"/>
    </row>
    <row r="7713" spans="7707:7722" x14ac:dyDescent="0.3">
      <c r="KJK7713" s="7657"/>
    </row>
    <row r="7714" spans="7707:7722" x14ac:dyDescent="0.3">
      <c r="KJL7714" s="7658"/>
    </row>
    <row r="7715" spans="7707:7722" x14ac:dyDescent="0.3">
      <c r="KJM7715" s="7659"/>
    </row>
    <row r="7716" spans="7707:7722" x14ac:dyDescent="0.3">
      <c r="KJN7716" s="7659"/>
    </row>
    <row r="7717" spans="7707:7722" x14ac:dyDescent="0.3">
      <c r="KJO7717" s="7660"/>
    </row>
    <row r="7718" spans="7707:7722" x14ac:dyDescent="0.3">
      <c r="KJP7718" s="7661"/>
    </row>
    <row r="7719" spans="7707:7722" x14ac:dyDescent="0.3">
      <c r="KJQ7719" s="7662"/>
    </row>
    <row r="7720" spans="7707:7722" x14ac:dyDescent="0.3">
      <c r="KJR7720" s="7663"/>
    </row>
    <row r="7721" spans="7707:7722" x14ac:dyDescent="0.3">
      <c r="KJS7721" s="7664"/>
    </row>
    <row r="7722" spans="7707:7722" x14ac:dyDescent="0.3">
      <c r="KJT7722" s="7665"/>
    </row>
    <row r="7723" spans="7707:7722" x14ac:dyDescent="0.3">
      <c r="KJU7723" s="7666"/>
    </row>
    <row r="7724" spans="7707:7722" x14ac:dyDescent="0.3">
      <c r="KJV7724" s="7667"/>
    </row>
    <row r="7725" spans="7707:7722" x14ac:dyDescent="0.3">
      <c r="KJW7725" s="7668"/>
    </row>
    <row r="7726" spans="7707:7722" x14ac:dyDescent="0.3">
      <c r="KJX7726" s="7669"/>
    </row>
    <row r="7727" spans="7707:7722" x14ac:dyDescent="0.3">
      <c r="KJY7727" s="7670"/>
    </row>
    <row r="7728" spans="7707:7722" x14ac:dyDescent="0.3">
      <c r="KJZ7728" s="7671"/>
    </row>
    <row r="7729" spans="7723:7738" x14ac:dyDescent="0.3">
      <c r="KKA7729" s="7672"/>
    </row>
    <row r="7730" spans="7723:7738" x14ac:dyDescent="0.3">
      <c r="KKB7730" s="7673"/>
    </row>
    <row r="7731" spans="7723:7738" x14ac:dyDescent="0.3">
      <c r="KKC7731" s="7674"/>
    </row>
    <row r="7732" spans="7723:7738" x14ac:dyDescent="0.3">
      <c r="KKD7732" s="7675"/>
    </row>
    <row r="7733" spans="7723:7738" x14ac:dyDescent="0.3">
      <c r="KKE7733" s="7676"/>
    </row>
    <row r="7734" spans="7723:7738" x14ac:dyDescent="0.3">
      <c r="KKF7734" s="7677"/>
    </row>
    <row r="7735" spans="7723:7738" x14ac:dyDescent="0.3">
      <c r="KKG7735" s="7678"/>
    </row>
    <row r="7736" spans="7723:7738" x14ac:dyDescent="0.3">
      <c r="KKH7736" s="7679"/>
    </row>
    <row r="7737" spans="7723:7738" x14ac:dyDescent="0.3">
      <c r="KKI7737" s="7680"/>
    </row>
    <row r="7738" spans="7723:7738" x14ac:dyDescent="0.3">
      <c r="KKJ7738" s="7681"/>
    </row>
    <row r="7739" spans="7723:7738" x14ac:dyDescent="0.3">
      <c r="KKK7739" s="7682"/>
    </row>
    <row r="7740" spans="7723:7738" x14ac:dyDescent="0.3">
      <c r="KKL7740" s="7683"/>
    </row>
    <row r="7741" spans="7723:7738" x14ac:dyDescent="0.3">
      <c r="KKM7741" s="7684"/>
    </row>
    <row r="7742" spans="7723:7738" x14ac:dyDescent="0.3">
      <c r="KKN7742" s="7685"/>
    </row>
    <row r="7743" spans="7723:7738" x14ac:dyDescent="0.3">
      <c r="KKO7743" s="7686"/>
    </row>
    <row r="7744" spans="7723:7738" x14ac:dyDescent="0.3">
      <c r="KKP7744" s="7687"/>
    </row>
    <row r="7745" spans="7739:7754" x14ac:dyDescent="0.3">
      <c r="KKQ7745" s="7688"/>
    </row>
    <row r="7746" spans="7739:7754" x14ac:dyDescent="0.3">
      <c r="KKR7746" s="7689"/>
    </row>
    <row r="7747" spans="7739:7754" x14ac:dyDescent="0.3">
      <c r="KKS7747" s="7690"/>
    </row>
    <row r="7748" spans="7739:7754" x14ac:dyDescent="0.3">
      <c r="KKT7748" s="7691"/>
    </row>
    <row r="7749" spans="7739:7754" x14ac:dyDescent="0.3">
      <c r="KKU7749" s="7692"/>
    </row>
    <row r="7750" spans="7739:7754" x14ac:dyDescent="0.3">
      <c r="KKV7750" s="7693"/>
    </row>
    <row r="7751" spans="7739:7754" x14ac:dyDescent="0.3">
      <c r="KKW7751" s="7694"/>
    </row>
    <row r="7752" spans="7739:7754" x14ac:dyDescent="0.3">
      <c r="KKX7752" s="7695"/>
    </row>
    <row r="7753" spans="7739:7754" x14ac:dyDescent="0.3">
      <c r="KKY7753" s="7696"/>
    </row>
    <row r="7754" spans="7739:7754" x14ac:dyDescent="0.3">
      <c r="KKZ7754" s="7697"/>
    </row>
    <row r="7755" spans="7739:7754" x14ac:dyDescent="0.3">
      <c r="KLA7755" s="7698"/>
    </row>
    <row r="7756" spans="7739:7754" x14ac:dyDescent="0.3">
      <c r="KLB7756" s="7699"/>
    </row>
    <row r="7757" spans="7739:7754" x14ac:dyDescent="0.3">
      <c r="KLC7757" s="7700"/>
    </row>
    <row r="7758" spans="7739:7754" x14ac:dyDescent="0.3">
      <c r="KLD7758" s="7701"/>
    </row>
    <row r="7759" spans="7739:7754" x14ac:dyDescent="0.3">
      <c r="KLE7759" s="7702"/>
    </row>
    <row r="7760" spans="7739:7754" x14ac:dyDescent="0.3">
      <c r="KLF7760" s="7703"/>
    </row>
    <row r="7761" spans="7755:7770" x14ac:dyDescent="0.3">
      <c r="KLG7761" s="7704"/>
    </row>
    <row r="7762" spans="7755:7770" x14ac:dyDescent="0.3">
      <c r="KLH7762" s="7705"/>
    </row>
    <row r="7763" spans="7755:7770" x14ac:dyDescent="0.3">
      <c r="KLI7763" s="7706"/>
    </row>
    <row r="7764" spans="7755:7770" x14ac:dyDescent="0.3">
      <c r="KLJ7764" s="7707"/>
    </row>
    <row r="7765" spans="7755:7770" x14ac:dyDescent="0.3">
      <c r="KLK7765" s="7708"/>
    </row>
    <row r="7766" spans="7755:7770" x14ac:dyDescent="0.3">
      <c r="KLL7766" s="7709"/>
    </row>
    <row r="7767" spans="7755:7770" x14ac:dyDescent="0.3">
      <c r="KLM7767" s="7710"/>
    </row>
    <row r="7768" spans="7755:7770" x14ac:dyDescent="0.3">
      <c r="KLN7768" s="7711"/>
    </row>
    <row r="7769" spans="7755:7770" x14ac:dyDescent="0.3">
      <c r="KLO7769" s="7712"/>
    </row>
    <row r="7770" spans="7755:7770" x14ac:dyDescent="0.3">
      <c r="KLP7770" s="7713"/>
    </row>
    <row r="7771" spans="7755:7770" x14ac:dyDescent="0.3">
      <c r="KLQ7771" s="7714"/>
    </row>
    <row r="7772" spans="7755:7770" x14ac:dyDescent="0.3">
      <c r="KLR7772" s="7715"/>
    </row>
    <row r="7773" spans="7755:7770" x14ac:dyDescent="0.3">
      <c r="KLS7773" s="7716"/>
    </row>
    <row r="7774" spans="7755:7770" x14ac:dyDescent="0.3">
      <c r="KLT7774" s="7717"/>
    </row>
    <row r="7775" spans="7755:7770" x14ac:dyDescent="0.3">
      <c r="KLU7775" s="7718"/>
    </row>
    <row r="7776" spans="7755:7770" x14ac:dyDescent="0.3">
      <c r="KLV7776" s="7719"/>
    </row>
    <row r="7777" spans="7771:7786" x14ac:dyDescent="0.3">
      <c r="KLW7777" s="7720"/>
    </row>
    <row r="7778" spans="7771:7786" x14ac:dyDescent="0.3">
      <c r="KLX7778" s="7721"/>
    </row>
    <row r="7779" spans="7771:7786" x14ac:dyDescent="0.3">
      <c r="KLY7779" s="7722"/>
    </row>
    <row r="7780" spans="7771:7786" x14ac:dyDescent="0.3">
      <c r="KLZ7780" s="7723"/>
    </row>
    <row r="7781" spans="7771:7786" x14ac:dyDescent="0.3">
      <c r="KMA7781" s="7724"/>
    </row>
    <row r="7782" spans="7771:7786" x14ac:dyDescent="0.3">
      <c r="KMB7782" s="7725"/>
    </row>
    <row r="7783" spans="7771:7786" x14ac:dyDescent="0.3">
      <c r="KMC7783" s="7726"/>
    </row>
    <row r="7784" spans="7771:7786" x14ac:dyDescent="0.3">
      <c r="KMD7784" s="7727"/>
    </row>
    <row r="7785" spans="7771:7786" x14ac:dyDescent="0.3">
      <c r="KME7785" s="7728"/>
    </row>
    <row r="7786" spans="7771:7786" x14ac:dyDescent="0.3">
      <c r="KMF7786" s="7729"/>
    </row>
    <row r="7787" spans="7771:7786" x14ac:dyDescent="0.3">
      <c r="KMG7787" s="7730"/>
    </row>
    <row r="7788" spans="7771:7786" x14ac:dyDescent="0.3">
      <c r="KMH7788" s="7731"/>
    </row>
    <row r="7789" spans="7771:7786" x14ac:dyDescent="0.3">
      <c r="KMI7789" s="7732"/>
    </row>
    <row r="7790" spans="7771:7786" x14ac:dyDescent="0.3">
      <c r="KMJ7790" s="7733"/>
    </row>
    <row r="7791" spans="7771:7786" x14ac:dyDescent="0.3">
      <c r="KMK7791" s="7734"/>
    </row>
    <row r="7792" spans="7771:7786" x14ac:dyDescent="0.3">
      <c r="KML7792" s="7735"/>
    </row>
    <row r="7793" spans="7787:7802" x14ac:dyDescent="0.3">
      <c r="KMM7793" s="7736"/>
    </row>
    <row r="7794" spans="7787:7802" x14ac:dyDescent="0.3">
      <c r="KMN7794" s="7737"/>
    </row>
    <row r="7795" spans="7787:7802" x14ac:dyDescent="0.3">
      <c r="KMO7795" s="7738"/>
    </row>
    <row r="7796" spans="7787:7802" x14ac:dyDescent="0.3">
      <c r="KMP7796" s="7739"/>
    </row>
    <row r="7797" spans="7787:7802" x14ac:dyDescent="0.3">
      <c r="KMQ7797" s="7740"/>
    </row>
    <row r="7798" spans="7787:7802" x14ac:dyDescent="0.3">
      <c r="KMR7798" s="7741"/>
    </row>
    <row r="7799" spans="7787:7802" x14ac:dyDescent="0.3">
      <c r="KMS7799" s="7742"/>
    </row>
    <row r="7800" spans="7787:7802" x14ac:dyDescent="0.3">
      <c r="KMT7800" s="7743"/>
    </row>
    <row r="7801" spans="7787:7802" x14ac:dyDescent="0.3">
      <c r="KMU7801" s="7744"/>
    </row>
    <row r="7802" spans="7787:7802" x14ac:dyDescent="0.3">
      <c r="KMV7802" s="7745"/>
    </row>
    <row r="7803" spans="7787:7802" x14ac:dyDescent="0.3">
      <c r="KMW7803" s="7746"/>
    </row>
    <row r="7804" spans="7787:7802" x14ac:dyDescent="0.3">
      <c r="KMX7804" s="7747"/>
    </row>
    <row r="7805" spans="7787:7802" x14ac:dyDescent="0.3">
      <c r="KMY7805" s="7748"/>
    </row>
    <row r="7806" spans="7787:7802" x14ac:dyDescent="0.3">
      <c r="KMZ7806" s="7749"/>
    </row>
    <row r="7807" spans="7787:7802" x14ac:dyDescent="0.3">
      <c r="KNA7807" s="7750"/>
    </row>
    <row r="7808" spans="7787:7802" x14ac:dyDescent="0.3">
      <c r="KNB7808" s="7751"/>
    </row>
    <row r="7809" spans="7803:7818" x14ac:dyDescent="0.3">
      <c r="KNC7809" s="7752"/>
    </row>
    <row r="7810" spans="7803:7818" x14ac:dyDescent="0.3">
      <c r="KND7810" s="7753"/>
    </row>
    <row r="7811" spans="7803:7818" x14ac:dyDescent="0.3">
      <c r="KNE7811" s="7754"/>
    </row>
    <row r="7812" spans="7803:7818" x14ac:dyDescent="0.3">
      <c r="KNF7812" s="7755"/>
    </row>
    <row r="7813" spans="7803:7818" x14ac:dyDescent="0.3">
      <c r="KNG7813" s="7756"/>
    </row>
    <row r="7814" spans="7803:7818" x14ac:dyDescent="0.3">
      <c r="KNH7814" s="7757"/>
    </row>
    <row r="7815" spans="7803:7818" x14ac:dyDescent="0.3">
      <c r="KNI7815" s="7758"/>
    </row>
    <row r="7816" spans="7803:7818" x14ac:dyDescent="0.3">
      <c r="KNJ7816" s="7759"/>
    </row>
    <row r="7817" spans="7803:7818" x14ac:dyDescent="0.3">
      <c r="KNK7817" s="7760"/>
    </row>
    <row r="7818" spans="7803:7818" x14ac:dyDescent="0.3">
      <c r="KNL7818" s="7761"/>
    </row>
    <row r="7819" spans="7803:7818" x14ac:dyDescent="0.3">
      <c r="KNM7819" s="7762"/>
    </row>
    <row r="7820" spans="7803:7818" x14ac:dyDescent="0.3">
      <c r="KNN7820" s="7763"/>
    </row>
    <row r="7821" spans="7803:7818" x14ac:dyDescent="0.3">
      <c r="KNO7821" s="7764"/>
    </row>
    <row r="7822" spans="7803:7818" x14ac:dyDescent="0.3">
      <c r="KNP7822" s="7765"/>
    </row>
    <row r="7823" spans="7803:7818" x14ac:dyDescent="0.3">
      <c r="KNQ7823" s="7766"/>
    </row>
    <row r="7824" spans="7803:7818" x14ac:dyDescent="0.3">
      <c r="KNR7824" s="7767"/>
    </row>
    <row r="7825" spans="7819:7834" x14ac:dyDescent="0.3">
      <c r="KNS7825" s="7768"/>
    </row>
    <row r="7826" spans="7819:7834" x14ac:dyDescent="0.3">
      <c r="KNT7826" s="7769"/>
    </row>
    <row r="7827" spans="7819:7834" x14ac:dyDescent="0.3">
      <c r="KNU7827" s="7770"/>
    </row>
    <row r="7828" spans="7819:7834" x14ac:dyDescent="0.3">
      <c r="KNV7828" s="7771"/>
    </row>
    <row r="7829" spans="7819:7834" x14ac:dyDescent="0.3">
      <c r="KNW7829" s="7772"/>
    </row>
    <row r="7830" spans="7819:7834" x14ac:dyDescent="0.3">
      <c r="KNX7830" s="7773"/>
    </row>
    <row r="7831" spans="7819:7834" x14ac:dyDescent="0.3">
      <c r="KNY7831" s="7774"/>
    </row>
    <row r="7832" spans="7819:7834" x14ac:dyDescent="0.3">
      <c r="KNZ7832" s="7775"/>
    </row>
    <row r="7833" spans="7819:7834" x14ac:dyDescent="0.3">
      <c r="KOA7833" s="7776"/>
    </row>
    <row r="7834" spans="7819:7834" x14ac:dyDescent="0.3">
      <c r="KOB7834" s="7777"/>
    </row>
    <row r="7835" spans="7819:7834" x14ac:dyDescent="0.3">
      <c r="KOC7835" s="7778"/>
    </row>
    <row r="7836" spans="7819:7834" x14ac:dyDescent="0.3">
      <c r="KOD7836" s="7779"/>
    </row>
    <row r="7837" spans="7819:7834" x14ac:dyDescent="0.3">
      <c r="KOE7837" s="7780"/>
    </row>
    <row r="7838" spans="7819:7834" x14ac:dyDescent="0.3">
      <c r="KOF7838" s="7781"/>
    </row>
    <row r="7839" spans="7819:7834" x14ac:dyDescent="0.3">
      <c r="KOG7839" s="7782"/>
    </row>
    <row r="7840" spans="7819:7834" x14ac:dyDescent="0.3">
      <c r="KOH7840" s="7783"/>
    </row>
    <row r="7841" spans="7835:7850" x14ac:dyDescent="0.3">
      <c r="KOI7841" s="7784"/>
    </row>
    <row r="7842" spans="7835:7850" x14ac:dyDescent="0.3">
      <c r="KOJ7842" s="7785"/>
    </row>
    <row r="7843" spans="7835:7850" x14ac:dyDescent="0.3">
      <c r="KOK7843" s="7786"/>
    </row>
    <row r="7844" spans="7835:7850" x14ac:dyDescent="0.3">
      <c r="KOL7844" s="7787"/>
    </row>
    <row r="7845" spans="7835:7850" x14ac:dyDescent="0.3">
      <c r="KOM7845" s="7788"/>
    </row>
    <row r="7846" spans="7835:7850" x14ac:dyDescent="0.3">
      <c r="KON7846" s="7789"/>
    </row>
    <row r="7847" spans="7835:7850" x14ac:dyDescent="0.3">
      <c r="KOO7847" s="7790"/>
    </row>
    <row r="7848" spans="7835:7850" x14ac:dyDescent="0.3">
      <c r="KOP7848" s="7791"/>
    </row>
    <row r="7849" spans="7835:7850" x14ac:dyDescent="0.3">
      <c r="KOQ7849" s="7792"/>
    </row>
    <row r="7850" spans="7835:7850" x14ac:dyDescent="0.3">
      <c r="KOR7850" s="7793"/>
    </row>
    <row r="7851" spans="7835:7850" x14ac:dyDescent="0.3">
      <c r="KOS7851" s="7794"/>
    </row>
    <row r="7852" spans="7835:7850" x14ac:dyDescent="0.3">
      <c r="KOT7852" s="7795"/>
    </row>
    <row r="7853" spans="7835:7850" x14ac:dyDescent="0.3">
      <c r="KOU7853" s="7796"/>
    </row>
    <row r="7854" spans="7835:7850" x14ac:dyDescent="0.3">
      <c r="KOV7854" s="7797"/>
    </row>
    <row r="7855" spans="7835:7850" x14ac:dyDescent="0.3">
      <c r="KOW7855" s="7798"/>
    </row>
    <row r="7856" spans="7835:7850" x14ac:dyDescent="0.3">
      <c r="KOX7856" s="7799"/>
    </row>
    <row r="7857" spans="7851:7866" x14ac:dyDescent="0.3">
      <c r="KOY7857" s="7800"/>
    </row>
    <row r="7858" spans="7851:7866" x14ac:dyDescent="0.3">
      <c r="KOZ7858" s="7801"/>
    </row>
    <row r="7859" spans="7851:7866" x14ac:dyDescent="0.3">
      <c r="KPA7859" s="7802"/>
    </row>
    <row r="7860" spans="7851:7866" x14ac:dyDescent="0.3">
      <c r="KPB7860" s="7803"/>
    </row>
    <row r="7861" spans="7851:7866" x14ac:dyDescent="0.3">
      <c r="KPC7861" s="7804"/>
    </row>
    <row r="7862" spans="7851:7866" x14ac:dyDescent="0.3">
      <c r="KPD7862" s="7805"/>
    </row>
    <row r="7863" spans="7851:7866" x14ac:dyDescent="0.3">
      <c r="KPE7863" s="7806"/>
    </row>
    <row r="7864" spans="7851:7866" x14ac:dyDescent="0.3">
      <c r="KPF7864" s="7807"/>
    </row>
    <row r="7865" spans="7851:7866" x14ac:dyDescent="0.3">
      <c r="KPG7865" s="7808"/>
    </row>
    <row r="7866" spans="7851:7866" x14ac:dyDescent="0.3">
      <c r="KPH7866" s="7809"/>
    </row>
    <row r="7867" spans="7851:7866" x14ac:dyDescent="0.3">
      <c r="KPI7867" s="7810"/>
    </row>
    <row r="7868" spans="7851:7866" x14ac:dyDescent="0.3">
      <c r="KPJ7868" s="7811"/>
    </row>
    <row r="7869" spans="7851:7866" x14ac:dyDescent="0.3">
      <c r="KPK7869" s="7812"/>
    </row>
    <row r="7870" spans="7851:7866" x14ac:dyDescent="0.3">
      <c r="KPL7870" s="7813"/>
    </row>
    <row r="7871" spans="7851:7866" x14ac:dyDescent="0.3">
      <c r="KPM7871" s="7814"/>
    </row>
    <row r="7872" spans="7851:7866" x14ac:dyDescent="0.3">
      <c r="KPN7872" s="7815"/>
    </row>
    <row r="7873" spans="7867:7882" x14ac:dyDescent="0.3">
      <c r="KPO7873" s="7816"/>
    </row>
    <row r="7874" spans="7867:7882" x14ac:dyDescent="0.3">
      <c r="KPP7874" s="7817"/>
    </row>
    <row r="7875" spans="7867:7882" x14ac:dyDescent="0.3">
      <c r="KPQ7875" s="7818"/>
    </row>
    <row r="7876" spans="7867:7882" x14ac:dyDescent="0.3">
      <c r="KPR7876" s="7819"/>
    </row>
    <row r="7877" spans="7867:7882" x14ac:dyDescent="0.3">
      <c r="KPS7877" s="7820"/>
    </row>
    <row r="7878" spans="7867:7882" x14ac:dyDescent="0.3">
      <c r="KPT7878" s="7821"/>
    </row>
    <row r="7879" spans="7867:7882" x14ac:dyDescent="0.3">
      <c r="KPU7879" s="7822"/>
    </row>
    <row r="7880" spans="7867:7882" x14ac:dyDescent="0.3">
      <c r="KPV7880" s="7823"/>
    </row>
    <row r="7881" spans="7867:7882" x14ac:dyDescent="0.3">
      <c r="KPW7881" s="7824"/>
    </row>
    <row r="7882" spans="7867:7882" x14ac:dyDescent="0.3">
      <c r="KPX7882" s="7825"/>
    </row>
    <row r="7883" spans="7867:7882" x14ac:dyDescent="0.3">
      <c r="KPY7883" s="7826"/>
    </row>
    <row r="7884" spans="7867:7882" x14ac:dyDescent="0.3">
      <c r="KPZ7884" s="7827"/>
    </row>
    <row r="7885" spans="7867:7882" x14ac:dyDescent="0.3">
      <c r="KQA7885" s="7828"/>
    </row>
    <row r="7886" spans="7867:7882" x14ac:dyDescent="0.3">
      <c r="KQB7886" s="7829"/>
    </row>
    <row r="7887" spans="7867:7882" x14ac:dyDescent="0.3">
      <c r="KQC7887" s="7830"/>
    </row>
    <row r="7888" spans="7867:7882" x14ac:dyDescent="0.3">
      <c r="KQD7888" s="7831"/>
    </row>
    <row r="7889" spans="7883:7898" x14ac:dyDescent="0.3">
      <c r="KQE7889" s="7832"/>
    </row>
    <row r="7890" spans="7883:7898" x14ac:dyDescent="0.3">
      <c r="KQF7890" s="7833"/>
    </row>
    <row r="7891" spans="7883:7898" x14ac:dyDescent="0.3">
      <c r="KQG7891" s="7834"/>
    </row>
    <row r="7892" spans="7883:7898" x14ac:dyDescent="0.3">
      <c r="KQH7892" s="7835"/>
    </row>
    <row r="7893" spans="7883:7898" x14ac:dyDescent="0.3">
      <c r="KQI7893" s="7836"/>
    </row>
    <row r="7894" spans="7883:7898" x14ac:dyDescent="0.3">
      <c r="KQJ7894" s="7837"/>
    </row>
    <row r="7895" spans="7883:7898" x14ac:dyDescent="0.3">
      <c r="KQK7895" s="7838"/>
    </row>
    <row r="7896" spans="7883:7898" x14ac:dyDescent="0.3">
      <c r="KQL7896" s="7839"/>
    </row>
    <row r="7897" spans="7883:7898" x14ac:dyDescent="0.3">
      <c r="KQM7897" s="7840"/>
    </row>
    <row r="7898" spans="7883:7898" x14ac:dyDescent="0.3">
      <c r="KQN7898" s="7841"/>
    </row>
    <row r="7899" spans="7883:7898" x14ac:dyDescent="0.3">
      <c r="KQO7899" s="7842"/>
    </row>
    <row r="7900" spans="7883:7898" x14ac:dyDescent="0.3">
      <c r="KQP7900" s="7843"/>
    </row>
    <row r="7901" spans="7883:7898" x14ac:dyDescent="0.3">
      <c r="KQQ7901" s="7844"/>
    </row>
    <row r="7902" spans="7883:7898" x14ac:dyDescent="0.3">
      <c r="KQR7902" s="7845"/>
    </row>
    <row r="7903" spans="7883:7898" x14ac:dyDescent="0.3">
      <c r="KQS7903" s="7846"/>
    </row>
    <row r="7904" spans="7883:7898" x14ac:dyDescent="0.3">
      <c r="KQT7904" s="7847"/>
    </row>
    <row r="7905" spans="7899:7914" x14ac:dyDescent="0.3">
      <c r="KQU7905" s="7848"/>
    </row>
    <row r="7906" spans="7899:7914" x14ac:dyDescent="0.3">
      <c r="KQV7906" s="7849"/>
    </row>
    <row r="7907" spans="7899:7914" x14ac:dyDescent="0.3">
      <c r="KQW7907" s="7850"/>
    </row>
    <row r="7908" spans="7899:7914" x14ac:dyDescent="0.3">
      <c r="KQX7908" s="7851"/>
    </row>
    <row r="7909" spans="7899:7914" x14ac:dyDescent="0.3">
      <c r="KQY7909" s="7852"/>
    </row>
    <row r="7910" spans="7899:7914" x14ac:dyDescent="0.3">
      <c r="KQZ7910" s="7853"/>
    </row>
    <row r="7911" spans="7899:7914" x14ac:dyDescent="0.3">
      <c r="KRA7911" s="7854"/>
    </row>
    <row r="7912" spans="7899:7914" x14ac:dyDescent="0.3">
      <c r="KRB7912" s="7855"/>
    </row>
    <row r="7913" spans="7899:7914" x14ac:dyDescent="0.3">
      <c r="KRC7913" s="7856"/>
    </row>
    <row r="7914" spans="7899:7914" x14ac:dyDescent="0.3">
      <c r="KRD7914" s="7857"/>
    </row>
    <row r="7915" spans="7899:7914" x14ac:dyDescent="0.3">
      <c r="KRE7915" s="7858"/>
    </row>
    <row r="7916" spans="7899:7914" x14ac:dyDescent="0.3">
      <c r="KRF7916" s="7859"/>
    </row>
    <row r="7917" spans="7899:7914" x14ac:dyDescent="0.3">
      <c r="KRG7917" s="7860"/>
    </row>
    <row r="7918" spans="7899:7914" x14ac:dyDescent="0.3">
      <c r="KRH7918" s="7861"/>
    </row>
    <row r="7919" spans="7899:7914" x14ac:dyDescent="0.3">
      <c r="KRI7919" s="7862"/>
    </row>
    <row r="7920" spans="7899:7914" x14ac:dyDescent="0.3">
      <c r="KRJ7920" s="7863"/>
    </row>
    <row r="7921" spans="7915:7930" x14ac:dyDescent="0.3">
      <c r="KRK7921" s="7864"/>
    </row>
    <row r="7922" spans="7915:7930" x14ac:dyDescent="0.3">
      <c r="KRL7922" s="7865"/>
    </row>
    <row r="7923" spans="7915:7930" x14ac:dyDescent="0.3">
      <c r="KRM7923" s="7866"/>
    </row>
    <row r="7924" spans="7915:7930" x14ac:dyDescent="0.3">
      <c r="KRN7924" s="7867"/>
    </row>
    <row r="7925" spans="7915:7930" x14ac:dyDescent="0.3">
      <c r="KRO7925" s="7868"/>
    </row>
    <row r="7926" spans="7915:7930" x14ac:dyDescent="0.3">
      <c r="KRP7926" s="7869"/>
    </row>
    <row r="7927" spans="7915:7930" x14ac:dyDescent="0.3">
      <c r="KRQ7927" s="7870"/>
    </row>
    <row r="7928" spans="7915:7930" x14ac:dyDescent="0.3">
      <c r="KRR7928" s="7871"/>
    </row>
    <row r="7929" spans="7915:7930" x14ac:dyDescent="0.3">
      <c r="KRS7929" s="7872"/>
    </row>
    <row r="7930" spans="7915:7930" x14ac:dyDescent="0.3">
      <c r="KRT7930" s="7873"/>
    </row>
    <row r="7931" spans="7915:7930" x14ac:dyDescent="0.3">
      <c r="KRU7931" s="7874"/>
    </row>
    <row r="7932" spans="7915:7930" x14ac:dyDescent="0.3">
      <c r="KRV7932" s="7875"/>
    </row>
    <row r="7933" spans="7915:7930" x14ac:dyDescent="0.3">
      <c r="KRW7933" s="7876"/>
    </row>
    <row r="7934" spans="7915:7930" x14ac:dyDescent="0.3">
      <c r="KRX7934" s="7877"/>
    </row>
    <row r="7935" spans="7915:7930" x14ac:dyDescent="0.3">
      <c r="KRY7935" s="7878"/>
    </row>
    <row r="7936" spans="7915:7930" x14ac:dyDescent="0.3">
      <c r="KRZ7936" s="7879"/>
    </row>
    <row r="7937" spans="7931:7946" x14ac:dyDescent="0.3">
      <c r="KSA7937" s="7880"/>
    </row>
    <row r="7938" spans="7931:7946" x14ac:dyDescent="0.3">
      <c r="KSB7938" s="7881"/>
    </row>
    <row r="7939" spans="7931:7946" x14ac:dyDescent="0.3">
      <c r="KSC7939" s="7882"/>
    </row>
    <row r="7940" spans="7931:7946" x14ac:dyDescent="0.3">
      <c r="KSD7940" s="7883"/>
    </row>
    <row r="7941" spans="7931:7946" x14ac:dyDescent="0.3">
      <c r="KSE7941" s="7884"/>
    </row>
    <row r="7942" spans="7931:7946" x14ac:dyDescent="0.3">
      <c r="KSF7942" s="7885"/>
    </row>
    <row r="7943" spans="7931:7946" x14ac:dyDescent="0.3">
      <c r="KSG7943" s="7886"/>
    </row>
    <row r="7944" spans="7931:7946" x14ac:dyDescent="0.3">
      <c r="KSH7944" s="7887"/>
    </row>
    <row r="7945" spans="7931:7946" x14ac:dyDescent="0.3">
      <c r="KSI7945" s="7888"/>
    </row>
    <row r="7946" spans="7931:7946" x14ac:dyDescent="0.3">
      <c r="KSJ7946" s="7889"/>
    </row>
    <row r="7947" spans="7931:7946" x14ac:dyDescent="0.3">
      <c r="KSK7947" s="7890"/>
    </row>
    <row r="7948" spans="7931:7946" x14ac:dyDescent="0.3">
      <c r="KSL7948" s="7891"/>
    </row>
    <row r="7949" spans="7931:7946" x14ac:dyDescent="0.3">
      <c r="KSM7949" s="7892"/>
    </row>
    <row r="7950" spans="7931:7946" x14ac:dyDescent="0.3">
      <c r="KSN7950" s="7893"/>
    </row>
    <row r="7951" spans="7931:7946" x14ac:dyDescent="0.3">
      <c r="KSO7951" s="7894"/>
    </row>
    <row r="7952" spans="7931:7946" x14ac:dyDescent="0.3">
      <c r="KSP7952" s="7895"/>
    </row>
    <row r="7953" spans="7947:7962" x14ac:dyDescent="0.3">
      <c r="KSQ7953" s="7896"/>
    </row>
    <row r="7954" spans="7947:7962" x14ac:dyDescent="0.3">
      <c r="KSR7954" s="7897"/>
    </row>
    <row r="7955" spans="7947:7962" x14ac:dyDescent="0.3">
      <c r="KSS7955" s="7898"/>
    </row>
    <row r="7956" spans="7947:7962" x14ac:dyDescent="0.3">
      <c r="KST7956" s="7899"/>
    </row>
    <row r="7957" spans="7947:7962" x14ac:dyDescent="0.3">
      <c r="KSU7957" s="7900"/>
    </row>
    <row r="7958" spans="7947:7962" x14ac:dyDescent="0.3">
      <c r="KSV7958" s="7901"/>
    </row>
    <row r="7959" spans="7947:7962" x14ac:dyDescent="0.3">
      <c r="KSW7959" s="7902"/>
    </row>
    <row r="7960" spans="7947:7962" x14ac:dyDescent="0.3">
      <c r="KSX7960" s="7903"/>
    </row>
    <row r="7961" spans="7947:7962" x14ac:dyDescent="0.3">
      <c r="KSY7961" s="7904"/>
    </row>
    <row r="7962" spans="7947:7962" x14ac:dyDescent="0.3">
      <c r="KSZ7962" s="7905"/>
    </row>
    <row r="7963" spans="7947:7962" x14ac:dyDescent="0.3">
      <c r="KTA7963" s="7906"/>
    </row>
    <row r="7964" spans="7947:7962" x14ac:dyDescent="0.3">
      <c r="KTB7964" s="7907"/>
    </row>
    <row r="7965" spans="7947:7962" x14ac:dyDescent="0.3">
      <c r="KTC7965" s="7908"/>
    </row>
    <row r="7966" spans="7947:7962" x14ac:dyDescent="0.3">
      <c r="KTD7966" s="7909"/>
    </row>
    <row r="7967" spans="7947:7962" x14ac:dyDescent="0.3">
      <c r="KTE7967" s="7910"/>
    </row>
    <row r="7968" spans="7947:7962" x14ac:dyDescent="0.3">
      <c r="KTF7968" s="7911"/>
    </row>
    <row r="7969" spans="7963:7978" x14ac:dyDescent="0.3">
      <c r="KTG7969" s="7912"/>
    </row>
    <row r="7970" spans="7963:7978" x14ac:dyDescent="0.3">
      <c r="KTH7970" s="7913"/>
    </row>
    <row r="7971" spans="7963:7978" x14ac:dyDescent="0.3">
      <c r="KTI7971" s="7914"/>
    </row>
    <row r="7972" spans="7963:7978" x14ac:dyDescent="0.3">
      <c r="KTJ7972" s="7915"/>
    </row>
    <row r="7973" spans="7963:7978" x14ac:dyDescent="0.3">
      <c r="KTK7973" s="7915"/>
    </row>
    <row r="7974" spans="7963:7978" x14ac:dyDescent="0.3">
      <c r="KTL7974" s="7916"/>
    </row>
    <row r="7975" spans="7963:7978" x14ac:dyDescent="0.3">
      <c r="KTM7975" s="7917"/>
    </row>
    <row r="7976" spans="7963:7978" x14ac:dyDescent="0.3">
      <c r="KTN7976" s="7918"/>
    </row>
    <row r="7977" spans="7963:7978" x14ac:dyDescent="0.3">
      <c r="KTO7977" s="7919"/>
    </row>
    <row r="7978" spans="7963:7978" x14ac:dyDescent="0.3">
      <c r="KTP7978" s="7920"/>
    </row>
    <row r="7979" spans="7963:7978" x14ac:dyDescent="0.3">
      <c r="KTQ7979" s="7921"/>
    </row>
    <row r="7980" spans="7963:7978" x14ac:dyDescent="0.3">
      <c r="KTR7980" s="7922"/>
    </row>
    <row r="7981" spans="7963:7978" x14ac:dyDescent="0.3">
      <c r="KTS7981" s="7923"/>
    </row>
    <row r="7982" spans="7963:7978" x14ac:dyDescent="0.3">
      <c r="KTT7982" s="7924"/>
    </row>
    <row r="7983" spans="7963:7978" x14ac:dyDescent="0.3">
      <c r="KTU7983" s="7925"/>
    </row>
    <row r="7984" spans="7963:7978" x14ac:dyDescent="0.3">
      <c r="KTV7984" s="7926"/>
    </row>
    <row r="7985" spans="7979:7994" x14ac:dyDescent="0.3">
      <c r="KTW7985" s="7927"/>
    </row>
    <row r="7986" spans="7979:7994" x14ac:dyDescent="0.3">
      <c r="KTX7986" s="7928"/>
    </row>
    <row r="7987" spans="7979:7994" x14ac:dyDescent="0.3">
      <c r="KTY7987" s="7929"/>
    </row>
    <row r="7988" spans="7979:7994" x14ac:dyDescent="0.3">
      <c r="KTZ7988" s="7930"/>
    </row>
    <row r="7989" spans="7979:7994" x14ac:dyDescent="0.3">
      <c r="KUA7989" s="7931"/>
    </row>
    <row r="7990" spans="7979:7994" x14ac:dyDescent="0.3">
      <c r="KUB7990" s="7932"/>
    </row>
    <row r="7991" spans="7979:7994" x14ac:dyDescent="0.3">
      <c r="KUC7991" s="7933"/>
    </row>
    <row r="7992" spans="7979:7994" x14ac:dyDescent="0.3">
      <c r="KUD7992" s="7934"/>
    </row>
    <row r="7993" spans="7979:7994" x14ac:dyDescent="0.3">
      <c r="KUE7993" s="7935"/>
    </row>
    <row r="7994" spans="7979:7994" x14ac:dyDescent="0.3">
      <c r="KUF7994" s="7936"/>
    </row>
    <row r="7995" spans="7979:7994" x14ac:dyDescent="0.3">
      <c r="KUG7995" s="7937"/>
    </row>
    <row r="7996" spans="7979:7994" x14ac:dyDescent="0.3">
      <c r="KUH7996" s="7938"/>
    </row>
    <row r="7997" spans="7979:7994" x14ac:dyDescent="0.3">
      <c r="KUI7997" s="7939"/>
    </row>
    <row r="7998" spans="7979:7994" x14ac:dyDescent="0.3">
      <c r="KUJ7998" s="7940"/>
    </row>
    <row r="7999" spans="7979:7994" x14ac:dyDescent="0.3">
      <c r="KUK7999" s="7941"/>
    </row>
    <row r="8000" spans="7979:7994" x14ac:dyDescent="0.3">
      <c r="KUL8000" s="7942"/>
    </row>
    <row r="8001" spans="7995:8010" x14ac:dyDescent="0.3">
      <c r="KUM8001" s="7943"/>
    </row>
    <row r="8002" spans="7995:8010" x14ac:dyDescent="0.3">
      <c r="KUN8002" s="7944"/>
    </row>
    <row r="8003" spans="7995:8010" x14ac:dyDescent="0.3">
      <c r="KUO8003" s="7945"/>
    </row>
    <row r="8004" spans="7995:8010" x14ac:dyDescent="0.3">
      <c r="KUP8004" s="7946"/>
    </row>
    <row r="8005" spans="7995:8010" x14ac:dyDescent="0.3">
      <c r="KUQ8005" s="7947"/>
    </row>
    <row r="8006" spans="7995:8010" x14ac:dyDescent="0.3">
      <c r="KUR8006" s="7948"/>
    </row>
    <row r="8007" spans="7995:8010" x14ac:dyDescent="0.3">
      <c r="KUS8007" s="7949"/>
    </row>
    <row r="8008" spans="7995:8010" x14ac:dyDescent="0.3">
      <c r="KUT8008" s="7950"/>
    </row>
    <row r="8009" spans="7995:8010" x14ac:dyDescent="0.3">
      <c r="KUU8009" s="7951"/>
    </row>
    <row r="8010" spans="7995:8010" x14ac:dyDescent="0.3">
      <c r="KUV8010" s="7952"/>
    </row>
    <row r="8011" spans="7995:8010" x14ac:dyDescent="0.3">
      <c r="KUW8011" s="7953"/>
    </row>
    <row r="8012" spans="7995:8010" x14ac:dyDescent="0.3">
      <c r="KUX8012" s="7954"/>
    </row>
    <row r="8013" spans="7995:8010" x14ac:dyDescent="0.3">
      <c r="KUY8013" s="7955"/>
    </row>
    <row r="8014" spans="7995:8010" x14ac:dyDescent="0.3">
      <c r="KUZ8014" s="7956"/>
    </row>
    <row r="8015" spans="7995:8010" x14ac:dyDescent="0.3">
      <c r="KVA8015" s="7957"/>
    </row>
    <row r="8016" spans="7995:8010" x14ac:dyDescent="0.3">
      <c r="KVB8016" s="7958"/>
    </row>
    <row r="8017" spans="8011:8026" x14ac:dyDescent="0.3">
      <c r="KVC8017" s="7959"/>
    </row>
    <row r="8018" spans="8011:8026" x14ac:dyDescent="0.3">
      <c r="KVD8018" s="7960"/>
    </row>
    <row r="8019" spans="8011:8026" x14ac:dyDescent="0.3">
      <c r="KVE8019" s="7961"/>
    </row>
    <row r="8020" spans="8011:8026" x14ac:dyDescent="0.3">
      <c r="KVF8020" s="7962"/>
    </row>
    <row r="8021" spans="8011:8026" x14ac:dyDescent="0.3">
      <c r="KVG8021" s="7963"/>
    </row>
    <row r="8022" spans="8011:8026" x14ac:dyDescent="0.3">
      <c r="KVH8022" s="7964"/>
    </row>
    <row r="8023" spans="8011:8026" x14ac:dyDescent="0.3">
      <c r="KVI8023" s="7965"/>
    </row>
    <row r="8024" spans="8011:8026" x14ac:dyDescent="0.3">
      <c r="KVJ8024" s="7966"/>
    </row>
    <row r="8025" spans="8011:8026" x14ac:dyDescent="0.3">
      <c r="KVK8025" s="7967"/>
    </row>
    <row r="8026" spans="8011:8026" x14ac:dyDescent="0.3">
      <c r="KVL8026" s="7968"/>
    </row>
    <row r="8027" spans="8011:8026" x14ac:dyDescent="0.3">
      <c r="KVM8027" s="7969"/>
    </row>
    <row r="8028" spans="8011:8026" x14ac:dyDescent="0.3">
      <c r="KVN8028" s="7970"/>
    </row>
    <row r="8029" spans="8011:8026" x14ac:dyDescent="0.3">
      <c r="KVO8029" s="7971"/>
    </row>
    <row r="8030" spans="8011:8026" x14ac:dyDescent="0.3">
      <c r="KVP8030" s="7972"/>
    </row>
    <row r="8031" spans="8011:8026" x14ac:dyDescent="0.3">
      <c r="KVQ8031" s="7973"/>
    </row>
    <row r="8032" spans="8011:8026" x14ac:dyDescent="0.3">
      <c r="KVR8032" s="7974"/>
    </row>
    <row r="8033" spans="8027:8042" x14ac:dyDescent="0.3">
      <c r="KVS8033" s="7975"/>
    </row>
    <row r="8034" spans="8027:8042" x14ac:dyDescent="0.3">
      <c r="KVT8034" s="7976"/>
    </row>
    <row r="8035" spans="8027:8042" x14ac:dyDescent="0.3">
      <c r="KVU8035" s="7977"/>
    </row>
    <row r="8036" spans="8027:8042" x14ac:dyDescent="0.3">
      <c r="KVV8036" s="7978"/>
    </row>
    <row r="8037" spans="8027:8042" x14ac:dyDescent="0.3">
      <c r="KVW8037" s="7979"/>
    </row>
    <row r="8038" spans="8027:8042" x14ac:dyDescent="0.3">
      <c r="KVX8038" s="7980"/>
    </row>
    <row r="8039" spans="8027:8042" x14ac:dyDescent="0.3">
      <c r="KVY8039" s="7981"/>
    </row>
    <row r="8040" spans="8027:8042" x14ac:dyDescent="0.3">
      <c r="KVZ8040" s="7982"/>
    </row>
    <row r="8041" spans="8027:8042" x14ac:dyDescent="0.3">
      <c r="KWA8041" s="7983"/>
    </row>
    <row r="8042" spans="8027:8042" x14ac:dyDescent="0.3">
      <c r="KWB8042" s="7984"/>
    </row>
    <row r="8043" spans="8027:8042" x14ac:dyDescent="0.3">
      <c r="KWC8043" s="7985"/>
    </row>
    <row r="8044" spans="8027:8042" x14ac:dyDescent="0.3">
      <c r="KWD8044" s="7986"/>
    </row>
    <row r="8045" spans="8027:8042" x14ac:dyDescent="0.3">
      <c r="KWE8045" s="7987"/>
    </row>
    <row r="8046" spans="8027:8042" x14ac:dyDescent="0.3">
      <c r="KWF8046" s="7988"/>
    </row>
    <row r="8047" spans="8027:8042" x14ac:dyDescent="0.3">
      <c r="KWG8047" s="7989"/>
    </row>
    <row r="8048" spans="8027:8042" x14ac:dyDescent="0.3">
      <c r="KWH8048" s="7990"/>
    </row>
    <row r="8049" spans="8043:8058" x14ac:dyDescent="0.3">
      <c r="KWI8049" s="7991"/>
    </row>
    <row r="8050" spans="8043:8058" x14ac:dyDescent="0.3">
      <c r="KWJ8050" s="7992"/>
    </row>
    <row r="8051" spans="8043:8058" x14ac:dyDescent="0.3">
      <c r="KWK8051" s="7993"/>
    </row>
    <row r="8052" spans="8043:8058" x14ac:dyDescent="0.3">
      <c r="KWL8052" s="7994"/>
    </row>
    <row r="8053" spans="8043:8058" x14ac:dyDescent="0.3">
      <c r="KWM8053" s="7995"/>
    </row>
    <row r="8054" spans="8043:8058" x14ac:dyDescent="0.3">
      <c r="KWN8054" s="7996"/>
    </row>
    <row r="8055" spans="8043:8058" x14ac:dyDescent="0.3">
      <c r="KWO8055" s="7997"/>
    </row>
    <row r="8056" spans="8043:8058" x14ac:dyDescent="0.3">
      <c r="KWP8056" s="7998"/>
    </row>
    <row r="8057" spans="8043:8058" x14ac:dyDescent="0.3">
      <c r="KWQ8057" s="7999"/>
    </row>
    <row r="8058" spans="8043:8058" x14ac:dyDescent="0.3">
      <c r="KWR8058" s="8000"/>
    </row>
    <row r="8059" spans="8043:8058" x14ac:dyDescent="0.3">
      <c r="KWS8059" s="8001"/>
    </row>
    <row r="8060" spans="8043:8058" x14ac:dyDescent="0.3">
      <c r="KWT8060" s="8002"/>
    </row>
    <row r="8061" spans="8043:8058" x14ac:dyDescent="0.3">
      <c r="KWU8061" s="8003"/>
    </row>
    <row r="8062" spans="8043:8058" x14ac:dyDescent="0.3">
      <c r="KWV8062" s="8004"/>
    </row>
    <row r="8063" spans="8043:8058" x14ac:dyDescent="0.3">
      <c r="KWW8063" s="8005"/>
    </row>
    <row r="8064" spans="8043:8058" x14ac:dyDescent="0.3">
      <c r="KWX8064" s="8006"/>
    </row>
    <row r="8065" spans="8059:8074" x14ac:dyDescent="0.3">
      <c r="KWY8065" s="8007"/>
    </row>
    <row r="8066" spans="8059:8074" x14ac:dyDescent="0.3">
      <c r="KWZ8066" s="8008"/>
    </row>
    <row r="8067" spans="8059:8074" x14ac:dyDescent="0.3">
      <c r="KXA8067" s="8009"/>
    </row>
    <row r="8068" spans="8059:8074" x14ac:dyDescent="0.3">
      <c r="KXB8068" s="8010"/>
    </row>
    <row r="8069" spans="8059:8074" x14ac:dyDescent="0.3">
      <c r="KXC8069" s="8011"/>
    </row>
    <row r="8070" spans="8059:8074" x14ac:dyDescent="0.3">
      <c r="KXD8070" s="8012"/>
    </row>
    <row r="8071" spans="8059:8074" x14ac:dyDescent="0.3">
      <c r="KXE8071" s="8013"/>
    </row>
    <row r="8072" spans="8059:8074" x14ac:dyDescent="0.3">
      <c r="KXF8072" s="8014"/>
    </row>
    <row r="8073" spans="8059:8074" x14ac:dyDescent="0.3">
      <c r="KXG8073" s="8015"/>
    </row>
    <row r="8074" spans="8059:8074" x14ac:dyDescent="0.3">
      <c r="KXH8074" s="8016"/>
    </row>
    <row r="8075" spans="8059:8074" x14ac:dyDescent="0.3">
      <c r="KXI8075" s="8017"/>
    </row>
    <row r="8076" spans="8059:8074" x14ac:dyDescent="0.3">
      <c r="KXJ8076" s="8018"/>
    </row>
    <row r="8077" spans="8059:8074" x14ac:dyDescent="0.3">
      <c r="KXK8077" s="8019"/>
    </row>
    <row r="8078" spans="8059:8074" x14ac:dyDescent="0.3">
      <c r="KXL8078" s="8020"/>
    </row>
    <row r="8079" spans="8059:8074" x14ac:dyDescent="0.3">
      <c r="KXM8079" s="8021"/>
    </row>
    <row r="8080" spans="8059:8074" x14ac:dyDescent="0.3">
      <c r="KXN8080" s="8022"/>
    </row>
    <row r="8081" spans="8075:8090" x14ac:dyDescent="0.3">
      <c r="KXO8081" s="8023"/>
    </row>
    <row r="8082" spans="8075:8090" x14ac:dyDescent="0.3">
      <c r="KXP8082" s="8024"/>
    </row>
    <row r="8083" spans="8075:8090" x14ac:dyDescent="0.3">
      <c r="KXQ8083" s="8025"/>
    </row>
    <row r="8084" spans="8075:8090" x14ac:dyDescent="0.3">
      <c r="KXR8084" s="8026"/>
    </row>
    <row r="8085" spans="8075:8090" x14ac:dyDescent="0.3">
      <c r="KXS8085" s="8027"/>
    </row>
    <row r="8086" spans="8075:8090" x14ac:dyDescent="0.3">
      <c r="KXT8086" s="8028"/>
    </row>
    <row r="8087" spans="8075:8090" x14ac:dyDescent="0.3">
      <c r="KXU8087" s="8029"/>
    </row>
    <row r="8088" spans="8075:8090" x14ac:dyDescent="0.3">
      <c r="KXV8088" s="8030"/>
    </row>
    <row r="8089" spans="8075:8090" x14ac:dyDescent="0.3">
      <c r="KXW8089" s="8031"/>
    </row>
    <row r="8090" spans="8075:8090" x14ac:dyDescent="0.3">
      <c r="KXX8090" s="8032"/>
    </row>
    <row r="8091" spans="8075:8090" x14ac:dyDescent="0.3">
      <c r="KXY8091" s="8033"/>
    </row>
    <row r="8092" spans="8075:8090" x14ac:dyDescent="0.3">
      <c r="KXZ8092" s="8034"/>
    </row>
    <row r="8093" spans="8075:8090" x14ac:dyDescent="0.3">
      <c r="KYA8093" s="8035"/>
    </row>
    <row r="8094" spans="8075:8090" x14ac:dyDescent="0.3">
      <c r="KYB8094" s="8036"/>
    </row>
    <row r="8095" spans="8075:8090" x14ac:dyDescent="0.3">
      <c r="KYC8095" s="8037"/>
    </row>
    <row r="8096" spans="8075:8090" x14ac:dyDescent="0.3">
      <c r="KYD8096" s="8038"/>
    </row>
    <row r="8097" spans="8091:8106" x14ac:dyDescent="0.3">
      <c r="KYE8097" s="8039"/>
    </row>
    <row r="8098" spans="8091:8106" x14ac:dyDescent="0.3">
      <c r="KYF8098" s="8040"/>
    </row>
    <row r="8099" spans="8091:8106" x14ac:dyDescent="0.3">
      <c r="KYG8099" s="8041"/>
    </row>
    <row r="8100" spans="8091:8106" x14ac:dyDescent="0.3">
      <c r="KYH8100" s="8042"/>
    </row>
    <row r="8101" spans="8091:8106" x14ac:dyDescent="0.3">
      <c r="KYI8101" s="8043"/>
    </row>
    <row r="8102" spans="8091:8106" x14ac:dyDescent="0.3">
      <c r="KYJ8102" s="8044"/>
    </row>
    <row r="8103" spans="8091:8106" x14ac:dyDescent="0.3">
      <c r="KYK8103" s="8045"/>
    </row>
    <row r="8104" spans="8091:8106" x14ac:dyDescent="0.3">
      <c r="KYL8104" s="8046"/>
    </row>
    <row r="8105" spans="8091:8106" x14ac:dyDescent="0.3">
      <c r="KYM8105" s="8047"/>
    </row>
    <row r="8106" spans="8091:8106" x14ac:dyDescent="0.3">
      <c r="KYN8106" s="8048"/>
    </row>
    <row r="8107" spans="8091:8106" x14ac:dyDescent="0.3">
      <c r="KYO8107" s="8049"/>
    </row>
    <row r="8108" spans="8091:8106" x14ac:dyDescent="0.3">
      <c r="KYP8108" s="8050"/>
    </row>
    <row r="8109" spans="8091:8106" x14ac:dyDescent="0.3">
      <c r="KYQ8109" s="8051"/>
    </row>
    <row r="8110" spans="8091:8106" x14ac:dyDescent="0.3">
      <c r="KYR8110" s="8052"/>
    </row>
    <row r="8111" spans="8091:8106" x14ac:dyDescent="0.3">
      <c r="KYS8111" s="8053"/>
    </row>
    <row r="8112" spans="8091:8106" x14ac:dyDescent="0.3">
      <c r="KYT8112" s="8054"/>
    </row>
    <row r="8113" spans="8107:8122" x14ac:dyDescent="0.3">
      <c r="KYU8113" s="8055"/>
    </row>
    <row r="8114" spans="8107:8122" x14ac:dyDescent="0.3">
      <c r="KYV8114" s="8056"/>
    </row>
    <row r="8115" spans="8107:8122" x14ac:dyDescent="0.3">
      <c r="KYW8115" s="8057"/>
    </row>
    <row r="8116" spans="8107:8122" x14ac:dyDescent="0.3">
      <c r="KYX8116" s="8058"/>
    </row>
    <row r="8117" spans="8107:8122" x14ac:dyDescent="0.3">
      <c r="KYY8117" s="8059"/>
    </row>
    <row r="8118" spans="8107:8122" x14ac:dyDescent="0.3">
      <c r="KYZ8118" s="8060"/>
    </row>
    <row r="8119" spans="8107:8122" x14ac:dyDescent="0.3">
      <c r="KZA8119" s="8061"/>
    </row>
    <row r="8120" spans="8107:8122" x14ac:dyDescent="0.3">
      <c r="KZB8120" s="8062"/>
    </row>
    <row r="8121" spans="8107:8122" x14ac:dyDescent="0.3">
      <c r="KZC8121" s="8063"/>
    </row>
    <row r="8122" spans="8107:8122" x14ac:dyDescent="0.3">
      <c r="KZD8122" s="8064"/>
    </row>
    <row r="8123" spans="8107:8122" x14ac:dyDescent="0.3">
      <c r="KZE8123" s="8065"/>
    </row>
    <row r="8124" spans="8107:8122" x14ac:dyDescent="0.3">
      <c r="KZF8124" s="8066"/>
    </row>
    <row r="8125" spans="8107:8122" x14ac:dyDescent="0.3">
      <c r="KZG8125" s="8067"/>
    </row>
    <row r="8126" spans="8107:8122" x14ac:dyDescent="0.3">
      <c r="KZH8126" s="8068"/>
    </row>
    <row r="8127" spans="8107:8122" x14ac:dyDescent="0.3">
      <c r="KZI8127" s="8069"/>
    </row>
    <row r="8128" spans="8107:8122" x14ac:dyDescent="0.3">
      <c r="KZJ8128" s="8070"/>
    </row>
    <row r="8129" spans="8123:8138" x14ac:dyDescent="0.3">
      <c r="KZK8129" s="8071"/>
    </row>
    <row r="8130" spans="8123:8138" x14ac:dyDescent="0.3">
      <c r="KZL8130" s="8072"/>
    </row>
    <row r="8131" spans="8123:8138" x14ac:dyDescent="0.3">
      <c r="KZM8131" s="8073"/>
    </row>
    <row r="8132" spans="8123:8138" x14ac:dyDescent="0.3">
      <c r="KZN8132" s="8074"/>
    </row>
    <row r="8133" spans="8123:8138" x14ac:dyDescent="0.3">
      <c r="KZO8133" s="8075"/>
    </row>
    <row r="8134" spans="8123:8138" x14ac:dyDescent="0.3">
      <c r="KZP8134" s="8076"/>
    </row>
    <row r="8135" spans="8123:8138" x14ac:dyDescent="0.3">
      <c r="KZQ8135" s="8077"/>
    </row>
    <row r="8136" spans="8123:8138" x14ac:dyDescent="0.3">
      <c r="KZR8136" s="8078"/>
    </row>
    <row r="8137" spans="8123:8138" x14ac:dyDescent="0.3">
      <c r="KZS8137" s="8079"/>
    </row>
    <row r="8138" spans="8123:8138" x14ac:dyDescent="0.3">
      <c r="KZT8138" s="8080"/>
    </row>
    <row r="8139" spans="8123:8138" x14ac:dyDescent="0.3">
      <c r="KZU8139" s="8081"/>
    </row>
    <row r="8140" spans="8123:8138" x14ac:dyDescent="0.3">
      <c r="KZV8140" s="8082"/>
    </row>
    <row r="8141" spans="8123:8138" x14ac:dyDescent="0.3">
      <c r="KZW8141" s="8083"/>
    </row>
    <row r="8142" spans="8123:8138" x14ac:dyDescent="0.3">
      <c r="KZX8142" s="8084"/>
    </row>
    <row r="8143" spans="8123:8138" x14ac:dyDescent="0.3">
      <c r="KZY8143" s="8085"/>
    </row>
    <row r="8144" spans="8123:8138" x14ac:dyDescent="0.3">
      <c r="KZZ8144" s="8086"/>
    </row>
    <row r="8145" spans="8139:8154" x14ac:dyDescent="0.3">
      <c r="LAA8145" s="8087"/>
    </row>
    <row r="8146" spans="8139:8154" x14ac:dyDescent="0.3">
      <c r="LAB8146" s="8088"/>
    </row>
    <row r="8147" spans="8139:8154" x14ac:dyDescent="0.3">
      <c r="LAC8147" s="8089"/>
    </row>
    <row r="8148" spans="8139:8154" x14ac:dyDescent="0.3">
      <c r="LAD8148" s="8090"/>
    </row>
    <row r="8149" spans="8139:8154" x14ac:dyDescent="0.3">
      <c r="LAE8149" s="8091"/>
    </row>
    <row r="8150" spans="8139:8154" x14ac:dyDescent="0.3">
      <c r="LAF8150" s="8092"/>
    </row>
    <row r="8151" spans="8139:8154" x14ac:dyDescent="0.3">
      <c r="LAG8151" s="8093"/>
    </row>
    <row r="8152" spans="8139:8154" x14ac:dyDescent="0.3">
      <c r="LAH8152" s="8094"/>
    </row>
    <row r="8153" spans="8139:8154" x14ac:dyDescent="0.3">
      <c r="LAI8153" s="8095"/>
    </row>
    <row r="8154" spans="8139:8154" x14ac:dyDescent="0.3">
      <c r="LAJ8154" s="8096"/>
    </row>
    <row r="8155" spans="8139:8154" x14ac:dyDescent="0.3">
      <c r="LAK8155" s="8097"/>
    </row>
    <row r="8156" spans="8139:8154" x14ac:dyDescent="0.3">
      <c r="LAL8156" s="8098"/>
    </row>
    <row r="8157" spans="8139:8154" x14ac:dyDescent="0.3">
      <c r="LAM8157" s="8099"/>
    </row>
    <row r="8158" spans="8139:8154" x14ac:dyDescent="0.3">
      <c r="LAN8158" s="8100"/>
    </row>
    <row r="8159" spans="8139:8154" x14ac:dyDescent="0.3">
      <c r="LAO8159" s="8101"/>
    </row>
    <row r="8160" spans="8139:8154" x14ac:dyDescent="0.3">
      <c r="LAP8160" s="8102"/>
    </row>
    <row r="8161" spans="8155:8170" x14ac:dyDescent="0.3">
      <c r="LAQ8161" s="8103"/>
    </row>
    <row r="8162" spans="8155:8170" x14ac:dyDescent="0.3">
      <c r="LAR8162" s="8104"/>
    </row>
    <row r="8163" spans="8155:8170" x14ac:dyDescent="0.3">
      <c r="LAS8163" s="8105"/>
    </row>
    <row r="8164" spans="8155:8170" x14ac:dyDescent="0.3">
      <c r="LAT8164" s="8106"/>
    </row>
    <row r="8165" spans="8155:8170" x14ac:dyDescent="0.3">
      <c r="LAU8165" s="8107"/>
    </row>
    <row r="8166" spans="8155:8170" x14ac:dyDescent="0.3">
      <c r="LAV8166" s="8108"/>
    </row>
    <row r="8167" spans="8155:8170" x14ac:dyDescent="0.3">
      <c r="LAW8167" s="8109"/>
    </row>
    <row r="8168" spans="8155:8170" x14ac:dyDescent="0.3">
      <c r="LAX8168" s="8110"/>
    </row>
    <row r="8169" spans="8155:8170" x14ac:dyDescent="0.3">
      <c r="LAY8169" s="8111"/>
    </row>
    <row r="8170" spans="8155:8170" x14ac:dyDescent="0.3">
      <c r="LAZ8170" s="8112"/>
    </row>
    <row r="8171" spans="8155:8170" x14ac:dyDescent="0.3">
      <c r="LBA8171" s="8113"/>
    </row>
    <row r="8172" spans="8155:8170" x14ac:dyDescent="0.3">
      <c r="LBB8172" s="8114"/>
    </row>
    <row r="8173" spans="8155:8170" x14ac:dyDescent="0.3">
      <c r="LBC8173" s="8115"/>
    </row>
    <row r="8174" spans="8155:8170" x14ac:dyDescent="0.3">
      <c r="LBD8174" s="8116"/>
    </row>
    <row r="8175" spans="8155:8170" x14ac:dyDescent="0.3">
      <c r="LBE8175" s="8117"/>
    </row>
    <row r="8176" spans="8155:8170" x14ac:dyDescent="0.3">
      <c r="LBF8176" s="8118"/>
    </row>
    <row r="8177" spans="8171:8186" x14ac:dyDescent="0.3">
      <c r="LBG8177" s="8119"/>
    </row>
    <row r="8178" spans="8171:8186" x14ac:dyDescent="0.3">
      <c r="LBH8178" s="8120"/>
    </row>
    <row r="8179" spans="8171:8186" x14ac:dyDescent="0.3">
      <c r="LBI8179" s="8121"/>
    </row>
    <row r="8180" spans="8171:8186" x14ac:dyDescent="0.3">
      <c r="LBJ8180" s="8122"/>
    </row>
    <row r="8181" spans="8171:8186" x14ac:dyDescent="0.3">
      <c r="LBK8181" s="8123"/>
    </row>
    <row r="8182" spans="8171:8186" x14ac:dyDescent="0.3">
      <c r="LBL8182" s="8124"/>
    </row>
    <row r="8183" spans="8171:8186" x14ac:dyDescent="0.3">
      <c r="LBM8183" s="8125"/>
    </row>
    <row r="8184" spans="8171:8186" x14ac:dyDescent="0.3">
      <c r="LBN8184" s="8126"/>
    </row>
    <row r="8185" spans="8171:8186" x14ac:dyDescent="0.3">
      <c r="LBO8185" s="8127"/>
    </row>
    <row r="8186" spans="8171:8186" x14ac:dyDescent="0.3">
      <c r="LBP8186" s="8128"/>
    </row>
    <row r="8187" spans="8171:8186" x14ac:dyDescent="0.3">
      <c r="LBQ8187" s="8129"/>
    </row>
    <row r="8188" spans="8171:8186" x14ac:dyDescent="0.3">
      <c r="LBR8188" s="8130"/>
    </row>
    <row r="8189" spans="8171:8186" x14ac:dyDescent="0.3">
      <c r="LBS8189" s="8131"/>
    </row>
    <row r="8190" spans="8171:8186" x14ac:dyDescent="0.3">
      <c r="LBT8190" s="8132"/>
    </row>
    <row r="8191" spans="8171:8186" x14ac:dyDescent="0.3">
      <c r="LBU8191" s="8133"/>
    </row>
    <row r="8192" spans="8171:8186" x14ac:dyDescent="0.3">
      <c r="LBV8192" s="8134"/>
    </row>
    <row r="8193" spans="8187:8202" x14ac:dyDescent="0.3">
      <c r="LBW8193" s="8135"/>
    </row>
    <row r="8194" spans="8187:8202" x14ac:dyDescent="0.3">
      <c r="LBX8194" s="8136"/>
    </row>
    <row r="8195" spans="8187:8202" x14ac:dyDescent="0.3">
      <c r="LBY8195" s="8137"/>
    </row>
    <row r="8196" spans="8187:8202" x14ac:dyDescent="0.3">
      <c r="LBZ8196" s="8138"/>
    </row>
    <row r="8197" spans="8187:8202" x14ac:dyDescent="0.3">
      <c r="LCA8197" s="8139"/>
    </row>
    <row r="8198" spans="8187:8202" x14ac:dyDescent="0.3">
      <c r="LCB8198" s="8140"/>
    </row>
    <row r="8199" spans="8187:8202" x14ac:dyDescent="0.3">
      <c r="LCC8199" s="8141"/>
    </row>
    <row r="8200" spans="8187:8202" x14ac:dyDescent="0.3">
      <c r="LCD8200" s="8142"/>
    </row>
    <row r="8201" spans="8187:8202" x14ac:dyDescent="0.3">
      <c r="LCE8201" s="8143"/>
    </row>
    <row r="8202" spans="8187:8202" x14ac:dyDescent="0.3">
      <c r="LCF8202" s="8144"/>
    </row>
    <row r="8203" spans="8187:8202" x14ac:dyDescent="0.3">
      <c r="LCG8203" s="8145"/>
    </row>
    <row r="8204" spans="8187:8202" x14ac:dyDescent="0.3">
      <c r="LCH8204" s="8146"/>
    </row>
    <row r="8205" spans="8187:8202" x14ac:dyDescent="0.3">
      <c r="LCI8205" s="8147"/>
    </row>
    <row r="8206" spans="8187:8202" x14ac:dyDescent="0.3">
      <c r="LCJ8206" s="8148"/>
    </row>
    <row r="8207" spans="8187:8202" x14ac:dyDescent="0.3">
      <c r="LCK8207" s="8149"/>
    </row>
    <row r="8208" spans="8187:8202" x14ac:dyDescent="0.3">
      <c r="LCL8208" s="8150"/>
    </row>
    <row r="8209" spans="8203:8218" x14ac:dyDescent="0.3">
      <c r="LCM8209" s="8151"/>
    </row>
    <row r="8210" spans="8203:8218" x14ac:dyDescent="0.3">
      <c r="LCN8210" s="8152"/>
    </row>
    <row r="8211" spans="8203:8218" x14ac:dyDescent="0.3">
      <c r="LCO8211" s="8153"/>
    </row>
    <row r="8212" spans="8203:8218" x14ac:dyDescent="0.3">
      <c r="LCP8212" s="8154"/>
    </row>
    <row r="8213" spans="8203:8218" x14ac:dyDescent="0.3">
      <c r="LCQ8213" s="8155"/>
    </row>
    <row r="8214" spans="8203:8218" x14ac:dyDescent="0.3">
      <c r="LCR8214" s="8156"/>
    </row>
    <row r="8215" spans="8203:8218" x14ac:dyDescent="0.3">
      <c r="LCS8215" s="8157"/>
    </row>
    <row r="8216" spans="8203:8218" x14ac:dyDescent="0.3">
      <c r="LCT8216" s="8158"/>
    </row>
    <row r="8217" spans="8203:8218" x14ac:dyDescent="0.3">
      <c r="LCU8217" s="8159"/>
    </row>
    <row r="8218" spans="8203:8218" x14ac:dyDescent="0.3">
      <c r="LCV8218" s="8160"/>
    </row>
    <row r="8219" spans="8203:8218" x14ac:dyDescent="0.3">
      <c r="LCW8219" s="8161"/>
    </row>
    <row r="8220" spans="8203:8218" x14ac:dyDescent="0.3">
      <c r="LCX8220" s="8162"/>
    </row>
    <row r="8221" spans="8203:8218" x14ac:dyDescent="0.3">
      <c r="LCY8221" s="8163"/>
    </row>
    <row r="8222" spans="8203:8218" x14ac:dyDescent="0.3">
      <c r="LCZ8222" s="8164"/>
    </row>
    <row r="8223" spans="8203:8218" x14ac:dyDescent="0.3">
      <c r="LDA8223" s="8165"/>
    </row>
    <row r="8224" spans="8203:8218" x14ac:dyDescent="0.3">
      <c r="LDB8224" s="8166"/>
    </row>
    <row r="8225" spans="8219:8234" x14ac:dyDescent="0.3">
      <c r="LDC8225" s="8167"/>
    </row>
    <row r="8226" spans="8219:8234" x14ac:dyDescent="0.3">
      <c r="LDD8226" s="8168"/>
    </row>
    <row r="8227" spans="8219:8234" x14ac:dyDescent="0.3">
      <c r="LDE8227" s="8169"/>
    </row>
    <row r="8228" spans="8219:8234" x14ac:dyDescent="0.3">
      <c r="LDF8228" s="8170"/>
    </row>
    <row r="8229" spans="8219:8234" x14ac:dyDescent="0.3">
      <c r="LDG8229" s="8171"/>
    </row>
    <row r="8230" spans="8219:8234" x14ac:dyDescent="0.3">
      <c r="LDH8230" s="8171"/>
    </row>
    <row r="8231" spans="8219:8234" x14ac:dyDescent="0.3">
      <c r="LDI8231" s="8172"/>
    </row>
    <row r="8232" spans="8219:8234" x14ac:dyDescent="0.3">
      <c r="LDJ8232" s="8173"/>
    </row>
    <row r="8233" spans="8219:8234" x14ac:dyDescent="0.3">
      <c r="LDK8233" s="8174"/>
    </row>
    <row r="8234" spans="8219:8234" x14ac:dyDescent="0.3">
      <c r="LDL8234" s="8175"/>
    </row>
    <row r="8235" spans="8219:8234" x14ac:dyDescent="0.3">
      <c r="LDM8235" s="8176"/>
    </row>
    <row r="8236" spans="8219:8234" x14ac:dyDescent="0.3">
      <c r="LDN8236" s="8177"/>
    </row>
    <row r="8237" spans="8219:8234" x14ac:dyDescent="0.3">
      <c r="LDO8237" s="8178"/>
    </row>
    <row r="8238" spans="8219:8234" x14ac:dyDescent="0.3">
      <c r="LDP8238" s="8179"/>
    </row>
    <row r="8239" spans="8219:8234" x14ac:dyDescent="0.3">
      <c r="LDQ8239" s="8180"/>
    </row>
    <row r="8240" spans="8219:8234" x14ac:dyDescent="0.3">
      <c r="LDR8240" s="8181"/>
    </row>
    <row r="8241" spans="8235:8250" x14ac:dyDescent="0.3">
      <c r="LDS8241" s="8182"/>
    </row>
    <row r="8242" spans="8235:8250" x14ac:dyDescent="0.3">
      <c r="LDT8242" s="8183"/>
    </row>
    <row r="8243" spans="8235:8250" x14ac:dyDescent="0.3">
      <c r="LDU8243" s="8184"/>
    </row>
    <row r="8244" spans="8235:8250" x14ac:dyDescent="0.3">
      <c r="LDV8244" s="8185"/>
    </row>
    <row r="8245" spans="8235:8250" x14ac:dyDescent="0.3">
      <c r="LDW8245" s="8186"/>
    </row>
    <row r="8246" spans="8235:8250" x14ac:dyDescent="0.3">
      <c r="LDX8246" s="8187"/>
    </row>
    <row r="8247" spans="8235:8250" x14ac:dyDescent="0.3">
      <c r="LDY8247" s="8188"/>
    </row>
    <row r="8248" spans="8235:8250" x14ac:dyDescent="0.3">
      <c r="LDZ8248" s="8189"/>
    </row>
    <row r="8249" spans="8235:8250" x14ac:dyDescent="0.3">
      <c r="LEA8249" s="8190"/>
    </row>
    <row r="8250" spans="8235:8250" x14ac:dyDescent="0.3">
      <c r="LEB8250" s="8191"/>
    </row>
    <row r="8251" spans="8235:8250" x14ac:dyDescent="0.3">
      <c r="LEC8251" s="8192"/>
    </row>
    <row r="8252" spans="8235:8250" x14ac:dyDescent="0.3">
      <c r="LED8252" s="8193"/>
    </row>
    <row r="8253" spans="8235:8250" x14ac:dyDescent="0.3">
      <c r="LEE8253" s="8194"/>
    </row>
    <row r="8254" spans="8235:8250" x14ac:dyDescent="0.3">
      <c r="LEF8254" s="8195"/>
    </row>
    <row r="8255" spans="8235:8250" x14ac:dyDescent="0.3">
      <c r="LEG8255" s="8196"/>
    </row>
    <row r="8256" spans="8235:8250" x14ac:dyDescent="0.3">
      <c r="LEH8256" s="8197"/>
    </row>
    <row r="8257" spans="8251:8266" x14ac:dyDescent="0.3">
      <c r="LEI8257" s="8198"/>
    </row>
    <row r="8258" spans="8251:8266" x14ac:dyDescent="0.3">
      <c r="LEJ8258" s="8199"/>
    </row>
    <row r="8259" spans="8251:8266" x14ac:dyDescent="0.3">
      <c r="LEK8259" s="8200"/>
    </row>
    <row r="8260" spans="8251:8266" x14ac:dyDescent="0.3">
      <c r="LEL8260" s="8201"/>
    </row>
    <row r="8261" spans="8251:8266" x14ac:dyDescent="0.3">
      <c r="LEM8261" s="8202"/>
    </row>
    <row r="8262" spans="8251:8266" x14ac:dyDescent="0.3">
      <c r="LEN8262" s="8203"/>
    </row>
    <row r="8263" spans="8251:8266" x14ac:dyDescent="0.3">
      <c r="LEO8263" s="8204"/>
    </row>
    <row r="8264" spans="8251:8266" x14ac:dyDescent="0.3">
      <c r="LEP8264" s="8205"/>
    </row>
    <row r="8265" spans="8251:8266" x14ac:dyDescent="0.3">
      <c r="LEQ8265" s="8206"/>
    </row>
    <row r="8266" spans="8251:8266" x14ac:dyDescent="0.3">
      <c r="LER8266" s="8207"/>
    </row>
    <row r="8267" spans="8251:8266" x14ac:dyDescent="0.3">
      <c r="LES8267" s="8208"/>
    </row>
    <row r="8268" spans="8251:8266" x14ac:dyDescent="0.3">
      <c r="LET8268" s="8209"/>
    </row>
    <row r="8269" spans="8251:8266" x14ac:dyDescent="0.3">
      <c r="LEU8269" s="8210"/>
    </row>
    <row r="8270" spans="8251:8266" x14ac:dyDescent="0.3">
      <c r="LEV8270" s="8211"/>
    </row>
    <row r="8271" spans="8251:8266" x14ac:dyDescent="0.3">
      <c r="LEW8271" s="8212"/>
    </row>
    <row r="8272" spans="8251:8266" x14ac:dyDescent="0.3">
      <c r="LEX8272" s="8213"/>
    </row>
    <row r="8273" spans="8267:8282" x14ac:dyDescent="0.3">
      <c r="LEY8273" s="8214"/>
    </row>
    <row r="8274" spans="8267:8282" x14ac:dyDescent="0.3">
      <c r="LEZ8274" s="8215"/>
    </row>
    <row r="8275" spans="8267:8282" x14ac:dyDescent="0.3">
      <c r="LFA8275" s="8216"/>
    </row>
    <row r="8276" spans="8267:8282" x14ac:dyDescent="0.3">
      <c r="LFB8276" s="8217"/>
    </row>
    <row r="8277" spans="8267:8282" x14ac:dyDescent="0.3">
      <c r="LFC8277" s="8218"/>
    </row>
    <row r="8278" spans="8267:8282" x14ac:dyDescent="0.3">
      <c r="LFD8278" s="8219"/>
    </row>
    <row r="8279" spans="8267:8282" x14ac:dyDescent="0.3">
      <c r="LFE8279" s="8220"/>
    </row>
    <row r="8280" spans="8267:8282" x14ac:dyDescent="0.3">
      <c r="LFF8280" s="8221"/>
    </row>
    <row r="8281" spans="8267:8282" x14ac:dyDescent="0.3">
      <c r="LFG8281" s="8222"/>
    </row>
    <row r="8282" spans="8267:8282" x14ac:dyDescent="0.3">
      <c r="LFH8282" s="8223"/>
    </row>
    <row r="8283" spans="8267:8282" x14ac:dyDescent="0.3">
      <c r="LFI8283" s="8224"/>
    </row>
    <row r="8284" spans="8267:8282" x14ac:dyDescent="0.3">
      <c r="LFJ8284" s="8225"/>
    </row>
    <row r="8285" spans="8267:8282" x14ac:dyDescent="0.3">
      <c r="LFK8285" s="8226"/>
    </row>
    <row r="8286" spans="8267:8282" x14ac:dyDescent="0.3">
      <c r="LFL8286" s="8227"/>
    </row>
    <row r="8287" spans="8267:8282" x14ac:dyDescent="0.3">
      <c r="LFM8287" s="8228"/>
    </row>
    <row r="8288" spans="8267:8282" x14ac:dyDescent="0.3">
      <c r="LFN8288" s="8229"/>
    </row>
    <row r="8289" spans="8283:8298" x14ac:dyDescent="0.3">
      <c r="LFO8289" s="8230"/>
    </row>
    <row r="8290" spans="8283:8298" x14ac:dyDescent="0.3">
      <c r="LFP8290" s="8231"/>
    </row>
    <row r="8291" spans="8283:8298" x14ac:dyDescent="0.3">
      <c r="LFQ8291" s="8232"/>
    </row>
    <row r="8292" spans="8283:8298" x14ac:dyDescent="0.3">
      <c r="LFR8292" s="8233"/>
    </row>
    <row r="8293" spans="8283:8298" x14ac:dyDescent="0.3">
      <c r="LFS8293" s="8234"/>
    </row>
    <row r="8294" spans="8283:8298" x14ac:dyDescent="0.3">
      <c r="LFT8294" s="8235"/>
    </row>
    <row r="8295" spans="8283:8298" x14ac:dyDescent="0.3">
      <c r="LFU8295" s="8236"/>
    </row>
    <row r="8296" spans="8283:8298" x14ac:dyDescent="0.3">
      <c r="LFV8296" s="8237"/>
    </row>
    <row r="8297" spans="8283:8298" x14ac:dyDescent="0.3">
      <c r="LFW8297" s="8238"/>
    </row>
    <row r="8298" spans="8283:8298" x14ac:dyDescent="0.3">
      <c r="LFX8298" s="8239"/>
    </row>
    <row r="8299" spans="8283:8298" x14ac:dyDescent="0.3">
      <c r="LFY8299" s="8240"/>
    </row>
    <row r="8300" spans="8283:8298" x14ac:dyDescent="0.3">
      <c r="LFZ8300" s="8241"/>
    </row>
    <row r="8301" spans="8283:8298" x14ac:dyDescent="0.3">
      <c r="LGA8301" s="8242"/>
    </row>
    <row r="8302" spans="8283:8298" x14ac:dyDescent="0.3">
      <c r="LGB8302" s="8243"/>
    </row>
    <row r="8303" spans="8283:8298" x14ac:dyDescent="0.3">
      <c r="LGC8303" s="8244"/>
    </row>
    <row r="8304" spans="8283:8298" x14ac:dyDescent="0.3">
      <c r="LGD8304" s="8245"/>
    </row>
    <row r="8305" spans="8299:8314" x14ac:dyDescent="0.3">
      <c r="LGE8305" s="8246"/>
    </row>
    <row r="8306" spans="8299:8314" x14ac:dyDescent="0.3">
      <c r="LGF8306" s="8247"/>
    </row>
    <row r="8307" spans="8299:8314" x14ac:dyDescent="0.3">
      <c r="LGG8307" s="8248"/>
    </row>
    <row r="8308" spans="8299:8314" x14ac:dyDescent="0.3">
      <c r="LGH8308" s="8249"/>
    </row>
    <row r="8309" spans="8299:8314" x14ac:dyDescent="0.3">
      <c r="LGI8309" s="8250"/>
    </row>
    <row r="8310" spans="8299:8314" x14ac:dyDescent="0.3">
      <c r="LGJ8310" s="8251"/>
    </row>
    <row r="8311" spans="8299:8314" x14ac:dyDescent="0.3">
      <c r="LGK8311" s="8252"/>
    </row>
    <row r="8312" spans="8299:8314" x14ac:dyDescent="0.3">
      <c r="LGL8312" s="8253"/>
    </row>
    <row r="8313" spans="8299:8314" x14ac:dyDescent="0.3">
      <c r="LGM8313" s="8254"/>
    </row>
    <row r="8314" spans="8299:8314" x14ac:dyDescent="0.3">
      <c r="LGN8314" s="8255"/>
    </row>
    <row r="8315" spans="8299:8314" x14ac:dyDescent="0.3">
      <c r="LGO8315" s="8256"/>
    </row>
    <row r="8316" spans="8299:8314" x14ac:dyDescent="0.3">
      <c r="LGP8316" s="8257"/>
    </row>
    <row r="8317" spans="8299:8314" x14ac:dyDescent="0.3">
      <c r="LGQ8317" s="8258"/>
    </row>
    <row r="8318" spans="8299:8314" x14ac:dyDescent="0.3">
      <c r="LGR8318" s="8259"/>
    </row>
    <row r="8319" spans="8299:8314" x14ac:dyDescent="0.3">
      <c r="LGS8319" s="8260"/>
    </row>
    <row r="8320" spans="8299:8314" x14ac:dyDescent="0.3">
      <c r="LGT8320" s="8261"/>
    </row>
    <row r="8321" spans="8315:8330" x14ac:dyDescent="0.3">
      <c r="LGU8321" s="8262"/>
    </row>
    <row r="8322" spans="8315:8330" x14ac:dyDescent="0.3">
      <c r="LGV8322" s="8263"/>
    </row>
    <row r="8323" spans="8315:8330" x14ac:dyDescent="0.3">
      <c r="LGW8323" s="8264"/>
    </row>
    <row r="8324" spans="8315:8330" x14ac:dyDescent="0.3">
      <c r="LGX8324" s="8265"/>
    </row>
    <row r="8325" spans="8315:8330" x14ac:dyDescent="0.3">
      <c r="LGY8325" s="8266"/>
    </row>
    <row r="8326" spans="8315:8330" x14ac:dyDescent="0.3">
      <c r="LGZ8326" s="8267"/>
    </row>
    <row r="8327" spans="8315:8330" x14ac:dyDescent="0.3">
      <c r="LHA8327" s="8268"/>
    </row>
    <row r="8328" spans="8315:8330" x14ac:dyDescent="0.3">
      <c r="LHB8328" s="8269"/>
    </row>
    <row r="8329" spans="8315:8330" x14ac:dyDescent="0.3">
      <c r="LHC8329" s="8270"/>
    </row>
    <row r="8330" spans="8315:8330" x14ac:dyDescent="0.3">
      <c r="LHD8330" s="8271"/>
    </row>
    <row r="8331" spans="8315:8330" x14ac:dyDescent="0.3">
      <c r="LHE8331" s="8272"/>
    </row>
    <row r="8332" spans="8315:8330" x14ac:dyDescent="0.3">
      <c r="LHF8332" s="8273"/>
    </row>
    <row r="8333" spans="8315:8330" x14ac:dyDescent="0.3">
      <c r="LHG8333" s="8274"/>
    </row>
    <row r="8334" spans="8315:8330" x14ac:dyDescent="0.3">
      <c r="LHH8334" s="8275"/>
    </row>
    <row r="8335" spans="8315:8330" x14ac:dyDescent="0.3">
      <c r="LHI8335" s="8276"/>
    </row>
    <row r="8336" spans="8315:8330" x14ac:dyDescent="0.3">
      <c r="LHJ8336" s="8277"/>
    </row>
    <row r="8337" spans="8331:8346" x14ac:dyDescent="0.3">
      <c r="LHK8337" s="8278"/>
    </row>
    <row r="8338" spans="8331:8346" x14ac:dyDescent="0.3">
      <c r="LHL8338" s="8279"/>
    </row>
    <row r="8339" spans="8331:8346" x14ac:dyDescent="0.3">
      <c r="LHM8339" s="8280"/>
    </row>
    <row r="8340" spans="8331:8346" x14ac:dyDescent="0.3">
      <c r="LHN8340" s="8281"/>
    </row>
    <row r="8341" spans="8331:8346" x14ac:dyDescent="0.3">
      <c r="LHO8341" s="8282"/>
    </row>
    <row r="8342" spans="8331:8346" x14ac:dyDescent="0.3">
      <c r="LHP8342" s="8283"/>
    </row>
    <row r="8343" spans="8331:8346" x14ac:dyDescent="0.3">
      <c r="LHQ8343" s="8284"/>
    </row>
    <row r="8344" spans="8331:8346" x14ac:dyDescent="0.3">
      <c r="LHR8344" s="8285"/>
    </row>
    <row r="8345" spans="8331:8346" x14ac:dyDescent="0.3">
      <c r="LHS8345" s="8286"/>
    </row>
    <row r="8346" spans="8331:8346" x14ac:dyDescent="0.3">
      <c r="LHT8346" s="8287"/>
    </row>
    <row r="8347" spans="8331:8346" x14ac:dyDescent="0.3">
      <c r="LHU8347" s="8288"/>
    </row>
    <row r="8348" spans="8331:8346" x14ac:dyDescent="0.3">
      <c r="LHV8348" s="8289"/>
    </row>
    <row r="8349" spans="8331:8346" x14ac:dyDescent="0.3">
      <c r="LHW8349" s="8290"/>
    </row>
    <row r="8350" spans="8331:8346" x14ac:dyDescent="0.3">
      <c r="LHX8350" s="8291"/>
    </row>
    <row r="8351" spans="8331:8346" x14ac:dyDescent="0.3">
      <c r="LHY8351" s="8292"/>
    </row>
    <row r="8352" spans="8331:8346" x14ac:dyDescent="0.3">
      <c r="LHZ8352" s="8293"/>
    </row>
    <row r="8353" spans="8347:8362" x14ac:dyDescent="0.3">
      <c r="LIA8353" s="8294"/>
    </row>
    <row r="8354" spans="8347:8362" x14ac:dyDescent="0.3">
      <c r="LIB8354" s="8295"/>
    </row>
    <row r="8355" spans="8347:8362" x14ac:dyDescent="0.3">
      <c r="LIC8355" s="8296"/>
    </row>
    <row r="8356" spans="8347:8362" x14ac:dyDescent="0.3">
      <c r="LID8356" s="8297"/>
    </row>
    <row r="8357" spans="8347:8362" x14ac:dyDescent="0.3">
      <c r="LIE8357" s="8298"/>
    </row>
    <row r="8358" spans="8347:8362" x14ac:dyDescent="0.3">
      <c r="LIF8358" s="8299"/>
    </row>
    <row r="8359" spans="8347:8362" x14ac:dyDescent="0.3">
      <c r="LIG8359" s="8300"/>
    </row>
    <row r="8360" spans="8347:8362" x14ac:dyDescent="0.3">
      <c r="LIH8360" s="8301"/>
    </row>
    <row r="8361" spans="8347:8362" x14ac:dyDescent="0.3">
      <c r="LII8361" s="8302"/>
    </row>
    <row r="8362" spans="8347:8362" x14ac:dyDescent="0.3">
      <c r="LIJ8362" s="8303"/>
    </row>
    <row r="8363" spans="8347:8362" x14ac:dyDescent="0.3">
      <c r="LIK8363" s="8304"/>
    </row>
    <row r="8364" spans="8347:8362" x14ac:dyDescent="0.3">
      <c r="LIL8364" s="8305"/>
    </row>
    <row r="8365" spans="8347:8362" x14ac:dyDescent="0.3">
      <c r="LIM8365" s="8306"/>
    </row>
    <row r="8366" spans="8347:8362" x14ac:dyDescent="0.3">
      <c r="LIN8366" s="8307"/>
    </row>
    <row r="8367" spans="8347:8362" x14ac:dyDescent="0.3">
      <c r="LIO8367" s="8308"/>
    </row>
    <row r="8368" spans="8347:8362" x14ac:dyDescent="0.3">
      <c r="LIP8368" s="8309"/>
    </row>
    <row r="8369" spans="8363:8378" x14ac:dyDescent="0.3">
      <c r="LIQ8369" s="8310"/>
    </row>
    <row r="8370" spans="8363:8378" x14ac:dyDescent="0.3">
      <c r="LIR8370" s="8311"/>
    </row>
    <row r="8371" spans="8363:8378" x14ac:dyDescent="0.3">
      <c r="LIS8371" s="8312"/>
    </row>
    <row r="8372" spans="8363:8378" x14ac:dyDescent="0.3">
      <c r="LIT8372" s="8313"/>
    </row>
    <row r="8373" spans="8363:8378" x14ac:dyDescent="0.3">
      <c r="LIU8373" s="8314"/>
    </row>
    <row r="8374" spans="8363:8378" x14ac:dyDescent="0.3">
      <c r="LIV8374" s="8315"/>
    </row>
    <row r="8375" spans="8363:8378" x14ac:dyDescent="0.3">
      <c r="LIW8375" s="8316"/>
    </row>
    <row r="8376" spans="8363:8378" x14ac:dyDescent="0.3">
      <c r="LIX8376" s="8317"/>
    </row>
    <row r="8377" spans="8363:8378" x14ac:dyDescent="0.3">
      <c r="LIY8377" s="8318"/>
    </row>
    <row r="8378" spans="8363:8378" x14ac:dyDescent="0.3">
      <c r="LIZ8378" s="8319"/>
    </row>
    <row r="8379" spans="8363:8378" x14ac:dyDescent="0.3">
      <c r="LJA8379" s="8320"/>
    </row>
    <row r="8380" spans="8363:8378" x14ac:dyDescent="0.3">
      <c r="LJB8380" s="8321"/>
    </row>
    <row r="8381" spans="8363:8378" x14ac:dyDescent="0.3">
      <c r="LJC8381" s="8322"/>
    </row>
    <row r="8382" spans="8363:8378" x14ac:dyDescent="0.3">
      <c r="LJD8382" s="8323"/>
    </row>
    <row r="8383" spans="8363:8378" x14ac:dyDescent="0.3">
      <c r="LJE8383" s="8324"/>
    </row>
    <row r="8384" spans="8363:8378" x14ac:dyDescent="0.3">
      <c r="LJF8384" s="8325"/>
    </row>
    <row r="8385" spans="8379:8394" x14ac:dyDescent="0.3">
      <c r="LJG8385" s="8326"/>
    </row>
    <row r="8386" spans="8379:8394" x14ac:dyDescent="0.3">
      <c r="LJH8386" s="8327"/>
    </row>
    <row r="8387" spans="8379:8394" x14ac:dyDescent="0.3">
      <c r="LJI8387" s="8328"/>
    </row>
    <row r="8388" spans="8379:8394" x14ac:dyDescent="0.3">
      <c r="LJJ8388" s="8329"/>
    </row>
    <row r="8389" spans="8379:8394" x14ac:dyDescent="0.3">
      <c r="LJK8389" s="8330"/>
    </row>
    <row r="8390" spans="8379:8394" x14ac:dyDescent="0.3">
      <c r="LJL8390" s="8331"/>
    </row>
    <row r="8391" spans="8379:8394" x14ac:dyDescent="0.3">
      <c r="LJM8391" s="8332"/>
    </row>
    <row r="8392" spans="8379:8394" x14ac:dyDescent="0.3">
      <c r="LJN8392" s="8333"/>
    </row>
    <row r="8393" spans="8379:8394" x14ac:dyDescent="0.3">
      <c r="LJO8393" s="8334"/>
    </row>
    <row r="8394" spans="8379:8394" x14ac:dyDescent="0.3">
      <c r="LJP8394" s="8335"/>
    </row>
    <row r="8395" spans="8379:8394" x14ac:dyDescent="0.3">
      <c r="LJQ8395" s="8336"/>
    </row>
    <row r="8396" spans="8379:8394" x14ac:dyDescent="0.3">
      <c r="LJR8396" s="8337"/>
    </row>
    <row r="8397" spans="8379:8394" x14ac:dyDescent="0.3">
      <c r="LJS8397" s="8338"/>
    </row>
    <row r="8398" spans="8379:8394" x14ac:dyDescent="0.3">
      <c r="LJT8398" s="8339"/>
    </row>
    <row r="8399" spans="8379:8394" x14ac:dyDescent="0.3">
      <c r="LJU8399" s="8340"/>
    </row>
    <row r="8400" spans="8379:8394" x14ac:dyDescent="0.3">
      <c r="LJV8400" s="8341"/>
    </row>
    <row r="8401" spans="8395:8410" x14ac:dyDescent="0.3">
      <c r="LJW8401" s="8342"/>
    </row>
    <row r="8402" spans="8395:8410" x14ac:dyDescent="0.3">
      <c r="LJX8402" s="8343"/>
    </row>
    <row r="8403" spans="8395:8410" x14ac:dyDescent="0.3">
      <c r="LJY8403" s="8344"/>
    </row>
    <row r="8404" spans="8395:8410" x14ac:dyDescent="0.3">
      <c r="LJZ8404" s="8345"/>
    </row>
    <row r="8405" spans="8395:8410" x14ac:dyDescent="0.3">
      <c r="LKA8405" s="8346"/>
    </row>
    <row r="8406" spans="8395:8410" x14ac:dyDescent="0.3">
      <c r="LKB8406" s="8347"/>
    </row>
    <row r="8407" spans="8395:8410" x14ac:dyDescent="0.3">
      <c r="LKC8407" s="8348"/>
    </row>
    <row r="8408" spans="8395:8410" x14ac:dyDescent="0.3">
      <c r="LKD8408" s="8349"/>
    </row>
    <row r="8409" spans="8395:8410" x14ac:dyDescent="0.3">
      <c r="LKE8409" s="8350"/>
    </row>
    <row r="8410" spans="8395:8410" x14ac:dyDescent="0.3">
      <c r="LKF8410" s="8351"/>
    </row>
    <row r="8411" spans="8395:8410" x14ac:dyDescent="0.3">
      <c r="LKG8411" s="8352"/>
    </row>
    <row r="8412" spans="8395:8410" x14ac:dyDescent="0.3">
      <c r="LKH8412" s="8353"/>
    </row>
    <row r="8413" spans="8395:8410" x14ac:dyDescent="0.3">
      <c r="LKI8413" s="8354"/>
    </row>
    <row r="8414" spans="8395:8410" x14ac:dyDescent="0.3">
      <c r="LKJ8414" s="8355"/>
    </row>
    <row r="8415" spans="8395:8410" x14ac:dyDescent="0.3">
      <c r="LKK8415" s="8356"/>
    </row>
    <row r="8416" spans="8395:8410" x14ac:dyDescent="0.3">
      <c r="LKL8416" s="8357"/>
    </row>
    <row r="8417" spans="8411:8426" x14ac:dyDescent="0.3">
      <c r="LKM8417" s="8358"/>
    </row>
    <row r="8418" spans="8411:8426" x14ac:dyDescent="0.3">
      <c r="LKN8418" s="8359"/>
    </row>
    <row r="8419" spans="8411:8426" x14ac:dyDescent="0.3">
      <c r="LKO8419" s="8360"/>
    </row>
    <row r="8420" spans="8411:8426" x14ac:dyDescent="0.3">
      <c r="LKP8420" s="8361"/>
    </row>
    <row r="8421" spans="8411:8426" x14ac:dyDescent="0.3">
      <c r="LKQ8421" s="8362"/>
    </row>
    <row r="8422" spans="8411:8426" x14ac:dyDescent="0.3">
      <c r="LKR8422" s="8363"/>
    </row>
    <row r="8423" spans="8411:8426" x14ac:dyDescent="0.3">
      <c r="LKS8423" s="8364"/>
    </row>
    <row r="8424" spans="8411:8426" x14ac:dyDescent="0.3">
      <c r="LKT8424" s="8365"/>
    </row>
    <row r="8425" spans="8411:8426" x14ac:dyDescent="0.3">
      <c r="LKU8425" s="8366"/>
    </row>
    <row r="8426" spans="8411:8426" x14ac:dyDescent="0.3">
      <c r="LKV8426" s="8367"/>
    </row>
    <row r="8427" spans="8411:8426" x14ac:dyDescent="0.3">
      <c r="LKW8427" s="8368"/>
    </row>
    <row r="8428" spans="8411:8426" x14ac:dyDescent="0.3">
      <c r="LKX8428" s="8369"/>
    </row>
    <row r="8429" spans="8411:8426" x14ac:dyDescent="0.3">
      <c r="LKY8429" s="8370"/>
    </row>
    <row r="8430" spans="8411:8426" x14ac:dyDescent="0.3">
      <c r="LKZ8430" s="8371"/>
    </row>
    <row r="8431" spans="8411:8426" x14ac:dyDescent="0.3">
      <c r="LLA8431" s="8372"/>
    </row>
    <row r="8432" spans="8411:8426" x14ac:dyDescent="0.3">
      <c r="LLB8432" s="8373"/>
    </row>
    <row r="8433" spans="8427:8442" x14ac:dyDescent="0.3">
      <c r="LLC8433" s="8374"/>
    </row>
    <row r="8434" spans="8427:8442" x14ac:dyDescent="0.3">
      <c r="LLD8434" s="8375"/>
    </row>
    <row r="8435" spans="8427:8442" x14ac:dyDescent="0.3">
      <c r="LLE8435" s="8376"/>
    </row>
    <row r="8436" spans="8427:8442" x14ac:dyDescent="0.3">
      <c r="LLF8436" s="8377"/>
    </row>
    <row r="8437" spans="8427:8442" x14ac:dyDescent="0.3">
      <c r="LLG8437" s="8378"/>
    </row>
    <row r="8438" spans="8427:8442" x14ac:dyDescent="0.3">
      <c r="LLH8438" s="8379"/>
    </row>
    <row r="8439" spans="8427:8442" x14ac:dyDescent="0.3">
      <c r="LLI8439" s="8380"/>
    </row>
    <row r="8440" spans="8427:8442" x14ac:dyDescent="0.3">
      <c r="LLJ8440" s="8381"/>
    </row>
    <row r="8441" spans="8427:8442" x14ac:dyDescent="0.3">
      <c r="LLK8441" s="8382"/>
    </row>
    <row r="8442" spans="8427:8442" x14ac:dyDescent="0.3">
      <c r="LLL8442" s="8383"/>
    </row>
    <row r="8443" spans="8427:8442" x14ac:dyDescent="0.3">
      <c r="LLM8443" s="8384"/>
    </row>
    <row r="8444" spans="8427:8442" x14ac:dyDescent="0.3">
      <c r="LLN8444" s="8385"/>
    </row>
    <row r="8445" spans="8427:8442" x14ac:dyDescent="0.3">
      <c r="LLO8445" s="8386"/>
    </row>
    <row r="8446" spans="8427:8442" x14ac:dyDescent="0.3">
      <c r="LLP8446" s="8387"/>
    </row>
    <row r="8447" spans="8427:8442" x14ac:dyDescent="0.3">
      <c r="LLQ8447" s="8388"/>
    </row>
    <row r="8448" spans="8427:8442" x14ac:dyDescent="0.3">
      <c r="LLR8448" s="8389"/>
    </row>
    <row r="8449" spans="8443:8458" x14ac:dyDescent="0.3">
      <c r="LLS8449" s="8390"/>
    </row>
    <row r="8450" spans="8443:8458" x14ac:dyDescent="0.3">
      <c r="LLT8450" s="8391"/>
    </row>
    <row r="8451" spans="8443:8458" x14ac:dyDescent="0.3">
      <c r="LLU8451" s="8392"/>
    </row>
    <row r="8452" spans="8443:8458" x14ac:dyDescent="0.3">
      <c r="LLV8452" s="8393"/>
    </row>
    <row r="8453" spans="8443:8458" x14ac:dyDescent="0.3">
      <c r="LLW8453" s="8394"/>
    </row>
    <row r="8454" spans="8443:8458" x14ac:dyDescent="0.3">
      <c r="LLX8454" s="8395"/>
    </row>
    <row r="8455" spans="8443:8458" x14ac:dyDescent="0.3">
      <c r="LLY8455" s="8396"/>
    </row>
    <row r="8456" spans="8443:8458" x14ac:dyDescent="0.3">
      <c r="LLZ8456" s="8397"/>
    </row>
    <row r="8457" spans="8443:8458" x14ac:dyDescent="0.3">
      <c r="LMA8457" s="8398"/>
    </row>
    <row r="8458" spans="8443:8458" x14ac:dyDescent="0.3">
      <c r="LMB8458" s="8399"/>
    </row>
    <row r="8459" spans="8443:8458" x14ac:dyDescent="0.3">
      <c r="LMC8459" s="8400"/>
    </row>
    <row r="8460" spans="8443:8458" x14ac:dyDescent="0.3">
      <c r="LMD8460" s="8401"/>
    </row>
    <row r="8461" spans="8443:8458" x14ac:dyDescent="0.3">
      <c r="LME8461" s="8402"/>
    </row>
    <row r="8462" spans="8443:8458" x14ac:dyDescent="0.3">
      <c r="LMF8462" s="8403"/>
    </row>
    <row r="8463" spans="8443:8458" x14ac:dyDescent="0.3">
      <c r="LMG8463" s="8404"/>
    </row>
    <row r="8464" spans="8443:8458" x14ac:dyDescent="0.3">
      <c r="LMH8464" s="8405"/>
    </row>
    <row r="8465" spans="8459:8474" x14ac:dyDescent="0.3">
      <c r="LMI8465" s="8406"/>
    </row>
    <row r="8466" spans="8459:8474" x14ac:dyDescent="0.3">
      <c r="LMJ8466" s="8407"/>
    </row>
    <row r="8467" spans="8459:8474" x14ac:dyDescent="0.3">
      <c r="LMK8467" s="8408"/>
    </row>
    <row r="8468" spans="8459:8474" x14ac:dyDescent="0.3">
      <c r="LML8468" s="8409"/>
    </row>
    <row r="8469" spans="8459:8474" x14ac:dyDescent="0.3">
      <c r="LMM8469" s="8410"/>
    </row>
    <row r="8470" spans="8459:8474" x14ac:dyDescent="0.3">
      <c r="LMN8470" s="8411"/>
    </row>
    <row r="8471" spans="8459:8474" x14ac:dyDescent="0.3">
      <c r="LMO8471" s="8412"/>
    </row>
    <row r="8472" spans="8459:8474" x14ac:dyDescent="0.3">
      <c r="LMP8472" s="8413"/>
    </row>
    <row r="8473" spans="8459:8474" x14ac:dyDescent="0.3">
      <c r="LMQ8473" s="8414"/>
    </row>
    <row r="8474" spans="8459:8474" x14ac:dyDescent="0.3">
      <c r="LMR8474" s="8415"/>
    </row>
    <row r="8475" spans="8459:8474" x14ac:dyDescent="0.3">
      <c r="LMS8475" s="8416"/>
    </row>
    <row r="8476" spans="8459:8474" x14ac:dyDescent="0.3">
      <c r="LMT8476" s="8417"/>
    </row>
    <row r="8477" spans="8459:8474" x14ac:dyDescent="0.3">
      <c r="LMU8477" s="8418"/>
    </row>
    <row r="8478" spans="8459:8474" x14ac:dyDescent="0.3">
      <c r="LMV8478" s="8419"/>
    </row>
    <row r="8479" spans="8459:8474" x14ac:dyDescent="0.3">
      <c r="LMW8479" s="8420"/>
    </row>
    <row r="8480" spans="8459:8474" x14ac:dyDescent="0.3">
      <c r="LMX8480" s="8421"/>
    </row>
    <row r="8481" spans="8475:8490" x14ac:dyDescent="0.3">
      <c r="LMY8481" s="8422"/>
    </row>
    <row r="8482" spans="8475:8490" x14ac:dyDescent="0.3">
      <c r="LMZ8482" s="8423"/>
    </row>
    <row r="8483" spans="8475:8490" x14ac:dyDescent="0.3">
      <c r="LNA8483" s="8424"/>
    </row>
    <row r="8484" spans="8475:8490" x14ac:dyDescent="0.3">
      <c r="LNB8484" s="8425"/>
    </row>
    <row r="8485" spans="8475:8490" x14ac:dyDescent="0.3">
      <c r="LNC8485" s="8426"/>
    </row>
    <row r="8486" spans="8475:8490" x14ac:dyDescent="0.3">
      <c r="LND8486" s="8427"/>
    </row>
    <row r="8487" spans="8475:8490" x14ac:dyDescent="0.3">
      <c r="LNE8487" s="8427"/>
    </row>
    <row r="8488" spans="8475:8490" x14ac:dyDescent="0.3">
      <c r="LNF8488" s="8428"/>
    </row>
    <row r="8489" spans="8475:8490" x14ac:dyDescent="0.3">
      <c r="LNG8489" s="8429"/>
    </row>
    <row r="8490" spans="8475:8490" x14ac:dyDescent="0.3">
      <c r="LNH8490" s="8430"/>
    </row>
    <row r="8491" spans="8475:8490" x14ac:dyDescent="0.3">
      <c r="LNI8491" s="8431"/>
    </row>
    <row r="8492" spans="8475:8490" x14ac:dyDescent="0.3">
      <c r="LNJ8492" s="8432"/>
    </row>
    <row r="8493" spans="8475:8490" x14ac:dyDescent="0.3">
      <c r="LNK8493" s="8433"/>
    </row>
    <row r="8494" spans="8475:8490" x14ac:dyDescent="0.3">
      <c r="LNL8494" s="8434"/>
    </row>
    <row r="8495" spans="8475:8490" x14ac:dyDescent="0.3">
      <c r="LNM8495" s="8435"/>
    </row>
    <row r="8496" spans="8475:8490" x14ac:dyDescent="0.3">
      <c r="LNN8496" s="8436"/>
    </row>
    <row r="8497" spans="8491:8506" x14ac:dyDescent="0.3">
      <c r="LNO8497" s="8437"/>
    </row>
    <row r="8498" spans="8491:8506" x14ac:dyDescent="0.3">
      <c r="LNP8498" s="8438"/>
    </row>
    <row r="8499" spans="8491:8506" x14ac:dyDescent="0.3">
      <c r="LNQ8499" s="8439"/>
    </row>
    <row r="8500" spans="8491:8506" x14ac:dyDescent="0.3">
      <c r="LNR8500" s="8440"/>
    </row>
    <row r="8501" spans="8491:8506" x14ac:dyDescent="0.3">
      <c r="LNS8501" s="8441"/>
    </row>
    <row r="8502" spans="8491:8506" x14ac:dyDescent="0.3">
      <c r="LNT8502" s="8442"/>
    </row>
    <row r="8503" spans="8491:8506" x14ac:dyDescent="0.3">
      <c r="LNU8503" s="8443"/>
    </row>
    <row r="8504" spans="8491:8506" x14ac:dyDescent="0.3">
      <c r="LNV8504" s="8444"/>
    </row>
    <row r="8505" spans="8491:8506" x14ac:dyDescent="0.3">
      <c r="LNW8505" s="8445"/>
    </row>
    <row r="8506" spans="8491:8506" x14ac:dyDescent="0.3">
      <c r="LNX8506" s="8446"/>
    </row>
    <row r="8507" spans="8491:8506" x14ac:dyDescent="0.3">
      <c r="LNY8507" s="8447"/>
    </row>
    <row r="8508" spans="8491:8506" x14ac:dyDescent="0.3">
      <c r="LNZ8508" s="8448"/>
    </row>
    <row r="8509" spans="8491:8506" x14ac:dyDescent="0.3">
      <c r="LOA8509" s="8449"/>
    </row>
    <row r="8510" spans="8491:8506" x14ac:dyDescent="0.3">
      <c r="LOB8510" s="8450"/>
    </row>
    <row r="8511" spans="8491:8506" x14ac:dyDescent="0.3">
      <c r="LOC8511" s="8451"/>
    </row>
    <row r="8512" spans="8491:8506" x14ac:dyDescent="0.3">
      <c r="LOD8512" s="8452"/>
    </row>
    <row r="8513" spans="8507:8522" x14ac:dyDescent="0.3">
      <c r="LOE8513" s="8453"/>
    </row>
    <row r="8514" spans="8507:8522" x14ac:dyDescent="0.3">
      <c r="LOF8514" s="8454"/>
    </row>
    <row r="8515" spans="8507:8522" x14ac:dyDescent="0.3">
      <c r="LOG8515" s="8455"/>
    </row>
    <row r="8516" spans="8507:8522" x14ac:dyDescent="0.3">
      <c r="LOH8516" s="8456"/>
    </row>
    <row r="8517" spans="8507:8522" x14ac:dyDescent="0.3">
      <c r="LOI8517" s="8457"/>
    </row>
    <row r="8518" spans="8507:8522" x14ac:dyDescent="0.3">
      <c r="LOJ8518" s="8458"/>
    </row>
    <row r="8519" spans="8507:8522" x14ac:dyDescent="0.3">
      <c r="LOK8519" s="8459"/>
    </row>
    <row r="8520" spans="8507:8522" x14ac:dyDescent="0.3">
      <c r="LOL8520" s="8460"/>
    </row>
    <row r="8521" spans="8507:8522" x14ac:dyDescent="0.3">
      <c r="LOM8521" s="8461"/>
    </row>
    <row r="8522" spans="8507:8522" x14ac:dyDescent="0.3">
      <c r="LON8522" s="8462"/>
    </row>
    <row r="8523" spans="8507:8522" x14ac:dyDescent="0.3">
      <c r="LOO8523" s="8463"/>
    </row>
    <row r="8524" spans="8507:8522" x14ac:dyDescent="0.3">
      <c r="LOP8524" s="8464"/>
    </row>
    <row r="8525" spans="8507:8522" x14ac:dyDescent="0.3">
      <c r="LOQ8525" s="8465"/>
    </row>
    <row r="8526" spans="8507:8522" x14ac:dyDescent="0.3">
      <c r="LOR8526" s="8466"/>
    </row>
    <row r="8527" spans="8507:8522" x14ac:dyDescent="0.3">
      <c r="LOS8527" s="8467"/>
    </row>
    <row r="8528" spans="8507:8522" x14ac:dyDescent="0.3">
      <c r="LOT8528" s="8468"/>
    </row>
    <row r="8529" spans="8523:8538" x14ac:dyDescent="0.3">
      <c r="LOU8529" s="8469"/>
    </row>
    <row r="8530" spans="8523:8538" x14ac:dyDescent="0.3">
      <c r="LOV8530" s="8470"/>
    </row>
    <row r="8531" spans="8523:8538" x14ac:dyDescent="0.3">
      <c r="LOW8531" s="8471"/>
    </row>
    <row r="8532" spans="8523:8538" x14ac:dyDescent="0.3">
      <c r="LOX8532" s="8472"/>
    </row>
    <row r="8533" spans="8523:8538" x14ac:dyDescent="0.3">
      <c r="LOY8533" s="8473"/>
    </row>
    <row r="8534" spans="8523:8538" x14ac:dyDescent="0.3">
      <c r="LOZ8534" s="8474"/>
    </row>
    <row r="8535" spans="8523:8538" x14ac:dyDescent="0.3">
      <c r="LPA8535" s="8475"/>
    </row>
    <row r="8536" spans="8523:8538" x14ac:dyDescent="0.3">
      <c r="LPB8536" s="8476"/>
    </row>
    <row r="8537" spans="8523:8538" x14ac:dyDescent="0.3">
      <c r="LPC8537" s="8477"/>
    </row>
    <row r="8538" spans="8523:8538" x14ac:dyDescent="0.3">
      <c r="LPD8538" s="8478"/>
    </row>
    <row r="8539" spans="8523:8538" x14ac:dyDescent="0.3">
      <c r="LPE8539" s="8479"/>
    </row>
    <row r="8540" spans="8523:8538" x14ac:dyDescent="0.3">
      <c r="LPF8540" s="8480"/>
    </row>
    <row r="8541" spans="8523:8538" x14ac:dyDescent="0.3">
      <c r="LPG8541" s="8481"/>
    </row>
    <row r="8542" spans="8523:8538" x14ac:dyDescent="0.3">
      <c r="LPH8542" s="8482"/>
    </row>
    <row r="8543" spans="8523:8538" x14ac:dyDescent="0.3">
      <c r="LPI8543" s="8483"/>
    </row>
    <row r="8544" spans="8523:8538" x14ac:dyDescent="0.3">
      <c r="LPJ8544" s="8484"/>
    </row>
    <row r="8545" spans="8539:8554" x14ac:dyDescent="0.3">
      <c r="LPK8545" s="8485"/>
    </row>
    <row r="8546" spans="8539:8554" x14ac:dyDescent="0.3">
      <c r="LPL8546" s="8486"/>
    </row>
    <row r="8547" spans="8539:8554" x14ac:dyDescent="0.3">
      <c r="LPM8547" s="8487"/>
    </row>
    <row r="8548" spans="8539:8554" x14ac:dyDescent="0.3">
      <c r="LPN8548" s="8488"/>
    </row>
    <row r="8549" spans="8539:8554" x14ac:dyDescent="0.3">
      <c r="LPO8549" s="8489"/>
    </row>
    <row r="8550" spans="8539:8554" x14ac:dyDescent="0.3">
      <c r="LPP8550" s="8490"/>
    </row>
    <row r="8551" spans="8539:8554" x14ac:dyDescent="0.3">
      <c r="LPQ8551" s="8491"/>
    </row>
    <row r="8552" spans="8539:8554" x14ac:dyDescent="0.3">
      <c r="LPR8552" s="8492"/>
    </row>
    <row r="8553" spans="8539:8554" x14ac:dyDescent="0.3">
      <c r="LPS8553" s="8493"/>
    </row>
    <row r="8554" spans="8539:8554" x14ac:dyDescent="0.3">
      <c r="LPT8554" s="8494"/>
    </row>
    <row r="8555" spans="8539:8554" x14ac:dyDescent="0.3">
      <c r="LPU8555" s="8495"/>
    </row>
    <row r="8556" spans="8539:8554" x14ac:dyDescent="0.3">
      <c r="LPV8556" s="8496"/>
    </row>
    <row r="8557" spans="8539:8554" x14ac:dyDescent="0.3">
      <c r="LPW8557" s="8497"/>
    </row>
    <row r="8558" spans="8539:8554" x14ac:dyDescent="0.3">
      <c r="LPX8558" s="8498"/>
    </row>
    <row r="8559" spans="8539:8554" x14ac:dyDescent="0.3">
      <c r="LPY8559" s="8499"/>
    </row>
    <row r="8560" spans="8539:8554" x14ac:dyDescent="0.3">
      <c r="LPZ8560" s="8500"/>
    </row>
    <row r="8561" spans="8555:8570" x14ac:dyDescent="0.3">
      <c r="LQA8561" s="8501"/>
    </row>
    <row r="8562" spans="8555:8570" x14ac:dyDescent="0.3">
      <c r="LQB8562" s="8502"/>
    </row>
    <row r="8563" spans="8555:8570" x14ac:dyDescent="0.3">
      <c r="LQC8563" s="8503"/>
    </row>
    <row r="8564" spans="8555:8570" x14ac:dyDescent="0.3">
      <c r="LQD8564" s="8504"/>
    </row>
    <row r="8565" spans="8555:8570" x14ac:dyDescent="0.3">
      <c r="LQE8565" s="8505"/>
    </row>
    <row r="8566" spans="8555:8570" x14ac:dyDescent="0.3">
      <c r="LQF8566" s="8506"/>
    </row>
    <row r="8567" spans="8555:8570" x14ac:dyDescent="0.3">
      <c r="LQG8567" s="8507"/>
    </row>
    <row r="8568" spans="8555:8570" x14ac:dyDescent="0.3">
      <c r="LQH8568" s="8508"/>
    </row>
    <row r="8569" spans="8555:8570" x14ac:dyDescent="0.3">
      <c r="LQI8569" s="8509"/>
    </row>
    <row r="8570" spans="8555:8570" x14ac:dyDescent="0.3">
      <c r="LQJ8570" s="8510"/>
    </row>
    <row r="8571" spans="8555:8570" x14ac:dyDescent="0.3">
      <c r="LQK8571" s="8511"/>
    </row>
    <row r="8572" spans="8555:8570" x14ac:dyDescent="0.3">
      <c r="LQL8572" s="8512"/>
    </row>
    <row r="8573" spans="8555:8570" x14ac:dyDescent="0.3">
      <c r="LQM8573" s="8513"/>
    </row>
    <row r="8574" spans="8555:8570" x14ac:dyDescent="0.3">
      <c r="LQN8574" s="8514"/>
    </row>
    <row r="8575" spans="8555:8570" x14ac:dyDescent="0.3">
      <c r="LQO8575" s="8515"/>
    </row>
    <row r="8576" spans="8555:8570" x14ac:dyDescent="0.3">
      <c r="LQP8576" s="8516"/>
    </row>
    <row r="8577" spans="8571:8586" x14ac:dyDescent="0.3">
      <c r="LQQ8577" s="8517"/>
    </row>
    <row r="8578" spans="8571:8586" x14ac:dyDescent="0.3">
      <c r="LQR8578" s="8518"/>
    </row>
    <row r="8579" spans="8571:8586" x14ac:dyDescent="0.3">
      <c r="LQS8579" s="8519"/>
    </row>
    <row r="8580" spans="8571:8586" x14ac:dyDescent="0.3">
      <c r="LQT8580" s="8520"/>
    </row>
    <row r="8581" spans="8571:8586" x14ac:dyDescent="0.3">
      <c r="LQU8581" s="8521"/>
    </row>
    <row r="8582" spans="8571:8586" x14ac:dyDescent="0.3">
      <c r="LQV8582" s="8522"/>
    </row>
    <row r="8583" spans="8571:8586" x14ac:dyDescent="0.3">
      <c r="LQW8583" s="8523"/>
    </row>
    <row r="8584" spans="8571:8586" x14ac:dyDescent="0.3">
      <c r="LQX8584" s="8524"/>
    </row>
    <row r="8585" spans="8571:8586" x14ac:dyDescent="0.3">
      <c r="LQY8585" s="8525"/>
    </row>
    <row r="8586" spans="8571:8586" x14ac:dyDescent="0.3">
      <c r="LQZ8586" s="8526"/>
    </row>
    <row r="8587" spans="8571:8586" x14ac:dyDescent="0.3">
      <c r="LRA8587" s="8527"/>
    </row>
    <row r="8588" spans="8571:8586" x14ac:dyDescent="0.3">
      <c r="LRB8588" s="8528"/>
    </row>
    <row r="8589" spans="8571:8586" x14ac:dyDescent="0.3">
      <c r="LRC8589" s="8529"/>
    </row>
    <row r="8590" spans="8571:8586" x14ac:dyDescent="0.3">
      <c r="LRD8590" s="8530"/>
    </row>
    <row r="8591" spans="8571:8586" x14ac:dyDescent="0.3">
      <c r="LRE8591" s="8531"/>
    </row>
    <row r="8592" spans="8571:8586" x14ac:dyDescent="0.3">
      <c r="LRF8592" s="8532"/>
    </row>
    <row r="8593" spans="8587:8602" x14ac:dyDescent="0.3">
      <c r="LRG8593" s="8533"/>
    </row>
    <row r="8594" spans="8587:8602" x14ac:dyDescent="0.3">
      <c r="LRH8594" s="8534"/>
    </row>
    <row r="8595" spans="8587:8602" x14ac:dyDescent="0.3">
      <c r="LRI8595" s="8535"/>
    </row>
    <row r="8596" spans="8587:8602" x14ac:dyDescent="0.3">
      <c r="LRJ8596" s="8536"/>
    </row>
    <row r="8597" spans="8587:8602" x14ac:dyDescent="0.3">
      <c r="LRK8597" s="8537"/>
    </row>
    <row r="8598" spans="8587:8602" x14ac:dyDescent="0.3">
      <c r="LRL8598" s="8538"/>
    </row>
    <row r="8599" spans="8587:8602" x14ac:dyDescent="0.3">
      <c r="LRM8599" s="8539"/>
    </row>
    <row r="8600" spans="8587:8602" x14ac:dyDescent="0.3">
      <c r="LRN8600" s="8540"/>
    </row>
    <row r="8601" spans="8587:8602" x14ac:dyDescent="0.3">
      <c r="LRO8601" s="8541"/>
    </row>
    <row r="8602" spans="8587:8602" x14ac:dyDescent="0.3">
      <c r="LRP8602" s="8542"/>
    </row>
    <row r="8603" spans="8587:8602" x14ac:dyDescent="0.3">
      <c r="LRQ8603" s="8543"/>
    </row>
    <row r="8604" spans="8587:8602" x14ac:dyDescent="0.3">
      <c r="LRR8604" s="8544"/>
    </row>
    <row r="8605" spans="8587:8602" x14ac:dyDescent="0.3">
      <c r="LRS8605" s="8545"/>
    </row>
    <row r="8606" spans="8587:8602" x14ac:dyDescent="0.3">
      <c r="LRT8606" s="8546"/>
    </row>
    <row r="8607" spans="8587:8602" x14ac:dyDescent="0.3">
      <c r="LRU8607" s="8547"/>
    </row>
    <row r="8608" spans="8587:8602" x14ac:dyDescent="0.3">
      <c r="LRV8608" s="8548"/>
    </row>
    <row r="8609" spans="8603:8618" x14ac:dyDescent="0.3">
      <c r="LRW8609" s="8549"/>
    </row>
    <row r="8610" spans="8603:8618" x14ac:dyDescent="0.3">
      <c r="LRX8610" s="8550"/>
    </row>
    <row r="8611" spans="8603:8618" x14ac:dyDescent="0.3">
      <c r="LRY8611" s="8551"/>
    </row>
    <row r="8612" spans="8603:8618" x14ac:dyDescent="0.3">
      <c r="LRZ8612" s="8552"/>
    </row>
    <row r="8613" spans="8603:8618" x14ac:dyDescent="0.3">
      <c r="LSA8613" s="8553"/>
    </row>
    <row r="8614" spans="8603:8618" x14ac:dyDescent="0.3">
      <c r="LSB8614" s="8554"/>
    </row>
    <row r="8615" spans="8603:8618" x14ac:dyDescent="0.3">
      <c r="LSC8615" s="8555"/>
    </row>
    <row r="8616" spans="8603:8618" x14ac:dyDescent="0.3">
      <c r="LSD8616" s="8556"/>
    </row>
    <row r="8617" spans="8603:8618" x14ac:dyDescent="0.3">
      <c r="LSE8617" s="8557"/>
    </row>
    <row r="8618" spans="8603:8618" x14ac:dyDescent="0.3">
      <c r="LSF8618" s="8558"/>
    </row>
    <row r="8619" spans="8603:8618" x14ac:dyDescent="0.3">
      <c r="LSG8619" s="8559"/>
    </row>
    <row r="8620" spans="8603:8618" x14ac:dyDescent="0.3">
      <c r="LSH8620" s="8560"/>
    </row>
    <row r="8621" spans="8603:8618" x14ac:dyDescent="0.3">
      <c r="LSI8621" s="8561"/>
    </row>
    <row r="8622" spans="8603:8618" x14ac:dyDescent="0.3">
      <c r="LSJ8622" s="8562"/>
    </row>
    <row r="8623" spans="8603:8618" x14ac:dyDescent="0.3">
      <c r="LSK8623" s="8563"/>
    </row>
    <row r="8624" spans="8603:8618" x14ac:dyDescent="0.3">
      <c r="LSL8624" s="8564"/>
    </row>
    <row r="8625" spans="8619:8634" x14ac:dyDescent="0.3">
      <c r="LSM8625" s="8565"/>
    </row>
    <row r="8626" spans="8619:8634" x14ac:dyDescent="0.3">
      <c r="LSN8626" s="8566"/>
    </row>
    <row r="8627" spans="8619:8634" x14ac:dyDescent="0.3">
      <c r="LSO8627" s="8567"/>
    </row>
    <row r="8628" spans="8619:8634" x14ac:dyDescent="0.3">
      <c r="LSP8628" s="8568"/>
    </row>
    <row r="8629" spans="8619:8634" x14ac:dyDescent="0.3">
      <c r="LSQ8629" s="8569"/>
    </row>
    <row r="8630" spans="8619:8634" x14ac:dyDescent="0.3">
      <c r="LSR8630" s="8570"/>
    </row>
    <row r="8631" spans="8619:8634" x14ac:dyDescent="0.3">
      <c r="LSS8631" s="8571"/>
    </row>
    <row r="8632" spans="8619:8634" x14ac:dyDescent="0.3">
      <c r="LST8632" s="8572"/>
    </row>
    <row r="8633" spans="8619:8634" x14ac:dyDescent="0.3">
      <c r="LSU8633" s="8573"/>
    </row>
    <row r="8634" spans="8619:8634" x14ac:dyDescent="0.3">
      <c r="LSV8634" s="8574"/>
    </row>
    <row r="8635" spans="8619:8634" x14ac:dyDescent="0.3">
      <c r="LSW8635" s="8575"/>
    </row>
    <row r="8636" spans="8619:8634" x14ac:dyDescent="0.3">
      <c r="LSX8636" s="8576"/>
    </row>
    <row r="8637" spans="8619:8634" x14ac:dyDescent="0.3">
      <c r="LSY8637" s="8577"/>
    </row>
    <row r="8638" spans="8619:8634" x14ac:dyDescent="0.3">
      <c r="LSZ8638" s="8578"/>
    </row>
    <row r="8639" spans="8619:8634" x14ac:dyDescent="0.3">
      <c r="LTA8639" s="8579"/>
    </row>
    <row r="8640" spans="8619:8634" x14ac:dyDescent="0.3">
      <c r="LTB8640" s="8580"/>
    </row>
    <row r="8641" spans="8635:8650" x14ac:dyDescent="0.3">
      <c r="LTC8641" s="8581"/>
    </row>
    <row r="8642" spans="8635:8650" x14ac:dyDescent="0.3">
      <c r="LTD8642" s="8582"/>
    </row>
    <row r="8643" spans="8635:8650" x14ac:dyDescent="0.3">
      <c r="LTE8643" s="8583"/>
    </row>
    <row r="8644" spans="8635:8650" x14ac:dyDescent="0.3">
      <c r="LTF8644" s="8584"/>
    </row>
    <row r="8645" spans="8635:8650" x14ac:dyDescent="0.3">
      <c r="LTG8645" s="8585"/>
    </row>
    <row r="8646" spans="8635:8650" x14ac:dyDescent="0.3">
      <c r="LTH8646" s="8586"/>
    </row>
    <row r="8647" spans="8635:8650" x14ac:dyDescent="0.3">
      <c r="LTI8647" s="8587"/>
    </row>
    <row r="8648" spans="8635:8650" x14ac:dyDescent="0.3">
      <c r="LTJ8648" s="8588"/>
    </row>
    <row r="8649" spans="8635:8650" x14ac:dyDescent="0.3">
      <c r="LTK8649" s="8589"/>
    </row>
    <row r="8650" spans="8635:8650" x14ac:dyDescent="0.3">
      <c r="LTL8650" s="8590"/>
    </row>
    <row r="8651" spans="8635:8650" x14ac:dyDescent="0.3">
      <c r="LTM8651" s="8591"/>
    </row>
    <row r="8652" spans="8635:8650" x14ac:dyDescent="0.3">
      <c r="LTN8652" s="8592"/>
    </row>
    <row r="8653" spans="8635:8650" x14ac:dyDescent="0.3">
      <c r="LTO8653" s="8593"/>
    </row>
    <row r="8654" spans="8635:8650" x14ac:dyDescent="0.3">
      <c r="LTP8654" s="8594"/>
    </row>
    <row r="8655" spans="8635:8650" x14ac:dyDescent="0.3">
      <c r="LTQ8655" s="8595"/>
    </row>
    <row r="8656" spans="8635:8650" x14ac:dyDescent="0.3">
      <c r="LTR8656" s="8596"/>
    </row>
    <row r="8657" spans="8651:8666" x14ac:dyDescent="0.3">
      <c r="LTS8657" s="8597"/>
    </row>
    <row r="8658" spans="8651:8666" x14ac:dyDescent="0.3">
      <c r="LTT8658" s="8598"/>
    </row>
    <row r="8659" spans="8651:8666" x14ac:dyDescent="0.3">
      <c r="LTU8659" s="8599"/>
    </row>
    <row r="8660" spans="8651:8666" x14ac:dyDescent="0.3">
      <c r="LTV8660" s="8600"/>
    </row>
    <row r="8661" spans="8651:8666" x14ac:dyDescent="0.3">
      <c r="LTW8661" s="8601"/>
    </row>
    <row r="8662" spans="8651:8666" x14ac:dyDescent="0.3">
      <c r="LTX8662" s="8602"/>
    </row>
    <row r="8663" spans="8651:8666" x14ac:dyDescent="0.3">
      <c r="LTY8663" s="8603"/>
    </row>
    <row r="8664" spans="8651:8666" x14ac:dyDescent="0.3">
      <c r="LTZ8664" s="8604"/>
    </row>
    <row r="8665" spans="8651:8666" x14ac:dyDescent="0.3">
      <c r="LUA8665" s="8605"/>
    </row>
    <row r="8666" spans="8651:8666" x14ac:dyDescent="0.3">
      <c r="LUB8666" s="8606"/>
    </row>
    <row r="8667" spans="8651:8666" x14ac:dyDescent="0.3">
      <c r="LUC8667" s="8607"/>
    </row>
    <row r="8668" spans="8651:8666" x14ac:dyDescent="0.3">
      <c r="LUD8668" s="8608"/>
    </row>
    <row r="8669" spans="8651:8666" x14ac:dyDescent="0.3">
      <c r="LUE8669" s="8609"/>
    </row>
    <row r="8670" spans="8651:8666" x14ac:dyDescent="0.3">
      <c r="LUF8670" s="8610"/>
    </row>
    <row r="8671" spans="8651:8666" x14ac:dyDescent="0.3">
      <c r="LUG8671" s="8611"/>
    </row>
    <row r="8672" spans="8651:8666" x14ac:dyDescent="0.3">
      <c r="LUH8672" s="8612"/>
    </row>
    <row r="8673" spans="8667:8682" x14ac:dyDescent="0.3">
      <c r="LUI8673" s="8613"/>
    </row>
    <row r="8674" spans="8667:8682" x14ac:dyDescent="0.3">
      <c r="LUJ8674" s="8614"/>
    </row>
    <row r="8675" spans="8667:8682" x14ac:dyDescent="0.3">
      <c r="LUK8675" s="8615"/>
    </row>
    <row r="8676" spans="8667:8682" x14ac:dyDescent="0.3">
      <c r="LUL8676" s="8616"/>
    </row>
    <row r="8677" spans="8667:8682" x14ac:dyDescent="0.3">
      <c r="LUM8677" s="8617"/>
    </row>
    <row r="8678" spans="8667:8682" x14ac:dyDescent="0.3">
      <c r="LUN8678" s="8618"/>
    </row>
    <row r="8679" spans="8667:8682" x14ac:dyDescent="0.3">
      <c r="LUO8679" s="8619"/>
    </row>
    <row r="8680" spans="8667:8682" x14ac:dyDescent="0.3">
      <c r="LUP8680" s="8620"/>
    </row>
    <row r="8681" spans="8667:8682" x14ac:dyDescent="0.3">
      <c r="LUQ8681" s="8621"/>
    </row>
    <row r="8682" spans="8667:8682" x14ac:dyDescent="0.3">
      <c r="LUR8682" s="8622"/>
    </row>
    <row r="8683" spans="8667:8682" x14ac:dyDescent="0.3">
      <c r="LUS8683" s="8623"/>
    </row>
    <row r="8684" spans="8667:8682" x14ac:dyDescent="0.3">
      <c r="LUT8684" s="8624"/>
    </row>
    <row r="8685" spans="8667:8682" x14ac:dyDescent="0.3">
      <c r="LUU8685" s="8625"/>
    </row>
    <row r="8686" spans="8667:8682" x14ac:dyDescent="0.3">
      <c r="LUV8686" s="8626"/>
    </row>
    <row r="8687" spans="8667:8682" x14ac:dyDescent="0.3">
      <c r="LUW8687" s="8627"/>
    </row>
    <row r="8688" spans="8667:8682" x14ac:dyDescent="0.3">
      <c r="LUX8688" s="8628"/>
    </row>
    <row r="8689" spans="8683:8698" x14ac:dyDescent="0.3">
      <c r="LUY8689" s="8629"/>
    </row>
    <row r="8690" spans="8683:8698" x14ac:dyDescent="0.3">
      <c r="LUZ8690" s="8630"/>
    </row>
    <row r="8691" spans="8683:8698" x14ac:dyDescent="0.3">
      <c r="LVA8691" s="8631"/>
    </row>
    <row r="8692" spans="8683:8698" x14ac:dyDescent="0.3">
      <c r="LVB8692" s="8632"/>
    </row>
    <row r="8693" spans="8683:8698" x14ac:dyDescent="0.3">
      <c r="LVC8693" s="8633"/>
    </row>
    <row r="8694" spans="8683:8698" x14ac:dyDescent="0.3">
      <c r="LVD8694" s="8634"/>
    </row>
    <row r="8695" spans="8683:8698" x14ac:dyDescent="0.3">
      <c r="LVE8695" s="8635"/>
    </row>
    <row r="8696" spans="8683:8698" x14ac:dyDescent="0.3">
      <c r="LVF8696" s="8636"/>
    </row>
    <row r="8697" spans="8683:8698" x14ac:dyDescent="0.3">
      <c r="LVG8697" s="8637"/>
    </row>
    <row r="8698" spans="8683:8698" x14ac:dyDescent="0.3">
      <c r="LVH8698" s="8638"/>
    </row>
    <row r="8699" spans="8683:8698" x14ac:dyDescent="0.3">
      <c r="LVI8699" s="8639"/>
    </row>
    <row r="8700" spans="8683:8698" x14ac:dyDescent="0.3">
      <c r="LVJ8700" s="8640"/>
    </row>
    <row r="8701" spans="8683:8698" x14ac:dyDescent="0.3">
      <c r="LVK8701" s="8641"/>
    </row>
    <row r="8702" spans="8683:8698" x14ac:dyDescent="0.3">
      <c r="LVL8702" s="8642"/>
    </row>
    <row r="8703" spans="8683:8698" x14ac:dyDescent="0.3">
      <c r="LVM8703" s="8643"/>
    </row>
    <row r="8704" spans="8683:8698" x14ac:dyDescent="0.3">
      <c r="LVN8704" s="8644"/>
    </row>
    <row r="8705" spans="8699:8714" x14ac:dyDescent="0.3">
      <c r="LVO8705" s="8645"/>
    </row>
    <row r="8706" spans="8699:8714" x14ac:dyDescent="0.3">
      <c r="LVP8706" s="8646"/>
    </row>
    <row r="8707" spans="8699:8714" x14ac:dyDescent="0.3">
      <c r="LVQ8707" s="8647"/>
    </row>
    <row r="8708" spans="8699:8714" x14ac:dyDescent="0.3">
      <c r="LVR8708" s="8648"/>
    </row>
    <row r="8709" spans="8699:8714" x14ac:dyDescent="0.3">
      <c r="LVS8709" s="8649"/>
    </row>
    <row r="8710" spans="8699:8714" x14ac:dyDescent="0.3">
      <c r="LVT8710" s="8650"/>
    </row>
    <row r="8711" spans="8699:8714" x14ac:dyDescent="0.3">
      <c r="LVU8711" s="8651"/>
    </row>
    <row r="8712" spans="8699:8714" x14ac:dyDescent="0.3">
      <c r="LVV8712" s="8652"/>
    </row>
    <row r="8713" spans="8699:8714" x14ac:dyDescent="0.3">
      <c r="LVW8713" s="8653"/>
    </row>
    <row r="8714" spans="8699:8714" x14ac:dyDescent="0.3">
      <c r="LVX8714" s="8654"/>
    </row>
    <row r="8715" spans="8699:8714" x14ac:dyDescent="0.3">
      <c r="LVY8715" s="8655"/>
    </row>
    <row r="8716" spans="8699:8714" x14ac:dyDescent="0.3">
      <c r="LVZ8716" s="8656"/>
    </row>
    <row r="8717" spans="8699:8714" x14ac:dyDescent="0.3">
      <c r="LWA8717" s="8657"/>
    </row>
    <row r="8718" spans="8699:8714" x14ac:dyDescent="0.3">
      <c r="LWB8718" s="8658"/>
    </row>
    <row r="8719" spans="8699:8714" x14ac:dyDescent="0.3">
      <c r="LWC8719" s="8659"/>
    </row>
    <row r="8720" spans="8699:8714" x14ac:dyDescent="0.3">
      <c r="LWD8720" s="8660"/>
    </row>
    <row r="8721" spans="8715:8730" x14ac:dyDescent="0.3">
      <c r="LWE8721" s="8661"/>
    </row>
    <row r="8722" spans="8715:8730" x14ac:dyDescent="0.3">
      <c r="LWF8722" s="8662"/>
    </row>
    <row r="8723" spans="8715:8730" x14ac:dyDescent="0.3">
      <c r="LWG8723" s="8663"/>
    </row>
    <row r="8724" spans="8715:8730" x14ac:dyDescent="0.3">
      <c r="LWH8724" s="8664"/>
    </row>
    <row r="8725" spans="8715:8730" x14ac:dyDescent="0.3">
      <c r="LWI8725" s="8665"/>
    </row>
    <row r="8726" spans="8715:8730" x14ac:dyDescent="0.3">
      <c r="LWJ8726" s="8666"/>
    </row>
    <row r="8727" spans="8715:8730" x14ac:dyDescent="0.3">
      <c r="LWK8727" s="8667"/>
    </row>
    <row r="8728" spans="8715:8730" x14ac:dyDescent="0.3">
      <c r="LWL8728" s="8668"/>
    </row>
    <row r="8729" spans="8715:8730" x14ac:dyDescent="0.3">
      <c r="LWM8729" s="8669"/>
    </row>
    <row r="8730" spans="8715:8730" x14ac:dyDescent="0.3">
      <c r="LWN8730" s="8670"/>
    </row>
    <row r="8731" spans="8715:8730" x14ac:dyDescent="0.3">
      <c r="LWO8731" s="8671"/>
    </row>
    <row r="8732" spans="8715:8730" x14ac:dyDescent="0.3">
      <c r="LWP8732" s="8672"/>
    </row>
    <row r="8733" spans="8715:8730" x14ac:dyDescent="0.3">
      <c r="LWQ8733" s="8673"/>
    </row>
    <row r="8734" spans="8715:8730" x14ac:dyDescent="0.3">
      <c r="LWR8734" s="8674"/>
    </row>
    <row r="8735" spans="8715:8730" x14ac:dyDescent="0.3">
      <c r="LWS8735" s="8675"/>
    </row>
    <row r="8736" spans="8715:8730" x14ac:dyDescent="0.3">
      <c r="LWT8736" s="8676"/>
    </row>
    <row r="8737" spans="8731:8746" x14ac:dyDescent="0.3">
      <c r="LWU8737" s="8677"/>
    </row>
    <row r="8738" spans="8731:8746" x14ac:dyDescent="0.3">
      <c r="LWV8738" s="8678"/>
    </row>
    <row r="8739" spans="8731:8746" x14ac:dyDescent="0.3">
      <c r="LWW8739" s="8679"/>
    </row>
    <row r="8740" spans="8731:8746" x14ac:dyDescent="0.3">
      <c r="LWX8740" s="8680"/>
    </row>
    <row r="8741" spans="8731:8746" x14ac:dyDescent="0.3">
      <c r="LWY8741" s="8681"/>
    </row>
    <row r="8742" spans="8731:8746" x14ac:dyDescent="0.3">
      <c r="LWZ8742" s="8682"/>
    </row>
    <row r="8743" spans="8731:8746" x14ac:dyDescent="0.3">
      <c r="LXA8743" s="8683"/>
    </row>
    <row r="8744" spans="8731:8746" x14ac:dyDescent="0.3">
      <c r="LXB8744" s="8683"/>
    </row>
    <row r="8745" spans="8731:8746" x14ac:dyDescent="0.3">
      <c r="LXC8745" s="8684"/>
    </row>
    <row r="8746" spans="8731:8746" x14ac:dyDescent="0.3">
      <c r="LXD8746" s="8685"/>
    </row>
    <row r="8747" spans="8731:8746" x14ac:dyDescent="0.3">
      <c r="LXE8747" s="8686"/>
    </row>
    <row r="8748" spans="8731:8746" x14ac:dyDescent="0.3">
      <c r="LXF8748" s="8687"/>
    </row>
    <row r="8749" spans="8731:8746" x14ac:dyDescent="0.3">
      <c r="LXG8749" s="8688"/>
    </row>
    <row r="8750" spans="8731:8746" x14ac:dyDescent="0.3">
      <c r="LXH8750" s="8689"/>
    </row>
    <row r="8751" spans="8731:8746" x14ac:dyDescent="0.3">
      <c r="LXI8751" s="8690"/>
    </row>
    <row r="8752" spans="8731:8746" x14ac:dyDescent="0.3">
      <c r="LXJ8752" s="8691"/>
    </row>
    <row r="8753" spans="8747:8762" x14ac:dyDescent="0.3">
      <c r="LXK8753" s="8692"/>
    </row>
    <row r="8754" spans="8747:8762" x14ac:dyDescent="0.3">
      <c r="LXL8754" s="8693"/>
    </row>
    <row r="8755" spans="8747:8762" x14ac:dyDescent="0.3">
      <c r="LXM8755" s="8694"/>
    </row>
    <row r="8756" spans="8747:8762" x14ac:dyDescent="0.3">
      <c r="LXN8756" s="8695"/>
    </row>
    <row r="8757" spans="8747:8762" x14ac:dyDescent="0.3">
      <c r="LXO8757" s="8696"/>
    </row>
    <row r="8758" spans="8747:8762" x14ac:dyDescent="0.3">
      <c r="LXP8758" s="8697"/>
    </row>
    <row r="8759" spans="8747:8762" x14ac:dyDescent="0.3">
      <c r="LXQ8759" s="8698"/>
    </row>
    <row r="8760" spans="8747:8762" x14ac:dyDescent="0.3">
      <c r="LXR8760" s="8699"/>
    </row>
    <row r="8761" spans="8747:8762" x14ac:dyDescent="0.3">
      <c r="LXS8761" s="8700"/>
    </row>
    <row r="8762" spans="8747:8762" x14ac:dyDescent="0.3">
      <c r="LXT8762" s="8701"/>
    </row>
    <row r="8763" spans="8747:8762" x14ac:dyDescent="0.3">
      <c r="LXU8763" s="8702"/>
    </row>
    <row r="8764" spans="8747:8762" x14ac:dyDescent="0.3">
      <c r="LXV8764" s="8703"/>
    </row>
    <row r="8765" spans="8747:8762" x14ac:dyDescent="0.3">
      <c r="LXW8765" s="8704"/>
    </row>
    <row r="8766" spans="8747:8762" x14ac:dyDescent="0.3">
      <c r="LXX8766" s="8705"/>
    </row>
    <row r="8767" spans="8747:8762" x14ac:dyDescent="0.3">
      <c r="LXY8767" s="8706"/>
    </row>
    <row r="8768" spans="8747:8762" x14ac:dyDescent="0.3">
      <c r="LXZ8768" s="8707"/>
    </row>
    <row r="8769" spans="8763:8778" x14ac:dyDescent="0.3">
      <c r="LYA8769" s="8708"/>
    </row>
    <row r="8770" spans="8763:8778" x14ac:dyDescent="0.3">
      <c r="LYB8770" s="8709"/>
    </row>
    <row r="8771" spans="8763:8778" x14ac:dyDescent="0.3">
      <c r="LYC8771" s="8710"/>
    </row>
    <row r="8772" spans="8763:8778" x14ac:dyDescent="0.3">
      <c r="LYD8772" s="8711"/>
    </row>
    <row r="8773" spans="8763:8778" x14ac:dyDescent="0.3">
      <c r="LYE8773" s="8712"/>
    </row>
    <row r="8774" spans="8763:8778" x14ac:dyDescent="0.3">
      <c r="LYF8774" s="8713"/>
    </row>
    <row r="8775" spans="8763:8778" x14ac:dyDescent="0.3">
      <c r="LYG8775" s="8714"/>
    </row>
    <row r="8776" spans="8763:8778" x14ac:dyDescent="0.3">
      <c r="LYH8776" s="8715"/>
    </row>
    <row r="8777" spans="8763:8778" x14ac:dyDescent="0.3">
      <c r="LYI8777" s="8716"/>
    </row>
    <row r="8778" spans="8763:8778" x14ac:dyDescent="0.3">
      <c r="LYJ8778" s="8717"/>
    </row>
    <row r="8779" spans="8763:8778" x14ac:dyDescent="0.3">
      <c r="LYK8779" s="8718"/>
    </row>
    <row r="8780" spans="8763:8778" x14ac:dyDescent="0.3">
      <c r="LYL8780" s="8719"/>
    </row>
    <row r="8781" spans="8763:8778" x14ac:dyDescent="0.3">
      <c r="LYM8781" s="8720"/>
    </row>
    <row r="8782" spans="8763:8778" x14ac:dyDescent="0.3">
      <c r="LYN8782" s="8721"/>
    </row>
    <row r="8783" spans="8763:8778" x14ac:dyDescent="0.3">
      <c r="LYO8783" s="8722"/>
    </row>
    <row r="8784" spans="8763:8778" x14ac:dyDescent="0.3">
      <c r="LYP8784" s="8723"/>
    </row>
    <row r="8785" spans="8779:8794" x14ac:dyDescent="0.3">
      <c r="LYQ8785" s="8724"/>
    </row>
    <row r="8786" spans="8779:8794" x14ac:dyDescent="0.3">
      <c r="LYR8786" s="8725"/>
    </row>
    <row r="8787" spans="8779:8794" x14ac:dyDescent="0.3">
      <c r="LYS8787" s="8726"/>
    </row>
    <row r="8788" spans="8779:8794" x14ac:dyDescent="0.3">
      <c r="LYT8788" s="8727"/>
    </row>
    <row r="8789" spans="8779:8794" x14ac:dyDescent="0.3">
      <c r="LYU8789" s="8728"/>
    </row>
    <row r="8790" spans="8779:8794" x14ac:dyDescent="0.3">
      <c r="LYV8790" s="8729"/>
    </row>
    <row r="8791" spans="8779:8794" x14ac:dyDescent="0.3">
      <c r="LYW8791" s="8730"/>
    </row>
    <row r="8792" spans="8779:8794" x14ac:dyDescent="0.3">
      <c r="LYX8792" s="8731"/>
    </row>
    <row r="8793" spans="8779:8794" x14ac:dyDescent="0.3">
      <c r="LYY8793" s="8732"/>
    </row>
    <row r="8794" spans="8779:8794" x14ac:dyDescent="0.3">
      <c r="LYZ8794" s="8733"/>
    </row>
    <row r="8795" spans="8779:8794" x14ac:dyDescent="0.3">
      <c r="LZA8795" s="8734"/>
    </row>
    <row r="8796" spans="8779:8794" x14ac:dyDescent="0.3">
      <c r="LZB8796" s="8735"/>
    </row>
    <row r="8797" spans="8779:8794" x14ac:dyDescent="0.3">
      <c r="LZC8797" s="8736"/>
    </row>
    <row r="8798" spans="8779:8794" x14ac:dyDescent="0.3">
      <c r="LZD8798" s="8737"/>
    </row>
    <row r="8799" spans="8779:8794" x14ac:dyDescent="0.3">
      <c r="LZE8799" s="8738"/>
    </row>
    <row r="8800" spans="8779:8794" x14ac:dyDescent="0.3">
      <c r="LZF8800" s="8739"/>
    </row>
    <row r="8801" spans="8795:8810" x14ac:dyDescent="0.3">
      <c r="LZG8801" s="8740"/>
    </row>
    <row r="8802" spans="8795:8810" x14ac:dyDescent="0.3">
      <c r="LZH8802" s="8741"/>
    </row>
    <row r="8803" spans="8795:8810" x14ac:dyDescent="0.3">
      <c r="LZI8803" s="8742"/>
    </row>
    <row r="8804" spans="8795:8810" x14ac:dyDescent="0.3">
      <c r="LZJ8804" s="8743"/>
    </row>
    <row r="8805" spans="8795:8810" x14ac:dyDescent="0.3">
      <c r="LZK8805" s="8744"/>
    </row>
    <row r="8806" spans="8795:8810" x14ac:dyDescent="0.3">
      <c r="LZL8806" s="8745"/>
    </row>
    <row r="8807" spans="8795:8810" x14ac:dyDescent="0.3">
      <c r="LZM8807" s="8746"/>
    </row>
    <row r="8808" spans="8795:8810" x14ac:dyDescent="0.3">
      <c r="LZN8808" s="8747"/>
    </row>
    <row r="8809" spans="8795:8810" x14ac:dyDescent="0.3">
      <c r="LZO8809" s="8748"/>
    </row>
    <row r="8810" spans="8795:8810" x14ac:dyDescent="0.3">
      <c r="LZP8810" s="8749"/>
    </row>
    <row r="8811" spans="8795:8810" x14ac:dyDescent="0.3">
      <c r="LZQ8811" s="8750"/>
    </row>
    <row r="8812" spans="8795:8810" x14ac:dyDescent="0.3">
      <c r="LZR8812" s="8751"/>
    </row>
    <row r="8813" spans="8795:8810" x14ac:dyDescent="0.3">
      <c r="LZS8813" s="8752"/>
    </row>
    <row r="8814" spans="8795:8810" x14ac:dyDescent="0.3">
      <c r="LZT8814" s="8753"/>
    </row>
    <row r="8815" spans="8795:8810" x14ac:dyDescent="0.3">
      <c r="LZU8815" s="8754"/>
    </row>
    <row r="8816" spans="8795:8810" x14ac:dyDescent="0.3">
      <c r="LZV8816" s="8755"/>
    </row>
    <row r="8817" spans="8811:8826" x14ac:dyDescent="0.3">
      <c r="LZW8817" s="8756"/>
    </row>
    <row r="8818" spans="8811:8826" x14ac:dyDescent="0.3">
      <c r="LZX8818" s="8757"/>
    </row>
    <row r="8819" spans="8811:8826" x14ac:dyDescent="0.3">
      <c r="LZY8819" s="8758"/>
    </row>
    <row r="8820" spans="8811:8826" x14ac:dyDescent="0.3">
      <c r="LZZ8820" s="8759"/>
    </row>
    <row r="8821" spans="8811:8826" x14ac:dyDescent="0.3">
      <c r="MAA8821" s="8760"/>
    </row>
    <row r="8822" spans="8811:8826" x14ac:dyDescent="0.3">
      <c r="MAB8822" s="8761"/>
    </row>
    <row r="8823" spans="8811:8826" x14ac:dyDescent="0.3">
      <c r="MAC8823" s="8762"/>
    </row>
    <row r="8824" spans="8811:8826" x14ac:dyDescent="0.3">
      <c r="MAD8824" s="8763"/>
    </row>
    <row r="8825" spans="8811:8826" x14ac:dyDescent="0.3">
      <c r="MAE8825" s="8764"/>
    </row>
    <row r="8826" spans="8811:8826" x14ac:dyDescent="0.3">
      <c r="MAF8826" s="8765"/>
    </row>
    <row r="8827" spans="8811:8826" x14ac:dyDescent="0.3">
      <c r="MAG8827" s="8766"/>
    </row>
    <row r="8828" spans="8811:8826" x14ac:dyDescent="0.3">
      <c r="MAH8828" s="8767"/>
    </row>
    <row r="8829" spans="8811:8826" x14ac:dyDescent="0.3">
      <c r="MAI8829" s="8768"/>
    </row>
    <row r="8830" spans="8811:8826" x14ac:dyDescent="0.3">
      <c r="MAJ8830" s="8769"/>
    </row>
    <row r="8831" spans="8811:8826" x14ac:dyDescent="0.3">
      <c r="MAK8831" s="8770"/>
    </row>
    <row r="8832" spans="8811:8826" x14ac:dyDescent="0.3">
      <c r="MAL8832" s="8771"/>
    </row>
    <row r="8833" spans="8827:8842" x14ac:dyDescent="0.3">
      <c r="MAM8833" s="8772"/>
    </row>
    <row r="8834" spans="8827:8842" x14ac:dyDescent="0.3">
      <c r="MAN8834" s="8773"/>
    </row>
    <row r="8835" spans="8827:8842" x14ac:dyDescent="0.3">
      <c r="MAO8835" s="8774"/>
    </row>
    <row r="8836" spans="8827:8842" x14ac:dyDescent="0.3">
      <c r="MAP8836" s="8775"/>
    </row>
    <row r="8837" spans="8827:8842" x14ac:dyDescent="0.3">
      <c r="MAQ8837" s="8776"/>
    </row>
    <row r="8838" spans="8827:8842" x14ac:dyDescent="0.3">
      <c r="MAR8838" s="8777"/>
    </row>
    <row r="8839" spans="8827:8842" x14ac:dyDescent="0.3">
      <c r="MAS8839" s="8778"/>
    </row>
    <row r="8840" spans="8827:8842" x14ac:dyDescent="0.3">
      <c r="MAT8840" s="8779"/>
    </row>
    <row r="8841" spans="8827:8842" x14ac:dyDescent="0.3">
      <c r="MAU8841" s="8780"/>
    </row>
    <row r="8842" spans="8827:8842" x14ac:dyDescent="0.3">
      <c r="MAV8842" s="8781"/>
    </row>
    <row r="8843" spans="8827:8842" x14ac:dyDescent="0.3">
      <c r="MAW8843" s="8782"/>
    </row>
    <row r="8844" spans="8827:8842" x14ac:dyDescent="0.3">
      <c r="MAX8844" s="8783"/>
    </row>
    <row r="8845" spans="8827:8842" x14ac:dyDescent="0.3">
      <c r="MAY8845" s="8784"/>
    </row>
    <row r="8846" spans="8827:8842" x14ac:dyDescent="0.3">
      <c r="MAZ8846" s="8785"/>
    </row>
    <row r="8847" spans="8827:8842" x14ac:dyDescent="0.3">
      <c r="MBA8847" s="8786"/>
    </row>
    <row r="8848" spans="8827:8842" x14ac:dyDescent="0.3">
      <c r="MBB8848" s="8787"/>
    </row>
    <row r="8849" spans="8843:8858" x14ac:dyDescent="0.3">
      <c r="MBC8849" s="8788"/>
    </row>
    <row r="8850" spans="8843:8858" x14ac:dyDescent="0.3">
      <c r="MBD8850" s="8789"/>
    </row>
    <row r="8851" spans="8843:8858" x14ac:dyDescent="0.3">
      <c r="MBE8851" s="8790"/>
    </row>
    <row r="8852" spans="8843:8858" x14ac:dyDescent="0.3">
      <c r="MBF8852" s="8791"/>
    </row>
    <row r="8853" spans="8843:8858" x14ac:dyDescent="0.3">
      <c r="MBG8853" s="8792"/>
    </row>
    <row r="8854" spans="8843:8858" x14ac:dyDescent="0.3">
      <c r="MBH8854" s="8793"/>
    </row>
    <row r="8855" spans="8843:8858" x14ac:dyDescent="0.3">
      <c r="MBI8855" s="8794"/>
    </row>
    <row r="8856" spans="8843:8858" x14ac:dyDescent="0.3">
      <c r="MBJ8856" s="8795"/>
    </row>
    <row r="8857" spans="8843:8858" x14ac:dyDescent="0.3">
      <c r="MBK8857" s="8796"/>
    </row>
    <row r="8858" spans="8843:8858" x14ac:dyDescent="0.3">
      <c r="MBL8858" s="8797"/>
    </row>
    <row r="8859" spans="8843:8858" x14ac:dyDescent="0.3">
      <c r="MBM8859" s="8798"/>
    </row>
    <row r="8860" spans="8843:8858" x14ac:dyDescent="0.3">
      <c r="MBN8860" s="8799"/>
    </row>
    <row r="8861" spans="8843:8858" x14ac:dyDescent="0.3">
      <c r="MBO8861" s="8800"/>
    </row>
    <row r="8862" spans="8843:8858" x14ac:dyDescent="0.3">
      <c r="MBP8862" s="8801"/>
    </row>
    <row r="8863" spans="8843:8858" x14ac:dyDescent="0.3">
      <c r="MBQ8863" s="8802"/>
    </row>
    <row r="8864" spans="8843:8858" x14ac:dyDescent="0.3">
      <c r="MBR8864" s="8803"/>
    </row>
    <row r="8865" spans="8859:8874" x14ac:dyDescent="0.3">
      <c r="MBS8865" s="8804"/>
    </row>
    <row r="8866" spans="8859:8874" x14ac:dyDescent="0.3">
      <c r="MBT8866" s="8805"/>
    </row>
    <row r="8867" spans="8859:8874" x14ac:dyDescent="0.3">
      <c r="MBU8867" s="8806"/>
    </row>
    <row r="8868" spans="8859:8874" x14ac:dyDescent="0.3">
      <c r="MBV8868" s="8807"/>
    </row>
    <row r="8869" spans="8859:8874" x14ac:dyDescent="0.3">
      <c r="MBW8869" s="8808"/>
    </row>
    <row r="8870" spans="8859:8874" x14ac:dyDescent="0.3">
      <c r="MBX8870" s="8809"/>
    </row>
    <row r="8871" spans="8859:8874" x14ac:dyDescent="0.3">
      <c r="MBY8871" s="8810"/>
    </row>
    <row r="8872" spans="8859:8874" x14ac:dyDescent="0.3">
      <c r="MBZ8872" s="8811"/>
    </row>
    <row r="8873" spans="8859:8874" x14ac:dyDescent="0.3">
      <c r="MCA8873" s="8812"/>
    </row>
    <row r="8874" spans="8859:8874" x14ac:dyDescent="0.3">
      <c r="MCB8874" s="8813"/>
    </row>
    <row r="8875" spans="8859:8874" x14ac:dyDescent="0.3">
      <c r="MCC8875" s="8814"/>
    </row>
    <row r="8876" spans="8859:8874" x14ac:dyDescent="0.3">
      <c r="MCD8876" s="8815"/>
    </row>
    <row r="8877" spans="8859:8874" x14ac:dyDescent="0.3">
      <c r="MCE8877" s="8816"/>
    </row>
    <row r="8878" spans="8859:8874" x14ac:dyDescent="0.3">
      <c r="MCF8878" s="8817"/>
    </row>
    <row r="8879" spans="8859:8874" x14ac:dyDescent="0.3">
      <c r="MCG8879" s="8818"/>
    </row>
    <row r="8880" spans="8859:8874" x14ac:dyDescent="0.3">
      <c r="MCH8880" s="8819"/>
    </row>
    <row r="8881" spans="8875:8890" x14ac:dyDescent="0.3">
      <c r="MCI8881" s="8820"/>
    </row>
    <row r="8882" spans="8875:8890" x14ac:dyDescent="0.3">
      <c r="MCJ8882" s="8821"/>
    </row>
    <row r="8883" spans="8875:8890" x14ac:dyDescent="0.3">
      <c r="MCK8883" s="8822"/>
    </row>
    <row r="8884" spans="8875:8890" x14ac:dyDescent="0.3">
      <c r="MCL8884" s="8823"/>
    </row>
    <row r="8885" spans="8875:8890" x14ac:dyDescent="0.3">
      <c r="MCM8885" s="8824"/>
    </row>
    <row r="8886" spans="8875:8890" x14ac:dyDescent="0.3">
      <c r="MCN8886" s="8825"/>
    </row>
    <row r="8887" spans="8875:8890" x14ac:dyDescent="0.3">
      <c r="MCO8887" s="8826"/>
    </row>
    <row r="8888" spans="8875:8890" x14ac:dyDescent="0.3">
      <c r="MCP8888" s="8827"/>
    </row>
    <row r="8889" spans="8875:8890" x14ac:dyDescent="0.3">
      <c r="MCQ8889" s="8828"/>
    </row>
    <row r="8890" spans="8875:8890" x14ac:dyDescent="0.3">
      <c r="MCR8890" s="8829"/>
    </row>
    <row r="8891" spans="8875:8890" x14ac:dyDescent="0.3">
      <c r="MCS8891" s="8830"/>
    </row>
    <row r="8892" spans="8875:8890" x14ac:dyDescent="0.3">
      <c r="MCT8892" s="8831"/>
    </row>
    <row r="8893" spans="8875:8890" x14ac:dyDescent="0.3">
      <c r="MCU8893" s="8832"/>
    </row>
    <row r="8894" spans="8875:8890" x14ac:dyDescent="0.3">
      <c r="MCV8894" s="8833"/>
    </row>
    <row r="8895" spans="8875:8890" x14ac:dyDescent="0.3">
      <c r="MCW8895" s="8834"/>
    </row>
    <row r="8896" spans="8875:8890" x14ac:dyDescent="0.3">
      <c r="MCX8896" s="8835"/>
    </row>
    <row r="8897" spans="8891:8906" x14ac:dyDescent="0.3">
      <c r="MCY8897" s="8836"/>
    </row>
    <row r="8898" spans="8891:8906" x14ac:dyDescent="0.3">
      <c r="MCZ8898" s="8837"/>
    </row>
    <row r="8899" spans="8891:8906" x14ac:dyDescent="0.3">
      <c r="MDA8899" s="8838"/>
    </row>
    <row r="8900" spans="8891:8906" x14ac:dyDescent="0.3">
      <c r="MDB8900" s="8839"/>
    </row>
    <row r="8901" spans="8891:8906" x14ac:dyDescent="0.3">
      <c r="MDC8901" s="8840"/>
    </row>
    <row r="8902" spans="8891:8906" x14ac:dyDescent="0.3">
      <c r="MDD8902" s="8841"/>
    </row>
    <row r="8903" spans="8891:8906" x14ac:dyDescent="0.3">
      <c r="MDE8903" s="8842"/>
    </row>
    <row r="8904" spans="8891:8906" x14ac:dyDescent="0.3">
      <c r="MDF8904" s="8843"/>
    </row>
    <row r="8905" spans="8891:8906" x14ac:dyDescent="0.3">
      <c r="MDG8905" s="8844"/>
    </row>
    <row r="8906" spans="8891:8906" x14ac:dyDescent="0.3">
      <c r="MDH8906" s="8845"/>
    </row>
    <row r="8907" spans="8891:8906" x14ac:dyDescent="0.3">
      <c r="MDI8907" s="8846"/>
    </row>
    <row r="8908" spans="8891:8906" x14ac:dyDescent="0.3">
      <c r="MDJ8908" s="8847"/>
    </row>
    <row r="8909" spans="8891:8906" x14ac:dyDescent="0.3">
      <c r="MDK8909" s="8848"/>
    </row>
    <row r="8910" spans="8891:8906" x14ac:dyDescent="0.3">
      <c r="MDL8910" s="8849"/>
    </row>
    <row r="8911" spans="8891:8906" x14ac:dyDescent="0.3">
      <c r="MDM8911" s="8850"/>
    </row>
    <row r="8912" spans="8891:8906" x14ac:dyDescent="0.3">
      <c r="MDN8912" s="8851"/>
    </row>
    <row r="8913" spans="8907:8922" x14ac:dyDescent="0.3">
      <c r="MDO8913" s="8852"/>
    </row>
    <row r="8914" spans="8907:8922" x14ac:dyDescent="0.3">
      <c r="MDP8914" s="8853"/>
    </row>
    <row r="8915" spans="8907:8922" x14ac:dyDescent="0.3">
      <c r="MDQ8915" s="8854"/>
    </row>
    <row r="8916" spans="8907:8922" x14ac:dyDescent="0.3">
      <c r="MDR8916" s="8855"/>
    </row>
    <row r="8917" spans="8907:8922" x14ac:dyDescent="0.3">
      <c r="MDS8917" s="8856"/>
    </row>
    <row r="8918" spans="8907:8922" x14ac:dyDescent="0.3">
      <c r="MDT8918" s="8857"/>
    </row>
    <row r="8919" spans="8907:8922" x14ac:dyDescent="0.3">
      <c r="MDU8919" s="8858"/>
    </row>
    <row r="8920" spans="8907:8922" x14ac:dyDescent="0.3">
      <c r="MDV8920" s="8859"/>
    </row>
    <row r="8921" spans="8907:8922" x14ac:dyDescent="0.3">
      <c r="MDW8921" s="8860"/>
    </row>
    <row r="8922" spans="8907:8922" x14ac:dyDescent="0.3">
      <c r="MDX8922" s="8861"/>
    </row>
    <row r="8923" spans="8907:8922" x14ac:dyDescent="0.3">
      <c r="MDY8923" s="8862"/>
    </row>
    <row r="8924" spans="8907:8922" x14ac:dyDescent="0.3">
      <c r="MDZ8924" s="8863"/>
    </row>
    <row r="8925" spans="8907:8922" x14ac:dyDescent="0.3">
      <c r="MEA8925" s="8864"/>
    </row>
    <row r="8926" spans="8907:8922" x14ac:dyDescent="0.3">
      <c r="MEB8926" s="8865"/>
    </row>
    <row r="8927" spans="8907:8922" x14ac:dyDescent="0.3">
      <c r="MEC8927" s="8866"/>
    </row>
    <row r="8928" spans="8907:8922" x14ac:dyDescent="0.3">
      <c r="MED8928" s="8867"/>
    </row>
    <row r="8929" spans="8923:8938" x14ac:dyDescent="0.3">
      <c r="MEE8929" s="8868"/>
    </row>
    <row r="8930" spans="8923:8938" x14ac:dyDescent="0.3">
      <c r="MEF8930" s="8869"/>
    </row>
    <row r="8931" spans="8923:8938" x14ac:dyDescent="0.3">
      <c r="MEG8931" s="8870"/>
    </row>
    <row r="8932" spans="8923:8938" x14ac:dyDescent="0.3">
      <c r="MEH8932" s="8871"/>
    </row>
    <row r="8933" spans="8923:8938" x14ac:dyDescent="0.3">
      <c r="MEI8933" s="8872"/>
    </row>
    <row r="8934" spans="8923:8938" x14ac:dyDescent="0.3">
      <c r="MEJ8934" s="8873"/>
    </row>
    <row r="8935" spans="8923:8938" x14ac:dyDescent="0.3">
      <c r="MEK8935" s="8874"/>
    </row>
    <row r="8936" spans="8923:8938" x14ac:dyDescent="0.3">
      <c r="MEL8936" s="8875"/>
    </row>
    <row r="8937" spans="8923:8938" x14ac:dyDescent="0.3">
      <c r="MEM8937" s="8876"/>
    </row>
    <row r="8938" spans="8923:8938" x14ac:dyDescent="0.3">
      <c r="MEN8938" s="8877"/>
    </row>
    <row r="8939" spans="8923:8938" x14ac:dyDescent="0.3">
      <c r="MEO8939" s="8878"/>
    </row>
    <row r="8940" spans="8923:8938" x14ac:dyDescent="0.3">
      <c r="MEP8940" s="8879"/>
    </row>
    <row r="8941" spans="8923:8938" x14ac:dyDescent="0.3">
      <c r="MEQ8941" s="8880"/>
    </row>
    <row r="8942" spans="8923:8938" x14ac:dyDescent="0.3">
      <c r="MER8942" s="8881"/>
    </row>
    <row r="8943" spans="8923:8938" x14ac:dyDescent="0.3">
      <c r="MES8943" s="8882"/>
    </row>
    <row r="8944" spans="8923:8938" x14ac:dyDescent="0.3">
      <c r="MET8944" s="8883"/>
    </row>
    <row r="8945" spans="8939:8954" x14ac:dyDescent="0.3">
      <c r="MEU8945" s="8884"/>
    </row>
    <row r="8946" spans="8939:8954" x14ac:dyDescent="0.3">
      <c r="MEV8946" s="8885"/>
    </row>
    <row r="8947" spans="8939:8954" x14ac:dyDescent="0.3">
      <c r="MEW8947" s="8886"/>
    </row>
    <row r="8948" spans="8939:8954" x14ac:dyDescent="0.3">
      <c r="MEX8948" s="8887"/>
    </row>
    <row r="8949" spans="8939:8954" x14ac:dyDescent="0.3">
      <c r="MEY8949" s="8888"/>
    </row>
    <row r="8950" spans="8939:8954" x14ac:dyDescent="0.3">
      <c r="MEZ8950" s="8889"/>
    </row>
    <row r="8951" spans="8939:8954" x14ac:dyDescent="0.3">
      <c r="MFA8951" s="8890"/>
    </row>
    <row r="8952" spans="8939:8954" x14ac:dyDescent="0.3">
      <c r="MFB8952" s="8891"/>
    </row>
    <row r="8953" spans="8939:8954" x14ac:dyDescent="0.3">
      <c r="MFC8953" s="8892"/>
    </row>
    <row r="8954" spans="8939:8954" x14ac:dyDescent="0.3">
      <c r="MFD8954" s="8893"/>
    </row>
    <row r="8955" spans="8939:8954" x14ac:dyDescent="0.3">
      <c r="MFE8955" s="8894"/>
    </row>
    <row r="8956" spans="8939:8954" x14ac:dyDescent="0.3">
      <c r="MFF8956" s="8895"/>
    </row>
    <row r="8957" spans="8939:8954" x14ac:dyDescent="0.3">
      <c r="MFG8957" s="8896"/>
    </row>
    <row r="8958" spans="8939:8954" x14ac:dyDescent="0.3">
      <c r="MFH8958" s="8897"/>
    </row>
    <row r="8959" spans="8939:8954" x14ac:dyDescent="0.3">
      <c r="MFI8959" s="8898"/>
    </row>
    <row r="8960" spans="8939:8954" x14ac:dyDescent="0.3">
      <c r="MFJ8960" s="8899"/>
    </row>
    <row r="8961" spans="8955:8970" x14ac:dyDescent="0.3">
      <c r="MFK8961" s="8900"/>
    </row>
    <row r="8962" spans="8955:8970" x14ac:dyDescent="0.3">
      <c r="MFL8962" s="8901"/>
    </row>
    <row r="8963" spans="8955:8970" x14ac:dyDescent="0.3">
      <c r="MFM8963" s="8902"/>
    </row>
    <row r="8964" spans="8955:8970" x14ac:dyDescent="0.3">
      <c r="MFN8964" s="8903"/>
    </row>
    <row r="8965" spans="8955:8970" x14ac:dyDescent="0.3">
      <c r="MFO8965" s="8904"/>
    </row>
    <row r="8966" spans="8955:8970" x14ac:dyDescent="0.3">
      <c r="MFP8966" s="8905"/>
    </row>
    <row r="8967" spans="8955:8970" x14ac:dyDescent="0.3">
      <c r="MFQ8967" s="8906"/>
    </row>
    <row r="8968" spans="8955:8970" x14ac:dyDescent="0.3">
      <c r="MFR8968" s="8907"/>
    </row>
    <row r="8969" spans="8955:8970" x14ac:dyDescent="0.3">
      <c r="MFS8969" s="8908"/>
    </row>
    <row r="8970" spans="8955:8970" x14ac:dyDescent="0.3">
      <c r="MFT8970" s="8909"/>
    </row>
    <row r="8971" spans="8955:8970" x14ac:dyDescent="0.3">
      <c r="MFU8971" s="8910"/>
    </row>
    <row r="8972" spans="8955:8970" x14ac:dyDescent="0.3">
      <c r="MFV8972" s="8911"/>
    </row>
    <row r="8973" spans="8955:8970" x14ac:dyDescent="0.3">
      <c r="MFW8973" s="8912"/>
    </row>
    <row r="8974" spans="8955:8970" x14ac:dyDescent="0.3">
      <c r="MFX8974" s="8913"/>
    </row>
    <row r="8975" spans="8955:8970" x14ac:dyDescent="0.3">
      <c r="MFY8975" s="8914"/>
    </row>
    <row r="8976" spans="8955:8970" x14ac:dyDescent="0.3">
      <c r="MFZ8976" s="8915"/>
    </row>
    <row r="8977" spans="8971:8986" x14ac:dyDescent="0.3">
      <c r="MGA8977" s="8916"/>
    </row>
    <row r="8978" spans="8971:8986" x14ac:dyDescent="0.3">
      <c r="MGB8978" s="8917"/>
    </row>
    <row r="8979" spans="8971:8986" x14ac:dyDescent="0.3">
      <c r="MGC8979" s="8918"/>
    </row>
    <row r="8980" spans="8971:8986" x14ac:dyDescent="0.3">
      <c r="MGD8980" s="8919"/>
    </row>
    <row r="8981" spans="8971:8986" x14ac:dyDescent="0.3">
      <c r="MGE8981" s="8920"/>
    </row>
    <row r="8982" spans="8971:8986" x14ac:dyDescent="0.3">
      <c r="MGF8982" s="8921"/>
    </row>
    <row r="8983" spans="8971:8986" x14ac:dyDescent="0.3">
      <c r="MGG8983" s="8922"/>
    </row>
    <row r="8984" spans="8971:8986" x14ac:dyDescent="0.3">
      <c r="MGH8984" s="8923"/>
    </row>
    <row r="8985" spans="8971:8986" x14ac:dyDescent="0.3">
      <c r="MGI8985" s="8924"/>
    </row>
    <row r="8986" spans="8971:8986" x14ac:dyDescent="0.3">
      <c r="MGJ8986" s="8925"/>
    </row>
    <row r="8987" spans="8971:8986" x14ac:dyDescent="0.3">
      <c r="MGK8987" s="8926"/>
    </row>
    <row r="8988" spans="8971:8986" x14ac:dyDescent="0.3">
      <c r="MGL8988" s="8927"/>
    </row>
    <row r="8989" spans="8971:8986" x14ac:dyDescent="0.3">
      <c r="MGM8989" s="8928"/>
    </row>
    <row r="8990" spans="8971:8986" x14ac:dyDescent="0.3">
      <c r="MGN8990" s="8929"/>
    </row>
    <row r="8991" spans="8971:8986" x14ac:dyDescent="0.3">
      <c r="MGO8991" s="8930"/>
    </row>
    <row r="8992" spans="8971:8986" x14ac:dyDescent="0.3">
      <c r="MGP8992" s="8931"/>
    </row>
    <row r="8993" spans="8987:9002" x14ac:dyDescent="0.3">
      <c r="MGQ8993" s="8932"/>
    </row>
    <row r="8994" spans="8987:9002" x14ac:dyDescent="0.3">
      <c r="MGR8994" s="8933"/>
    </row>
    <row r="8995" spans="8987:9002" x14ac:dyDescent="0.3">
      <c r="MGS8995" s="8934"/>
    </row>
    <row r="8996" spans="8987:9002" x14ac:dyDescent="0.3">
      <c r="MGT8996" s="8935"/>
    </row>
    <row r="8997" spans="8987:9002" x14ac:dyDescent="0.3">
      <c r="MGU8997" s="8936"/>
    </row>
    <row r="8998" spans="8987:9002" x14ac:dyDescent="0.3">
      <c r="MGV8998" s="8937"/>
    </row>
    <row r="8999" spans="8987:9002" x14ac:dyDescent="0.3">
      <c r="MGW8999" s="8938"/>
    </row>
    <row r="9000" spans="8987:9002" x14ac:dyDescent="0.3">
      <c r="MGX9000" s="8939"/>
    </row>
    <row r="9001" spans="8987:9002" x14ac:dyDescent="0.3">
      <c r="MGY9001" s="8939"/>
    </row>
    <row r="9002" spans="8987:9002" x14ac:dyDescent="0.3">
      <c r="MGZ9002" s="8940"/>
    </row>
    <row r="9003" spans="8987:9002" x14ac:dyDescent="0.3">
      <c r="MHA9003" s="8941"/>
    </row>
    <row r="9004" spans="8987:9002" x14ac:dyDescent="0.3">
      <c r="MHB9004" s="8942"/>
    </row>
    <row r="9005" spans="8987:9002" x14ac:dyDescent="0.3">
      <c r="MHC9005" s="8943"/>
    </row>
    <row r="9006" spans="8987:9002" x14ac:dyDescent="0.3">
      <c r="MHD9006" s="8944"/>
    </row>
    <row r="9007" spans="8987:9002" x14ac:dyDescent="0.3">
      <c r="MHE9007" s="8945"/>
    </row>
    <row r="9008" spans="8987:9002" x14ac:dyDescent="0.3">
      <c r="MHF9008" s="8946"/>
    </row>
    <row r="9009" spans="9003:9018" x14ac:dyDescent="0.3">
      <c r="MHG9009" s="8947"/>
    </row>
    <row r="9010" spans="9003:9018" x14ac:dyDescent="0.3">
      <c r="MHH9010" s="8948"/>
    </row>
    <row r="9011" spans="9003:9018" x14ac:dyDescent="0.3">
      <c r="MHI9011" s="8949"/>
    </row>
    <row r="9012" spans="9003:9018" x14ac:dyDescent="0.3">
      <c r="MHJ9012" s="8950"/>
    </row>
    <row r="9013" spans="9003:9018" x14ac:dyDescent="0.3">
      <c r="MHK9013" s="8951"/>
    </row>
    <row r="9014" spans="9003:9018" x14ac:dyDescent="0.3">
      <c r="MHL9014" s="8952"/>
    </row>
    <row r="9015" spans="9003:9018" x14ac:dyDescent="0.3">
      <c r="MHM9015" s="8953"/>
    </row>
    <row r="9016" spans="9003:9018" x14ac:dyDescent="0.3">
      <c r="MHN9016" s="8954"/>
    </row>
    <row r="9017" spans="9003:9018" x14ac:dyDescent="0.3">
      <c r="MHO9017" s="8955"/>
    </row>
    <row r="9018" spans="9003:9018" x14ac:dyDescent="0.3">
      <c r="MHP9018" s="8956"/>
    </row>
    <row r="9019" spans="9003:9018" x14ac:dyDescent="0.3">
      <c r="MHQ9019" s="8957"/>
    </row>
    <row r="9020" spans="9003:9018" x14ac:dyDescent="0.3">
      <c r="MHR9020" s="8958"/>
    </row>
    <row r="9021" spans="9003:9018" x14ac:dyDescent="0.3">
      <c r="MHS9021" s="8959"/>
    </row>
    <row r="9022" spans="9003:9018" x14ac:dyDescent="0.3">
      <c r="MHT9022" s="8960"/>
    </row>
    <row r="9023" spans="9003:9018" x14ac:dyDescent="0.3">
      <c r="MHU9023" s="8961"/>
    </row>
    <row r="9024" spans="9003:9018" x14ac:dyDescent="0.3">
      <c r="MHV9024" s="8962"/>
    </row>
    <row r="9025" spans="9019:9034" x14ac:dyDescent="0.3">
      <c r="MHW9025" s="8963"/>
    </row>
    <row r="9026" spans="9019:9034" x14ac:dyDescent="0.3">
      <c r="MHX9026" s="8964"/>
    </row>
    <row r="9027" spans="9019:9034" x14ac:dyDescent="0.3">
      <c r="MHY9027" s="8965"/>
    </row>
    <row r="9028" spans="9019:9034" x14ac:dyDescent="0.3">
      <c r="MHZ9028" s="8966"/>
    </row>
    <row r="9029" spans="9019:9034" x14ac:dyDescent="0.3">
      <c r="MIA9029" s="8967"/>
    </row>
    <row r="9030" spans="9019:9034" x14ac:dyDescent="0.3">
      <c r="MIB9030" s="8968"/>
    </row>
    <row r="9031" spans="9019:9034" x14ac:dyDescent="0.3">
      <c r="MIC9031" s="8969"/>
    </row>
    <row r="9032" spans="9019:9034" x14ac:dyDescent="0.3">
      <c r="MID9032" s="8970"/>
    </row>
    <row r="9033" spans="9019:9034" x14ac:dyDescent="0.3">
      <c r="MIE9033" s="8971"/>
    </row>
    <row r="9034" spans="9019:9034" x14ac:dyDescent="0.3">
      <c r="MIF9034" s="8972"/>
    </row>
    <row r="9035" spans="9019:9034" x14ac:dyDescent="0.3">
      <c r="MIG9035" s="8973"/>
    </row>
    <row r="9036" spans="9019:9034" x14ac:dyDescent="0.3">
      <c r="MIH9036" s="8974"/>
    </row>
    <row r="9037" spans="9019:9034" x14ac:dyDescent="0.3">
      <c r="MII9037" s="8975"/>
    </row>
    <row r="9038" spans="9019:9034" x14ac:dyDescent="0.3">
      <c r="MIJ9038" s="8976"/>
    </row>
    <row r="9039" spans="9019:9034" x14ac:dyDescent="0.3">
      <c r="MIK9039" s="8977"/>
    </row>
    <row r="9040" spans="9019:9034" x14ac:dyDescent="0.3">
      <c r="MIL9040" s="8978"/>
    </row>
    <row r="9041" spans="9035:9050" x14ac:dyDescent="0.3">
      <c r="MIM9041" s="8979"/>
    </row>
    <row r="9042" spans="9035:9050" x14ac:dyDescent="0.3">
      <c r="MIN9042" s="8980"/>
    </row>
    <row r="9043" spans="9035:9050" x14ac:dyDescent="0.3">
      <c r="MIO9043" s="8981"/>
    </row>
    <row r="9044" spans="9035:9050" x14ac:dyDescent="0.3">
      <c r="MIP9044" s="8982"/>
    </row>
    <row r="9045" spans="9035:9050" x14ac:dyDescent="0.3">
      <c r="MIQ9045" s="8983"/>
    </row>
    <row r="9046" spans="9035:9050" x14ac:dyDescent="0.3">
      <c r="MIR9046" s="8984"/>
    </row>
    <row r="9047" spans="9035:9050" x14ac:dyDescent="0.3">
      <c r="MIS9047" s="8985"/>
    </row>
    <row r="9048" spans="9035:9050" x14ac:dyDescent="0.3">
      <c r="MIT9048" s="8986"/>
    </row>
    <row r="9049" spans="9035:9050" x14ac:dyDescent="0.3">
      <c r="MIU9049" s="8987"/>
    </row>
    <row r="9050" spans="9035:9050" x14ac:dyDescent="0.3">
      <c r="MIV9050" s="8988"/>
    </row>
    <row r="9051" spans="9035:9050" x14ac:dyDescent="0.3">
      <c r="MIW9051" s="8989"/>
    </row>
    <row r="9052" spans="9035:9050" x14ac:dyDescent="0.3">
      <c r="MIX9052" s="8990"/>
    </row>
    <row r="9053" spans="9035:9050" x14ac:dyDescent="0.3">
      <c r="MIY9053" s="8991"/>
    </row>
    <row r="9054" spans="9035:9050" x14ac:dyDescent="0.3">
      <c r="MIZ9054" s="8992"/>
    </row>
    <row r="9055" spans="9035:9050" x14ac:dyDescent="0.3">
      <c r="MJA9055" s="8993"/>
    </row>
    <row r="9056" spans="9035:9050" x14ac:dyDescent="0.3">
      <c r="MJB9056" s="8994"/>
    </row>
    <row r="9057" spans="9051:9066" x14ac:dyDescent="0.3">
      <c r="MJC9057" s="8995"/>
    </row>
    <row r="9058" spans="9051:9066" x14ac:dyDescent="0.3">
      <c r="MJD9058" s="8996"/>
    </row>
    <row r="9059" spans="9051:9066" x14ac:dyDescent="0.3">
      <c r="MJE9059" s="8997"/>
    </row>
    <row r="9060" spans="9051:9066" x14ac:dyDescent="0.3">
      <c r="MJF9060" s="8998"/>
    </row>
    <row r="9061" spans="9051:9066" x14ac:dyDescent="0.3">
      <c r="MJG9061" s="8999"/>
    </row>
    <row r="9062" spans="9051:9066" x14ac:dyDescent="0.3">
      <c r="MJH9062" s="9000"/>
    </row>
    <row r="9063" spans="9051:9066" x14ac:dyDescent="0.3">
      <c r="MJI9063" s="9001"/>
    </row>
    <row r="9064" spans="9051:9066" x14ac:dyDescent="0.3">
      <c r="MJJ9064" s="9002"/>
    </row>
    <row r="9065" spans="9051:9066" x14ac:dyDescent="0.3">
      <c r="MJK9065" s="9003"/>
    </row>
    <row r="9066" spans="9051:9066" x14ac:dyDescent="0.3">
      <c r="MJL9066" s="9004"/>
    </row>
    <row r="9067" spans="9051:9066" x14ac:dyDescent="0.3">
      <c r="MJM9067" s="9005"/>
    </row>
    <row r="9068" spans="9051:9066" x14ac:dyDescent="0.3">
      <c r="MJN9068" s="9006"/>
    </row>
    <row r="9069" spans="9051:9066" x14ac:dyDescent="0.3">
      <c r="MJO9069" s="9007"/>
    </row>
    <row r="9070" spans="9051:9066" x14ac:dyDescent="0.3">
      <c r="MJP9070" s="9008"/>
    </row>
    <row r="9071" spans="9051:9066" x14ac:dyDescent="0.3">
      <c r="MJQ9071" s="9009"/>
    </row>
    <row r="9072" spans="9051:9066" x14ac:dyDescent="0.3">
      <c r="MJR9072" s="9010"/>
    </row>
    <row r="9073" spans="9067:9082" x14ac:dyDescent="0.3">
      <c r="MJS9073" s="9011"/>
    </row>
    <row r="9074" spans="9067:9082" x14ac:dyDescent="0.3">
      <c r="MJT9074" s="9012"/>
    </row>
    <row r="9075" spans="9067:9082" x14ac:dyDescent="0.3">
      <c r="MJU9075" s="9013"/>
    </row>
    <row r="9076" spans="9067:9082" x14ac:dyDescent="0.3">
      <c r="MJV9076" s="9014"/>
    </row>
    <row r="9077" spans="9067:9082" x14ac:dyDescent="0.3">
      <c r="MJW9077" s="9015"/>
    </row>
    <row r="9078" spans="9067:9082" x14ac:dyDescent="0.3">
      <c r="MJX9078" s="9016"/>
    </row>
    <row r="9079" spans="9067:9082" x14ac:dyDescent="0.3">
      <c r="MJY9079" s="9017"/>
    </row>
    <row r="9080" spans="9067:9082" x14ac:dyDescent="0.3">
      <c r="MJZ9080" s="9018"/>
    </row>
    <row r="9081" spans="9067:9082" x14ac:dyDescent="0.3">
      <c r="MKA9081" s="9019"/>
    </row>
    <row r="9082" spans="9067:9082" x14ac:dyDescent="0.3">
      <c r="MKB9082" s="9020"/>
    </row>
    <row r="9083" spans="9067:9082" x14ac:dyDescent="0.3">
      <c r="MKC9083" s="9021"/>
    </row>
    <row r="9084" spans="9067:9082" x14ac:dyDescent="0.3">
      <c r="MKD9084" s="9022"/>
    </row>
    <row r="9085" spans="9067:9082" x14ac:dyDescent="0.3">
      <c r="MKE9085" s="9023"/>
    </row>
    <row r="9086" spans="9067:9082" x14ac:dyDescent="0.3">
      <c r="MKF9086" s="9024"/>
    </row>
    <row r="9087" spans="9067:9082" x14ac:dyDescent="0.3">
      <c r="MKG9087" s="9025"/>
    </row>
    <row r="9088" spans="9067:9082" x14ac:dyDescent="0.3">
      <c r="MKH9088" s="9026"/>
    </row>
    <row r="9089" spans="9083:9098" x14ac:dyDescent="0.3">
      <c r="MKI9089" s="9027"/>
    </row>
    <row r="9090" spans="9083:9098" x14ac:dyDescent="0.3">
      <c r="MKJ9090" s="9028"/>
    </row>
    <row r="9091" spans="9083:9098" x14ac:dyDescent="0.3">
      <c r="MKK9091" s="9029"/>
    </row>
    <row r="9092" spans="9083:9098" x14ac:dyDescent="0.3">
      <c r="MKL9092" s="9030"/>
    </row>
    <row r="9093" spans="9083:9098" x14ac:dyDescent="0.3">
      <c r="MKM9093" s="9031"/>
    </row>
    <row r="9094" spans="9083:9098" x14ac:dyDescent="0.3">
      <c r="MKN9094" s="9032"/>
    </row>
    <row r="9095" spans="9083:9098" x14ac:dyDescent="0.3">
      <c r="MKO9095" s="9033"/>
    </row>
    <row r="9096" spans="9083:9098" x14ac:dyDescent="0.3">
      <c r="MKP9096" s="9034"/>
    </row>
    <row r="9097" spans="9083:9098" x14ac:dyDescent="0.3">
      <c r="MKQ9097" s="9035"/>
    </row>
    <row r="9098" spans="9083:9098" x14ac:dyDescent="0.3">
      <c r="MKR9098" s="9036"/>
    </row>
    <row r="9099" spans="9083:9098" x14ac:dyDescent="0.3">
      <c r="MKS9099" s="9037"/>
    </row>
    <row r="9100" spans="9083:9098" x14ac:dyDescent="0.3">
      <c r="MKT9100" s="9038"/>
    </row>
    <row r="9101" spans="9083:9098" x14ac:dyDescent="0.3">
      <c r="MKU9101" s="9039"/>
    </row>
    <row r="9102" spans="9083:9098" x14ac:dyDescent="0.3">
      <c r="MKV9102" s="9040"/>
    </row>
    <row r="9103" spans="9083:9098" x14ac:dyDescent="0.3">
      <c r="MKW9103" s="9041"/>
    </row>
    <row r="9104" spans="9083:9098" x14ac:dyDescent="0.3">
      <c r="MKX9104" s="9042"/>
    </row>
    <row r="9105" spans="9099:9114" x14ac:dyDescent="0.3">
      <c r="MKY9105" s="9043"/>
    </row>
    <row r="9106" spans="9099:9114" x14ac:dyDescent="0.3">
      <c r="MKZ9106" s="9044"/>
    </row>
    <row r="9107" spans="9099:9114" x14ac:dyDescent="0.3">
      <c r="MLA9107" s="9045"/>
    </row>
    <row r="9108" spans="9099:9114" x14ac:dyDescent="0.3">
      <c r="MLB9108" s="9046"/>
    </row>
    <row r="9109" spans="9099:9114" x14ac:dyDescent="0.3">
      <c r="MLC9109" s="9047"/>
    </row>
    <row r="9110" spans="9099:9114" x14ac:dyDescent="0.3">
      <c r="MLD9110" s="9048"/>
    </row>
    <row r="9111" spans="9099:9114" x14ac:dyDescent="0.3">
      <c r="MLE9111" s="9049"/>
    </row>
    <row r="9112" spans="9099:9114" x14ac:dyDescent="0.3">
      <c r="MLF9112" s="9050"/>
    </row>
    <row r="9113" spans="9099:9114" x14ac:dyDescent="0.3">
      <c r="MLG9113" s="9051"/>
    </row>
    <row r="9114" spans="9099:9114" x14ac:dyDescent="0.3">
      <c r="MLH9114" s="9052"/>
    </row>
    <row r="9115" spans="9099:9114" x14ac:dyDescent="0.3">
      <c r="MLI9115" s="9053"/>
    </row>
    <row r="9116" spans="9099:9114" x14ac:dyDescent="0.3">
      <c r="MLJ9116" s="9054"/>
    </row>
    <row r="9117" spans="9099:9114" x14ac:dyDescent="0.3">
      <c r="MLK9117" s="9055"/>
    </row>
    <row r="9118" spans="9099:9114" x14ac:dyDescent="0.3">
      <c r="MLL9118" s="9056"/>
    </row>
    <row r="9119" spans="9099:9114" x14ac:dyDescent="0.3">
      <c r="MLM9119" s="9057"/>
    </row>
    <row r="9120" spans="9099:9114" x14ac:dyDescent="0.3">
      <c r="MLN9120" s="9058"/>
    </row>
    <row r="9121" spans="9115:9130" x14ac:dyDescent="0.3">
      <c r="MLO9121" s="9059"/>
    </row>
    <row r="9122" spans="9115:9130" x14ac:dyDescent="0.3">
      <c r="MLP9122" s="9060"/>
    </row>
    <row r="9123" spans="9115:9130" x14ac:dyDescent="0.3">
      <c r="MLQ9123" s="9061"/>
    </row>
    <row r="9124" spans="9115:9130" x14ac:dyDescent="0.3">
      <c r="MLR9124" s="9062"/>
    </row>
    <row r="9125" spans="9115:9130" x14ac:dyDescent="0.3">
      <c r="MLS9125" s="9063"/>
    </row>
    <row r="9126" spans="9115:9130" x14ac:dyDescent="0.3">
      <c r="MLT9126" s="9064"/>
    </row>
    <row r="9127" spans="9115:9130" x14ac:dyDescent="0.3">
      <c r="MLU9127" s="9065"/>
    </row>
    <row r="9128" spans="9115:9130" x14ac:dyDescent="0.3">
      <c r="MLV9128" s="9066"/>
    </row>
    <row r="9129" spans="9115:9130" x14ac:dyDescent="0.3">
      <c r="MLW9129" s="9067"/>
    </row>
    <row r="9130" spans="9115:9130" x14ac:dyDescent="0.3">
      <c r="MLX9130" s="9068"/>
    </row>
    <row r="9131" spans="9115:9130" x14ac:dyDescent="0.3">
      <c r="MLY9131" s="9069"/>
    </row>
    <row r="9132" spans="9115:9130" x14ac:dyDescent="0.3">
      <c r="MLZ9132" s="9070"/>
    </row>
    <row r="9133" spans="9115:9130" x14ac:dyDescent="0.3">
      <c r="MMA9133" s="9071"/>
    </row>
    <row r="9134" spans="9115:9130" x14ac:dyDescent="0.3">
      <c r="MMB9134" s="9072"/>
    </row>
    <row r="9135" spans="9115:9130" x14ac:dyDescent="0.3">
      <c r="MMC9135" s="9073"/>
    </row>
    <row r="9136" spans="9115:9130" x14ac:dyDescent="0.3">
      <c r="MMD9136" s="9074"/>
    </row>
    <row r="9137" spans="9131:9146" x14ac:dyDescent="0.3">
      <c r="MME9137" s="9075"/>
    </row>
    <row r="9138" spans="9131:9146" x14ac:dyDescent="0.3">
      <c r="MMF9138" s="9076"/>
    </row>
    <row r="9139" spans="9131:9146" x14ac:dyDescent="0.3">
      <c r="MMG9139" s="9077"/>
    </row>
    <row r="9140" spans="9131:9146" x14ac:dyDescent="0.3">
      <c r="MMH9140" s="9078"/>
    </row>
    <row r="9141" spans="9131:9146" x14ac:dyDescent="0.3">
      <c r="MMI9141" s="9079"/>
    </row>
    <row r="9142" spans="9131:9146" x14ac:dyDescent="0.3">
      <c r="MMJ9142" s="9080"/>
    </row>
    <row r="9143" spans="9131:9146" x14ac:dyDescent="0.3">
      <c r="MMK9143" s="9081"/>
    </row>
    <row r="9144" spans="9131:9146" x14ac:dyDescent="0.3">
      <c r="MML9144" s="9082"/>
    </row>
    <row r="9145" spans="9131:9146" x14ac:dyDescent="0.3">
      <c r="MMM9145" s="9083"/>
    </row>
    <row r="9146" spans="9131:9146" x14ac:dyDescent="0.3">
      <c r="MMN9146" s="9084"/>
    </row>
    <row r="9147" spans="9131:9146" x14ac:dyDescent="0.3">
      <c r="MMO9147" s="9085"/>
    </row>
    <row r="9148" spans="9131:9146" x14ac:dyDescent="0.3">
      <c r="MMP9148" s="9086"/>
    </row>
    <row r="9149" spans="9131:9146" x14ac:dyDescent="0.3">
      <c r="MMQ9149" s="9087"/>
    </row>
    <row r="9150" spans="9131:9146" x14ac:dyDescent="0.3">
      <c r="MMR9150" s="9088"/>
    </row>
    <row r="9151" spans="9131:9146" x14ac:dyDescent="0.3">
      <c r="MMS9151" s="9089"/>
    </row>
    <row r="9152" spans="9131:9146" x14ac:dyDescent="0.3">
      <c r="MMT9152" s="9090"/>
    </row>
    <row r="9153" spans="9147:9162" x14ac:dyDescent="0.3">
      <c r="MMU9153" s="9091"/>
    </row>
    <row r="9154" spans="9147:9162" x14ac:dyDescent="0.3">
      <c r="MMV9154" s="9092"/>
    </row>
    <row r="9155" spans="9147:9162" x14ac:dyDescent="0.3">
      <c r="MMW9155" s="9093"/>
    </row>
    <row r="9156" spans="9147:9162" x14ac:dyDescent="0.3">
      <c r="MMX9156" s="9094"/>
    </row>
    <row r="9157" spans="9147:9162" x14ac:dyDescent="0.3">
      <c r="MMY9157" s="9095"/>
    </row>
    <row r="9158" spans="9147:9162" x14ac:dyDescent="0.3">
      <c r="MMZ9158" s="9096"/>
    </row>
    <row r="9159" spans="9147:9162" x14ac:dyDescent="0.3">
      <c r="MNA9159" s="9097"/>
    </row>
    <row r="9160" spans="9147:9162" x14ac:dyDescent="0.3">
      <c r="MNB9160" s="9098"/>
    </row>
    <row r="9161" spans="9147:9162" x14ac:dyDescent="0.3">
      <c r="MNC9161" s="9099"/>
    </row>
    <row r="9162" spans="9147:9162" x14ac:dyDescent="0.3">
      <c r="MND9162" s="9100"/>
    </row>
    <row r="9163" spans="9147:9162" x14ac:dyDescent="0.3">
      <c r="MNE9163" s="9101"/>
    </row>
    <row r="9164" spans="9147:9162" x14ac:dyDescent="0.3">
      <c r="MNF9164" s="9102"/>
    </row>
    <row r="9165" spans="9147:9162" x14ac:dyDescent="0.3">
      <c r="MNG9165" s="9103"/>
    </row>
    <row r="9166" spans="9147:9162" x14ac:dyDescent="0.3">
      <c r="MNH9166" s="9104"/>
    </row>
    <row r="9167" spans="9147:9162" x14ac:dyDescent="0.3">
      <c r="MNI9167" s="9105"/>
    </row>
    <row r="9168" spans="9147:9162" x14ac:dyDescent="0.3">
      <c r="MNJ9168" s="9106"/>
    </row>
    <row r="9169" spans="9163:9178" x14ac:dyDescent="0.3">
      <c r="MNK9169" s="9107"/>
    </row>
    <row r="9170" spans="9163:9178" x14ac:dyDescent="0.3">
      <c r="MNL9170" s="9108"/>
    </row>
    <row r="9171" spans="9163:9178" x14ac:dyDescent="0.3">
      <c r="MNM9171" s="9109"/>
    </row>
    <row r="9172" spans="9163:9178" x14ac:dyDescent="0.3">
      <c r="MNN9172" s="9110"/>
    </row>
    <row r="9173" spans="9163:9178" x14ac:dyDescent="0.3">
      <c r="MNO9173" s="9111"/>
    </row>
    <row r="9174" spans="9163:9178" x14ac:dyDescent="0.3">
      <c r="MNP9174" s="9112"/>
    </row>
    <row r="9175" spans="9163:9178" x14ac:dyDescent="0.3">
      <c r="MNQ9175" s="9113"/>
    </row>
    <row r="9176" spans="9163:9178" x14ac:dyDescent="0.3">
      <c r="MNR9176" s="9114"/>
    </row>
    <row r="9177" spans="9163:9178" x14ac:dyDescent="0.3">
      <c r="MNS9177" s="9115"/>
    </row>
    <row r="9178" spans="9163:9178" x14ac:dyDescent="0.3">
      <c r="MNT9178" s="9116"/>
    </row>
    <row r="9179" spans="9163:9178" x14ac:dyDescent="0.3">
      <c r="MNU9179" s="9117"/>
    </row>
    <row r="9180" spans="9163:9178" x14ac:dyDescent="0.3">
      <c r="MNV9180" s="9118"/>
    </row>
    <row r="9181" spans="9163:9178" x14ac:dyDescent="0.3">
      <c r="MNW9181" s="9119"/>
    </row>
    <row r="9182" spans="9163:9178" x14ac:dyDescent="0.3">
      <c r="MNX9182" s="9120"/>
    </row>
    <row r="9183" spans="9163:9178" x14ac:dyDescent="0.3">
      <c r="MNY9183" s="9121"/>
    </row>
    <row r="9184" spans="9163:9178" x14ac:dyDescent="0.3">
      <c r="MNZ9184" s="9122"/>
    </row>
    <row r="9185" spans="9179:9194" x14ac:dyDescent="0.3">
      <c r="MOA9185" s="9123"/>
    </row>
    <row r="9186" spans="9179:9194" x14ac:dyDescent="0.3">
      <c r="MOB9186" s="9124"/>
    </row>
    <row r="9187" spans="9179:9194" x14ac:dyDescent="0.3">
      <c r="MOC9187" s="9125"/>
    </row>
    <row r="9188" spans="9179:9194" x14ac:dyDescent="0.3">
      <c r="MOD9188" s="9126"/>
    </row>
    <row r="9189" spans="9179:9194" x14ac:dyDescent="0.3">
      <c r="MOE9189" s="9127"/>
    </row>
    <row r="9190" spans="9179:9194" x14ac:dyDescent="0.3">
      <c r="MOF9190" s="9128"/>
    </row>
    <row r="9191" spans="9179:9194" x14ac:dyDescent="0.3">
      <c r="MOG9191" s="9129"/>
    </row>
    <row r="9192" spans="9179:9194" x14ac:dyDescent="0.3">
      <c r="MOH9192" s="9130"/>
    </row>
    <row r="9193" spans="9179:9194" x14ac:dyDescent="0.3">
      <c r="MOI9193" s="9131"/>
    </row>
    <row r="9194" spans="9179:9194" x14ac:dyDescent="0.3">
      <c r="MOJ9194" s="9132"/>
    </row>
    <row r="9195" spans="9179:9194" x14ac:dyDescent="0.3">
      <c r="MOK9195" s="9133"/>
    </row>
    <row r="9196" spans="9179:9194" x14ac:dyDescent="0.3">
      <c r="MOL9196" s="9134"/>
    </row>
    <row r="9197" spans="9179:9194" x14ac:dyDescent="0.3">
      <c r="MOM9197" s="9135"/>
    </row>
    <row r="9198" spans="9179:9194" x14ac:dyDescent="0.3">
      <c r="MON9198" s="9136"/>
    </row>
    <row r="9199" spans="9179:9194" x14ac:dyDescent="0.3">
      <c r="MOO9199" s="9137"/>
    </row>
    <row r="9200" spans="9179:9194" x14ac:dyDescent="0.3">
      <c r="MOP9200" s="9138"/>
    </row>
    <row r="9201" spans="9195:9210" x14ac:dyDescent="0.3">
      <c r="MOQ9201" s="9139"/>
    </row>
    <row r="9202" spans="9195:9210" x14ac:dyDescent="0.3">
      <c r="MOR9202" s="9140"/>
    </row>
    <row r="9203" spans="9195:9210" x14ac:dyDescent="0.3">
      <c r="MOS9203" s="9141"/>
    </row>
    <row r="9204" spans="9195:9210" x14ac:dyDescent="0.3">
      <c r="MOT9204" s="9142"/>
    </row>
    <row r="9205" spans="9195:9210" x14ac:dyDescent="0.3">
      <c r="MOU9205" s="9143"/>
    </row>
    <row r="9206" spans="9195:9210" x14ac:dyDescent="0.3">
      <c r="MOV9206" s="9144"/>
    </row>
    <row r="9207" spans="9195:9210" x14ac:dyDescent="0.3">
      <c r="MOW9207" s="9145"/>
    </row>
    <row r="9208" spans="9195:9210" x14ac:dyDescent="0.3">
      <c r="MOX9208" s="9146"/>
    </row>
    <row r="9209" spans="9195:9210" x14ac:dyDescent="0.3">
      <c r="MOY9209" s="9147"/>
    </row>
    <row r="9210" spans="9195:9210" x14ac:dyDescent="0.3">
      <c r="MOZ9210" s="9148"/>
    </row>
    <row r="9211" spans="9195:9210" x14ac:dyDescent="0.3">
      <c r="MPA9211" s="9149"/>
    </row>
    <row r="9212" spans="9195:9210" x14ac:dyDescent="0.3">
      <c r="MPB9212" s="9150"/>
    </row>
    <row r="9213" spans="9195:9210" x14ac:dyDescent="0.3">
      <c r="MPC9213" s="9151"/>
    </row>
    <row r="9214" spans="9195:9210" x14ac:dyDescent="0.3">
      <c r="MPD9214" s="9152"/>
    </row>
    <row r="9215" spans="9195:9210" x14ac:dyDescent="0.3">
      <c r="MPE9215" s="9153"/>
    </row>
    <row r="9216" spans="9195:9210" x14ac:dyDescent="0.3">
      <c r="MPF9216" s="9154"/>
    </row>
    <row r="9217" spans="9211:9226" x14ac:dyDescent="0.3">
      <c r="MPG9217" s="9155"/>
    </row>
    <row r="9218" spans="9211:9226" x14ac:dyDescent="0.3">
      <c r="MPH9218" s="9156"/>
    </row>
    <row r="9219" spans="9211:9226" x14ac:dyDescent="0.3">
      <c r="MPI9219" s="9157"/>
    </row>
    <row r="9220" spans="9211:9226" x14ac:dyDescent="0.3">
      <c r="MPJ9220" s="9158"/>
    </row>
    <row r="9221" spans="9211:9226" x14ac:dyDescent="0.3">
      <c r="MPK9221" s="9159"/>
    </row>
    <row r="9222" spans="9211:9226" x14ac:dyDescent="0.3">
      <c r="MPL9222" s="9160"/>
    </row>
    <row r="9223" spans="9211:9226" x14ac:dyDescent="0.3">
      <c r="MPM9223" s="9161"/>
    </row>
    <row r="9224" spans="9211:9226" x14ac:dyDescent="0.3">
      <c r="MPN9224" s="9162"/>
    </row>
    <row r="9225" spans="9211:9226" x14ac:dyDescent="0.3">
      <c r="MPO9225" s="9163"/>
    </row>
    <row r="9226" spans="9211:9226" x14ac:dyDescent="0.3">
      <c r="MPP9226" s="9164"/>
    </row>
    <row r="9227" spans="9211:9226" x14ac:dyDescent="0.3">
      <c r="MPQ9227" s="9165"/>
    </row>
    <row r="9228" spans="9211:9226" x14ac:dyDescent="0.3">
      <c r="MPR9228" s="9166"/>
    </row>
    <row r="9229" spans="9211:9226" x14ac:dyDescent="0.3">
      <c r="MPS9229" s="9167"/>
    </row>
    <row r="9230" spans="9211:9226" x14ac:dyDescent="0.3">
      <c r="MPT9230" s="9168"/>
    </row>
    <row r="9231" spans="9211:9226" x14ac:dyDescent="0.3">
      <c r="MPU9231" s="9169"/>
    </row>
    <row r="9232" spans="9211:9226" x14ac:dyDescent="0.3">
      <c r="MPV9232" s="9170"/>
    </row>
    <row r="9233" spans="9227:9242" x14ac:dyDescent="0.3">
      <c r="MPW9233" s="9171"/>
    </row>
    <row r="9234" spans="9227:9242" x14ac:dyDescent="0.3">
      <c r="MPX9234" s="9172"/>
    </row>
    <row r="9235" spans="9227:9242" x14ac:dyDescent="0.3">
      <c r="MPY9235" s="9173"/>
    </row>
    <row r="9236" spans="9227:9242" x14ac:dyDescent="0.3">
      <c r="MPZ9236" s="9174"/>
    </row>
    <row r="9237" spans="9227:9242" x14ac:dyDescent="0.3">
      <c r="MQA9237" s="9175"/>
    </row>
    <row r="9238" spans="9227:9242" x14ac:dyDescent="0.3">
      <c r="MQB9238" s="9176"/>
    </row>
    <row r="9239" spans="9227:9242" x14ac:dyDescent="0.3">
      <c r="MQC9239" s="9177"/>
    </row>
    <row r="9240" spans="9227:9242" x14ac:dyDescent="0.3">
      <c r="MQD9240" s="9178"/>
    </row>
    <row r="9241" spans="9227:9242" x14ac:dyDescent="0.3">
      <c r="MQE9241" s="9179"/>
    </row>
    <row r="9242" spans="9227:9242" x14ac:dyDescent="0.3">
      <c r="MQF9242" s="9180"/>
    </row>
    <row r="9243" spans="9227:9242" x14ac:dyDescent="0.3">
      <c r="MQG9243" s="9181"/>
    </row>
    <row r="9244" spans="9227:9242" x14ac:dyDescent="0.3">
      <c r="MQH9244" s="9182"/>
    </row>
    <row r="9245" spans="9227:9242" x14ac:dyDescent="0.3">
      <c r="MQI9245" s="9183"/>
    </row>
    <row r="9246" spans="9227:9242" x14ac:dyDescent="0.3">
      <c r="MQJ9246" s="9184"/>
    </row>
    <row r="9247" spans="9227:9242" x14ac:dyDescent="0.3">
      <c r="MQK9247" s="9185"/>
    </row>
    <row r="9248" spans="9227:9242" x14ac:dyDescent="0.3">
      <c r="MQL9248" s="9186"/>
    </row>
    <row r="9249" spans="9243:9258" x14ac:dyDescent="0.3">
      <c r="MQM9249" s="9187"/>
    </row>
    <row r="9250" spans="9243:9258" x14ac:dyDescent="0.3">
      <c r="MQN9250" s="9188"/>
    </row>
    <row r="9251" spans="9243:9258" x14ac:dyDescent="0.3">
      <c r="MQO9251" s="9189"/>
    </row>
    <row r="9252" spans="9243:9258" x14ac:dyDescent="0.3">
      <c r="MQP9252" s="9190"/>
    </row>
    <row r="9253" spans="9243:9258" x14ac:dyDescent="0.3">
      <c r="MQQ9253" s="9191"/>
    </row>
    <row r="9254" spans="9243:9258" x14ac:dyDescent="0.3">
      <c r="MQR9254" s="9192"/>
    </row>
    <row r="9255" spans="9243:9258" x14ac:dyDescent="0.3">
      <c r="MQS9255" s="9193"/>
    </row>
    <row r="9256" spans="9243:9258" x14ac:dyDescent="0.3">
      <c r="MQT9256" s="9194"/>
    </row>
    <row r="9257" spans="9243:9258" x14ac:dyDescent="0.3">
      <c r="MQU9257" s="9195"/>
    </row>
    <row r="9258" spans="9243:9258" x14ac:dyDescent="0.3">
      <c r="MQV9258" s="9195"/>
    </row>
    <row r="9259" spans="9243:9258" x14ac:dyDescent="0.3">
      <c r="MQW9259" s="9196"/>
    </row>
    <row r="9260" spans="9243:9258" x14ac:dyDescent="0.3">
      <c r="MQX9260" s="9197"/>
    </row>
    <row r="9261" spans="9243:9258" x14ac:dyDescent="0.3">
      <c r="MQY9261" s="9198"/>
    </row>
    <row r="9262" spans="9243:9258" x14ac:dyDescent="0.3">
      <c r="MQZ9262" s="9199"/>
    </row>
    <row r="9263" spans="9243:9258" x14ac:dyDescent="0.3">
      <c r="MRA9263" s="9200"/>
    </row>
    <row r="9264" spans="9243:9258" x14ac:dyDescent="0.3">
      <c r="MRB9264" s="9201"/>
    </row>
    <row r="9265" spans="9259:9274" x14ac:dyDescent="0.3">
      <c r="MRC9265" s="9202"/>
    </row>
    <row r="9266" spans="9259:9274" x14ac:dyDescent="0.3">
      <c r="MRD9266" s="9203"/>
    </row>
    <row r="9267" spans="9259:9274" x14ac:dyDescent="0.3">
      <c r="MRE9267" s="9204"/>
    </row>
    <row r="9268" spans="9259:9274" x14ac:dyDescent="0.3">
      <c r="MRF9268" s="9205"/>
    </row>
    <row r="9269" spans="9259:9274" x14ac:dyDescent="0.3">
      <c r="MRG9269" s="9206"/>
    </row>
    <row r="9270" spans="9259:9274" x14ac:dyDescent="0.3">
      <c r="MRH9270" s="9207"/>
    </row>
    <row r="9271" spans="9259:9274" x14ac:dyDescent="0.3">
      <c r="MRI9271" s="9208"/>
    </row>
    <row r="9272" spans="9259:9274" x14ac:dyDescent="0.3">
      <c r="MRJ9272" s="9209"/>
    </row>
    <row r="9273" spans="9259:9274" x14ac:dyDescent="0.3">
      <c r="MRK9273" s="9210"/>
    </row>
    <row r="9274" spans="9259:9274" x14ac:dyDescent="0.3">
      <c r="MRL9274" s="9211"/>
    </row>
    <row r="9275" spans="9259:9274" x14ac:dyDescent="0.3">
      <c r="MRM9275" s="9212"/>
    </row>
    <row r="9276" spans="9259:9274" x14ac:dyDescent="0.3">
      <c r="MRN9276" s="9213"/>
    </row>
    <row r="9277" spans="9259:9274" x14ac:dyDescent="0.3">
      <c r="MRO9277" s="9214"/>
    </row>
    <row r="9278" spans="9259:9274" x14ac:dyDescent="0.3">
      <c r="MRP9278" s="9215"/>
    </row>
    <row r="9279" spans="9259:9274" x14ac:dyDescent="0.3">
      <c r="MRQ9279" s="9216"/>
    </row>
    <row r="9280" spans="9259:9274" x14ac:dyDescent="0.3">
      <c r="MRR9280" s="9217"/>
    </row>
    <row r="9281" spans="9275:9290" x14ac:dyDescent="0.3">
      <c r="MRS9281" s="9218"/>
    </row>
    <row r="9282" spans="9275:9290" x14ac:dyDescent="0.3">
      <c r="MRT9282" s="9219"/>
    </row>
    <row r="9283" spans="9275:9290" x14ac:dyDescent="0.3">
      <c r="MRU9283" s="9220"/>
    </row>
    <row r="9284" spans="9275:9290" x14ac:dyDescent="0.3">
      <c r="MRV9284" s="9221"/>
    </row>
    <row r="9285" spans="9275:9290" x14ac:dyDescent="0.3">
      <c r="MRW9285" s="9222"/>
    </row>
    <row r="9286" spans="9275:9290" x14ac:dyDescent="0.3">
      <c r="MRX9286" s="9223"/>
    </row>
    <row r="9287" spans="9275:9290" x14ac:dyDescent="0.3">
      <c r="MRY9287" s="9224"/>
    </row>
    <row r="9288" spans="9275:9290" x14ac:dyDescent="0.3">
      <c r="MRZ9288" s="9225"/>
    </row>
    <row r="9289" spans="9275:9290" x14ac:dyDescent="0.3">
      <c r="MSA9289" s="9226"/>
    </row>
    <row r="9290" spans="9275:9290" x14ac:dyDescent="0.3">
      <c r="MSB9290" s="9227"/>
    </row>
    <row r="9291" spans="9275:9290" x14ac:dyDescent="0.3">
      <c r="MSC9291" s="9228"/>
    </row>
    <row r="9292" spans="9275:9290" x14ac:dyDescent="0.3">
      <c r="MSD9292" s="9229"/>
    </row>
    <row r="9293" spans="9275:9290" x14ac:dyDescent="0.3">
      <c r="MSE9293" s="9230"/>
    </row>
    <row r="9294" spans="9275:9290" x14ac:dyDescent="0.3">
      <c r="MSF9294" s="9231"/>
    </row>
    <row r="9295" spans="9275:9290" x14ac:dyDescent="0.3">
      <c r="MSG9295" s="9232"/>
    </row>
    <row r="9296" spans="9275:9290" x14ac:dyDescent="0.3">
      <c r="MSH9296" s="9233"/>
    </row>
    <row r="9297" spans="9291:9306" x14ac:dyDescent="0.3">
      <c r="MSI9297" s="9234"/>
    </row>
    <row r="9298" spans="9291:9306" x14ac:dyDescent="0.3">
      <c r="MSJ9298" s="9235"/>
    </row>
    <row r="9299" spans="9291:9306" x14ac:dyDescent="0.3">
      <c r="MSK9299" s="9236"/>
    </row>
    <row r="9300" spans="9291:9306" x14ac:dyDescent="0.3">
      <c r="MSL9300" s="9237"/>
    </row>
    <row r="9301" spans="9291:9306" x14ac:dyDescent="0.3">
      <c r="MSM9301" s="9238"/>
    </row>
    <row r="9302" spans="9291:9306" x14ac:dyDescent="0.3">
      <c r="MSN9302" s="9239"/>
    </row>
    <row r="9303" spans="9291:9306" x14ac:dyDescent="0.3">
      <c r="MSO9303" s="9240"/>
    </row>
    <row r="9304" spans="9291:9306" x14ac:dyDescent="0.3">
      <c r="MSP9304" s="9241"/>
    </row>
    <row r="9305" spans="9291:9306" x14ac:dyDescent="0.3">
      <c r="MSQ9305" s="9242"/>
    </row>
    <row r="9306" spans="9291:9306" x14ac:dyDescent="0.3">
      <c r="MSR9306" s="9243"/>
    </row>
    <row r="9307" spans="9291:9306" x14ac:dyDescent="0.3">
      <c r="MSS9307" s="9244"/>
    </row>
    <row r="9308" spans="9291:9306" x14ac:dyDescent="0.3">
      <c r="MST9308" s="9245"/>
    </row>
    <row r="9309" spans="9291:9306" x14ac:dyDescent="0.3">
      <c r="MSU9309" s="9246"/>
    </row>
    <row r="9310" spans="9291:9306" x14ac:dyDescent="0.3">
      <c r="MSV9310" s="9247"/>
    </row>
    <row r="9311" spans="9291:9306" x14ac:dyDescent="0.3">
      <c r="MSW9311" s="9248"/>
    </row>
    <row r="9312" spans="9291:9306" x14ac:dyDescent="0.3">
      <c r="MSX9312" s="9249"/>
    </row>
    <row r="9313" spans="9307:9322" x14ac:dyDescent="0.3">
      <c r="MSY9313" s="9250"/>
    </row>
    <row r="9314" spans="9307:9322" x14ac:dyDescent="0.3">
      <c r="MSZ9314" s="9251"/>
    </row>
    <row r="9315" spans="9307:9322" x14ac:dyDescent="0.3">
      <c r="MTA9315" s="9252"/>
    </row>
    <row r="9316" spans="9307:9322" x14ac:dyDescent="0.3">
      <c r="MTB9316" s="9253"/>
    </row>
    <row r="9317" spans="9307:9322" x14ac:dyDescent="0.3">
      <c r="MTC9317" s="9254"/>
    </row>
    <row r="9318" spans="9307:9322" x14ac:dyDescent="0.3">
      <c r="MTD9318" s="9255"/>
    </row>
    <row r="9319" spans="9307:9322" x14ac:dyDescent="0.3">
      <c r="MTE9319" s="9256"/>
    </row>
    <row r="9320" spans="9307:9322" x14ac:dyDescent="0.3">
      <c r="MTF9320" s="9257"/>
    </row>
    <row r="9321" spans="9307:9322" x14ac:dyDescent="0.3">
      <c r="MTG9321" s="9258"/>
    </row>
    <row r="9322" spans="9307:9322" x14ac:dyDescent="0.3">
      <c r="MTH9322" s="9259"/>
    </row>
    <row r="9323" spans="9307:9322" x14ac:dyDescent="0.3">
      <c r="MTI9323" s="9260"/>
    </row>
    <row r="9324" spans="9307:9322" x14ac:dyDescent="0.3">
      <c r="MTJ9324" s="9261"/>
    </row>
    <row r="9325" spans="9307:9322" x14ac:dyDescent="0.3">
      <c r="MTK9325" s="9262"/>
    </row>
    <row r="9326" spans="9307:9322" x14ac:dyDescent="0.3">
      <c r="MTL9326" s="9263"/>
    </row>
    <row r="9327" spans="9307:9322" x14ac:dyDescent="0.3">
      <c r="MTM9327" s="9264"/>
    </row>
    <row r="9328" spans="9307:9322" x14ac:dyDescent="0.3">
      <c r="MTN9328" s="9265"/>
    </row>
    <row r="9329" spans="9323:9338" x14ac:dyDescent="0.3">
      <c r="MTO9329" s="9266"/>
    </row>
    <row r="9330" spans="9323:9338" x14ac:dyDescent="0.3">
      <c r="MTP9330" s="9267"/>
    </row>
    <row r="9331" spans="9323:9338" x14ac:dyDescent="0.3">
      <c r="MTQ9331" s="9268"/>
    </row>
    <row r="9332" spans="9323:9338" x14ac:dyDescent="0.3">
      <c r="MTR9332" s="9269"/>
    </row>
    <row r="9333" spans="9323:9338" x14ac:dyDescent="0.3">
      <c r="MTS9333" s="9270"/>
    </row>
    <row r="9334" spans="9323:9338" x14ac:dyDescent="0.3">
      <c r="MTT9334" s="9271"/>
    </row>
    <row r="9335" spans="9323:9338" x14ac:dyDescent="0.3">
      <c r="MTU9335" s="9272"/>
    </row>
    <row r="9336" spans="9323:9338" x14ac:dyDescent="0.3">
      <c r="MTV9336" s="9273"/>
    </row>
    <row r="9337" spans="9323:9338" x14ac:dyDescent="0.3">
      <c r="MTW9337" s="9274"/>
    </row>
    <row r="9338" spans="9323:9338" x14ac:dyDescent="0.3">
      <c r="MTX9338" s="9275"/>
    </row>
    <row r="9339" spans="9323:9338" x14ac:dyDescent="0.3">
      <c r="MTY9339" s="9276"/>
    </row>
    <row r="9340" spans="9323:9338" x14ac:dyDescent="0.3">
      <c r="MTZ9340" s="9277"/>
    </row>
    <row r="9341" spans="9323:9338" x14ac:dyDescent="0.3">
      <c r="MUA9341" s="9278"/>
    </row>
    <row r="9342" spans="9323:9338" x14ac:dyDescent="0.3">
      <c r="MUB9342" s="9279"/>
    </row>
    <row r="9343" spans="9323:9338" x14ac:dyDescent="0.3">
      <c r="MUC9343" s="9280"/>
    </row>
    <row r="9344" spans="9323:9338" x14ac:dyDescent="0.3">
      <c r="MUD9344" s="9281"/>
    </row>
    <row r="9345" spans="9339:9354" x14ac:dyDescent="0.3">
      <c r="MUE9345" s="9282"/>
    </row>
    <row r="9346" spans="9339:9354" x14ac:dyDescent="0.3">
      <c r="MUF9346" s="9283"/>
    </row>
    <row r="9347" spans="9339:9354" x14ac:dyDescent="0.3">
      <c r="MUG9347" s="9284"/>
    </row>
    <row r="9348" spans="9339:9354" x14ac:dyDescent="0.3">
      <c r="MUH9348" s="9285"/>
    </row>
    <row r="9349" spans="9339:9354" x14ac:dyDescent="0.3">
      <c r="MUI9349" s="9286"/>
    </row>
    <row r="9350" spans="9339:9354" x14ac:dyDescent="0.3">
      <c r="MUJ9350" s="9287"/>
    </row>
    <row r="9351" spans="9339:9354" x14ac:dyDescent="0.3">
      <c r="MUK9351" s="9288"/>
    </row>
    <row r="9352" spans="9339:9354" x14ac:dyDescent="0.3">
      <c r="MUL9352" s="9289"/>
    </row>
    <row r="9353" spans="9339:9354" x14ac:dyDescent="0.3">
      <c r="MUM9353" s="9290"/>
    </row>
    <row r="9354" spans="9339:9354" x14ac:dyDescent="0.3">
      <c r="MUN9354" s="9291"/>
    </row>
    <row r="9355" spans="9339:9354" x14ac:dyDescent="0.3">
      <c r="MUO9355" s="9292"/>
    </row>
    <row r="9356" spans="9339:9354" x14ac:dyDescent="0.3">
      <c r="MUP9356" s="9293"/>
    </row>
    <row r="9357" spans="9339:9354" x14ac:dyDescent="0.3">
      <c r="MUQ9357" s="9294"/>
    </row>
    <row r="9358" spans="9339:9354" x14ac:dyDescent="0.3">
      <c r="MUR9358" s="9295"/>
    </row>
    <row r="9359" spans="9339:9354" x14ac:dyDescent="0.3">
      <c r="MUS9359" s="9296"/>
    </row>
    <row r="9360" spans="9339:9354" x14ac:dyDescent="0.3">
      <c r="MUT9360" s="9297"/>
    </row>
    <row r="9361" spans="9355:9370" x14ac:dyDescent="0.3">
      <c r="MUU9361" s="9298"/>
    </row>
    <row r="9362" spans="9355:9370" x14ac:dyDescent="0.3">
      <c r="MUV9362" s="9299"/>
    </row>
    <row r="9363" spans="9355:9370" x14ac:dyDescent="0.3">
      <c r="MUW9363" s="9300"/>
    </row>
    <row r="9364" spans="9355:9370" x14ac:dyDescent="0.3">
      <c r="MUX9364" s="9301"/>
    </row>
    <row r="9365" spans="9355:9370" x14ac:dyDescent="0.3">
      <c r="MUY9365" s="9302"/>
    </row>
    <row r="9366" spans="9355:9370" x14ac:dyDescent="0.3">
      <c r="MUZ9366" s="9303"/>
    </row>
    <row r="9367" spans="9355:9370" x14ac:dyDescent="0.3">
      <c r="MVA9367" s="9304"/>
    </row>
    <row r="9368" spans="9355:9370" x14ac:dyDescent="0.3">
      <c r="MVB9368" s="9305"/>
    </row>
    <row r="9369" spans="9355:9370" x14ac:dyDescent="0.3">
      <c r="MVC9369" s="9306"/>
    </row>
    <row r="9370" spans="9355:9370" x14ac:dyDescent="0.3">
      <c r="MVD9370" s="9307"/>
    </row>
    <row r="9371" spans="9355:9370" x14ac:dyDescent="0.3">
      <c r="MVE9371" s="9308"/>
    </row>
    <row r="9372" spans="9355:9370" x14ac:dyDescent="0.3">
      <c r="MVF9372" s="9309"/>
    </row>
    <row r="9373" spans="9355:9370" x14ac:dyDescent="0.3">
      <c r="MVG9373" s="9310"/>
    </row>
    <row r="9374" spans="9355:9370" x14ac:dyDescent="0.3">
      <c r="MVH9374" s="9311"/>
    </row>
    <row r="9375" spans="9355:9370" x14ac:dyDescent="0.3">
      <c r="MVI9375" s="9312"/>
    </row>
    <row r="9376" spans="9355:9370" x14ac:dyDescent="0.3">
      <c r="MVJ9376" s="9313"/>
    </row>
    <row r="9377" spans="9371:9386" x14ac:dyDescent="0.3">
      <c r="MVK9377" s="9314"/>
    </row>
    <row r="9378" spans="9371:9386" x14ac:dyDescent="0.3">
      <c r="MVL9378" s="9315"/>
    </row>
    <row r="9379" spans="9371:9386" x14ac:dyDescent="0.3">
      <c r="MVM9379" s="9316"/>
    </row>
    <row r="9380" spans="9371:9386" x14ac:dyDescent="0.3">
      <c r="MVN9380" s="9317"/>
    </row>
    <row r="9381" spans="9371:9386" x14ac:dyDescent="0.3">
      <c r="MVO9381" s="9318"/>
    </row>
    <row r="9382" spans="9371:9386" x14ac:dyDescent="0.3">
      <c r="MVP9382" s="9319"/>
    </row>
    <row r="9383" spans="9371:9386" x14ac:dyDescent="0.3">
      <c r="MVQ9383" s="9320"/>
    </row>
    <row r="9384" spans="9371:9386" x14ac:dyDescent="0.3">
      <c r="MVR9384" s="9321"/>
    </row>
    <row r="9385" spans="9371:9386" x14ac:dyDescent="0.3">
      <c r="MVS9385" s="9322"/>
    </row>
    <row r="9386" spans="9371:9386" x14ac:dyDescent="0.3">
      <c r="MVT9386" s="9323"/>
    </row>
    <row r="9387" spans="9371:9386" x14ac:dyDescent="0.3">
      <c r="MVU9387" s="9324"/>
    </row>
    <row r="9388" spans="9371:9386" x14ac:dyDescent="0.3">
      <c r="MVV9388" s="9325"/>
    </row>
    <row r="9389" spans="9371:9386" x14ac:dyDescent="0.3">
      <c r="MVW9389" s="9326"/>
    </row>
    <row r="9390" spans="9371:9386" x14ac:dyDescent="0.3">
      <c r="MVX9390" s="9327"/>
    </row>
    <row r="9391" spans="9371:9386" x14ac:dyDescent="0.3">
      <c r="MVY9391" s="9328"/>
    </row>
    <row r="9392" spans="9371:9386" x14ac:dyDescent="0.3">
      <c r="MVZ9392" s="9329"/>
    </row>
    <row r="9393" spans="9387:9402" x14ac:dyDescent="0.3">
      <c r="MWA9393" s="9330"/>
    </row>
    <row r="9394" spans="9387:9402" x14ac:dyDescent="0.3">
      <c r="MWB9394" s="9331"/>
    </row>
    <row r="9395" spans="9387:9402" x14ac:dyDescent="0.3">
      <c r="MWC9395" s="9332"/>
    </row>
    <row r="9396" spans="9387:9402" x14ac:dyDescent="0.3">
      <c r="MWD9396" s="9333"/>
    </row>
    <row r="9397" spans="9387:9402" x14ac:dyDescent="0.3">
      <c r="MWE9397" s="9334"/>
    </row>
    <row r="9398" spans="9387:9402" x14ac:dyDescent="0.3">
      <c r="MWF9398" s="9335"/>
    </row>
    <row r="9399" spans="9387:9402" x14ac:dyDescent="0.3">
      <c r="MWG9399" s="9336"/>
    </row>
    <row r="9400" spans="9387:9402" x14ac:dyDescent="0.3">
      <c r="MWH9400" s="9337"/>
    </row>
    <row r="9401" spans="9387:9402" x14ac:dyDescent="0.3">
      <c r="MWI9401" s="9338"/>
    </row>
    <row r="9402" spans="9387:9402" x14ac:dyDescent="0.3">
      <c r="MWJ9402" s="9339"/>
    </row>
    <row r="9403" spans="9387:9402" x14ac:dyDescent="0.3">
      <c r="MWK9403" s="9340"/>
    </row>
    <row r="9404" spans="9387:9402" x14ac:dyDescent="0.3">
      <c r="MWL9404" s="9341"/>
    </row>
    <row r="9405" spans="9387:9402" x14ac:dyDescent="0.3">
      <c r="MWM9405" s="9342"/>
    </row>
    <row r="9406" spans="9387:9402" x14ac:dyDescent="0.3">
      <c r="MWN9406" s="9343"/>
    </row>
    <row r="9407" spans="9387:9402" x14ac:dyDescent="0.3">
      <c r="MWO9407" s="9344"/>
    </row>
    <row r="9408" spans="9387:9402" x14ac:dyDescent="0.3">
      <c r="MWP9408" s="9345"/>
    </row>
    <row r="9409" spans="9403:9418" x14ac:dyDescent="0.3">
      <c r="MWQ9409" s="9346"/>
    </row>
    <row r="9410" spans="9403:9418" x14ac:dyDescent="0.3">
      <c r="MWR9410" s="9347"/>
    </row>
    <row r="9411" spans="9403:9418" x14ac:dyDescent="0.3">
      <c r="MWS9411" s="9348"/>
    </row>
    <row r="9412" spans="9403:9418" x14ac:dyDescent="0.3">
      <c r="MWT9412" s="9349"/>
    </row>
    <row r="9413" spans="9403:9418" x14ac:dyDescent="0.3">
      <c r="MWU9413" s="9350"/>
    </row>
    <row r="9414" spans="9403:9418" x14ac:dyDescent="0.3">
      <c r="MWV9414" s="9351"/>
    </row>
    <row r="9415" spans="9403:9418" x14ac:dyDescent="0.3">
      <c r="MWW9415" s="9352"/>
    </row>
    <row r="9416" spans="9403:9418" x14ac:dyDescent="0.3">
      <c r="MWX9416" s="9353"/>
    </row>
    <row r="9417" spans="9403:9418" x14ac:dyDescent="0.3">
      <c r="MWY9417" s="9354"/>
    </row>
    <row r="9418" spans="9403:9418" x14ac:dyDescent="0.3">
      <c r="MWZ9418" s="9355"/>
    </row>
    <row r="9419" spans="9403:9418" x14ac:dyDescent="0.3">
      <c r="MXA9419" s="9356"/>
    </row>
    <row r="9420" spans="9403:9418" x14ac:dyDescent="0.3">
      <c r="MXB9420" s="9357"/>
    </row>
    <row r="9421" spans="9403:9418" x14ac:dyDescent="0.3">
      <c r="MXC9421" s="9358"/>
    </row>
    <row r="9422" spans="9403:9418" x14ac:dyDescent="0.3">
      <c r="MXD9422" s="9359"/>
    </row>
    <row r="9423" spans="9403:9418" x14ac:dyDescent="0.3">
      <c r="MXE9423" s="9360"/>
    </row>
    <row r="9424" spans="9403:9418" x14ac:dyDescent="0.3">
      <c r="MXF9424" s="9361"/>
    </row>
    <row r="9425" spans="9419:9434" x14ac:dyDescent="0.3">
      <c r="MXG9425" s="9362"/>
    </row>
    <row r="9426" spans="9419:9434" x14ac:dyDescent="0.3">
      <c r="MXH9426" s="9363"/>
    </row>
    <row r="9427" spans="9419:9434" x14ac:dyDescent="0.3">
      <c r="MXI9427" s="9364"/>
    </row>
    <row r="9428" spans="9419:9434" x14ac:dyDescent="0.3">
      <c r="MXJ9428" s="9365"/>
    </row>
    <row r="9429" spans="9419:9434" x14ac:dyDescent="0.3">
      <c r="MXK9429" s="9366"/>
    </row>
    <row r="9430" spans="9419:9434" x14ac:dyDescent="0.3">
      <c r="MXL9430" s="9367"/>
    </row>
    <row r="9431" spans="9419:9434" x14ac:dyDescent="0.3">
      <c r="MXM9431" s="9368"/>
    </row>
    <row r="9432" spans="9419:9434" x14ac:dyDescent="0.3">
      <c r="MXN9432" s="9369"/>
    </row>
    <row r="9433" spans="9419:9434" x14ac:dyDescent="0.3">
      <c r="MXO9433" s="9370"/>
    </row>
    <row r="9434" spans="9419:9434" x14ac:dyDescent="0.3">
      <c r="MXP9434" s="9371"/>
    </row>
    <row r="9435" spans="9419:9434" x14ac:dyDescent="0.3">
      <c r="MXQ9435" s="9372"/>
    </row>
    <row r="9436" spans="9419:9434" x14ac:dyDescent="0.3">
      <c r="MXR9436" s="9373"/>
    </row>
    <row r="9437" spans="9419:9434" x14ac:dyDescent="0.3">
      <c r="MXS9437" s="9374"/>
    </row>
    <row r="9438" spans="9419:9434" x14ac:dyDescent="0.3">
      <c r="MXT9438" s="9375"/>
    </row>
    <row r="9439" spans="9419:9434" x14ac:dyDescent="0.3">
      <c r="MXU9439" s="9376"/>
    </row>
    <row r="9440" spans="9419:9434" x14ac:dyDescent="0.3">
      <c r="MXV9440" s="9377"/>
    </row>
    <row r="9441" spans="9435:9450" x14ac:dyDescent="0.3">
      <c r="MXW9441" s="9378"/>
    </row>
    <row r="9442" spans="9435:9450" x14ac:dyDescent="0.3">
      <c r="MXX9442" s="9379"/>
    </row>
    <row r="9443" spans="9435:9450" x14ac:dyDescent="0.3">
      <c r="MXY9443" s="9380"/>
    </row>
    <row r="9444" spans="9435:9450" x14ac:dyDescent="0.3">
      <c r="MXZ9444" s="9381"/>
    </row>
    <row r="9445" spans="9435:9450" x14ac:dyDescent="0.3">
      <c r="MYA9445" s="9382"/>
    </row>
    <row r="9446" spans="9435:9450" x14ac:dyDescent="0.3">
      <c r="MYB9446" s="9383"/>
    </row>
    <row r="9447" spans="9435:9450" x14ac:dyDescent="0.3">
      <c r="MYC9447" s="9384"/>
    </row>
    <row r="9448" spans="9435:9450" x14ac:dyDescent="0.3">
      <c r="MYD9448" s="9385"/>
    </row>
    <row r="9449" spans="9435:9450" x14ac:dyDescent="0.3">
      <c r="MYE9449" s="9386"/>
    </row>
    <row r="9450" spans="9435:9450" x14ac:dyDescent="0.3">
      <c r="MYF9450" s="9387"/>
    </row>
    <row r="9451" spans="9435:9450" x14ac:dyDescent="0.3">
      <c r="MYG9451" s="9388"/>
    </row>
    <row r="9452" spans="9435:9450" x14ac:dyDescent="0.3">
      <c r="MYH9452" s="9389"/>
    </row>
    <row r="9453" spans="9435:9450" x14ac:dyDescent="0.3">
      <c r="MYI9453" s="9390"/>
    </row>
    <row r="9454" spans="9435:9450" x14ac:dyDescent="0.3">
      <c r="MYJ9454" s="9391"/>
    </row>
    <row r="9455" spans="9435:9450" x14ac:dyDescent="0.3">
      <c r="MYK9455" s="9392"/>
    </row>
    <row r="9456" spans="9435:9450" x14ac:dyDescent="0.3">
      <c r="MYL9456" s="9393"/>
    </row>
    <row r="9457" spans="9451:9466" x14ac:dyDescent="0.3">
      <c r="MYM9457" s="9394"/>
    </row>
    <row r="9458" spans="9451:9466" x14ac:dyDescent="0.3">
      <c r="MYN9458" s="9395"/>
    </row>
    <row r="9459" spans="9451:9466" x14ac:dyDescent="0.3">
      <c r="MYO9459" s="9396"/>
    </row>
    <row r="9460" spans="9451:9466" x14ac:dyDescent="0.3">
      <c r="MYP9460" s="9397"/>
    </row>
    <row r="9461" spans="9451:9466" x14ac:dyDescent="0.3">
      <c r="MYQ9461" s="9398"/>
    </row>
    <row r="9462" spans="9451:9466" x14ac:dyDescent="0.3">
      <c r="MYR9462" s="9399"/>
    </row>
    <row r="9463" spans="9451:9466" x14ac:dyDescent="0.3">
      <c r="MYS9463" s="9400"/>
    </row>
    <row r="9464" spans="9451:9466" x14ac:dyDescent="0.3">
      <c r="MYT9464" s="9401"/>
    </row>
    <row r="9465" spans="9451:9466" x14ac:dyDescent="0.3">
      <c r="MYU9465" s="9402"/>
    </row>
    <row r="9466" spans="9451:9466" x14ac:dyDescent="0.3">
      <c r="MYV9466" s="9403"/>
    </row>
    <row r="9467" spans="9451:9466" x14ac:dyDescent="0.3">
      <c r="MYW9467" s="9404"/>
    </row>
    <row r="9468" spans="9451:9466" x14ac:dyDescent="0.3">
      <c r="MYX9468" s="9405"/>
    </row>
    <row r="9469" spans="9451:9466" x14ac:dyDescent="0.3">
      <c r="MYY9469" s="9406"/>
    </row>
    <row r="9470" spans="9451:9466" x14ac:dyDescent="0.3">
      <c r="MYZ9470" s="9407"/>
    </row>
    <row r="9471" spans="9451:9466" x14ac:dyDescent="0.3">
      <c r="MZA9471" s="9408"/>
    </row>
    <row r="9472" spans="9451:9466" x14ac:dyDescent="0.3">
      <c r="MZB9472" s="9409"/>
    </row>
    <row r="9473" spans="9467:9482" x14ac:dyDescent="0.3">
      <c r="MZC9473" s="9410"/>
    </row>
    <row r="9474" spans="9467:9482" x14ac:dyDescent="0.3">
      <c r="MZD9474" s="9411"/>
    </row>
    <row r="9475" spans="9467:9482" x14ac:dyDescent="0.3">
      <c r="MZE9475" s="9412"/>
    </row>
    <row r="9476" spans="9467:9482" x14ac:dyDescent="0.3">
      <c r="MZF9476" s="9413"/>
    </row>
    <row r="9477" spans="9467:9482" x14ac:dyDescent="0.3">
      <c r="MZG9477" s="9414"/>
    </row>
    <row r="9478" spans="9467:9482" x14ac:dyDescent="0.3">
      <c r="MZH9478" s="9415"/>
    </row>
    <row r="9479" spans="9467:9482" x14ac:dyDescent="0.3">
      <c r="MZI9479" s="9416"/>
    </row>
    <row r="9480" spans="9467:9482" x14ac:dyDescent="0.3">
      <c r="MZJ9480" s="9417"/>
    </row>
    <row r="9481" spans="9467:9482" x14ac:dyDescent="0.3">
      <c r="MZK9481" s="9418"/>
    </row>
    <row r="9482" spans="9467:9482" x14ac:dyDescent="0.3">
      <c r="MZL9482" s="9419"/>
    </row>
    <row r="9483" spans="9467:9482" x14ac:dyDescent="0.3">
      <c r="MZM9483" s="9420"/>
    </row>
    <row r="9484" spans="9467:9482" x14ac:dyDescent="0.3">
      <c r="MZN9484" s="9421"/>
    </row>
    <row r="9485" spans="9467:9482" x14ac:dyDescent="0.3">
      <c r="MZO9485" s="9422"/>
    </row>
    <row r="9486" spans="9467:9482" x14ac:dyDescent="0.3">
      <c r="MZP9486" s="9423"/>
    </row>
    <row r="9487" spans="9467:9482" x14ac:dyDescent="0.3">
      <c r="MZQ9487" s="9424"/>
    </row>
    <row r="9488" spans="9467:9482" x14ac:dyDescent="0.3">
      <c r="MZR9488" s="9425"/>
    </row>
    <row r="9489" spans="9483:9498" x14ac:dyDescent="0.3">
      <c r="MZS9489" s="9426"/>
    </row>
    <row r="9490" spans="9483:9498" x14ac:dyDescent="0.3">
      <c r="MZT9490" s="9427"/>
    </row>
    <row r="9491" spans="9483:9498" x14ac:dyDescent="0.3">
      <c r="MZU9491" s="9428"/>
    </row>
    <row r="9492" spans="9483:9498" x14ac:dyDescent="0.3">
      <c r="MZV9492" s="9429"/>
    </row>
    <row r="9493" spans="9483:9498" x14ac:dyDescent="0.3">
      <c r="MZW9493" s="9430"/>
    </row>
    <row r="9494" spans="9483:9498" x14ac:dyDescent="0.3">
      <c r="MZX9494" s="9431"/>
    </row>
    <row r="9495" spans="9483:9498" x14ac:dyDescent="0.3">
      <c r="MZY9495" s="9432"/>
    </row>
    <row r="9496" spans="9483:9498" x14ac:dyDescent="0.3">
      <c r="MZZ9496" s="9433"/>
    </row>
    <row r="9497" spans="9483:9498" x14ac:dyDescent="0.3">
      <c r="NAA9497" s="9434"/>
    </row>
    <row r="9498" spans="9483:9498" x14ac:dyDescent="0.3">
      <c r="NAB9498" s="9435"/>
    </row>
    <row r="9499" spans="9483:9498" x14ac:dyDescent="0.3">
      <c r="NAC9499" s="9436"/>
    </row>
    <row r="9500" spans="9483:9498" x14ac:dyDescent="0.3">
      <c r="NAD9500" s="9437"/>
    </row>
    <row r="9501" spans="9483:9498" x14ac:dyDescent="0.3">
      <c r="NAE9501" s="9438"/>
    </row>
    <row r="9502" spans="9483:9498" x14ac:dyDescent="0.3">
      <c r="NAF9502" s="9439"/>
    </row>
    <row r="9503" spans="9483:9498" x14ac:dyDescent="0.3">
      <c r="NAG9503" s="9440"/>
    </row>
    <row r="9504" spans="9483:9498" x14ac:dyDescent="0.3">
      <c r="NAH9504" s="9441"/>
    </row>
    <row r="9505" spans="9499:9514" x14ac:dyDescent="0.3">
      <c r="NAI9505" s="9442"/>
    </row>
    <row r="9506" spans="9499:9514" x14ac:dyDescent="0.3">
      <c r="NAJ9506" s="9443"/>
    </row>
    <row r="9507" spans="9499:9514" x14ac:dyDescent="0.3">
      <c r="NAK9507" s="9444"/>
    </row>
    <row r="9508" spans="9499:9514" x14ac:dyDescent="0.3">
      <c r="NAL9508" s="9445"/>
    </row>
    <row r="9509" spans="9499:9514" x14ac:dyDescent="0.3">
      <c r="NAM9509" s="9446"/>
    </row>
    <row r="9510" spans="9499:9514" x14ac:dyDescent="0.3">
      <c r="NAN9510" s="9447"/>
    </row>
    <row r="9511" spans="9499:9514" x14ac:dyDescent="0.3">
      <c r="NAO9511" s="9448"/>
    </row>
    <row r="9512" spans="9499:9514" x14ac:dyDescent="0.3">
      <c r="NAP9512" s="9449"/>
    </row>
    <row r="9513" spans="9499:9514" x14ac:dyDescent="0.3">
      <c r="NAQ9513" s="9450"/>
    </row>
    <row r="9514" spans="9499:9514" x14ac:dyDescent="0.3">
      <c r="NAR9514" s="9451"/>
    </row>
    <row r="9515" spans="9499:9514" x14ac:dyDescent="0.3">
      <c r="NAS9515" s="9451"/>
    </row>
    <row r="9516" spans="9499:9514" x14ac:dyDescent="0.3">
      <c r="NAT9516" s="9452"/>
    </row>
    <row r="9517" spans="9499:9514" x14ac:dyDescent="0.3">
      <c r="NAU9517" s="9453"/>
    </row>
    <row r="9518" spans="9499:9514" x14ac:dyDescent="0.3">
      <c r="NAV9518" s="9454"/>
    </row>
    <row r="9519" spans="9499:9514" x14ac:dyDescent="0.3">
      <c r="NAW9519" s="9455"/>
    </row>
    <row r="9520" spans="9499:9514" x14ac:dyDescent="0.3">
      <c r="NAX9520" s="9456"/>
    </row>
    <row r="9521" spans="9515:9530" x14ac:dyDescent="0.3">
      <c r="NAY9521" s="9457"/>
    </row>
    <row r="9522" spans="9515:9530" x14ac:dyDescent="0.3">
      <c r="NAZ9522" s="9458"/>
    </row>
    <row r="9523" spans="9515:9530" x14ac:dyDescent="0.3">
      <c r="NBA9523" s="9459"/>
    </row>
    <row r="9524" spans="9515:9530" x14ac:dyDescent="0.3">
      <c r="NBB9524" s="9460"/>
    </row>
    <row r="9525" spans="9515:9530" x14ac:dyDescent="0.3">
      <c r="NBC9525" s="9461"/>
    </row>
    <row r="9526" spans="9515:9530" x14ac:dyDescent="0.3">
      <c r="NBD9526" s="9462"/>
    </row>
    <row r="9527" spans="9515:9530" x14ac:dyDescent="0.3">
      <c r="NBE9527" s="9463"/>
    </row>
    <row r="9528" spans="9515:9530" x14ac:dyDescent="0.3">
      <c r="NBF9528" s="9464"/>
    </row>
    <row r="9529" spans="9515:9530" x14ac:dyDescent="0.3">
      <c r="NBG9529" s="9465"/>
    </row>
    <row r="9530" spans="9515:9530" x14ac:dyDescent="0.3">
      <c r="NBH9530" s="9466"/>
    </row>
    <row r="9531" spans="9515:9530" x14ac:dyDescent="0.3">
      <c r="NBI9531" s="9467"/>
    </row>
    <row r="9532" spans="9515:9530" x14ac:dyDescent="0.3">
      <c r="NBJ9532" s="9468"/>
    </row>
    <row r="9533" spans="9515:9530" x14ac:dyDescent="0.3">
      <c r="NBK9533" s="9469"/>
    </row>
    <row r="9534" spans="9515:9530" x14ac:dyDescent="0.3">
      <c r="NBL9534" s="9470"/>
    </row>
    <row r="9535" spans="9515:9530" x14ac:dyDescent="0.3">
      <c r="NBM9535" s="9471"/>
    </row>
    <row r="9536" spans="9515:9530" x14ac:dyDescent="0.3">
      <c r="NBN9536" s="9472"/>
    </row>
    <row r="9537" spans="9531:9546" x14ac:dyDescent="0.3">
      <c r="NBO9537" s="9473"/>
    </row>
    <row r="9538" spans="9531:9546" x14ac:dyDescent="0.3">
      <c r="NBP9538" s="9474"/>
    </row>
    <row r="9539" spans="9531:9546" x14ac:dyDescent="0.3">
      <c r="NBQ9539" s="9475"/>
    </row>
    <row r="9540" spans="9531:9546" x14ac:dyDescent="0.3">
      <c r="NBR9540" s="9476"/>
    </row>
    <row r="9541" spans="9531:9546" x14ac:dyDescent="0.3">
      <c r="NBS9541" s="9477"/>
    </row>
    <row r="9542" spans="9531:9546" x14ac:dyDescent="0.3">
      <c r="NBT9542" s="9478"/>
    </row>
    <row r="9543" spans="9531:9546" x14ac:dyDescent="0.3">
      <c r="NBU9543" s="9479"/>
    </row>
    <row r="9544" spans="9531:9546" x14ac:dyDescent="0.3">
      <c r="NBV9544" s="9480"/>
    </row>
    <row r="9545" spans="9531:9546" x14ac:dyDescent="0.3">
      <c r="NBW9545" s="9481"/>
    </row>
    <row r="9546" spans="9531:9546" x14ac:dyDescent="0.3">
      <c r="NBX9546" s="9482"/>
    </row>
    <row r="9547" spans="9531:9546" x14ac:dyDescent="0.3">
      <c r="NBY9547" s="9483"/>
    </row>
    <row r="9548" spans="9531:9546" x14ac:dyDescent="0.3">
      <c r="NBZ9548" s="9484"/>
    </row>
    <row r="9549" spans="9531:9546" x14ac:dyDescent="0.3">
      <c r="NCA9549" s="9485"/>
    </row>
    <row r="9550" spans="9531:9546" x14ac:dyDescent="0.3">
      <c r="NCB9550" s="9486"/>
    </row>
    <row r="9551" spans="9531:9546" x14ac:dyDescent="0.3">
      <c r="NCC9551" s="9487"/>
    </row>
    <row r="9552" spans="9531:9546" x14ac:dyDescent="0.3">
      <c r="NCD9552" s="9488"/>
    </row>
    <row r="9553" spans="9547:9562" x14ac:dyDescent="0.3">
      <c r="NCE9553" s="9489"/>
    </row>
    <row r="9554" spans="9547:9562" x14ac:dyDescent="0.3">
      <c r="NCF9554" s="9490"/>
    </row>
    <row r="9555" spans="9547:9562" x14ac:dyDescent="0.3">
      <c r="NCG9555" s="9491"/>
    </row>
    <row r="9556" spans="9547:9562" x14ac:dyDescent="0.3">
      <c r="NCH9556" s="9492"/>
    </row>
    <row r="9557" spans="9547:9562" x14ac:dyDescent="0.3">
      <c r="NCI9557" s="9493"/>
    </row>
    <row r="9558" spans="9547:9562" x14ac:dyDescent="0.3">
      <c r="NCJ9558" s="9494"/>
    </row>
    <row r="9559" spans="9547:9562" x14ac:dyDescent="0.3">
      <c r="NCK9559" s="9495"/>
    </row>
    <row r="9560" spans="9547:9562" x14ac:dyDescent="0.3">
      <c r="NCL9560" s="9496"/>
    </row>
    <row r="9561" spans="9547:9562" x14ac:dyDescent="0.3">
      <c r="NCM9561" s="9497"/>
    </row>
    <row r="9562" spans="9547:9562" x14ac:dyDescent="0.3">
      <c r="NCN9562" s="9498"/>
    </row>
    <row r="9563" spans="9547:9562" x14ac:dyDescent="0.3">
      <c r="NCO9563" s="9499"/>
    </row>
    <row r="9564" spans="9547:9562" x14ac:dyDescent="0.3">
      <c r="NCP9564" s="9500"/>
    </row>
    <row r="9565" spans="9547:9562" x14ac:dyDescent="0.3">
      <c r="NCQ9565" s="9501"/>
    </row>
    <row r="9566" spans="9547:9562" x14ac:dyDescent="0.3">
      <c r="NCR9566" s="9502"/>
    </row>
    <row r="9567" spans="9547:9562" x14ac:dyDescent="0.3">
      <c r="NCS9567" s="9503"/>
    </row>
    <row r="9568" spans="9547:9562" x14ac:dyDescent="0.3">
      <c r="NCT9568" s="9504"/>
    </row>
    <row r="9569" spans="9563:9578" x14ac:dyDescent="0.3">
      <c r="NCU9569" s="9505"/>
    </row>
    <row r="9570" spans="9563:9578" x14ac:dyDescent="0.3">
      <c r="NCV9570" s="9506"/>
    </row>
    <row r="9571" spans="9563:9578" x14ac:dyDescent="0.3">
      <c r="NCW9571" s="9507"/>
    </row>
    <row r="9572" spans="9563:9578" x14ac:dyDescent="0.3">
      <c r="NCX9572" s="9508"/>
    </row>
    <row r="9573" spans="9563:9578" x14ac:dyDescent="0.3">
      <c r="NCY9573" s="9509"/>
    </row>
    <row r="9574" spans="9563:9578" x14ac:dyDescent="0.3">
      <c r="NCZ9574" s="9510"/>
    </row>
    <row r="9575" spans="9563:9578" x14ac:dyDescent="0.3">
      <c r="NDA9575" s="9511"/>
    </row>
    <row r="9576" spans="9563:9578" x14ac:dyDescent="0.3">
      <c r="NDB9576" s="9512"/>
    </row>
    <row r="9577" spans="9563:9578" x14ac:dyDescent="0.3">
      <c r="NDC9577" s="9513"/>
    </row>
    <row r="9578" spans="9563:9578" x14ac:dyDescent="0.3">
      <c r="NDD9578" s="9514"/>
    </row>
    <row r="9579" spans="9563:9578" x14ac:dyDescent="0.3">
      <c r="NDE9579" s="9515"/>
    </row>
    <row r="9580" spans="9563:9578" x14ac:dyDescent="0.3">
      <c r="NDF9580" s="9516"/>
    </row>
    <row r="9581" spans="9563:9578" x14ac:dyDescent="0.3">
      <c r="NDG9581" s="9517"/>
    </row>
    <row r="9582" spans="9563:9578" x14ac:dyDescent="0.3">
      <c r="NDH9582" s="9518"/>
    </row>
    <row r="9583" spans="9563:9578" x14ac:dyDescent="0.3">
      <c r="NDI9583" s="9519"/>
    </row>
    <row r="9584" spans="9563:9578" x14ac:dyDescent="0.3">
      <c r="NDJ9584" s="9520"/>
    </row>
    <row r="9585" spans="9579:9594" x14ac:dyDescent="0.3">
      <c r="NDK9585" s="9521"/>
    </row>
    <row r="9586" spans="9579:9594" x14ac:dyDescent="0.3">
      <c r="NDL9586" s="9522"/>
    </row>
    <row r="9587" spans="9579:9594" x14ac:dyDescent="0.3">
      <c r="NDM9587" s="9523"/>
    </row>
    <row r="9588" spans="9579:9594" x14ac:dyDescent="0.3">
      <c r="NDN9588" s="9524"/>
    </row>
    <row r="9589" spans="9579:9594" x14ac:dyDescent="0.3">
      <c r="NDO9589" s="9525"/>
    </row>
    <row r="9590" spans="9579:9594" x14ac:dyDescent="0.3">
      <c r="NDP9590" s="9526"/>
    </row>
    <row r="9591" spans="9579:9594" x14ac:dyDescent="0.3">
      <c r="NDQ9591" s="9527"/>
    </row>
    <row r="9592" spans="9579:9594" x14ac:dyDescent="0.3">
      <c r="NDR9592" s="9528"/>
    </row>
    <row r="9593" spans="9579:9594" x14ac:dyDescent="0.3">
      <c r="NDS9593" s="9529"/>
    </row>
    <row r="9594" spans="9579:9594" x14ac:dyDescent="0.3">
      <c r="NDT9594" s="9530"/>
    </row>
    <row r="9595" spans="9579:9594" x14ac:dyDescent="0.3">
      <c r="NDU9595" s="9531"/>
    </row>
    <row r="9596" spans="9579:9594" x14ac:dyDescent="0.3">
      <c r="NDV9596" s="9532"/>
    </row>
    <row r="9597" spans="9579:9594" x14ac:dyDescent="0.3">
      <c r="NDW9597" s="9533"/>
    </row>
    <row r="9598" spans="9579:9594" x14ac:dyDescent="0.3">
      <c r="NDX9598" s="9534"/>
    </row>
    <row r="9599" spans="9579:9594" x14ac:dyDescent="0.3">
      <c r="NDY9599" s="9535"/>
    </row>
    <row r="9600" spans="9579:9594" x14ac:dyDescent="0.3">
      <c r="NDZ9600" s="9536"/>
    </row>
    <row r="9601" spans="9595:9610" x14ac:dyDescent="0.3">
      <c r="NEA9601" s="9537"/>
    </row>
    <row r="9602" spans="9595:9610" x14ac:dyDescent="0.3">
      <c r="NEB9602" s="9538"/>
    </row>
    <row r="9603" spans="9595:9610" x14ac:dyDescent="0.3">
      <c r="NEC9603" s="9539"/>
    </row>
    <row r="9604" spans="9595:9610" x14ac:dyDescent="0.3">
      <c r="NED9604" s="9540"/>
    </row>
    <row r="9605" spans="9595:9610" x14ac:dyDescent="0.3">
      <c r="NEE9605" s="9541"/>
    </row>
    <row r="9606" spans="9595:9610" x14ac:dyDescent="0.3">
      <c r="NEF9606" s="9542"/>
    </row>
    <row r="9607" spans="9595:9610" x14ac:dyDescent="0.3">
      <c r="NEG9607" s="9543"/>
    </row>
    <row r="9608" spans="9595:9610" x14ac:dyDescent="0.3">
      <c r="NEH9608" s="9544"/>
    </row>
    <row r="9609" spans="9595:9610" x14ac:dyDescent="0.3">
      <c r="NEI9609" s="9545"/>
    </row>
    <row r="9610" spans="9595:9610" x14ac:dyDescent="0.3">
      <c r="NEJ9610" s="9546"/>
    </row>
    <row r="9611" spans="9595:9610" x14ac:dyDescent="0.3">
      <c r="NEK9611" s="9547"/>
    </row>
    <row r="9612" spans="9595:9610" x14ac:dyDescent="0.3">
      <c r="NEL9612" s="9548"/>
    </row>
    <row r="9613" spans="9595:9610" x14ac:dyDescent="0.3">
      <c r="NEM9613" s="9549"/>
    </row>
    <row r="9614" spans="9595:9610" x14ac:dyDescent="0.3">
      <c r="NEN9614" s="9550"/>
    </row>
    <row r="9615" spans="9595:9610" x14ac:dyDescent="0.3">
      <c r="NEO9615" s="9551"/>
    </row>
    <row r="9616" spans="9595:9610" x14ac:dyDescent="0.3">
      <c r="NEP9616" s="9552"/>
    </row>
    <row r="9617" spans="9611:9626" x14ac:dyDescent="0.3">
      <c r="NEQ9617" s="9553"/>
    </row>
    <row r="9618" spans="9611:9626" x14ac:dyDescent="0.3">
      <c r="NER9618" s="9554"/>
    </row>
    <row r="9619" spans="9611:9626" x14ac:dyDescent="0.3">
      <c r="NES9619" s="9555"/>
    </row>
    <row r="9620" spans="9611:9626" x14ac:dyDescent="0.3">
      <c r="NET9620" s="9556"/>
    </row>
    <row r="9621" spans="9611:9626" x14ac:dyDescent="0.3">
      <c r="NEU9621" s="9557"/>
    </row>
    <row r="9622" spans="9611:9626" x14ac:dyDescent="0.3">
      <c r="NEV9622" s="9558"/>
    </row>
    <row r="9623" spans="9611:9626" x14ac:dyDescent="0.3">
      <c r="NEW9623" s="9559"/>
    </row>
    <row r="9624" spans="9611:9626" x14ac:dyDescent="0.3">
      <c r="NEX9624" s="9560"/>
    </row>
    <row r="9625" spans="9611:9626" x14ac:dyDescent="0.3">
      <c r="NEY9625" s="9561"/>
    </row>
    <row r="9626" spans="9611:9626" x14ac:dyDescent="0.3">
      <c r="NEZ9626" s="9562"/>
    </row>
    <row r="9627" spans="9611:9626" x14ac:dyDescent="0.3">
      <c r="NFA9627" s="9563"/>
    </row>
    <row r="9628" spans="9611:9626" x14ac:dyDescent="0.3">
      <c r="NFB9628" s="9564"/>
    </row>
    <row r="9629" spans="9611:9626" x14ac:dyDescent="0.3">
      <c r="NFC9629" s="9565"/>
    </row>
    <row r="9630" spans="9611:9626" x14ac:dyDescent="0.3">
      <c r="NFD9630" s="9566"/>
    </row>
    <row r="9631" spans="9611:9626" x14ac:dyDescent="0.3">
      <c r="NFE9631" s="9567"/>
    </row>
    <row r="9632" spans="9611:9626" x14ac:dyDescent="0.3">
      <c r="NFF9632" s="9568"/>
    </row>
    <row r="9633" spans="9627:9642" x14ac:dyDescent="0.3">
      <c r="NFG9633" s="9569"/>
    </row>
    <row r="9634" spans="9627:9642" x14ac:dyDescent="0.3">
      <c r="NFH9634" s="9570"/>
    </row>
    <row r="9635" spans="9627:9642" x14ac:dyDescent="0.3">
      <c r="NFI9635" s="9571"/>
    </row>
    <row r="9636" spans="9627:9642" x14ac:dyDescent="0.3">
      <c r="NFJ9636" s="9572"/>
    </row>
    <row r="9637" spans="9627:9642" x14ac:dyDescent="0.3">
      <c r="NFK9637" s="9573"/>
    </row>
    <row r="9638" spans="9627:9642" x14ac:dyDescent="0.3">
      <c r="NFL9638" s="9574"/>
    </row>
    <row r="9639" spans="9627:9642" x14ac:dyDescent="0.3">
      <c r="NFM9639" s="9575"/>
    </row>
    <row r="9640" spans="9627:9642" x14ac:dyDescent="0.3">
      <c r="NFN9640" s="9576"/>
    </row>
    <row r="9641" spans="9627:9642" x14ac:dyDescent="0.3">
      <c r="NFO9641" s="9577"/>
    </row>
    <row r="9642" spans="9627:9642" x14ac:dyDescent="0.3">
      <c r="NFP9642" s="9578"/>
    </row>
    <row r="9643" spans="9627:9642" x14ac:dyDescent="0.3">
      <c r="NFQ9643" s="9579"/>
    </row>
    <row r="9644" spans="9627:9642" x14ac:dyDescent="0.3">
      <c r="NFR9644" s="9580"/>
    </row>
    <row r="9645" spans="9627:9642" x14ac:dyDescent="0.3">
      <c r="NFS9645" s="9581"/>
    </row>
    <row r="9646" spans="9627:9642" x14ac:dyDescent="0.3">
      <c r="NFT9646" s="9582"/>
    </row>
    <row r="9647" spans="9627:9642" x14ac:dyDescent="0.3">
      <c r="NFU9647" s="9583"/>
    </row>
    <row r="9648" spans="9627:9642" x14ac:dyDescent="0.3">
      <c r="NFV9648" s="9584"/>
    </row>
    <row r="9649" spans="9643:9658" x14ac:dyDescent="0.3">
      <c r="NFW9649" s="9585"/>
    </row>
    <row r="9650" spans="9643:9658" x14ac:dyDescent="0.3">
      <c r="NFX9650" s="9586"/>
    </row>
    <row r="9651" spans="9643:9658" x14ac:dyDescent="0.3">
      <c r="NFY9651" s="9587"/>
    </row>
    <row r="9652" spans="9643:9658" x14ac:dyDescent="0.3">
      <c r="NFZ9652" s="9588"/>
    </row>
    <row r="9653" spans="9643:9658" x14ac:dyDescent="0.3">
      <c r="NGA9653" s="9589"/>
    </row>
    <row r="9654" spans="9643:9658" x14ac:dyDescent="0.3">
      <c r="NGB9654" s="9590"/>
    </row>
    <row r="9655" spans="9643:9658" x14ac:dyDescent="0.3">
      <c r="NGC9655" s="9591"/>
    </row>
    <row r="9656" spans="9643:9658" x14ac:dyDescent="0.3">
      <c r="NGD9656" s="9592"/>
    </row>
    <row r="9657" spans="9643:9658" x14ac:dyDescent="0.3">
      <c r="NGE9657" s="9593"/>
    </row>
    <row r="9658" spans="9643:9658" x14ac:dyDescent="0.3">
      <c r="NGF9658" s="9594"/>
    </row>
    <row r="9659" spans="9643:9658" x14ac:dyDescent="0.3">
      <c r="NGG9659" s="9595"/>
    </row>
    <row r="9660" spans="9643:9658" x14ac:dyDescent="0.3">
      <c r="NGH9660" s="9596"/>
    </row>
    <row r="9661" spans="9643:9658" x14ac:dyDescent="0.3">
      <c r="NGI9661" s="9597"/>
    </row>
    <row r="9662" spans="9643:9658" x14ac:dyDescent="0.3">
      <c r="NGJ9662" s="9598"/>
    </row>
    <row r="9663" spans="9643:9658" x14ac:dyDescent="0.3">
      <c r="NGK9663" s="9599"/>
    </row>
    <row r="9664" spans="9643:9658" x14ac:dyDescent="0.3">
      <c r="NGL9664" s="9600"/>
    </row>
    <row r="9665" spans="9659:9674" x14ac:dyDescent="0.3">
      <c r="NGM9665" s="9601"/>
    </row>
    <row r="9666" spans="9659:9674" x14ac:dyDescent="0.3">
      <c r="NGN9666" s="9602"/>
    </row>
    <row r="9667" spans="9659:9674" x14ac:dyDescent="0.3">
      <c r="NGO9667" s="9603"/>
    </row>
    <row r="9668" spans="9659:9674" x14ac:dyDescent="0.3">
      <c r="NGP9668" s="9604"/>
    </row>
    <row r="9669" spans="9659:9674" x14ac:dyDescent="0.3">
      <c r="NGQ9669" s="9605"/>
    </row>
    <row r="9670" spans="9659:9674" x14ac:dyDescent="0.3">
      <c r="NGR9670" s="9606"/>
    </row>
    <row r="9671" spans="9659:9674" x14ac:dyDescent="0.3">
      <c r="NGS9671" s="9607"/>
    </row>
    <row r="9672" spans="9659:9674" x14ac:dyDescent="0.3">
      <c r="NGT9672" s="9608"/>
    </row>
    <row r="9673" spans="9659:9674" x14ac:dyDescent="0.3">
      <c r="NGU9673" s="9609"/>
    </row>
    <row r="9674" spans="9659:9674" x14ac:dyDescent="0.3">
      <c r="NGV9674" s="9610"/>
    </row>
    <row r="9675" spans="9659:9674" x14ac:dyDescent="0.3">
      <c r="NGW9675" s="9611"/>
    </row>
    <row r="9676" spans="9659:9674" x14ac:dyDescent="0.3">
      <c r="NGX9676" s="9612"/>
    </row>
    <row r="9677" spans="9659:9674" x14ac:dyDescent="0.3">
      <c r="NGY9677" s="9613"/>
    </row>
    <row r="9678" spans="9659:9674" x14ac:dyDescent="0.3">
      <c r="NGZ9678" s="9614"/>
    </row>
    <row r="9679" spans="9659:9674" x14ac:dyDescent="0.3">
      <c r="NHA9679" s="9615"/>
    </row>
    <row r="9680" spans="9659:9674" x14ac:dyDescent="0.3">
      <c r="NHB9680" s="9616"/>
    </row>
    <row r="9681" spans="9675:9690" x14ac:dyDescent="0.3">
      <c r="NHC9681" s="9617"/>
    </row>
    <row r="9682" spans="9675:9690" x14ac:dyDescent="0.3">
      <c r="NHD9682" s="9618"/>
    </row>
    <row r="9683" spans="9675:9690" x14ac:dyDescent="0.3">
      <c r="NHE9683" s="9619"/>
    </row>
    <row r="9684" spans="9675:9690" x14ac:dyDescent="0.3">
      <c r="NHF9684" s="9620"/>
    </row>
    <row r="9685" spans="9675:9690" x14ac:dyDescent="0.3">
      <c r="NHG9685" s="9621"/>
    </row>
    <row r="9686" spans="9675:9690" x14ac:dyDescent="0.3">
      <c r="NHH9686" s="9622"/>
    </row>
    <row r="9687" spans="9675:9690" x14ac:dyDescent="0.3">
      <c r="NHI9687" s="9623"/>
    </row>
    <row r="9688" spans="9675:9690" x14ac:dyDescent="0.3">
      <c r="NHJ9688" s="9624"/>
    </row>
    <row r="9689" spans="9675:9690" x14ac:dyDescent="0.3">
      <c r="NHK9689" s="9625"/>
    </row>
    <row r="9690" spans="9675:9690" x14ac:dyDescent="0.3">
      <c r="NHL9690" s="9626"/>
    </row>
    <row r="9691" spans="9675:9690" x14ac:dyDescent="0.3">
      <c r="NHM9691" s="9627"/>
    </row>
    <row r="9692" spans="9675:9690" x14ac:dyDescent="0.3">
      <c r="NHN9692" s="9628"/>
    </row>
    <row r="9693" spans="9675:9690" x14ac:dyDescent="0.3">
      <c r="NHO9693" s="9629"/>
    </row>
    <row r="9694" spans="9675:9690" x14ac:dyDescent="0.3">
      <c r="NHP9694" s="9630"/>
    </row>
    <row r="9695" spans="9675:9690" x14ac:dyDescent="0.3">
      <c r="NHQ9695" s="9631"/>
    </row>
    <row r="9696" spans="9675:9690" x14ac:dyDescent="0.3">
      <c r="NHR9696" s="9632"/>
    </row>
    <row r="9697" spans="9691:9706" x14ac:dyDescent="0.3">
      <c r="NHS9697" s="9633"/>
    </row>
    <row r="9698" spans="9691:9706" x14ac:dyDescent="0.3">
      <c r="NHT9698" s="9634"/>
    </row>
    <row r="9699" spans="9691:9706" x14ac:dyDescent="0.3">
      <c r="NHU9699" s="9635"/>
    </row>
    <row r="9700" spans="9691:9706" x14ac:dyDescent="0.3">
      <c r="NHV9700" s="9636"/>
    </row>
    <row r="9701" spans="9691:9706" x14ac:dyDescent="0.3">
      <c r="NHW9701" s="9637"/>
    </row>
    <row r="9702" spans="9691:9706" x14ac:dyDescent="0.3">
      <c r="NHX9702" s="9638"/>
    </row>
    <row r="9703" spans="9691:9706" x14ac:dyDescent="0.3">
      <c r="NHY9703" s="9639"/>
    </row>
    <row r="9704" spans="9691:9706" x14ac:dyDescent="0.3">
      <c r="NHZ9704" s="9640"/>
    </row>
    <row r="9705" spans="9691:9706" x14ac:dyDescent="0.3">
      <c r="NIA9705" s="9641"/>
    </row>
    <row r="9706" spans="9691:9706" x14ac:dyDescent="0.3">
      <c r="NIB9706" s="9642"/>
    </row>
    <row r="9707" spans="9691:9706" x14ac:dyDescent="0.3">
      <c r="NIC9707" s="9643"/>
    </row>
    <row r="9708" spans="9691:9706" x14ac:dyDescent="0.3">
      <c r="NID9708" s="9644"/>
    </row>
    <row r="9709" spans="9691:9706" x14ac:dyDescent="0.3">
      <c r="NIE9709" s="9645"/>
    </row>
    <row r="9710" spans="9691:9706" x14ac:dyDescent="0.3">
      <c r="NIF9710" s="9646"/>
    </row>
    <row r="9711" spans="9691:9706" x14ac:dyDescent="0.3">
      <c r="NIG9711" s="9647"/>
    </row>
    <row r="9712" spans="9691:9706" x14ac:dyDescent="0.3">
      <c r="NIH9712" s="9648"/>
    </row>
    <row r="9713" spans="9707:9722" x14ac:dyDescent="0.3">
      <c r="NII9713" s="9649"/>
    </row>
    <row r="9714" spans="9707:9722" x14ac:dyDescent="0.3">
      <c r="NIJ9714" s="9650"/>
    </row>
    <row r="9715" spans="9707:9722" x14ac:dyDescent="0.3">
      <c r="NIK9715" s="9651"/>
    </row>
    <row r="9716" spans="9707:9722" x14ac:dyDescent="0.3">
      <c r="NIL9716" s="9652"/>
    </row>
    <row r="9717" spans="9707:9722" x14ac:dyDescent="0.3">
      <c r="NIM9717" s="9653"/>
    </row>
    <row r="9718" spans="9707:9722" x14ac:dyDescent="0.3">
      <c r="NIN9718" s="9654"/>
    </row>
    <row r="9719" spans="9707:9722" x14ac:dyDescent="0.3">
      <c r="NIO9719" s="9655"/>
    </row>
    <row r="9720" spans="9707:9722" x14ac:dyDescent="0.3">
      <c r="NIP9720" s="9656"/>
    </row>
    <row r="9721" spans="9707:9722" x14ac:dyDescent="0.3">
      <c r="NIQ9721" s="9657"/>
    </row>
    <row r="9722" spans="9707:9722" x14ac:dyDescent="0.3">
      <c r="NIR9722" s="9658"/>
    </row>
    <row r="9723" spans="9707:9722" x14ac:dyDescent="0.3">
      <c r="NIS9723" s="9659"/>
    </row>
    <row r="9724" spans="9707:9722" x14ac:dyDescent="0.3">
      <c r="NIT9724" s="9660"/>
    </row>
    <row r="9725" spans="9707:9722" x14ac:dyDescent="0.3">
      <c r="NIU9725" s="9661"/>
    </row>
    <row r="9726" spans="9707:9722" x14ac:dyDescent="0.3">
      <c r="NIV9726" s="9662"/>
    </row>
    <row r="9727" spans="9707:9722" x14ac:dyDescent="0.3">
      <c r="NIW9727" s="9663"/>
    </row>
    <row r="9728" spans="9707:9722" x14ac:dyDescent="0.3">
      <c r="NIX9728" s="9664"/>
    </row>
    <row r="9729" spans="9723:9738" x14ac:dyDescent="0.3">
      <c r="NIY9729" s="9665"/>
    </row>
    <row r="9730" spans="9723:9738" x14ac:dyDescent="0.3">
      <c r="NIZ9730" s="9666"/>
    </row>
    <row r="9731" spans="9723:9738" x14ac:dyDescent="0.3">
      <c r="NJA9731" s="9667"/>
    </row>
    <row r="9732" spans="9723:9738" x14ac:dyDescent="0.3">
      <c r="NJB9732" s="9668"/>
    </row>
    <row r="9733" spans="9723:9738" x14ac:dyDescent="0.3">
      <c r="NJC9733" s="9669"/>
    </row>
    <row r="9734" spans="9723:9738" x14ac:dyDescent="0.3">
      <c r="NJD9734" s="9670"/>
    </row>
    <row r="9735" spans="9723:9738" x14ac:dyDescent="0.3">
      <c r="NJE9735" s="9671"/>
    </row>
    <row r="9736" spans="9723:9738" x14ac:dyDescent="0.3">
      <c r="NJF9736" s="9672"/>
    </row>
    <row r="9737" spans="9723:9738" x14ac:dyDescent="0.3">
      <c r="NJG9737" s="9673"/>
    </row>
    <row r="9738" spans="9723:9738" x14ac:dyDescent="0.3">
      <c r="NJH9738" s="9674"/>
    </row>
    <row r="9739" spans="9723:9738" x14ac:dyDescent="0.3">
      <c r="NJI9739" s="9675"/>
    </row>
    <row r="9740" spans="9723:9738" x14ac:dyDescent="0.3">
      <c r="NJJ9740" s="9676"/>
    </row>
    <row r="9741" spans="9723:9738" x14ac:dyDescent="0.3">
      <c r="NJK9741" s="9677"/>
    </row>
    <row r="9742" spans="9723:9738" x14ac:dyDescent="0.3">
      <c r="NJL9742" s="9678"/>
    </row>
    <row r="9743" spans="9723:9738" x14ac:dyDescent="0.3">
      <c r="NJM9743" s="9679"/>
    </row>
    <row r="9744" spans="9723:9738" x14ac:dyDescent="0.3">
      <c r="NJN9744" s="9680"/>
    </row>
    <row r="9745" spans="9739:9754" x14ac:dyDescent="0.3">
      <c r="NJO9745" s="9681"/>
    </row>
    <row r="9746" spans="9739:9754" x14ac:dyDescent="0.3">
      <c r="NJP9746" s="9682"/>
    </row>
    <row r="9747" spans="9739:9754" x14ac:dyDescent="0.3">
      <c r="NJQ9747" s="9683"/>
    </row>
    <row r="9748" spans="9739:9754" x14ac:dyDescent="0.3">
      <c r="NJR9748" s="9684"/>
    </row>
    <row r="9749" spans="9739:9754" x14ac:dyDescent="0.3">
      <c r="NJS9749" s="9685"/>
    </row>
    <row r="9750" spans="9739:9754" x14ac:dyDescent="0.3">
      <c r="NJT9750" s="9686"/>
    </row>
    <row r="9751" spans="9739:9754" x14ac:dyDescent="0.3">
      <c r="NJU9751" s="9687"/>
    </row>
    <row r="9752" spans="9739:9754" x14ac:dyDescent="0.3">
      <c r="NJV9752" s="9688"/>
    </row>
    <row r="9753" spans="9739:9754" x14ac:dyDescent="0.3">
      <c r="NJW9753" s="9689"/>
    </row>
    <row r="9754" spans="9739:9754" x14ac:dyDescent="0.3">
      <c r="NJX9754" s="9690"/>
    </row>
    <row r="9755" spans="9739:9754" x14ac:dyDescent="0.3">
      <c r="NJY9755" s="9691"/>
    </row>
    <row r="9756" spans="9739:9754" x14ac:dyDescent="0.3">
      <c r="NJZ9756" s="9692"/>
    </row>
    <row r="9757" spans="9739:9754" x14ac:dyDescent="0.3">
      <c r="NKA9757" s="9693"/>
    </row>
    <row r="9758" spans="9739:9754" x14ac:dyDescent="0.3">
      <c r="NKB9758" s="9694"/>
    </row>
    <row r="9759" spans="9739:9754" x14ac:dyDescent="0.3">
      <c r="NKC9759" s="9695"/>
    </row>
    <row r="9760" spans="9739:9754" x14ac:dyDescent="0.3">
      <c r="NKD9760" s="9696"/>
    </row>
    <row r="9761" spans="9755:9770" x14ac:dyDescent="0.3">
      <c r="NKE9761" s="9697"/>
    </row>
    <row r="9762" spans="9755:9770" x14ac:dyDescent="0.3">
      <c r="NKF9762" s="9698"/>
    </row>
    <row r="9763" spans="9755:9770" x14ac:dyDescent="0.3">
      <c r="NKG9763" s="9699"/>
    </row>
    <row r="9764" spans="9755:9770" x14ac:dyDescent="0.3">
      <c r="NKH9764" s="9700"/>
    </row>
    <row r="9765" spans="9755:9770" x14ac:dyDescent="0.3">
      <c r="NKI9765" s="9701"/>
    </row>
    <row r="9766" spans="9755:9770" x14ac:dyDescent="0.3">
      <c r="NKJ9766" s="9702"/>
    </row>
    <row r="9767" spans="9755:9770" x14ac:dyDescent="0.3">
      <c r="NKK9767" s="9703"/>
    </row>
    <row r="9768" spans="9755:9770" x14ac:dyDescent="0.3">
      <c r="NKL9768" s="9704"/>
    </row>
    <row r="9769" spans="9755:9770" x14ac:dyDescent="0.3">
      <c r="NKM9769" s="9705"/>
    </row>
    <row r="9770" spans="9755:9770" x14ac:dyDescent="0.3">
      <c r="NKN9770" s="9706"/>
    </row>
    <row r="9771" spans="9755:9770" x14ac:dyDescent="0.3">
      <c r="NKO9771" s="9707"/>
    </row>
    <row r="9772" spans="9755:9770" x14ac:dyDescent="0.3">
      <c r="NKP9772" s="9707"/>
    </row>
    <row r="9773" spans="9755:9770" x14ac:dyDescent="0.3">
      <c r="NKQ9773" s="9708"/>
    </row>
    <row r="9774" spans="9755:9770" x14ac:dyDescent="0.3">
      <c r="NKR9774" s="9709"/>
    </row>
    <row r="9775" spans="9755:9770" x14ac:dyDescent="0.3">
      <c r="NKS9775" s="9710"/>
    </row>
    <row r="9776" spans="9755:9770" x14ac:dyDescent="0.3">
      <c r="NKT9776" s="9711"/>
    </row>
    <row r="9777" spans="9771:9786" x14ac:dyDescent="0.3">
      <c r="NKU9777" s="9712"/>
    </row>
    <row r="9778" spans="9771:9786" x14ac:dyDescent="0.3">
      <c r="NKV9778" s="9713"/>
    </row>
    <row r="9779" spans="9771:9786" x14ac:dyDescent="0.3">
      <c r="NKW9779" s="9714"/>
    </row>
    <row r="9780" spans="9771:9786" x14ac:dyDescent="0.3">
      <c r="NKX9780" s="9715"/>
    </row>
    <row r="9781" spans="9771:9786" x14ac:dyDescent="0.3">
      <c r="NKY9781" s="9716"/>
    </row>
    <row r="9782" spans="9771:9786" x14ac:dyDescent="0.3">
      <c r="NKZ9782" s="9717"/>
    </row>
    <row r="9783" spans="9771:9786" x14ac:dyDescent="0.3">
      <c r="NLA9783" s="9718"/>
    </row>
    <row r="9784" spans="9771:9786" x14ac:dyDescent="0.3">
      <c r="NLB9784" s="9719"/>
    </row>
    <row r="9785" spans="9771:9786" x14ac:dyDescent="0.3">
      <c r="NLC9785" s="9720"/>
    </row>
    <row r="9786" spans="9771:9786" x14ac:dyDescent="0.3">
      <c r="NLD9786" s="9721"/>
    </row>
    <row r="9787" spans="9771:9786" x14ac:dyDescent="0.3">
      <c r="NLE9787" s="9722"/>
    </row>
    <row r="9788" spans="9771:9786" x14ac:dyDescent="0.3">
      <c r="NLF9788" s="9723"/>
    </row>
    <row r="9789" spans="9771:9786" x14ac:dyDescent="0.3">
      <c r="NLG9789" s="9724"/>
    </row>
    <row r="9790" spans="9771:9786" x14ac:dyDescent="0.3">
      <c r="NLH9790" s="9725"/>
    </row>
    <row r="9791" spans="9771:9786" x14ac:dyDescent="0.3">
      <c r="NLI9791" s="9726"/>
    </row>
    <row r="9792" spans="9771:9786" x14ac:dyDescent="0.3">
      <c r="NLJ9792" s="9727"/>
    </row>
    <row r="9793" spans="9787:9802" x14ac:dyDescent="0.3">
      <c r="NLK9793" s="9728"/>
    </row>
    <row r="9794" spans="9787:9802" x14ac:dyDescent="0.3">
      <c r="NLL9794" s="9729"/>
    </row>
    <row r="9795" spans="9787:9802" x14ac:dyDescent="0.3">
      <c r="NLM9795" s="9730"/>
    </row>
    <row r="9796" spans="9787:9802" x14ac:dyDescent="0.3">
      <c r="NLN9796" s="9731"/>
    </row>
    <row r="9797" spans="9787:9802" x14ac:dyDescent="0.3">
      <c r="NLO9797" s="9732"/>
    </row>
    <row r="9798" spans="9787:9802" x14ac:dyDescent="0.3">
      <c r="NLP9798" s="9733"/>
    </row>
    <row r="9799" spans="9787:9802" x14ac:dyDescent="0.3">
      <c r="NLQ9799" s="9734"/>
    </row>
    <row r="9800" spans="9787:9802" x14ac:dyDescent="0.3">
      <c r="NLR9800" s="9735"/>
    </row>
    <row r="9801" spans="9787:9802" x14ac:dyDescent="0.3">
      <c r="NLS9801" s="9736"/>
    </row>
    <row r="9802" spans="9787:9802" x14ac:dyDescent="0.3">
      <c r="NLT9802" s="9737"/>
    </row>
    <row r="9803" spans="9787:9802" x14ac:dyDescent="0.3">
      <c r="NLU9803" s="9738"/>
    </row>
    <row r="9804" spans="9787:9802" x14ac:dyDescent="0.3">
      <c r="NLV9804" s="9739"/>
    </row>
    <row r="9805" spans="9787:9802" x14ac:dyDescent="0.3">
      <c r="NLW9805" s="9740"/>
    </row>
    <row r="9806" spans="9787:9802" x14ac:dyDescent="0.3">
      <c r="NLX9806" s="9741"/>
    </row>
    <row r="9807" spans="9787:9802" x14ac:dyDescent="0.3">
      <c r="NLY9807" s="9742"/>
    </row>
    <row r="9808" spans="9787:9802" x14ac:dyDescent="0.3">
      <c r="NLZ9808" s="9743"/>
    </row>
    <row r="9809" spans="9803:9818" x14ac:dyDescent="0.3">
      <c r="NMA9809" s="9744"/>
    </row>
    <row r="9810" spans="9803:9818" x14ac:dyDescent="0.3">
      <c r="NMB9810" s="9745"/>
    </row>
    <row r="9811" spans="9803:9818" x14ac:dyDescent="0.3">
      <c r="NMC9811" s="9746"/>
    </row>
    <row r="9812" spans="9803:9818" x14ac:dyDescent="0.3">
      <c r="NMD9812" s="9747"/>
    </row>
    <row r="9813" spans="9803:9818" x14ac:dyDescent="0.3">
      <c r="NME9813" s="9748"/>
    </row>
    <row r="9814" spans="9803:9818" x14ac:dyDescent="0.3">
      <c r="NMF9814" s="9749"/>
    </row>
    <row r="9815" spans="9803:9818" x14ac:dyDescent="0.3">
      <c r="NMG9815" s="9750"/>
    </row>
    <row r="9816" spans="9803:9818" x14ac:dyDescent="0.3">
      <c r="NMH9816" s="9751"/>
    </row>
    <row r="9817" spans="9803:9818" x14ac:dyDescent="0.3">
      <c r="NMI9817" s="9752"/>
    </row>
    <row r="9818" spans="9803:9818" x14ac:dyDescent="0.3">
      <c r="NMJ9818" s="9753"/>
    </row>
    <row r="9819" spans="9803:9818" x14ac:dyDescent="0.3">
      <c r="NMK9819" s="9754"/>
    </row>
    <row r="9820" spans="9803:9818" x14ac:dyDescent="0.3">
      <c r="NML9820" s="9755"/>
    </row>
    <row r="9821" spans="9803:9818" x14ac:dyDescent="0.3">
      <c r="NMM9821" s="9756"/>
    </row>
    <row r="9822" spans="9803:9818" x14ac:dyDescent="0.3">
      <c r="NMN9822" s="9757"/>
    </row>
    <row r="9823" spans="9803:9818" x14ac:dyDescent="0.3">
      <c r="NMO9823" s="9758"/>
    </row>
    <row r="9824" spans="9803:9818" x14ac:dyDescent="0.3">
      <c r="NMP9824" s="9759"/>
    </row>
    <row r="9825" spans="9819:9834" x14ac:dyDescent="0.3">
      <c r="NMQ9825" s="9760"/>
    </row>
    <row r="9826" spans="9819:9834" x14ac:dyDescent="0.3">
      <c r="NMR9826" s="9761"/>
    </row>
    <row r="9827" spans="9819:9834" x14ac:dyDescent="0.3">
      <c r="NMS9827" s="9762"/>
    </row>
    <row r="9828" spans="9819:9834" x14ac:dyDescent="0.3">
      <c r="NMT9828" s="9763"/>
    </row>
    <row r="9829" spans="9819:9834" x14ac:dyDescent="0.3">
      <c r="NMU9829" s="9764"/>
    </row>
    <row r="9830" spans="9819:9834" x14ac:dyDescent="0.3">
      <c r="NMV9830" s="9765"/>
    </row>
    <row r="9831" spans="9819:9834" x14ac:dyDescent="0.3">
      <c r="NMW9831" s="9766"/>
    </row>
    <row r="9832" spans="9819:9834" x14ac:dyDescent="0.3">
      <c r="NMX9832" s="9767"/>
    </row>
    <row r="9833" spans="9819:9834" x14ac:dyDescent="0.3">
      <c r="NMY9833" s="9768"/>
    </row>
    <row r="9834" spans="9819:9834" x14ac:dyDescent="0.3">
      <c r="NMZ9834" s="9769"/>
    </row>
    <row r="9835" spans="9819:9834" x14ac:dyDescent="0.3">
      <c r="NNA9835" s="9770"/>
    </row>
    <row r="9836" spans="9819:9834" x14ac:dyDescent="0.3">
      <c r="NNB9836" s="9771"/>
    </row>
    <row r="9837" spans="9819:9834" x14ac:dyDescent="0.3">
      <c r="NNC9837" s="9772"/>
    </row>
    <row r="9838" spans="9819:9834" x14ac:dyDescent="0.3">
      <c r="NND9838" s="9773"/>
    </row>
    <row r="9839" spans="9819:9834" x14ac:dyDescent="0.3">
      <c r="NNE9839" s="9774"/>
    </row>
    <row r="9840" spans="9819:9834" x14ac:dyDescent="0.3">
      <c r="NNF9840" s="9775"/>
    </row>
    <row r="9841" spans="9835:9850" x14ac:dyDescent="0.3">
      <c r="NNG9841" s="9776"/>
    </row>
    <row r="9842" spans="9835:9850" x14ac:dyDescent="0.3">
      <c r="NNH9842" s="9777"/>
    </row>
    <row r="9843" spans="9835:9850" x14ac:dyDescent="0.3">
      <c r="NNI9843" s="9778"/>
    </row>
    <row r="9844" spans="9835:9850" x14ac:dyDescent="0.3">
      <c r="NNJ9844" s="9779"/>
    </row>
    <row r="9845" spans="9835:9850" x14ac:dyDescent="0.3">
      <c r="NNK9845" s="9780"/>
    </row>
    <row r="9846" spans="9835:9850" x14ac:dyDescent="0.3">
      <c r="NNL9846" s="9781"/>
    </row>
    <row r="9847" spans="9835:9850" x14ac:dyDescent="0.3">
      <c r="NNM9847" s="9782"/>
    </row>
    <row r="9848" spans="9835:9850" x14ac:dyDescent="0.3">
      <c r="NNN9848" s="9783"/>
    </row>
    <row r="9849" spans="9835:9850" x14ac:dyDescent="0.3">
      <c r="NNO9849" s="9784"/>
    </row>
    <row r="9850" spans="9835:9850" x14ac:dyDescent="0.3">
      <c r="NNP9850" s="9785"/>
    </row>
    <row r="9851" spans="9835:9850" x14ac:dyDescent="0.3">
      <c r="NNQ9851" s="9786"/>
    </row>
    <row r="9852" spans="9835:9850" x14ac:dyDescent="0.3">
      <c r="NNR9852" s="9787"/>
    </row>
    <row r="9853" spans="9835:9850" x14ac:dyDescent="0.3">
      <c r="NNS9853" s="9788"/>
    </row>
    <row r="9854" spans="9835:9850" x14ac:dyDescent="0.3">
      <c r="NNT9854" s="9789"/>
    </row>
    <row r="9855" spans="9835:9850" x14ac:dyDescent="0.3">
      <c r="NNU9855" s="9790"/>
    </row>
    <row r="9856" spans="9835:9850" x14ac:dyDescent="0.3">
      <c r="NNV9856" s="9791"/>
    </row>
    <row r="9857" spans="9851:9866" x14ac:dyDescent="0.3">
      <c r="NNW9857" s="9792"/>
    </row>
    <row r="9858" spans="9851:9866" x14ac:dyDescent="0.3">
      <c r="NNX9858" s="9793"/>
    </row>
    <row r="9859" spans="9851:9866" x14ac:dyDescent="0.3">
      <c r="NNY9859" s="9794"/>
    </row>
    <row r="9860" spans="9851:9866" x14ac:dyDescent="0.3">
      <c r="NNZ9860" s="9795"/>
    </row>
    <row r="9861" spans="9851:9866" x14ac:dyDescent="0.3">
      <c r="NOA9861" s="9796"/>
    </row>
    <row r="9862" spans="9851:9866" x14ac:dyDescent="0.3">
      <c r="NOB9862" s="9797"/>
    </row>
    <row r="9863" spans="9851:9866" x14ac:dyDescent="0.3">
      <c r="NOC9863" s="9798"/>
    </row>
    <row r="9864" spans="9851:9866" x14ac:dyDescent="0.3">
      <c r="NOD9864" s="9799"/>
    </row>
    <row r="9865" spans="9851:9866" x14ac:dyDescent="0.3">
      <c r="NOE9865" s="9800"/>
    </row>
    <row r="9866" spans="9851:9866" x14ac:dyDescent="0.3">
      <c r="NOF9866" s="9801"/>
    </row>
    <row r="9867" spans="9851:9866" x14ac:dyDescent="0.3">
      <c r="NOG9867" s="9802"/>
    </row>
    <row r="9868" spans="9851:9866" x14ac:dyDescent="0.3">
      <c r="NOH9868" s="9803"/>
    </row>
    <row r="9869" spans="9851:9866" x14ac:dyDescent="0.3">
      <c r="NOI9869" s="9804"/>
    </row>
    <row r="9870" spans="9851:9866" x14ac:dyDescent="0.3">
      <c r="NOJ9870" s="9805"/>
    </row>
    <row r="9871" spans="9851:9866" x14ac:dyDescent="0.3">
      <c r="NOK9871" s="9806"/>
    </row>
    <row r="9872" spans="9851:9866" x14ac:dyDescent="0.3">
      <c r="NOL9872" s="9807"/>
    </row>
    <row r="9873" spans="9867:9882" x14ac:dyDescent="0.3">
      <c r="NOM9873" s="9808"/>
    </row>
    <row r="9874" spans="9867:9882" x14ac:dyDescent="0.3">
      <c r="NON9874" s="9809"/>
    </row>
    <row r="9875" spans="9867:9882" x14ac:dyDescent="0.3">
      <c r="NOO9875" s="9810"/>
    </row>
    <row r="9876" spans="9867:9882" x14ac:dyDescent="0.3">
      <c r="NOP9876" s="9811"/>
    </row>
    <row r="9877" spans="9867:9882" x14ac:dyDescent="0.3">
      <c r="NOQ9877" s="9812"/>
    </row>
    <row r="9878" spans="9867:9882" x14ac:dyDescent="0.3">
      <c r="NOR9878" s="9813"/>
    </row>
    <row r="9879" spans="9867:9882" x14ac:dyDescent="0.3">
      <c r="NOS9879" s="9814"/>
    </row>
    <row r="9880" spans="9867:9882" x14ac:dyDescent="0.3">
      <c r="NOT9880" s="9815"/>
    </row>
    <row r="9881" spans="9867:9882" x14ac:dyDescent="0.3">
      <c r="NOU9881" s="9816"/>
    </row>
    <row r="9882" spans="9867:9882" x14ac:dyDescent="0.3">
      <c r="NOV9882" s="9817"/>
    </row>
    <row r="9883" spans="9867:9882" x14ac:dyDescent="0.3">
      <c r="NOW9883" s="9818"/>
    </row>
    <row r="9884" spans="9867:9882" x14ac:dyDescent="0.3">
      <c r="NOX9884" s="9819"/>
    </row>
    <row r="9885" spans="9867:9882" x14ac:dyDescent="0.3">
      <c r="NOY9885" s="9820"/>
    </row>
    <row r="9886" spans="9867:9882" x14ac:dyDescent="0.3">
      <c r="NOZ9886" s="9821"/>
    </row>
    <row r="9887" spans="9867:9882" x14ac:dyDescent="0.3">
      <c r="NPA9887" s="9822"/>
    </row>
    <row r="9888" spans="9867:9882" x14ac:dyDescent="0.3">
      <c r="NPB9888" s="9823"/>
    </row>
    <row r="9889" spans="9883:9898" x14ac:dyDescent="0.3">
      <c r="NPC9889" s="9824"/>
    </row>
    <row r="9890" spans="9883:9898" x14ac:dyDescent="0.3">
      <c r="NPD9890" s="9825"/>
    </row>
    <row r="9891" spans="9883:9898" x14ac:dyDescent="0.3">
      <c r="NPE9891" s="9826"/>
    </row>
    <row r="9892" spans="9883:9898" x14ac:dyDescent="0.3">
      <c r="NPF9892" s="9827"/>
    </row>
    <row r="9893" spans="9883:9898" x14ac:dyDescent="0.3">
      <c r="NPG9893" s="9828"/>
    </row>
    <row r="9894" spans="9883:9898" x14ac:dyDescent="0.3">
      <c r="NPH9894" s="9829"/>
    </row>
    <row r="9895" spans="9883:9898" x14ac:dyDescent="0.3">
      <c r="NPI9895" s="9830"/>
    </row>
    <row r="9896" spans="9883:9898" x14ac:dyDescent="0.3">
      <c r="NPJ9896" s="9831"/>
    </row>
    <row r="9897" spans="9883:9898" x14ac:dyDescent="0.3">
      <c r="NPK9897" s="9832"/>
    </row>
    <row r="9898" spans="9883:9898" x14ac:dyDescent="0.3">
      <c r="NPL9898" s="9833"/>
    </row>
    <row r="9899" spans="9883:9898" x14ac:dyDescent="0.3">
      <c r="NPM9899" s="9834"/>
    </row>
    <row r="9900" spans="9883:9898" x14ac:dyDescent="0.3">
      <c r="NPN9900" s="9835"/>
    </row>
    <row r="9901" spans="9883:9898" x14ac:dyDescent="0.3">
      <c r="NPO9901" s="9836"/>
    </row>
    <row r="9902" spans="9883:9898" x14ac:dyDescent="0.3">
      <c r="NPP9902" s="9837"/>
    </row>
    <row r="9903" spans="9883:9898" x14ac:dyDescent="0.3">
      <c r="NPQ9903" s="9838"/>
    </row>
    <row r="9904" spans="9883:9898" x14ac:dyDescent="0.3">
      <c r="NPR9904" s="9839"/>
    </row>
    <row r="9905" spans="9899:9914" x14ac:dyDescent="0.3">
      <c r="NPS9905" s="9840"/>
    </row>
    <row r="9906" spans="9899:9914" x14ac:dyDescent="0.3">
      <c r="NPT9906" s="9841"/>
    </row>
    <row r="9907" spans="9899:9914" x14ac:dyDescent="0.3">
      <c r="NPU9907" s="9842"/>
    </row>
    <row r="9908" spans="9899:9914" x14ac:dyDescent="0.3">
      <c r="NPV9908" s="9843"/>
    </row>
    <row r="9909" spans="9899:9914" x14ac:dyDescent="0.3">
      <c r="NPW9909" s="9844"/>
    </row>
    <row r="9910" spans="9899:9914" x14ac:dyDescent="0.3">
      <c r="NPX9910" s="9845"/>
    </row>
    <row r="9911" spans="9899:9914" x14ac:dyDescent="0.3">
      <c r="NPY9911" s="9846"/>
    </row>
    <row r="9912" spans="9899:9914" x14ac:dyDescent="0.3">
      <c r="NPZ9912" s="9847"/>
    </row>
    <row r="9913" spans="9899:9914" x14ac:dyDescent="0.3">
      <c r="NQA9913" s="9848"/>
    </row>
    <row r="9914" spans="9899:9914" x14ac:dyDescent="0.3">
      <c r="NQB9914" s="9849"/>
    </row>
    <row r="9915" spans="9899:9914" x14ac:dyDescent="0.3">
      <c r="NQC9915" s="9850"/>
    </row>
    <row r="9916" spans="9899:9914" x14ac:dyDescent="0.3">
      <c r="NQD9916" s="9851"/>
    </row>
    <row r="9917" spans="9899:9914" x14ac:dyDescent="0.3">
      <c r="NQE9917" s="9852"/>
    </row>
    <row r="9918" spans="9899:9914" x14ac:dyDescent="0.3">
      <c r="NQF9918" s="9853"/>
    </row>
    <row r="9919" spans="9899:9914" x14ac:dyDescent="0.3">
      <c r="NQG9919" s="9854"/>
    </row>
    <row r="9920" spans="9899:9914" x14ac:dyDescent="0.3">
      <c r="NQH9920" s="9855"/>
    </row>
    <row r="9921" spans="9915:9930" x14ac:dyDescent="0.3">
      <c r="NQI9921" s="9856"/>
    </row>
    <row r="9922" spans="9915:9930" x14ac:dyDescent="0.3">
      <c r="NQJ9922" s="9857"/>
    </row>
    <row r="9923" spans="9915:9930" x14ac:dyDescent="0.3">
      <c r="NQK9923" s="9858"/>
    </row>
    <row r="9924" spans="9915:9930" x14ac:dyDescent="0.3">
      <c r="NQL9924" s="9859"/>
    </row>
    <row r="9925" spans="9915:9930" x14ac:dyDescent="0.3">
      <c r="NQM9925" s="9860"/>
    </row>
    <row r="9926" spans="9915:9930" x14ac:dyDescent="0.3">
      <c r="NQN9926" s="9861"/>
    </row>
    <row r="9927" spans="9915:9930" x14ac:dyDescent="0.3">
      <c r="NQO9927" s="9862"/>
    </row>
    <row r="9928" spans="9915:9930" x14ac:dyDescent="0.3">
      <c r="NQP9928" s="9863"/>
    </row>
    <row r="9929" spans="9915:9930" x14ac:dyDescent="0.3">
      <c r="NQQ9929" s="9864"/>
    </row>
    <row r="9930" spans="9915:9930" x14ac:dyDescent="0.3">
      <c r="NQR9930" s="9865"/>
    </row>
    <row r="9931" spans="9915:9930" x14ac:dyDescent="0.3">
      <c r="NQS9931" s="9866"/>
    </row>
    <row r="9932" spans="9915:9930" x14ac:dyDescent="0.3">
      <c r="NQT9932" s="9867"/>
    </row>
    <row r="9933" spans="9915:9930" x14ac:dyDescent="0.3">
      <c r="NQU9933" s="9868"/>
    </row>
    <row r="9934" spans="9915:9930" x14ac:dyDescent="0.3">
      <c r="NQV9934" s="9869"/>
    </row>
    <row r="9935" spans="9915:9930" x14ac:dyDescent="0.3">
      <c r="NQW9935" s="9870"/>
    </row>
    <row r="9936" spans="9915:9930" x14ac:dyDescent="0.3">
      <c r="NQX9936" s="9871"/>
    </row>
    <row r="9937" spans="9931:9946" x14ac:dyDescent="0.3">
      <c r="NQY9937" s="9872"/>
    </row>
    <row r="9938" spans="9931:9946" x14ac:dyDescent="0.3">
      <c r="NQZ9938" s="9873"/>
    </row>
    <row r="9939" spans="9931:9946" x14ac:dyDescent="0.3">
      <c r="NRA9939" s="9874"/>
    </row>
    <row r="9940" spans="9931:9946" x14ac:dyDescent="0.3">
      <c r="NRB9940" s="9875"/>
    </row>
    <row r="9941" spans="9931:9946" x14ac:dyDescent="0.3">
      <c r="NRC9941" s="9876"/>
    </row>
    <row r="9942" spans="9931:9946" x14ac:dyDescent="0.3">
      <c r="NRD9942" s="9877"/>
    </row>
    <row r="9943" spans="9931:9946" x14ac:dyDescent="0.3">
      <c r="NRE9943" s="9878"/>
    </row>
    <row r="9944" spans="9931:9946" x14ac:dyDescent="0.3">
      <c r="NRF9944" s="9879"/>
    </row>
    <row r="9945" spans="9931:9946" x14ac:dyDescent="0.3">
      <c r="NRG9945" s="9880"/>
    </row>
    <row r="9946" spans="9931:9946" x14ac:dyDescent="0.3">
      <c r="NRH9946" s="9881"/>
    </row>
    <row r="9947" spans="9931:9946" x14ac:dyDescent="0.3">
      <c r="NRI9947" s="9882"/>
    </row>
    <row r="9948" spans="9931:9946" x14ac:dyDescent="0.3">
      <c r="NRJ9948" s="9883"/>
    </row>
    <row r="9949" spans="9931:9946" x14ac:dyDescent="0.3">
      <c r="NRK9949" s="9884"/>
    </row>
    <row r="9950" spans="9931:9946" x14ac:dyDescent="0.3">
      <c r="NRL9950" s="9885"/>
    </row>
    <row r="9951" spans="9931:9946" x14ac:dyDescent="0.3">
      <c r="NRM9951" s="9886"/>
    </row>
    <row r="9952" spans="9931:9946" x14ac:dyDescent="0.3">
      <c r="NRN9952" s="9887"/>
    </row>
    <row r="9953" spans="9947:9962" x14ac:dyDescent="0.3">
      <c r="NRO9953" s="9888"/>
    </row>
    <row r="9954" spans="9947:9962" x14ac:dyDescent="0.3">
      <c r="NRP9954" s="9889"/>
    </row>
    <row r="9955" spans="9947:9962" x14ac:dyDescent="0.3">
      <c r="NRQ9955" s="9890"/>
    </row>
    <row r="9956" spans="9947:9962" x14ac:dyDescent="0.3">
      <c r="NRR9956" s="9891"/>
    </row>
    <row r="9957" spans="9947:9962" x14ac:dyDescent="0.3">
      <c r="NRS9957" s="9892"/>
    </row>
    <row r="9958" spans="9947:9962" x14ac:dyDescent="0.3">
      <c r="NRT9958" s="9893"/>
    </row>
    <row r="9959" spans="9947:9962" x14ac:dyDescent="0.3">
      <c r="NRU9959" s="9894"/>
    </row>
    <row r="9960" spans="9947:9962" x14ac:dyDescent="0.3">
      <c r="NRV9960" s="9895"/>
    </row>
    <row r="9961" spans="9947:9962" x14ac:dyDescent="0.3">
      <c r="NRW9961" s="9896"/>
    </row>
    <row r="9962" spans="9947:9962" x14ac:dyDescent="0.3">
      <c r="NRX9962" s="9897"/>
    </row>
    <row r="9963" spans="9947:9962" x14ac:dyDescent="0.3">
      <c r="NRY9963" s="9898"/>
    </row>
    <row r="9964" spans="9947:9962" x14ac:dyDescent="0.3">
      <c r="NRZ9964" s="9899"/>
    </row>
    <row r="9965" spans="9947:9962" x14ac:dyDescent="0.3">
      <c r="NSA9965" s="9900"/>
    </row>
    <row r="9966" spans="9947:9962" x14ac:dyDescent="0.3">
      <c r="NSB9966" s="9901"/>
    </row>
    <row r="9967" spans="9947:9962" x14ac:dyDescent="0.3">
      <c r="NSC9967" s="9902"/>
    </row>
    <row r="9968" spans="9947:9962" x14ac:dyDescent="0.3">
      <c r="NSD9968" s="9903"/>
    </row>
    <row r="9969" spans="9963:9978" x14ac:dyDescent="0.3">
      <c r="NSE9969" s="9904"/>
    </row>
    <row r="9970" spans="9963:9978" x14ac:dyDescent="0.3">
      <c r="NSF9970" s="9905"/>
    </row>
    <row r="9971" spans="9963:9978" x14ac:dyDescent="0.3">
      <c r="NSG9971" s="9906"/>
    </row>
    <row r="9972" spans="9963:9978" x14ac:dyDescent="0.3">
      <c r="NSH9972" s="9907"/>
    </row>
    <row r="9973" spans="9963:9978" x14ac:dyDescent="0.3">
      <c r="NSI9973" s="9908"/>
    </row>
    <row r="9974" spans="9963:9978" x14ac:dyDescent="0.3">
      <c r="NSJ9974" s="9909"/>
    </row>
    <row r="9975" spans="9963:9978" x14ac:dyDescent="0.3">
      <c r="NSK9975" s="9910"/>
    </row>
    <row r="9976" spans="9963:9978" x14ac:dyDescent="0.3">
      <c r="NSL9976" s="9911"/>
    </row>
    <row r="9977" spans="9963:9978" x14ac:dyDescent="0.3">
      <c r="NSM9977" s="9912"/>
    </row>
    <row r="9978" spans="9963:9978" x14ac:dyDescent="0.3">
      <c r="NSN9978" s="9913"/>
    </row>
    <row r="9979" spans="9963:9978" x14ac:dyDescent="0.3">
      <c r="NSO9979" s="9914"/>
    </row>
    <row r="9980" spans="9963:9978" x14ac:dyDescent="0.3">
      <c r="NSP9980" s="9915"/>
    </row>
    <row r="9981" spans="9963:9978" x14ac:dyDescent="0.3">
      <c r="NSQ9981" s="9916"/>
    </row>
    <row r="9982" spans="9963:9978" x14ac:dyDescent="0.3">
      <c r="NSR9982" s="9917"/>
    </row>
    <row r="9983" spans="9963:9978" x14ac:dyDescent="0.3">
      <c r="NSS9983" s="9918"/>
    </row>
    <row r="9984" spans="9963:9978" x14ac:dyDescent="0.3">
      <c r="NST9984" s="9919"/>
    </row>
    <row r="9985" spans="2:2 9979:9996" x14ac:dyDescent="0.3">
      <c r="NSU9985" s="9920"/>
    </row>
    <row r="9986" spans="2:2 9979:9996" x14ac:dyDescent="0.3">
      <c r="NSV9986" s="9921"/>
    </row>
    <row r="9987" spans="2:2 9979:9996" x14ac:dyDescent="0.3">
      <c r="NSW9987" s="9922"/>
    </row>
    <row r="9988" spans="2:2 9979:9996" x14ac:dyDescent="0.3">
      <c r="NSX9988" s="9923"/>
    </row>
    <row r="9989" spans="2:2 9979:9996" x14ac:dyDescent="0.3">
      <c r="NSY9989" s="9924"/>
    </row>
    <row r="9990" spans="2:2 9979:9996" x14ac:dyDescent="0.3">
      <c r="NSZ9990" s="9925"/>
    </row>
    <row r="9991" spans="2:2 9979:9996" x14ac:dyDescent="0.3">
      <c r="NTA9991" s="9926"/>
    </row>
    <row r="9992" spans="2:2 9979:9996" x14ac:dyDescent="0.3">
      <c r="NTB9992" s="9927"/>
    </row>
    <row r="9993" spans="2:2 9979:9996" x14ac:dyDescent="0.3">
      <c r="NTC9993" s="9928"/>
    </row>
    <row r="9994" spans="2:2 9979:9996" x14ac:dyDescent="0.3">
      <c r="NTD9994" s="9929"/>
    </row>
    <row r="9995" spans="2:2 9979:9996" x14ac:dyDescent="0.3">
      <c r="NTE9995" s="9930"/>
    </row>
    <row r="9996" spans="2:2 9979:9996" x14ac:dyDescent="0.3">
      <c r="NTF9996" s="9931"/>
    </row>
    <row r="9997" spans="2:2 9979:9996" x14ac:dyDescent="0.3">
      <c r="NTG9997" s="9932"/>
    </row>
    <row r="9998" spans="2:2 9979:9996" x14ac:dyDescent="0.3">
      <c r="NTH9998" s="9933"/>
    </row>
    <row r="9999" spans="2:2 9979:9996" x14ac:dyDescent="0.3">
      <c r="NTI9999" s="9934"/>
    </row>
    <row r="10000" spans="2:2 9979:9996" x14ac:dyDescent="0.3">
      <c r="B10000" s="16301"/>
      <c r="NTL10000" s="9935"/>
    </row>
    <row r="10001" spans="2:2 9997:10012" x14ac:dyDescent="0.3">
      <c r="B10001" s="16301"/>
      <c r="NTM10001" s="9936"/>
    </row>
    <row r="10002" spans="2:2 9997:10012" x14ac:dyDescent="0.3">
      <c r="B10002" s="16301"/>
      <c r="NTN10002" s="9937"/>
    </row>
    <row r="10003" spans="2:2 9997:10012" x14ac:dyDescent="0.3">
      <c r="B10003" s="16301"/>
      <c r="NTO10003" s="9938"/>
    </row>
    <row r="10004" spans="2:2 9997:10012" x14ac:dyDescent="0.3">
      <c r="B10004" s="16301"/>
      <c r="NTP10004" s="9939"/>
    </row>
    <row r="10005" spans="2:2 9997:10012" x14ac:dyDescent="0.3">
      <c r="B10005" s="16301"/>
      <c r="NTQ10005" s="9940"/>
    </row>
    <row r="10006" spans="2:2 9997:10012" x14ac:dyDescent="0.3">
      <c r="B10006" s="16301"/>
      <c r="NTR10006" s="9941"/>
    </row>
    <row r="10007" spans="2:2 9997:10012" x14ac:dyDescent="0.3">
      <c r="B10007" s="16301"/>
      <c r="NTS10007" s="9942"/>
    </row>
    <row r="10008" spans="2:2 9997:10012" x14ac:dyDescent="0.3">
      <c r="B10008" s="16301"/>
      <c r="NTT10008" s="9943"/>
    </row>
    <row r="10009" spans="2:2 9997:10012" x14ac:dyDescent="0.3">
      <c r="B10009" s="16301"/>
      <c r="NTU10009" s="9944"/>
    </row>
    <row r="10010" spans="2:2 9997:10012" x14ac:dyDescent="0.3">
      <c r="B10010" s="16301"/>
      <c r="NTV10010" s="9945"/>
    </row>
    <row r="10011" spans="2:2 9997:10012" x14ac:dyDescent="0.3">
      <c r="B10011" s="16301"/>
      <c r="NTW10011" s="9946"/>
    </row>
    <row r="10012" spans="2:2 9997:10012" x14ac:dyDescent="0.3">
      <c r="B10012" s="16301"/>
      <c r="NTX10012" s="9947"/>
    </row>
    <row r="10013" spans="2:2 9997:10012" x14ac:dyDescent="0.3">
      <c r="B10013" s="16301"/>
      <c r="NTY10013" s="9948"/>
    </row>
    <row r="10014" spans="2:2 9997:10012" x14ac:dyDescent="0.3">
      <c r="B10014" s="16301"/>
      <c r="NTZ10014" s="9949"/>
    </row>
    <row r="10015" spans="2:2 9997:10012" x14ac:dyDescent="0.3">
      <c r="B10015" s="16301"/>
      <c r="NUA10015" s="9950"/>
    </row>
    <row r="10016" spans="2:2 9997:10012" x14ac:dyDescent="0.3">
      <c r="B10016" s="16301"/>
      <c r="NUB10016" s="9951"/>
    </row>
    <row r="10017" spans="2:2 10013:10028" x14ac:dyDescent="0.3">
      <c r="B10017" s="16301"/>
      <c r="NUC10017" s="9952"/>
    </row>
    <row r="10018" spans="2:2 10013:10028" x14ac:dyDescent="0.3">
      <c r="B10018" s="16301"/>
      <c r="NUD10018" s="9953"/>
    </row>
    <row r="10019" spans="2:2 10013:10028" x14ac:dyDescent="0.3">
      <c r="B10019" s="16301"/>
      <c r="NUE10019" s="9954"/>
    </row>
    <row r="10020" spans="2:2 10013:10028" x14ac:dyDescent="0.3">
      <c r="B10020" s="16301"/>
      <c r="NUF10020" s="9955"/>
    </row>
    <row r="10021" spans="2:2 10013:10028" x14ac:dyDescent="0.3">
      <c r="B10021" s="16301"/>
      <c r="NUG10021" s="9956"/>
    </row>
    <row r="10022" spans="2:2 10013:10028" x14ac:dyDescent="0.3">
      <c r="B10022" s="16301"/>
      <c r="NUH10022" s="9957"/>
    </row>
    <row r="10023" spans="2:2 10013:10028" x14ac:dyDescent="0.3">
      <c r="B10023" s="16301"/>
      <c r="NUI10023" s="9958"/>
    </row>
    <row r="10024" spans="2:2 10013:10028" x14ac:dyDescent="0.3">
      <c r="B10024" s="16301"/>
      <c r="NUJ10024" s="9959"/>
    </row>
    <row r="10025" spans="2:2 10013:10028" x14ac:dyDescent="0.3">
      <c r="B10025" s="16301"/>
      <c r="NUK10025" s="9960"/>
    </row>
    <row r="10026" spans="2:2 10013:10028" x14ac:dyDescent="0.3">
      <c r="B10026" s="16301"/>
      <c r="NUL10026" s="9961"/>
    </row>
    <row r="10027" spans="2:2 10013:10028" x14ac:dyDescent="0.3">
      <c r="B10027" s="16301"/>
      <c r="NUM10027" s="9962"/>
    </row>
    <row r="10028" spans="2:2 10013:10028" x14ac:dyDescent="0.3">
      <c r="B10028" s="16301"/>
      <c r="NUN10028" s="9963"/>
    </row>
    <row r="10029" spans="2:2 10013:10028" x14ac:dyDescent="0.3">
      <c r="B10029" s="16301"/>
      <c r="NUO10029" s="9963"/>
    </row>
    <row r="10030" spans="2:2 10013:10028" x14ac:dyDescent="0.3">
      <c r="B10030" s="16301"/>
      <c r="NUP10030" s="9964"/>
    </row>
    <row r="10031" spans="2:2 10013:10028" x14ac:dyDescent="0.3">
      <c r="B10031" s="16301"/>
      <c r="NUQ10031" s="9965"/>
    </row>
    <row r="10032" spans="2:2 10013:10028" x14ac:dyDescent="0.3">
      <c r="B10032" s="16301"/>
      <c r="NUR10032" s="9966"/>
    </row>
    <row r="10033" spans="2:2 10029:10044" x14ac:dyDescent="0.3">
      <c r="B10033" s="16301"/>
      <c r="NUS10033" s="9967"/>
    </row>
    <row r="10034" spans="2:2 10029:10044" x14ac:dyDescent="0.3">
      <c r="B10034" s="16301"/>
      <c r="NUT10034" s="9968"/>
    </row>
    <row r="10035" spans="2:2 10029:10044" x14ac:dyDescent="0.3">
      <c r="B10035" s="16301"/>
      <c r="NUU10035" s="9969"/>
    </row>
    <row r="10036" spans="2:2 10029:10044" x14ac:dyDescent="0.3">
      <c r="B10036" s="16301"/>
      <c r="NUV10036" s="9970"/>
    </row>
    <row r="10037" spans="2:2 10029:10044" x14ac:dyDescent="0.3">
      <c r="B10037" s="16301"/>
      <c r="NUW10037" s="9971"/>
    </row>
    <row r="10038" spans="2:2 10029:10044" x14ac:dyDescent="0.3">
      <c r="B10038" s="16301"/>
      <c r="NUX10038" s="9972"/>
    </row>
    <row r="10039" spans="2:2 10029:10044" x14ac:dyDescent="0.3">
      <c r="B10039" s="16301"/>
      <c r="NUY10039" s="9973"/>
    </row>
    <row r="10040" spans="2:2 10029:10044" x14ac:dyDescent="0.3">
      <c r="B10040" s="16301"/>
      <c r="NUZ10040" s="9974"/>
    </row>
    <row r="10041" spans="2:2 10029:10044" x14ac:dyDescent="0.3">
      <c r="B10041" s="16301"/>
      <c r="NVA10041" s="9975"/>
    </row>
    <row r="10042" spans="2:2 10029:10044" x14ac:dyDescent="0.3">
      <c r="B10042" s="16301"/>
      <c r="NVB10042" s="9976"/>
    </row>
    <row r="10043" spans="2:2 10029:10044" x14ac:dyDescent="0.3">
      <c r="B10043" s="16301"/>
      <c r="NVC10043" s="9977"/>
    </row>
    <row r="10044" spans="2:2 10029:10044" x14ac:dyDescent="0.3">
      <c r="B10044" s="16301"/>
      <c r="NVD10044" s="9978"/>
    </row>
    <row r="10045" spans="2:2 10029:10044" x14ac:dyDescent="0.3">
      <c r="B10045" s="16301"/>
      <c r="NVE10045" s="9979"/>
    </row>
    <row r="10046" spans="2:2 10029:10044" x14ac:dyDescent="0.3">
      <c r="B10046" s="16301"/>
      <c r="NVF10046" s="9980"/>
    </row>
    <row r="10047" spans="2:2 10029:10044" x14ac:dyDescent="0.3">
      <c r="B10047" s="16301"/>
      <c r="NVG10047" s="9981"/>
    </row>
    <row r="10048" spans="2:2 10029:10044" x14ac:dyDescent="0.3">
      <c r="B10048" s="16301"/>
      <c r="NVH10048" s="9982"/>
    </row>
    <row r="10049" spans="2:2 10045:10060" x14ac:dyDescent="0.3">
      <c r="B10049" s="16301"/>
      <c r="NVI10049" s="9983"/>
    </row>
    <row r="10050" spans="2:2 10045:10060" x14ac:dyDescent="0.3">
      <c r="B10050" s="16301"/>
      <c r="NVJ10050" s="9984"/>
    </row>
    <row r="10051" spans="2:2 10045:10060" x14ac:dyDescent="0.3">
      <c r="B10051" s="16301"/>
      <c r="NVK10051" s="9985"/>
    </row>
    <row r="10052" spans="2:2 10045:10060" x14ac:dyDescent="0.3">
      <c r="B10052" s="16301"/>
      <c r="NVL10052" s="9986"/>
    </row>
    <row r="10053" spans="2:2 10045:10060" x14ac:dyDescent="0.3">
      <c r="B10053" s="16301"/>
      <c r="NVM10053" s="9987"/>
    </row>
    <row r="10054" spans="2:2 10045:10060" x14ac:dyDescent="0.3">
      <c r="B10054" s="16301"/>
      <c r="NVN10054" s="9988"/>
    </row>
    <row r="10055" spans="2:2 10045:10060" x14ac:dyDescent="0.3">
      <c r="B10055" s="16301"/>
      <c r="NVO10055" s="9989"/>
    </row>
    <row r="10056" spans="2:2 10045:10060" x14ac:dyDescent="0.3">
      <c r="B10056" s="16301"/>
      <c r="NVP10056" s="9990"/>
    </row>
    <row r="10057" spans="2:2 10045:10060" x14ac:dyDescent="0.3">
      <c r="B10057" s="16301"/>
      <c r="NVQ10057" s="9991"/>
    </row>
    <row r="10058" spans="2:2 10045:10060" x14ac:dyDescent="0.3">
      <c r="B10058" s="16301"/>
      <c r="NVR10058" s="9992"/>
    </row>
    <row r="10059" spans="2:2 10045:10060" x14ac:dyDescent="0.3">
      <c r="B10059" s="16301"/>
      <c r="NVS10059" s="9993"/>
    </row>
    <row r="10060" spans="2:2 10045:10060" x14ac:dyDescent="0.3">
      <c r="B10060" s="16301"/>
      <c r="NVT10060" s="9994"/>
    </row>
    <row r="10061" spans="2:2 10045:10060" x14ac:dyDescent="0.3">
      <c r="B10061" s="16301"/>
      <c r="NVU10061" s="9995"/>
    </row>
    <row r="10062" spans="2:2 10045:10060" x14ac:dyDescent="0.3">
      <c r="B10062" s="16301"/>
      <c r="NVV10062" s="9996"/>
    </row>
    <row r="10063" spans="2:2 10045:10060" x14ac:dyDescent="0.3">
      <c r="B10063" s="16301"/>
      <c r="NVW10063" s="9997"/>
    </row>
    <row r="10064" spans="2:2 10045:10060" x14ac:dyDescent="0.3">
      <c r="B10064" s="16301"/>
      <c r="NVX10064" s="9998"/>
    </row>
    <row r="10065" spans="2:2 10061:10076" x14ac:dyDescent="0.3">
      <c r="B10065" s="16301"/>
      <c r="NVY10065" s="9999"/>
    </row>
    <row r="10066" spans="2:2 10061:10076" x14ac:dyDescent="0.3">
      <c r="B10066" s="16301"/>
      <c r="NVZ10066" s="10000"/>
    </row>
    <row r="10067" spans="2:2 10061:10076" x14ac:dyDescent="0.3">
      <c r="B10067" s="16301"/>
      <c r="NWA10067" s="10001"/>
    </row>
    <row r="10068" spans="2:2 10061:10076" x14ac:dyDescent="0.3">
      <c r="B10068" s="16301"/>
      <c r="NWB10068" s="10002"/>
    </row>
    <row r="10069" spans="2:2 10061:10076" x14ac:dyDescent="0.3">
      <c r="B10069" s="16301"/>
      <c r="NWC10069" s="10003"/>
    </row>
    <row r="10070" spans="2:2 10061:10076" x14ac:dyDescent="0.3">
      <c r="B10070" s="16301"/>
      <c r="NWD10070" s="10004"/>
    </row>
    <row r="10071" spans="2:2 10061:10076" x14ac:dyDescent="0.3">
      <c r="B10071" s="16301"/>
      <c r="NWE10071" s="10005"/>
    </row>
    <row r="10072" spans="2:2 10061:10076" x14ac:dyDescent="0.3">
      <c r="B10072" s="16301"/>
      <c r="NWF10072" s="10006"/>
    </row>
    <row r="10073" spans="2:2 10061:10076" x14ac:dyDescent="0.3">
      <c r="B10073" s="16301"/>
      <c r="NWG10073" s="10007"/>
    </row>
    <row r="10074" spans="2:2 10061:10076" x14ac:dyDescent="0.3">
      <c r="B10074" s="16301"/>
      <c r="NWH10074" s="10008"/>
    </row>
    <row r="10075" spans="2:2 10061:10076" x14ac:dyDescent="0.3">
      <c r="B10075" s="16301"/>
      <c r="NWI10075" s="10009"/>
    </row>
    <row r="10076" spans="2:2 10061:10076" x14ac:dyDescent="0.3">
      <c r="B10076" s="16301"/>
      <c r="NWJ10076" s="10010"/>
    </row>
    <row r="10077" spans="2:2 10061:10076" x14ac:dyDescent="0.3">
      <c r="B10077" s="16301"/>
      <c r="NWK10077" s="10011"/>
    </row>
    <row r="10078" spans="2:2 10061:10076" x14ac:dyDescent="0.3">
      <c r="B10078" s="16301"/>
      <c r="NWL10078" s="10012"/>
    </row>
    <row r="10079" spans="2:2 10061:10076" x14ac:dyDescent="0.3">
      <c r="B10079" s="16301"/>
      <c r="NWM10079" s="10013"/>
    </row>
    <row r="10080" spans="2:2 10061:10076" x14ac:dyDescent="0.3">
      <c r="B10080" s="16301"/>
      <c r="NWN10080" s="10014"/>
    </row>
    <row r="10081" spans="2:2 10077:10092" x14ac:dyDescent="0.3">
      <c r="B10081" s="16301"/>
      <c r="NWO10081" s="10015"/>
    </row>
    <row r="10082" spans="2:2 10077:10092" x14ac:dyDescent="0.3">
      <c r="B10082" s="16301"/>
      <c r="NWP10082" s="10016"/>
    </row>
    <row r="10083" spans="2:2 10077:10092" x14ac:dyDescent="0.3">
      <c r="B10083" s="16301"/>
      <c r="NWQ10083" s="10017"/>
    </row>
    <row r="10084" spans="2:2 10077:10092" x14ac:dyDescent="0.3">
      <c r="B10084" s="16301"/>
      <c r="NWR10084" s="10018"/>
    </row>
    <row r="10085" spans="2:2 10077:10092" x14ac:dyDescent="0.3">
      <c r="B10085" s="16301"/>
      <c r="NWS10085" s="10019"/>
    </row>
    <row r="10086" spans="2:2 10077:10092" x14ac:dyDescent="0.3">
      <c r="B10086" s="16301"/>
      <c r="NWT10086" s="10020"/>
    </row>
    <row r="10087" spans="2:2 10077:10092" x14ac:dyDescent="0.3">
      <c r="B10087" s="16301"/>
      <c r="NWU10087" s="10021"/>
    </row>
    <row r="10088" spans="2:2 10077:10092" x14ac:dyDescent="0.3">
      <c r="B10088" s="16301"/>
      <c r="NWV10088" s="10022"/>
    </row>
    <row r="10089" spans="2:2 10077:10092" x14ac:dyDescent="0.3">
      <c r="B10089" s="16301"/>
      <c r="NWW10089" s="10023"/>
    </row>
    <row r="10090" spans="2:2 10077:10092" x14ac:dyDescent="0.3">
      <c r="B10090" s="16301"/>
      <c r="NWX10090" s="10024"/>
    </row>
    <row r="10091" spans="2:2 10077:10092" x14ac:dyDescent="0.3">
      <c r="B10091" s="16301"/>
      <c r="NWY10091" s="10025"/>
    </row>
    <row r="10092" spans="2:2 10077:10092" x14ac:dyDescent="0.3">
      <c r="B10092" s="16301"/>
      <c r="NWZ10092" s="10026"/>
    </row>
    <row r="10093" spans="2:2 10077:10092" x14ac:dyDescent="0.3">
      <c r="B10093" s="16301"/>
      <c r="NXA10093" s="10027"/>
    </row>
    <row r="10094" spans="2:2 10077:10092" x14ac:dyDescent="0.3">
      <c r="B10094" s="16301"/>
      <c r="NXB10094" s="10028"/>
    </row>
    <row r="10095" spans="2:2 10077:10092" x14ac:dyDescent="0.3">
      <c r="B10095" s="16301"/>
      <c r="NXC10095" s="10029"/>
    </row>
    <row r="10096" spans="2:2 10077:10092" x14ac:dyDescent="0.3">
      <c r="B10096" s="16301"/>
      <c r="NXD10096" s="10030"/>
    </row>
    <row r="10097" spans="2:2 10093:10108" x14ac:dyDescent="0.3">
      <c r="B10097" s="16301"/>
      <c r="NXE10097" s="10031"/>
    </row>
    <row r="10098" spans="2:2 10093:10108" x14ac:dyDescent="0.3">
      <c r="B10098" s="16301"/>
      <c r="NXF10098" s="10032"/>
    </row>
    <row r="10099" spans="2:2 10093:10108" x14ac:dyDescent="0.3">
      <c r="B10099" s="16301"/>
      <c r="NXG10099" s="10033"/>
    </row>
    <row r="10100" spans="2:2 10093:10108" x14ac:dyDescent="0.3">
      <c r="B10100" s="16301"/>
      <c r="NXH10100" s="10034"/>
    </row>
    <row r="10101" spans="2:2 10093:10108" x14ac:dyDescent="0.3">
      <c r="B10101" s="16301"/>
      <c r="NXI10101" s="10035"/>
    </row>
    <row r="10102" spans="2:2 10093:10108" x14ac:dyDescent="0.3">
      <c r="B10102" s="16301"/>
      <c r="NXJ10102" s="10036"/>
    </row>
    <row r="10103" spans="2:2 10093:10108" x14ac:dyDescent="0.3">
      <c r="B10103" s="16301"/>
      <c r="NXK10103" s="10037"/>
    </row>
    <row r="10104" spans="2:2 10093:10108" x14ac:dyDescent="0.3">
      <c r="B10104" s="16301"/>
      <c r="NXL10104" s="10038"/>
    </row>
    <row r="10105" spans="2:2 10093:10108" x14ac:dyDescent="0.3">
      <c r="B10105" s="16301"/>
      <c r="NXM10105" s="10039"/>
    </row>
    <row r="10106" spans="2:2 10093:10108" x14ac:dyDescent="0.3">
      <c r="B10106" s="16301"/>
      <c r="NXN10106" s="10040"/>
    </row>
    <row r="10107" spans="2:2 10093:10108" x14ac:dyDescent="0.3">
      <c r="B10107" s="16301"/>
      <c r="NXO10107" s="10041"/>
    </row>
    <row r="10108" spans="2:2 10093:10108" x14ac:dyDescent="0.3">
      <c r="B10108" s="16301"/>
      <c r="NXP10108" s="10042"/>
    </row>
    <row r="10109" spans="2:2 10093:10108" x14ac:dyDescent="0.3">
      <c r="B10109" s="16301"/>
      <c r="NXQ10109" s="10043"/>
    </row>
    <row r="10110" spans="2:2 10093:10108" x14ac:dyDescent="0.3">
      <c r="B10110" s="16301"/>
      <c r="NXR10110" s="10044"/>
    </row>
    <row r="10111" spans="2:2 10093:10108" x14ac:dyDescent="0.3">
      <c r="B10111" s="16301"/>
      <c r="NXS10111" s="10045"/>
    </row>
    <row r="10112" spans="2:2 10093:10108" x14ac:dyDescent="0.3">
      <c r="B10112" s="16301"/>
      <c r="NXT10112" s="10046"/>
    </row>
    <row r="10113" spans="2:2 10109:10124" x14ac:dyDescent="0.3">
      <c r="B10113" s="16301"/>
      <c r="NXU10113" s="10047"/>
    </row>
    <row r="10114" spans="2:2 10109:10124" x14ac:dyDescent="0.3">
      <c r="B10114" s="16301"/>
      <c r="NXV10114" s="10048"/>
    </row>
    <row r="10115" spans="2:2 10109:10124" x14ac:dyDescent="0.3">
      <c r="B10115" s="16301"/>
      <c r="NXW10115" s="10049"/>
    </row>
    <row r="10116" spans="2:2 10109:10124" x14ac:dyDescent="0.3">
      <c r="B10116" s="16301"/>
      <c r="NXX10116" s="10050"/>
    </row>
    <row r="10117" spans="2:2 10109:10124" x14ac:dyDescent="0.3">
      <c r="B10117" s="16301"/>
      <c r="NXY10117" s="10051"/>
    </row>
    <row r="10118" spans="2:2 10109:10124" x14ac:dyDescent="0.3">
      <c r="B10118" s="16301"/>
      <c r="NXZ10118" s="10052"/>
    </row>
    <row r="10119" spans="2:2 10109:10124" x14ac:dyDescent="0.3">
      <c r="B10119" s="16301"/>
      <c r="NYA10119" s="10053"/>
    </row>
    <row r="10120" spans="2:2 10109:10124" x14ac:dyDescent="0.3">
      <c r="B10120" s="16301"/>
      <c r="NYB10120" s="10054"/>
    </row>
    <row r="10121" spans="2:2 10109:10124" x14ac:dyDescent="0.3">
      <c r="B10121" s="16301"/>
      <c r="NYC10121" s="10055"/>
    </row>
    <row r="10122" spans="2:2 10109:10124" x14ac:dyDescent="0.3">
      <c r="B10122" s="16301"/>
      <c r="NYD10122" s="10056"/>
    </row>
    <row r="10123" spans="2:2 10109:10124" x14ac:dyDescent="0.3">
      <c r="B10123" s="16301"/>
      <c r="NYE10123" s="10057"/>
    </row>
    <row r="10124" spans="2:2 10109:10124" x14ac:dyDescent="0.3">
      <c r="B10124" s="16301"/>
      <c r="NYF10124" s="10058"/>
    </row>
    <row r="10125" spans="2:2 10109:10124" x14ac:dyDescent="0.3">
      <c r="B10125" s="16301"/>
      <c r="NYG10125" s="10059"/>
    </row>
    <row r="10126" spans="2:2 10109:10124" x14ac:dyDescent="0.3">
      <c r="B10126" s="16301"/>
      <c r="NYH10126" s="10060"/>
    </row>
    <row r="10127" spans="2:2 10109:10124" x14ac:dyDescent="0.3">
      <c r="B10127" s="16301"/>
      <c r="NYI10127" s="10061"/>
    </row>
    <row r="10128" spans="2:2 10109:10124" x14ac:dyDescent="0.3">
      <c r="B10128" s="16301"/>
      <c r="NYJ10128" s="10062"/>
    </row>
    <row r="10129" spans="2:2 10125:10140" x14ac:dyDescent="0.3">
      <c r="B10129" s="16301"/>
      <c r="NYK10129" s="10063"/>
    </row>
    <row r="10130" spans="2:2 10125:10140" x14ac:dyDescent="0.3">
      <c r="B10130" s="16301"/>
      <c r="NYL10130" s="10064"/>
    </row>
    <row r="10131" spans="2:2 10125:10140" x14ac:dyDescent="0.3">
      <c r="B10131" s="16301"/>
      <c r="NYM10131" s="10065"/>
    </row>
    <row r="10132" spans="2:2 10125:10140" x14ac:dyDescent="0.3">
      <c r="B10132" s="16301"/>
      <c r="NYN10132" s="10066"/>
    </row>
    <row r="10133" spans="2:2 10125:10140" x14ac:dyDescent="0.3">
      <c r="B10133" s="16301"/>
      <c r="NYO10133" s="10067"/>
    </row>
    <row r="10134" spans="2:2 10125:10140" x14ac:dyDescent="0.3">
      <c r="B10134" s="16301"/>
      <c r="NYP10134" s="10068"/>
    </row>
    <row r="10135" spans="2:2 10125:10140" x14ac:dyDescent="0.3">
      <c r="B10135" s="16301"/>
      <c r="NYQ10135" s="10069"/>
    </row>
    <row r="10136" spans="2:2 10125:10140" x14ac:dyDescent="0.3">
      <c r="B10136" s="16301"/>
      <c r="NYR10136" s="10070"/>
    </row>
    <row r="10137" spans="2:2 10125:10140" x14ac:dyDescent="0.3">
      <c r="B10137" s="16301"/>
      <c r="NYS10137" s="10071"/>
    </row>
    <row r="10138" spans="2:2 10125:10140" x14ac:dyDescent="0.3">
      <c r="B10138" s="16301"/>
      <c r="NYT10138" s="10072"/>
    </row>
    <row r="10139" spans="2:2 10125:10140" x14ac:dyDescent="0.3">
      <c r="B10139" s="16301"/>
      <c r="NYU10139" s="10073"/>
    </row>
    <row r="10140" spans="2:2 10125:10140" x14ac:dyDescent="0.3">
      <c r="B10140" s="16301"/>
      <c r="NYV10140" s="10074"/>
    </row>
    <row r="10141" spans="2:2 10125:10140" x14ac:dyDescent="0.3">
      <c r="B10141" s="16301"/>
      <c r="NYW10141" s="10075"/>
    </row>
    <row r="10142" spans="2:2 10125:10140" x14ac:dyDescent="0.3">
      <c r="B10142" s="16301"/>
      <c r="NYX10142" s="10076"/>
    </row>
    <row r="10143" spans="2:2 10125:10140" x14ac:dyDescent="0.3">
      <c r="B10143" s="16301"/>
      <c r="NYY10143" s="10077"/>
    </row>
    <row r="10144" spans="2:2 10125:10140" x14ac:dyDescent="0.3">
      <c r="B10144" s="16301"/>
      <c r="NYZ10144" s="10078"/>
    </row>
    <row r="10145" spans="2:2 10141:10156" x14ac:dyDescent="0.3">
      <c r="B10145" s="16301"/>
      <c r="NZA10145" s="10079"/>
    </row>
    <row r="10146" spans="2:2 10141:10156" x14ac:dyDescent="0.3">
      <c r="B10146" s="16301"/>
      <c r="NZB10146" s="10080"/>
    </row>
    <row r="10147" spans="2:2 10141:10156" x14ac:dyDescent="0.3">
      <c r="B10147" s="16301"/>
      <c r="NZC10147" s="10081"/>
    </row>
    <row r="10148" spans="2:2 10141:10156" x14ac:dyDescent="0.3">
      <c r="B10148" s="16301"/>
      <c r="NZD10148" s="10082"/>
    </row>
    <row r="10149" spans="2:2 10141:10156" x14ac:dyDescent="0.3">
      <c r="B10149" s="16301"/>
      <c r="NZE10149" s="10083"/>
    </row>
    <row r="10150" spans="2:2 10141:10156" x14ac:dyDescent="0.3">
      <c r="B10150" s="16301"/>
      <c r="NZF10150" s="10084"/>
    </row>
    <row r="10151" spans="2:2 10141:10156" x14ac:dyDescent="0.3">
      <c r="B10151" s="16301"/>
      <c r="NZG10151" s="10085"/>
    </row>
    <row r="10152" spans="2:2 10141:10156" x14ac:dyDescent="0.3">
      <c r="B10152" s="16301"/>
      <c r="NZH10152" s="10086"/>
    </row>
    <row r="10153" spans="2:2 10141:10156" x14ac:dyDescent="0.3">
      <c r="B10153" s="16301"/>
      <c r="NZI10153" s="10087"/>
    </row>
    <row r="10154" spans="2:2 10141:10156" x14ac:dyDescent="0.3">
      <c r="B10154" s="16301"/>
      <c r="NZJ10154" s="10088"/>
    </row>
    <row r="10155" spans="2:2 10141:10156" x14ac:dyDescent="0.3">
      <c r="B10155" s="16301"/>
      <c r="NZK10155" s="10089"/>
    </row>
    <row r="10156" spans="2:2 10141:10156" x14ac:dyDescent="0.3">
      <c r="B10156" s="16301"/>
      <c r="NZL10156" s="10090"/>
    </row>
    <row r="10157" spans="2:2 10141:10156" x14ac:dyDescent="0.3">
      <c r="B10157" s="16301"/>
      <c r="NZM10157" s="10091"/>
    </row>
    <row r="10158" spans="2:2 10141:10156" x14ac:dyDescent="0.3">
      <c r="B10158" s="16301"/>
      <c r="NZN10158" s="10092"/>
    </row>
    <row r="10159" spans="2:2 10141:10156" x14ac:dyDescent="0.3">
      <c r="B10159" s="16301"/>
      <c r="NZO10159" s="10093"/>
    </row>
    <row r="10160" spans="2:2 10141:10156" x14ac:dyDescent="0.3">
      <c r="B10160" s="16301"/>
      <c r="NZP10160" s="10094"/>
    </row>
    <row r="10161" spans="2:2 10157:10172" x14ac:dyDescent="0.3">
      <c r="B10161" s="16301"/>
      <c r="NZQ10161" s="10095"/>
    </row>
    <row r="10162" spans="2:2 10157:10172" x14ac:dyDescent="0.3">
      <c r="B10162" s="16301"/>
      <c r="NZR10162" s="10096"/>
    </row>
    <row r="10163" spans="2:2 10157:10172" x14ac:dyDescent="0.3">
      <c r="B10163" s="16301"/>
      <c r="NZS10163" s="10097"/>
    </row>
    <row r="10164" spans="2:2 10157:10172" x14ac:dyDescent="0.3">
      <c r="B10164" s="16301"/>
      <c r="NZT10164" s="10098"/>
    </row>
    <row r="10165" spans="2:2 10157:10172" x14ac:dyDescent="0.3">
      <c r="B10165" s="16301"/>
      <c r="NZU10165" s="10099"/>
    </row>
    <row r="10166" spans="2:2 10157:10172" x14ac:dyDescent="0.3">
      <c r="B10166" s="16301"/>
      <c r="NZV10166" s="10100"/>
    </row>
    <row r="10167" spans="2:2 10157:10172" x14ac:dyDescent="0.3">
      <c r="B10167" s="16301"/>
      <c r="NZW10167" s="10101"/>
    </row>
    <row r="10168" spans="2:2 10157:10172" x14ac:dyDescent="0.3">
      <c r="B10168" s="16301"/>
      <c r="NZX10168" s="10102"/>
    </row>
    <row r="10169" spans="2:2 10157:10172" x14ac:dyDescent="0.3">
      <c r="B10169" s="16301"/>
      <c r="NZY10169" s="10103"/>
    </row>
    <row r="10170" spans="2:2 10157:10172" x14ac:dyDescent="0.3">
      <c r="B10170" s="16301"/>
      <c r="NZZ10170" s="10104"/>
    </row>
    <row r="10171" spans="2:2 10157:10172" x14ac:dyDescent="0.3">
      <c r="B10171" s="16301"/>
      <c r="OAA10171" s="10105"/>
    </row>
    <row r="10172" spans="2:2 10157:10172" x14ac:dyDescent="0.3">
      <c r="B10172" s="16301"/>
      <c r="OAB10172" s="10106"/>
    </row>
    <row r="10173" spans="2:2 10157:10172" x14ac:dyDescent="0.3">
      <c r="B10173" s="16301"/>
      <c r="OAC10173" s="10107"/>
    </row>
    <row r="10174" spans="2:2 10157:10172" x14ac:dyDescent="0.3">
      <c r="B10174" s="16301"/>
      <c r="OAD10174" s="10108"/>
    </row>
    <row r="10175" spans="2:2 10157:10172" x14ac:dyDescent="0.3">
      <c r="B10175" s="16301"/>
      <c r="OAE10175" s="10109"/>
    </row>
    <row r="10176" spans="2:2 10157:10172" x14ac:dyDescent="0.3">
      <c r="B10176" s="16301"/>
      <c r="OAF10176" s="10110"/>
    </row>
    <row r="10177" spans="2:2 10173:10188" x14ac:dyDescent="0.3">
      <c r="B10177" s="16301"/>
      <c r="OAG10177" s="10111"/>
    </row>
    <row r="10178" spans="2:2 10173:10188" x14ac:dyDescent="0.3">
      <c r="B10178" s="16301"/>
      <c r="OAH10178" s="10112"/>
    </row>
    <row r="10179" spans="2:2 10173:10188" x14ac:dyDescent="0.3">
      <c r="B10179" s="16301"/>
      <c r="OAI10179" s="10113"/>
    </row>
    <row r="10180" spans="2:2 10173:10188" x14ac:dyDescent="0.3">
      <c r="B10180" s="16301"/>
      <c r="OAJ10180" s="10114"/>
    </row>
    <row r="10181" spans="2:2 10173:10188" x14ac:dyDescent="0.3">
      <c r="B10181" s="16301"/>
      <c r="OAK10181" s="10115"/>
    </row>
    <row r="10182" spans="2:2 10173:10188" x14ac:dyDescent="0.3">
      <c r="B10182" s="16301"/>
      <c r="OAL10182" s="10116"/>
    </row>
    <row r="10183" spans="2:2 10173:10188" x14ac:dyDescent="0.3">
      <c r="B10183" s="16301"/>
      <c r="OAM10183" s="10117"/>
    </row>
    <row r="10184" spans="2:2 10173:10188" x14ac:dyDescent="0.3">
      <c r="B10184" s="16301"/>
      <c r="OAN10184" s="10118"/>
    </row>
    <row r="10185" spans="2:2 10173:10188" x14ac:dyDescent="0.3">
      <c r="B10185" s="16301"/>
      <c r="OAO10185" s="10119"/>
    </row>
    <row r="10186" spans="2:2 10173:10188" x14ac:dyDescent="0.3">
      <c r="B10186" s="16301"/>
      <c r="OAP10186" s="10120"/>
    </row>
    <row r="10187" spans="2:2 10173:10188" x14ac:dyDescent="0.3">
      <c r="B10187" s="16301"/>
      <c r="OAQ10187" s="10121"/>
    </row>
    <row r="10188" spans="2:2 10173:10188" x14ac:dyDescent="0.3">
      <c r="B10188" s="16301"/>
      <c r="OAR10188" s="10122"/>
    </row>
    <row r="10189" spans="2:2 10173:10188" x14ac:dyDescent="0.3">
      <c r="B10189" s="16301"/>
      <c r="OAS10189" s="10123"/>
    </row>
    <row r="10190" spans="2:2 10173:10188" x14ac:dyDescent="0.3">
      <c r="B10190" s="16301"/>
      <c r="OAT10190" s="10124"/>
    </row>
    <row r="10191" spans="2:2 10173:10188" x14ac:dyDescent="0.3">
      <c r="B10191" s="16301"/>
      <c r="OAU10191" s="10125"/>
    </row>
    <row r="10192" spans="2:2 10173:10188" x14ac:dyDescent="0.3">
      <c r="B10192" s="16301"/>
      <c r="OAV10192" s="10126"/>
    </row>
    <row r="10193" spans="2:2 10189:10204" x14ac:dyDescent="0.3">
      <c r="B10193" s="16301"/>
      <c r="OAW10193" s="10127"/>
    </row>
    <row r="10194" spans="2:2 10189:10204" x14ac:dyDescent="0.3">
      <c r="B10194" s="16301"/>
      <c r="OAX10194" s="10128"/>
    </row>
    <row r="10195" spans="2:2 10189:10204" x14ac:dyDescent="0.3">
      <c r="B10195" s="16301"/>
      <c r="OAY10195" s="10129"/>
    </row>
    <row r="10196" spans="2:2 10189:10204" x14ac:dyDescent="0.3">
      <c r="B10196" s="16301"/>
      <c r="OAZ10196" s="10130"/>
    </row>
    <row r="10197" spans="2:2 10189:10204" x14ac:dyDescent="0.3">
      <c r="B10197" s="16301"/>
      <c r="OBA10197" s="10131"/>
    </row>
    <row r="10198" spans="2:2 10189:10204" x14ac:dyDescent="0.3">
      <c r="B10198" s="16301"/>
      <c r="OBB10198" s="10132"/>
    </row>
    <row r="10199" spans="2:2 10189:10204" x14ac:dyDescent="0.3">
      <c r="B10199" s="16301"/>
      <c r="OBC10199" s="10133"/>
    </row>
    <row r="10200" spans="2:2 10189:10204" x14ac:dyDescent="0.3">
      <c r="B10200" s="16301"/>
      <c r="OBD10200" s="10134"/>
    </row>
    <row r="10201" spans="2:2 10189:10204" x14ac:dyDescent="0.3">
      <c r="B10201" s="16301"/>
      <c r="OBE10201" s="10135"/>
    </row>
    <row r="10202" spans="2:2 10189:10204" x14ac:dyDescent="0.3">
      <c r="B10202" s="16301"/>
      <c r="OBF10202" s="10136"/>
    </row>
    <row r="10203" spans="2:2 10189:10204" x14ac:dyDescent="0.3">
      <c r="B10203" s="16301"/>
      <c r="OBG10203" s="10137"/>
    </row>
    <row r="10204" spans="2:2 10189:10204" x14ac:dyDescent="0.3">
      <c r="B10204" s="16301"/>
      <c r="OBH10204" s="10138"/>
    </row>
    <row r="10205" spans="2:2 10189:10204" x14ac:dyDescent="0.3">
      <c r="B10205" s="16301"/>
      <c r="OBI10205" s="10139"/>
    </row>
    <row r="10206" spans="2:2 10189:10204" x14ac:dyDescent="0.3">
      <c r="B10206" s="16301"/>
      <c r="OBJ10206" s="10140"/>
    </row>
    <row r="10207" spans="2:2 10189:10204" x14ac:dyDescent="0.3">
      <c r="B10207" s="16301"/>
      <c r="OBK10207" s="10141"/>
    </row>
    <row r="10208" spans="2:2 10189:10204" x14ac:dyDescent="0.3">
      <c r="B10208" s="16301"/>
      <c r="OBL10208" s="10142"/>
    </row>
    <row r="10209" spans="2:2 10205:10220" x14ac:dyDescent="0.3">
      <c r="B10209" s="16301"/>
      <c r="OBM10209" s="10143"/>
    </row>
    <row r="10210" spans="2:2 10205:10220" x14ac:dyDescent="0.3">
      <c r="B10210" s="16301"/>
      <c r="OBN10210" s="10144"/>
    </row>
    <row r="10211" spans="2:2 10205:10220" x14ac:dyDescent="0.3">
      <c r="B10211" s="16301"/>
      <c r="OBO10211" s="10145"/>
    </row>
    <row r="10212" spans="2:2 10205:10220" x14ac:dyDescent="0.3">
      <c r="B10212" s="16301"/>
      <c r="OBP10212" s="10146"/>
    </row>
    <row r="10213" spans="2:2 10205:10220" x14ac:dyDescent="0.3">
      <c r="B10213" s="16301"/>
      <c r="OBQ10213" s="10147"/>
    </row>
    <row r="10214" spans="2:2 10205:10220" x14ac:dyDescent="0.3">
      <c r="B10214" s="16301"/>
      <c r="OBR10214" s="10148"/>
    </row>
    <row r="10215" spans="2:2 10205:10220" x14ac:dyDescent="0.3">
      <c r="B10215" s="16301"/>
      <c r="OBS10215" s="10149"/>
    </row>
    <row r="10216" spans="2:2 10205:10220" x14ac:dyDescent="0.3">
      <c r="B10216" s="16301"/>
      <c r="OBT10216" s="10150"/>
    </row>
    <row r="10217" spans="2:2 10205:10220" x14ac:dyDescent="0.3">
      <c r="B10217" s="16301"/>
      <c r="OBU10217" s="10151"/>
    </row>
    <row r="10218" spans="2:2 10205:10220" x14ac:dyDescent="0.3">
      <c r="B10218" s="16301"/>
      <c r="OBV10218" s="10152"/>
    </row>
    <row r="10219" spans="2:2 10205:10220" x14ac:dyDescent="0.3">
      <c r="B10219" s="16301"/>
      <c r="OBW10219" s="10153"/>
    </row>
    <row r="10220" spans="2:2 10205:10220" x14ac:dyDescent="0.3">
      <c r="B10220" s="16301"/>
      <c r="OBX10220" s="10154"/>
    </row>
    <row r="10221" spans="2:2 10205:10220" x14ac:dyDescent="0.3">
      <c r="B10221" s="16301"/>
      <c r="OBY10221" s="10155"/>
    </row>
    <row r="10222" spans="2:2 10205:10220" x14ac:dyDescent="0.3">
      <c r="B10222" s="16301"/>
      <c r="OBZ10222" s="10156"/>
    </row>
    <row r="10223" spans="2:2 10205:10220" x14ac:dyDescent="0.3">
      <c r="B10223" s="16301"/>
      <c r="OCA10223" s="10157"/>
    </row>
    <row r="10224" spans="2:2 10205:10220" x14ac:dyDescent="0.3">
      <c r="B10224" s="16301"/>
      <c r="OCB10224" s="10158"/>
    </row>
    <row r="10225" spans="2:2 10221:10236" x14ac:dyDescent="0.3">
      <c r="B10225" s="16301"/>
      <c r="OCC10225" s="10159"/>
    </row>
    <row r="10226" spans="2:2 10221:10236" x14ac:dyDescent="0.3">
      <c r="B10226" s="16301"/>
      <c r="OCD10226" s="10160"/>
    </row>
    <row r="10227" spans="2:2 10221:10236" x14ac:dyDescent="0.3">
      <c r="B10227" s="16301"/>
      <c r="OCE10227" s="10161"/>
    </row>
    <row r="10228" spans="2:2 10221:10236" x14ac:dyDescent="0.3">
      <c r="B10228" s="16301"/>
      <c r="OCF10228" s="10162"/>
    </row>
    <row r="10229" spans="2:2 10221:10236" x14ac:dyDescent="0.3">
      <c r="B10229" s="16301"/>
      <c r="OCG10229" s="10163"/>
    </row>
    <row r="10230" spans="2:2 10221:10236" x14ac:dyDescent="0.3">
      <c r="B10230" s="16301"/>
      <c r="OCH10230" s="10164"/>
    </row>
    <row r="10231" spans="2:2 10221:10236" x14ac:dyDescent="0.3">
      <c r="B10231" s="16301"/>
      <c r="OCI10231" s="10165"/>
    </row>
    <row r="10232" spans="2:2 10221:10236" x14ac:dyDescent="0.3">
      <c r="B10232" s="16301"/>
      <c r="OCJ10232" s="10166"/>
    </row>
    <row r="10233" spans="2:2 10221:10236" x14ac:dyDescent="0.3">
      <c r="B10233" s="16301"/>
      <c r="OCK10233" s="10167"/>
    </row>
    <row r="10234" spans="2:2 10221:10236" x14ac:dyDescent="0.3">
      <c r="B10234" s="16301"/>
      <c r="OCL10234" s="10168"/>
    </row>
    <row r="10235" spans="2:2 10221:10236" x14ac:dyDescent="0.3">
      <c r="B10235" s="16301"/>
      <c r="OCM10235" s="10169"/>
    </row>
    <row r="10236" spans="2:2 10221:10236" x14ac:dyDescent="0.3">
      <c r="B10236" s="16301"/>
      <c r="OCN10236" s="10170"/>
    </row>
    <row r="10237" spans="2:2 10221:10236" x14ac:dyDescent="0.3">
      <c r="B10237" s="16301"/>
      <c r="OCO10237" s="10171"/>
    </row>
    <row r="10238" spans="2:2 10221:10236" x14ac:dyDescent="0.3">
      <c r="B10238" s="16301"/>
      <c r="OCP10238" s="10172"/>
    </row>
    <row r="10239" spans="2:2 10221:10236" x14ac:dyDescent="0.3">
      <c r="B10239" s="16301"/>
      <c r="OCQ10239" s="10173"/>
    </row>
    <row r="10240" spans="2:2 10221:10236" x14ac:dyDescent="0.3">
      <c r="B10240" s="16301"/>
      <c r="OCR10240" s="10174"/>
    </row>
    <row r="10241" spans="2:2 10237:10252" x14ac:dyDescent="0.3">
      <c r="B10241" s="16301"/>
      <c r="OCS10241" s="10175"/>
    </row>
    <row r="10242" spans="2:2 10237:10252" x14ac:dyDescent="0.3">
      <c r="B10242" s="16301"/>
      <c r="OCT10242" s="10176"/>
    </row>
    <row r="10243" spans="2:2 10237:10252" x14ac:dyDescent="0.3">
      <c r="B10243" s="16301"/>
      <c r="OCU10243" s="10177"/>
    </row>
    <row r="10244" spans="2:2 10237:10252" x14ac:dyDescent="0.3">
      <c r="B10244" s="16301"/>
      <c r="OCV10244" s="10178"/>
    </row>
    <row r="10245" spans="2:2 10237:10252" x14ac:dyDescent="0.3">
      <c r="B10245" s="16301"/>
      <c r="OCW10245" s="10179"/>
    </row>
    <row r="10246" spans="2:2 10237:10252" x14ac:dyDescent="0.3">
      <c r="B10246" s="16301"/>
      <c r="OCX10246" s="10180"/>
    </row>
    <row r="10247" spans="2:2 10237:10252" x14ac:dyDescent="0.3">
      <c r="B10247" s="16301"/>
      <c r="OCY10247" s="10181"/>
    </row>
    <row r="10248" spans="2:2 10237:10252" x14ac:dyDescent="0.3">
      <c r="B10248" s="16301"/>
      <c r="OCZ10248" s="10182"/>
    </row>
    <row r="10249" spans="2:2 10237:10252" x14ac:dyDescent="0.3">
      <c r="B10249" s="16301"/>
      <c r="ODA10249" s="10183"/>
    </row>
    <row r="10250" spans="2:2 10237:10252" x14ac:dyDescent="0.3">
      <c r="B10250" s="16301"/>
      <c r="ODB10250" s="10184"/>
    </row>
    <row r="10251" spans="2:2 10237:10252" x14ac:dyDescent="0.3">
      <c r="B10251" s="16301"/>
      <c r="ODC10251" s="10185"/>
    </row>
    <row r="10252" spans="2:2 10237:10252" x14ac:dyDescent="0.3">
      <c r="B10252" s="16301"/>
      <c r="ODD10252" s="10186"/>
    </row>
    <row r="10253" spans="2:2 10237:10252" x14ac:dyDescent="0.3">
      <c r="B10253" s="16301"/>
      <c r="ODE10253" s="10187"/>
    </row>
    <row r="10254" spans="2:2 10237:10252" x14ac:dyDescent="0.3">
      <c r="B10254" s="16301"/>
      <c r="ODF10254" s="10188"/>
    </row>
    <row r="10255" spans="2:2 10237:10252" x14ac:dyDescent="0.3">
      <c r="B10255" s="16301"/>
      <c r="ODG10255" s="10189"/>
    </row>
    <row r="10256" spans="2:2 10237:10252" x14ac:dyDescent="0.3">
      <c r="B10256" s="16301"/>
      <c r="ODH10256" s="10190"/>
    </row>
    <row r="10257" spans="2:2 10253:10268" x14ac:dyDescent="0.3">
      <c r="B10257" s="16301"/>
      <c r="ODI10257" s="10191"/>
    </row>
    <row r="10258" spans="2:2 10253:10268" x14ac:dyDescent="0.3">
      <c r="B10258" s="16301"/>
      <c r="ODJ10258" s="10192"/>
    </row>
    <row r="10259" spans="2:2 10253:10268" x14ac:dyDescent="0.3">
      <c r="B10259" s="16301"/>
      <c r="ODK10259" s="10193"/>
    </row>
    <row r="10260" spans="2:2 10253:10268" x14ac:dyDescent="0.3">
      <c r="B10260" s="16301"/>
      <c r="ODL10260" s="10194"/>
    </row>
    <row r="10261" spans="2:2 10253:10268" x14ac:dyDescent="0.3">
      <c r="B10261" s="16301"/>
      <c r="ODM10261" s="10195"/>
    </row>
    <row r="10262" spans="2:2 10253:10268" x14ac:dyDescent="0.3">
      <c r="B10262" s="16301"/>
      <c r="ODN10262" s="10196"/>
    </row>
    <row r="10263" spans="2:2 10253:10268" x14ac:dyDescent="0.3">
      <c r="B10263" s="16301"/>
      <c r="ODO10263" s="10197"/>
    </row>
    <row r="10264" spans="2:2 10253:10268" x14ac:dyDescent="0.3">
      <c r="B10264" s="16301"/>
      <c r="ODP10264" s="10198"/>
    </row>
    <row r="10265" spans="2:2 10253:10268" x14ac:dyDescent="0.3">
      <c r="B10265" s="16301"/>
      <c r="ODQ10265" s="10199"/>
    </row>
    <row r="10266" spans="2:2 10253:10268" x14ac:dyDescent="0.3">
      <c r="B10266" s="16301"/>
      <c r="ODR10266" s="10200"/>
    </row>
    <row r="10267" spans="2:2 10253:10268" x14ac:dyDescent="0.3">
      <c r="B10267" s="16301"/>
      <c r="ODS10267" s="10201"/>
    </row>
    <row r="10268" spans="2:2 10253:10268" x14ac:dyDescent="0.3">
      <c r="B10268" s="16301"/>
      <c r="ODT10268" s="10202"/>
    </row>
    <row r="10269" spans="2:2 10253:10268" x14ac:dyDescent="0.3">
      <c r="B10269" s="16301"/>
      <c r="ODU10269" s="10203"/>
    </row>
    <row r="10270" spans="2:2 10253:10268" x14ac:dyDescent="0.3">
      <c r="B10270" s="16301"/>
      <c r="ODV10270" s="10204"/>
    </row>
    <row r="10271" spans="2:2 10253:10268" x14ac:dyDescent="0.3">
      <c r="B10271" s="16301"/>
      <c r="ODW10271" s="10205"/>
    </row>
    <row r="10272" spans="2:2 10253:10268" x14ac:dyDescent="0.3">
      <c r="B10272" s="16301"/>
      <c r="ODX10272" s="10206"/>
    </row>
    <row r="10273" spans="2:2 10269:10284" x14ac:dyDescent="0.3">
      <c r="B10273" s="16301"/>
      <c r="ODY10273" s="10207"/>
    </row>
    <row r="10274" spans="2:2 10269:10284" x14ac:dyDescent="0.3">
      <c r="B10274" s="16301"/>
      <c r="ODZ10274" s="10208"/>
    </row>
    <row r="10275" spans="2:2 10269:10284" x14ac:dyDescent="0.3">
      <c r="B10275" s="16301"/>
      <c r="OEA10275" s="10209"/>
    </row>
    <row r="10276" spans="2:2 10269:10284" x14ac:dyDescent="0.3">
      <c r="B10276" s="16301"/>
      <c r="OEB10276" s="10210"/>
    </row>
    <row r="10277" spans="2:2 10269:10284" x14ac:dyDescent="0.3">
      <c r="B10277" s="16301"/>
      <c r="OEC10277" s="10211"/>
    </row>
    <row r="10278" spans="2:2 10269:10284" x14ac:dyDescent="0.3">
      <c r="B10278" s="16301"/>
      <c r="OED10278" s="10212"/>
    </row>
    <row r="10279" spans="2:2 10269:10284" x14ac:dyDescent="0.3">
      <c r="B10279" s="16301"/>
      <c r="OEE10279" s="10213"/>
    </row>
    <row r="10280" spans="2:2 10269:10284" x14ac:dyDescent="0.3">
      <c r="B10280" s="16301"/>
      <c r="OEF10280" s="10214"/>
    </row>
    <row r="10281" spans="2:2 10269:10284" x14ac:dyDescent="0.3">
      <c r="B10281" s="16301"/>
      <c r="OEG10281" s="10215"/>
    </row>
    <row r="10282" spans="2:2 10269:10284" x14ac:dyDescent="0.3">
      <c r="B10282" s="16301"/>
      <c r="OEH10282" s="10216"/>
    </row>
    <row r="10283" spans="2:2 10269:10284" x14ac:dyDescent="0.3">
      <c r="B10283" s="16301"/>
      <c r="OEI10283" s="10217"/>
    </row>
    <row r="10284" spans="2:2 10269:10284" x14ac:dyDescent="0.3">
      <c r="B10284" s="16301"/>
      <c r="OEJ10284" s="10218"/>
    </row>
    <row r="10285" spans="2:2 10269:10284" x14ac:dyDescent="0.3">
      <c r="B10285" s="16301"/>
      <c r="OEK10285" s="10219"/>
    </row>
    <row r="10286" spans="2:2 10269:10284" x14ac:dyDescent="0.3">
      <c r="B10286" s="16301"/>
      <c r="OEL10286" s="10219"/>
    </row>
    <row r="10287" spans="2:2 10269:10284" x14ac:dyDescent="0.3">
      <c r="B10287" s="16301"/>
      <c r="OEM10287" s="10220"/>
    </row>
    <row r="10288" spans="2:2 10269:10284" x14ac:dyDescent="0.3">
      <c r="B10288" s="16301"/>
      <c r="OEN10288" s="10221"/>
    </row>
    <row r="10289" spans="2:2 10285:10300" x14ac:dyDescent="0.3">
      <c r="B10289" s="16301"/>
      <c r="OEO10289" s="10222"/>
    </row>
    <row r="10290" spans="2:2 10285:10300" x14ac:dyDescent="0.3">
      <c r="B10290" s="16301"/>
      <c r="OEP10290" s="10223"/>
    </row>
    <row r="10291" spans="2:2 10285:10300" x14ac:dyDescent="0.3">
      <c r="B10291" s="16301"/>
      <c r="OEQ10291" s="10224"/>
    </row>
    <row r="10292" spans="2:2 10285:10300" x14ac:dyDescent="0.3">
      <c r="B10292" s="16301"/>
      <c r="OER10292" s="10225"/>
    </row>
    <row r="10293" spans="2:2 10285:10300" x14ac:dyDescent="0.3">
      <c r="B10293" s="16301"/>
      <c r="OES10293" s="10226"/>
    </row>
    <row r="10294" spans="2:2 10285:10300" x14ac:dyDescent="0.3">
      <c r="B10294" s="16301"/>
      <c r="OET10294" s="10227"/>
    </row>
    <row r="10295" spans="2:2 10285:10300" x14ac:dyDescent="0.3">
      <c r="B10295" s="16301"/>
      <c r="OEU10295" s="10228"/>
    </row>
    <row r="10296" spans="2:2 10285:10300" x14ac:dyDescent="0.3">
      <c r="B10296" s="16301"/>
      <c r="OEV10296" s="10229"/>
    </row>
    <row r="10297" spans="2:2 10285:10300" x14ac:dyDescent="0.3">
      <c r="B10297" s="16301"/>
      <c r="OEW10297" s="10230"/>
    </row>
    <row r="10298" spans="2:2 10285:10300" x14ac:dyDescent="0.3">
      <c r="B10298" s="16301"/>
      <c r="OEX10298" s="10231"/>
    </row>
    <row r="10299" spans="2:2 10285:10300" x14ac:dyDescent="0.3">
      <c r="B10299" s="16301"/>
      <c r="OEY10299" s="10232"/>
    </row>
    <row r="10300" spans="2:2 10285:10300" x14ac:dyDescent="0.3">
      <c r="B10300" s="16301"/>
      <c r="OEZ10300" s="10233"/>
    </row>
    <row r="10301" spans="2:2 10285:10300" x14ac:dyDescent="0.3">
      <c r="B10301" s="16301"/>
      <c r="OFA10301" s="10234"/>
    </row>
    <row r="10302" spans="2:2 10285:10300" x14ac:dyDescent="0.3">
      <c r="B10302" s="16301"/>
      <c r="OFB10302" s="10235"/>
    </row>
    <row r="10303" spans="2:2 10285:10300" x14ac:dyDescent="0.3">
      <c r="B10303" s="16301"/>
      <c r="OFC10303" s="10236"/>
    </row>
    <row r="10304" spans="2:2 10285:10300" x14ac:dyDescent="0.3">
      <c r="B10304" s="16301"/>
      <c r="OFD10304" s="10237"/>
    </row>
    <row r="10305" spans="2:2 10301:10316" x14ac:dyDescent="0.3">
      <c r="B10305" s="16301"/>
      <c r="OFE10305" s="10238"/>
    </row>
    <row r="10306" spans="2:2 10301:10316" x14ac:dyDescent="0.3">
      <c r="B10306" s="16301"/>
      <c r="OFF10306" s="10239"/>
    </row>
    <row r="10307" spans="2:2 10301:10316" x14ac:dyDescent="0.3">
      <c r="B10307" s="16301"/>
      <c r="OFG10307" s="10240"/>
    </row>
    <row r="10308" spans="2:2 10301:10316" x14ac:dyDescent="0.3">
      <c r="B10308" s="16301"/>
      <c r="OFH10308" s="10241"/>
    </row>
    <row r="10309" spans="2:2 10301:10316" x14ac:dyDescent="0.3">
      <c r="B10309" s="16301"/>
      <c r="OFI10309" s="10242"/>
    </row>
    <row r="10310" spans="2:2 10301:10316" x14ac:dyDescent="0.3">
      <c r="B10310" s="16301"/>
      <c r="OFJ10310" s="10243"/>
    </row>
    <row r="10311" spans="2:2 10301:10316" x14ac:dyDescent="0.3">
      <c r="B10311" s="16301"/>
      <c r="OFK10311" s="10244"/>
    </row>
    <row r="10312" spans="2:2 10301:10316" x14ac:dyDescent="0.3">
      <c r="B10312" s="16301"/>
      <c r="OFL10312" s="10245"/>
    </row>
    <row r="10313" spans="2:2 10301:10316" x14ac:dyDescent="0.3">
      <c r="B10313" s="16301"/>
      <c r="OFM10313" s="10246"/>
    </row>
    <row r="10314" spans="2:2 10301:10316" x14ac:dyDescent="0.3">
      <c r="B10314" s="16301"/>
      <c r="OFN10314" s="10247"/>
    </row>
    <row r="10315" spans="2:2 10301:10316" x14ac:dyDescent="0.3">
      <c r="B10315" s="16301"/>
      <c r="OFO10315" s="10248"/>
    </row>
    <row r="10316" spans="2:2 10301:10316" x14ac:dyDescent="0.3">
      <c r="B10316" s="16301"/>
      <c r="OFP10316" s="10249"/>
    </row>
    <row r="10317" spans="2:2 10301:10316" x14ac:dyDescent="0.3">
      <c r="B10317" s="16301"/>
      <c r="OFQ10317" s="10250"/>
    </row>
    <row r="10318" spans="2:2 10301:10316" x14ac:dyDescent="0.3">
      <c r="B10318" s="16301"/>
      <c r="OFR10318" s="10251"/>
    </row>
    <row r="10319" spans="2:2 10301:10316" x14ac:dyDescent="0.3">
      <c r="B10319" s="16301"/>
      <c r="OFS10319" s="10252"/>
    </row>
    <row r="10320" spans="2:2 10301:10316" x14ac:dyDescent="0.3">
      <c r="B10320" s="16301"/>
      <c r="OFT10320" s="10253"/>
    </row>
    <row r="10321" spans="2:2 10317:10332" x14ac:dyDescent="0.3">
      <c r="B10321" s="16301"/>
      <c r="OFU10321" s="10254"/>
    </row>
    <row r="10322" spans="2:2 10317:10332" x14ac:dyDescent="0.3">
      <c r="B10322" s="16301"/>
      <c r="OFV10322" s="10255"/>
    </row>
    <row r="10323" spans="2:2 10317:10332" x14ac:dyDescent="0.3">
      <c r="B10323" s="16301"/>
      <c r="OFW10323" s="10256"/>
    </row>
    <row r="10324" spans="2:2 10317:10332" x14ac:dyDescent="0.3">
      <c r="B10324" s="16301"/>
      <c r="OFX10324" s="10257"/>
    </row>
    <row r="10325" spans="2:2 10317:10332" x14ac:dyDescent="0.3">
      <c r="B10325" s="16301"/>
      <c r="OFY10325" s="10258"/>
    </row>
    <row r="10326" spans="2:2 10317:10332" x14ac:dyDescent="0.3">
      <c r="B10326" s="16301"/>
      <c r="OFZ10326" s="10259"/>
    </row>
    <row r="10327" spans="2:2 10317:10332" x14ac:dyDescent="0.3">
      <c r="B10327" s="16301"/>
      <c r="OGA10327" s="10260"/>
    </row>
    <row r="10328" spans="2:2 10317:10332" x14ac:dyDescent="0.3">
      <c r="B10328" s="16301"/>
      <c r="OGB10328" s="10261"/>
    </row>
    <row r="10329" spans="2:2 10317:10332" x14ac:dyDescent="0.3">
      <c r="B10329" s="16301"/>
      <c r="OGC10329" s="10262"/>
    </row>
    <row r="10330" spans="2:2 10317:10332" x14ac:dyDescent="0.3">
      <c r="B10330" s="16301"/>
      <c r="OGD10330" s="10263"/>
    </row>
    <row r="10331" spans="2:2 10317:10332" x14ac:dyDescent="0.3">
      <c r="B10331" s="16301"/>
      <c r="OGE10331" s="10264"/>
    </row>
    <row r="10332" spans="2:2 10317:10332" x14ac:dyDescent="0.3">
      <c r="B10332" s="16301"/>
      <c r="OGF10332" s="10265"/>
    </row>
    <row r="10333" spans="2:2 10317:10332" x14ac:dyDescent="0.3">
      <c r="B10333" s="16301"/>
      <c r="OGG10333" s="10266"/>
    </row>
    <row r="10334" spans="2:2 10317:10332" x14ac:dyDescent="0.3">
      <c r="B10334" s="16301"/>
      <c r="OGH10334" s="10267"/>
    </row>
    <row r="10335" spans="2:2 10317:10332" x14ac:dyDescent="0.3">
      <c r="B10335" s="16301"/>
      <c r="OGI10335" s="10268"/>
    </row>
    <row r="10336" spans="2:2 10317:10332" x14ac:dyDescent="0.3">
      <c r="B10336" s="16301"/>
      <c r="OGJ10336" s="10269"/>
    </row>
    <row r="10337" spans="2:2 10333:10348" x14ac:dyDescent="0.3">
      <c r="B10337" s="16301"/>
      <c r="OGK10337" s="10270"/>
    </row>
    <row r="10338" spans="2:2 10333:10348" x14ac:dyDescent="0.3">
      <c r="B10338" s="16301"/>
      <c r="OGL10338" s="10271"/>
    </row>
    <row r="10339" spans="2:2 10333:10348" x14ac:dyDescent="0.3">
      <c r="B10339" s="16301"/>
      <c r="OGM10339" s="10272"/>
    </row>
    <row r="10340" spans="2:2 10333:10348" x14ac:dyDescent="0.3">
      <c r="B10340" s="16301"/>
      <c r="OGN10340" s="10273"/>
    </row>
    <row r="10341" spans="2:2 10333:10348" x14ac:dyDescent="0.3">
      <c r="B10341" s="16301"/>
      <c r="OGO10341" s="10274"/>
    </row>
    <row r="10342" spans="2:2 10333:10348" x14ac:dyDescent="0.3">
      <c r="B10342" s="16301"/>
      <c r="OGP10342" s="10275"/>
    </row>
    <row r="10343" spans="2:2 10333:10348" x14ac:dyDescent="0.3">
      <c r="B10343" s="16301"/>
      <c r="OGQ10343" s="10276"/>
    </row>
    <row r="10344" spans="2:2 10333:10348" x14ac:dyDescent="0.3">
      <c r="B10344" s="16301"/>
      <c r="OGR10344" s="10277"/>
    </row>
    <row r="10345" spans="2:2 10333:10348" x14ac:dyDescent="0.3">
      <c r="B10345" s="16301"/>
      <c r="OGS10345" s="10278"/>
    </row>
    <row r="10346" spans="2:2 10333:10348" x14ac:dyDescent="0.3">
      <c r="B10346" s="16301"/>
      <c r="OGT10346" s="10279"/>
    </row>
    <row r="10347" spans="2:2 10333:10348" x14ac:dyDescent="0.3">
      <c r="B10347" s="16301"/>
      <c r="OGU10347" s="10280"/>
    </row>
    <row r="10348" spans="2:2 10333:10348" x14ac:dyDescent="0.3">
      <c r="B10348" s="16301"/>
      <c r="OGV10348" s="10281"/>
    </row>
    <row r="10349" spans="2:2 10333:10348" x14ac:dyDescent="0.3">
      <c r="B10349" s="16301"/>
      <c r="OGW10349" s="10282"/>
    </row>
    <row r="10350" spans="2:2 10333:10348" x14ac:dyDescent="0.3">
      <c r="B10350" s="16301"/>
      <c r="OGX10350" s="10283"/>
    </row>
    <row r="10351" spans="2:2 10333:10348" x14ac:dyDescent="0.3">
      <c r="B10351" s="16301"/>
      <c r="OGY10351" s="10284"/>
    </row>
    <row r="10352" spans="2:2 10333:10348" x14ac:dyDescent="0.3">
      <c r="B10352" s="16301"/>
      <c r="OGZ10352" s="10285"/>
    </row>
    <row r="10353" spans="2:2 10349:10364" x14ac:dyDescent="0.3">
      <c r="B10353" s="16301"/>
      <c r="OHA10353" s="10286"/>
    </row>
    <row r="10354" spans="2:2 10349:10364" x14ac:dyDescent="0.3">
      <c r="B10354" s="16301"/>
      <c r="OHB10354" s="10287"/>
    </row>
    <row r="10355" spans="2:2 10349:10364" x14ac:dyDescent="0.3">
      <c r="B10355" s="16301"/>
      <c r="OHC10355" s="10288"/>
    </row>
    <row r="10356" spans="2:2 10349:10364" x14ac:dyDescent="0.3">
      <c r="B10356" s="16301"/>
      <c r="OHD10356" s="10289"/>
    </row>
    <row r="10357" spans="2:2 10349:10364" x14ac:dyDescent="0.3">
      <c r="B10357" s="16301"/>
      <c r="OHE10357" s="10290"/>
    </row>
    <row r="10358" spans="2:2 10349:10364" x14ac:dyDescent="0.3">
      <c r="B10358" s="16301"/>
      <c r="OHF10358" s="10291"/>
    </row>
    <row r="10359" spans="2:2 10349:10364" x14ac:dyDescent="0.3">
      <c r="B10359" s="16301"/>
      <c r="OHG10359" s="10292"/>
    </row>
    <row r="10360" spans="2:2 10349:10364" x14ac:dyDescent="0.3">
      <c r="B10360" s="16301"/>
      <c r="OHH10360" s="10293"/>
    </row>
    <row r="10361" spans="2:2 10349:10364" x14ac:dyDescent="0.3">
      <c r="B10361" s="16301"/>
      <c r="OHI10361" s="10294"/>
    </row>
    <row r="10362" spans="2:2 10349:10364" x14ac:dyDescent="0.3">
      <c r="B10362" s="16301"/>
      <c r="OHJ10362" s="10295"/>
    </row>
    <row r="10363" spans="2:2 10349:10364" x14ac:dyDescent="0.3">
      <c r="B10363" s="16301"/>
      <c r="OHK10363" s="10296"/>
    </row>
    <row r="10364" spans="2:2 10349:10364" x14ac:dyDescent="0.3">
      <c r="B10364" s="16301"/>
      <c r="OHL10364" s="10297"/>
    </row>
    <row r="10365" spans="2:2 10349:10364" x14ac:dyDescent="0.3">
      <c r="B10365" s="16301"/>
      <c r="OHM10365" s="10298"/>
    </row>
    <row r="10366" spans="2:2 10349:10364" x14ac:dyDescent="0.3">
      <c r="B10366" s="16301"/>
      <c r="OHN10366" s="10299"/>
    </row>
    <row r="10367" spans="2:2 10349:10364" x14ac:dyDescent="0.3">
      <c r="B10367" s="16301"/>
      <c r="OHO10367" s="10300"/>
    </row>
    <row r="10368" spans="2:2 10349:10364" x14ac:dyDescent="0.3">
      <c r="B10368" s="16301"/>
      <c r="OHP10368" s="10301"/>
    </row>
    <row r="10369" spans="2:2 10365:10380" x14ac:dyDescent="0.3">
      <c r="B10369" s="16301"/>
      <c r="OHQ10369" s="10302"/>
    </row>
    <row r="10370" spans="2:2 10365:10380" x14ac:dyDescent="0.3">
      <c r="B10370" s="16301"/>
      <c r="OHR10370" s="10303"/>
    </row>
    <row r="10371" spans="2:2 10365:10380" x14ac:dyDescent="0.3">
      <c r="B10371" s="16301"/>
      <c r="OHS10371" s="10304"/>
    </row>
    <row r="10372" spans="2:2 10365:10380" x14ac:dyDescent="0.3">
      <c r="B10372" s="16301"/>
      <c r="OHT10372" s="10305"/>
    </row>
    <row r="10373" spans="2:2 10365:10380" x14ac:dyDescent="0.3">
      <c r="B10373" s="16301"/>
      <c r="OHU10373" s="10306"/>
    </row>
    <row r="10374" spans="2:2 10365:10380" x14ac:dyDescent="0.3">
      <c r="B10374" s="16301"/>
      <c r="OHV10374" s="10307"/>
    </row>
    <row r="10375" spans="2:2 10365:10380" x14ac:dyDescent="0.3">
      <c r="B10375" s="16301"/>
      <c r="OHW10375" s="10308"/>
    </row>
    <row r="10376" spans="2:2 10365:10380" x14ac:dyDescent="0.3">
      <c r="B10376" s="16301"/>
      <c r="OHX10376" s="10309"/>
    </row>
    <row r="10377" spans="2:2 10365:10380" x14ac:dyDescent="0.3">
      <c r="B10377" s="16301"/>
      <c r="OHY10377" s="10310"/>
    </row>
    <row r="10378" spans="2:2 10365:10380" x14ac:dyDescent="0.3">
      <c r="B10378" s="16301"/>
      <c r="OHZ10378" s="10311"/>
    </row>
    <row r="10379" spans="2:2 10365:10380" x14ac:dyDescent="0.3">
      <c r="B10379" s="16301"/>
      <c r="OIA10379" s="10312"/>
    </row>
    <row r="10380" spans="2:2 10365:10380" x14ac:dyDescent="0.3">
      <c r="B10380" s="16301"/>
      <c r="OIB10380" s="10313"/>
    </row>
    <row r="10381" spans="2:2 10365:10380" x14ac:dyDescent="0.3">
      <c r="B10381" s="16301"/>
      <c r="OIC10381" s="10314"/>
    </row>
    <row r="10382" spans="2:2 10365:10380" x14ac:dyDescent="0.3">
      <c r="B10382" s="16301"/>
      <c r="OID10382" s="10315"/>
    </row>
    <row r="10383" spans="2:2 10365:10380" x14ac:dyDescent="0.3">
      <c r="B10383" s="16301"/>
      <c r="OIE10383" s="10316"/>
    </row>
    <row r="10384" spans="2:2 10365:10380" x14ac:dyDescent="0.3">
      <c r="B10384" s="16301"/>
      <c r="OIF10384" s="10317"/>
    </row>
    <row r="10385" spans="2:2 10381:10396" x14ac:dyDescent="0.3">
      <c r="B10385" s="16301"/>
      <c r="OIG10385" s="10318"/>
    </row>
    <row r="10386" spans="2:2 10381:10396" x14ac:dyDescent="0.3">
      <c r="B10386" s="16301"/>
      <c r="OIH10386" s="10319"/>
    </row>
    <row r="10387" spans="2:2 10381:10396" x14ac:dyDescent="0.3">
      <c r="B10387" s="16301"/>
      <c r="OII10387" s="10320"/>
    </row>
    <row r="10388" spans="2:2 10381:10396" x14ac:dyDescent="0.3">
      <c r="B10388" s="16301"/>
      <c r="OIJ10388" s="10321"/>
    </row>
    <row r="10389" spans="2:2 10381:10396" x14ac:dyDescent="0.3">
      <c r="B10389" s="16301"/>
      <c r="OIK10389" s="10322"/>
    </row>
    <row r="10390" spans="2:2 10381:10396" x14ac:dyDescent="0.3">
      <c r="B10390" s="16301"/>
      <c r="OIL10390" s="10323"/>
    </row>
    <row r="10391" spans="2:2 10381:10396" x14ac:dyDescent="0.3">
      <c r="B10391" s="16301"/>
      <c r="OIM10391" s="10324"/>
    </row>
    <row r="10392" spans="2:2 10381:10396" x14ac:dyDescent="0.3">
      <c r="B10392" s="16301"/>
      <c r="OIN10392" s="10325"/>
    </row>
    <row r="10393" spans="2:2 10381:10396" x14ac:dyDescent="0.3">
      <c r="B10393" s="16301"/>
      <c r="OIO10393" s="10326"/>
    </row>
    <row r="10394" spans="2:2 10381:10396" x14ac:dyDescent="0.3">
      <c r="B10394" s="16301"/>
      <c r="OIP10394" s="10327"/>
    </row>
    <row r="10395" spans="2:2 10381:10396" x14ac:dyDescent="0.3">
      <c r="B10395" s="16301"/>
      <c r="OIQ10395" s="10328"/>
    </row>
    <row r="10396" spans="2:2 10381:10396" x14ac:dyDescent="0.3">
      <c r="B10396" s="16301"/>
      <c r="OIR10396" s="10329"/>
    </row>
    <row r="10397" spans="2:2 10381:10396" x14ac:dyDescent="0.3">
      <c r="B10397" s="16301"/>
      <c r="OIS10397" s="10330"/>
    </row>
    <row r="10398" spans="2:2 10381:10396" x14ac:dyDescent="0.3">
      <c r="B10398" s="16301"/>
      <c r="OIT10398" s="10331"/>
    </row>
    <row r="10399" spans="2:2 10381:10396" x14ac:dyDescent="0.3">
      <c r="B10399" s="16301"/>
      <c r="OIU10399" s="10332"/>
    </row>
    <row r="10400" spans="2:2 10381:10396" x14ac:dyDescent="0.3">
      <c r="B10400" s="16301"/>
      <c r="OIV10400" s="10333"/>
    </row>
    <row r="10401" spans="2:2 10397:10412" x14ac:dyDescent="0.3">
      <c r="B10401" s="16301"/>
      <c r="OIW10401" s="10334"/>
    </row>
    <row r="10402" spans="2:2 10397:10412" x14ac:dyDescent="0.3">
      <c r="B10402" s="16301"/>
      <c r="OIX10402" s="10335"/>
    </row>
    <row r="10403" spans="2:2 10397:10412" x14ac:dyDescent="0.3">
      <c r="B10403" s="16301"/>
      <c r="OIY10403" s="10336"/>
    </row>
    <row r="10404" spans="2:2 10397:10412" x14ac:dyDescent="0.3">
      <c r="B10404" s="16301"/>
      <c r="OIZ10404" s="10337"/>
    </row>
    <row r="10405" spans="2:2 10397:10412" x14ac:dyDescent="0.3">
      <c r="B10405" s="16301"/>
      <c r="OJA10405" s="10338"/>
    </row>
    <row r="10406" spans="2:2 10397:10412" x14ac:dyDescent="0.3">
      <c r="B10406" s="16301"/>
      <c r="OJB10406" s="10339"/>
    </row>
    <row r="10407" spans="2:2 10397:10412" x14ac:dyDescent="0.3">
      <c r="B10407" s="16301"/>
      <c r="OJC10407" s="10340"/>
    </row>
    <row r="10408" spans="2:2 10397:10412" x14ac:dyDescent="0.3">
      <c r="B10408" s="16301"/>
      <c r="OJD10408" s="10341"/>
    </row>
    <row r="10409" spans="2:2 10397:10412" x14ac:dyDescent="0.3">
      <c r="B10409" s="16301"/>
      <c r="OJE10409" s="10342"/>
    </row>
    <row r="10410" spans="2:2 10397:10412" x14ac:dyDescent="0.3">
      <c r="B10410" s="16301"/>
      <c r="OJF10410" s="10343"/>
    </row>
    <row r="10411" spans="2:2 10397:10412" x14ac:dyDescent="0.3">
      <c r="B10411" s="16301"/>
      <c r="OJG10411" s="10344"/>
    </row>
    <row r="10412" spans="2:2 10397:10412" x14ac:dyDescent="0.3">
      <c r="B10412" s="16301"/>
      <c r="OJH10412" s="10345"/>
    </row>
    <row r="10413" spans="2:2 10397:10412" x14ac:dyDescent="0.3">
      <c r="B10413" s="16301"/>
      <c r="OJI10413" s="10346"/>
    </row>
    <row r="10414" spans="2:2 10397:10412" x14ac:dyDescent="0.3">
      <c r="B10414" s="16301"/>
      <c r="OJJ10414" s="10347"/>
    </row>
    <row r="10415" spans="2:2 10397:10412" x14ac:dyDescent="0.3">
      <c r="B10415" s="16301"/>
      <c r="OJK10415" s="10348"/>
    </row>
    <row r="10416" spans="2:2 10397:10412" x14ac:dyDescent="0.3">
      <c r="B10416" s="16301"/>
      <c r="OJL10416" s="10349"/>
    </row>
    <row r="10417" spans="2:2 10413:10428" x14ac:dyDescent="0.3">
      <c r="B10417" s="16301"/>
      <c r="OJM10417" s="10350"/>
    </row>
    <row r="10418" spans="2:2 10413:10428" x14ac:dyDescent="0.3">
      <c r="B10418" s="16301"/>
      <c r="OJN10418" s="10351"/>
    </row>
    <row r="10419" spans="2:2 10413:10428" x14ac:dyDescent="0.3">
      <c r="B10419" s="16301"/>
      <c r="OJO10419" s="10352"/>
    </row>
    <row r="10420" spans="2:2 10413:10428" x14ac:dyDescent="0.3">
      <c r="B10420" s="16301"/>
      <c r="OJP10420" s="10353"/>
    </row>
    <row r="10421" spans="2:2 10413:10428" x14ac:dyDescent="0.3">
      <c r="B10421" s="16301"/>
      <c r="OJQ10421" s="10354"/>
    </row>
    <row r="10422" spans="2:2 10413:10428" x14ac:dyDescent="0.3">
      <c r="B10422" s="16301"/>
      <c r="OJR10422" s="10355"/>
    </row>
    <row r="10423" spans="2:2 10413:10428" x14ac:dyDescent="0.3">
      <c r="B10423" s="16301"/>
      <c r="OJS10423" s="10356"/>
    </row>
    <row r="10424" spans="2:2 10413:10428" x14ac:dyDescent="0.3">
      <c r="B10424" s="16301"/>
      <c r="OJT10424" s="10357"/>
    </row>
    <row r="10425" spans="2:2 10413:10428" x14ac:dyDescent="0.3">
      <c r="B10425" s="16301"/>
      <c r="OJU10425" s="10358"/>
    </row>
    <row r="10426" spans="2:2 10413:10428" x14ac:dyDescent="0.3">
      <c r="B10426" s="16301"/>
      <c r="OJV10426" s="10359"/>
    </row>
    <row r="10427" spans="2:2 10413:10428" x14ac:dyDescent="0.3">
      <c r="B10427" s="16301"/>
      <c r="OJW10427" s="10360"/>
    </row>
    <row r="10428" spans="2:2 10413:10428" x14ac:dyDescent="0.3">
      <c r="B10428" s="16301"/>
      <c r="OJX10428" s="10361"/>
    </row>
    <row r="10429" spans="2:2 10413:10428" x14ac:dyDescent="0.3">
      <c r="B10429" s="16301"/>
      <c r="OJY10429" s="10362"/>
    </row>
    <row r="10430" spans="2:2 10413:10428" x14ac:dyDescent="0.3">
      <c r="B10430" s="16301"/>
      <c r="OJZ10430" s="10363"/>
    </row>
    <row r="10431" spans="2:2 10413:10428" x14ac:dyDescent="0.3">
      <c r="B10431" s="16301"/>
      <c r="OKA10431" s="10364"/>
    </row>
    <row r="10432" spans="2:2 10413:10428" x14ac:dyDescent="0.3">
      <c r="B10432" s="16301"/>
      <c r="OKB10432" s="10365"/>
    </row>
    <row r="10433" spans="2:2 10429:10444" x14ac:dyDescent="0.3">
      <c r="B10433" s="16301"/>
      <c r="OKC10433" s="10366"/>
    </row>
    <row r="10434" spans="2:2 10429:10444" x14ac:dyDescent="0.3">
      <c r="B10434" s="16301"/>
      <c r="OKD10434" s="10367"/>
    </row>
    <row r="10435" spans="2:2 10429:10444" x14ac:dyDescent="0.3">
      <c r="B10435" s="16301"/>
      <c r="OKE10435" s="10368"/>
    </row>
    <row r="10436" spans="2:2 10429:10444" x14ac:dyDescent="0.3">
      <c r="B10436" s="16301"/>
      <c r="OKF10436" s="10369"/>
    </row>
    <row r="10437" spans="2:2 10429:10444" x14ac:dyDescent="0.3">
      <c r="B10437" s="16301"/>
      <c r="OKG10437" s="10370"/>
    </row>
    <row r="10438" spans="2:2 10429:10444" x14ac:dyDescent="0.3">
      <c r="B10438" s="16301"/>
      <c r="OKH10438" s="10371"/>
    </row>
    <row r="10439" spans="2:2 10429:10444" x14ac:dyDescent="0.3">
      <c r="B10439" s="16301"/>
      <c r="OKI10439" s="10372"/>
    </row>
    <row r="10440" spans="2:2 10429:10444" x14ac:dyDescent="0.3">
      <c r="B10440" s="16301"/>
      <c r="OKJ10440" s="10373"/>
    </row>
    <row r="10441" spans="2:2 10429:10444" x14ac:dyDescent="0.3">
      <c r="B10441" s="16301"/>
      <c r="OKK10441" s="10374"/>
    </row>
    <row r="10442" spans="2:2 10429:10444" x14ac:dyDescent="0.3">
      <c r="B10442" s="16301"/>
      <c r="OKL10442" s="10375"/>
    </row>
    <row r="10443" spans="2:2 10429:10444" x14ac:dyDescent="0.3">
      <c r="B10443" s="16301"/>
      <c r="OKM10443" s="10376"/>
    </row>
    <row r="10444" spans="2:2 10429:10444" x14ac:dyDescent="0.3">
      <c r="B10444" s="16301"/>
      <c r="OKN10444" s="10377"/>
    </row>
    <row r="10445" spans="2:2 10429:10444" x14ac:dyDescent="0.3">
      <c r="B10445" s="16301"/>
      <c r="OKO10445" s="10378"/>
    </row>
    <row r="10446" spans="2:2 10429:10444" x14ac:dyDescent="0.3">
      <c r="B10446" s="16301"/>
      <c r="OKP10446" s="10379"/>
    </row>
    <row r="10447" spans="2:2 10429:10444" x14ac:dyDescent="0.3">
      <c r="B10447" s="16301"/>
      <c r="OKQ10447" s="10380"/>
    </row>
    <row r="10448" spans="2:2 10429:10444" x14ac:dyDescent="0.3">
      <c r="B10448" s="16301"/>
      <c r="OKR10448" s="10381"/>
    </row>
    <row r="10449" spans="2:2 10445:10460" x14ac:dyDescent="0.3">
      <c r="B10449" s="16301"/>
      <c r="OKS10449" s="10382"/>
    </row>
    <row r="10450" spans="2:2 10445:10460" x14ac:dyDescent="0.3">
      <c r="B10450" s="16301"/>
      <c r="OKT10450" s="10383"/>
    </row>
    <row r="10451" spans="2:2 10445:10460" x14ac:dyDescent="0.3">
      <c r="B10451" s="16301"/>
      <c r="OKU10451" s="10384"/>
    </row>
    <row r="10452" spans="2:2 10445:10460" x14ac:dyDescent="0.3">
      <c r="B10452" s="16301"/>
      <c r="OKV10452" s="10385"/>
    </row>
    <row r="10453" spans="2:2 10445:10460" x14ac:dyDescent="0.3">
      <c r="B10453" s="16301"/>
      <c r="OKW10453" s="10386"/>
    </row>
    <row r="10454" spans="2:2 10445:10460" x14ac:dyDescent="0.3">
      <c r="B10454" s="16301"/>
      <c r="OKX10454" s="10387"/>
    </row>
    <row r="10455" spans="2:2 10445:10460" x14ac:dyDescent="0.3">
      <c r="B10455" s="16301"/>
      <c r="OKY10455" s="10388"/>
    </row>
    <row r="10456" spans="2:2 10445:10460" x14ac:dyDescent="0.3">
      <c r="B10456" s="16301"/>
      <c r="OKZ10456" s="10389"/>
    </row>
    <row r="10457" spans="2:2 10445:10460" x14ac:dyDescent="0.3">
      <c r="B10457" s="16301"/>
      <c r="OLA10457" s="10390"/>
    </row>
    <row r="10458" spans="2:2 10445:10460" x14ac:dyDescent="0.3">
      <c r="B10458" s="16301"/>
      <c r="OLB10458" s="10391"/>
    </row>
    <row r="10459" spans="2:2 10445:10460" x14ac:dyDescent="0.3">
      <c r="B10459" s="16301"/>
      <c r="OLC10459" s="10392"/>
    </row>
    <row r="10460" spans="2:2 10445:10460" x14ac:dyDescent="0.3">
      <c r="B10460" s="16301"/>
      <c r="OLD10460" s="10393"/>
    </row>
    <row r="10461" spans="2:2 10445:10460" x14ac:dyDescent="0.3">
      <c r="B10461" s="16301"/>
      <c r="OLE10461" s="10394"/>
    </row>
    <row r="10462" spans="2:2 10445:10460" x14ac:dyDescent="0.3">
      <c r="B10462" s="16301"/>
      <c r="OLF10462" s="10395"/>
    </row>
    <row r="10463" spans="2:2 10445:10460" x14ac:dyDescent="0.3">
      <c r="B10463" s="16301"/>
      <c r="OLG10463" s="10396"/>
    </row>
    <row r="10464" spans="2:2 10445:10460" x14ac:dyDescent="0.3">
      <c r="B10464" s="16301"/>
      <c r="OLH10464" s="10397"/>
    </row>
    <row r="10465" spans="2:2 10461:10476" x14ac:dyDescent="0.3">
      <c r="B10465" s="16301"/>
      <c r="OLI10465" s="10398"/>
    </row>
    <row r="10466" spans="2:2 10461:10476" x14ac:dyDescent="0.3">
      <c r="B10466" s="16301"/>
      <c r="OLJ10466" s="10399"/>
    </row>
    <row r="10467" spans="2:2 10461:10476" x14ac:dyDescent="0.3">
      <c r="B10467" s="16301"/>
      <c r="OLK10467" s="10400"/>
    </row>
    <row r="10468" spans="2:2 10461:10476" x14ac:dyDescent="0.3">
      <c r="B10468" s="16301"/>
      <c r="OLL10468" s="10401"/>
    </row>
    <row r="10469" spans="2:2 10461:10476" x14ac:dyDescent="0.3">
      <c r="B10469" s="16301"/>
      <c r="OLM10469" s="10402"/>
    </row>
    <row r="10470" spans="2:2 10461:10476" x14ac:dyDescent="0.3">
      <c r="B10470" s="16301"/>
      <c r="OLN10470" s="10403"/>
    </row>
    <row r="10471" spans="2:2 10461:10476" x14ac:dyDescent="0.3">
      <c r="B10471" s="16301"/>
      <c r="OLO10471" s="10404"/>
    </row>
    <row r="10472" spans="2:2 10461:10476" x14ac:dyDescent="0.3">
      <c r="B10472" s="16301"/>
      <c r="OLP10472" s="10405"/>
    </row>
    <row r="10473" spans="2:2 10461:10476" x14ac:dyDescent="0.3">
      <c r="B10473" s="16301"/>
      <c r="OLQ10473" s="10406"/>
    </row>
    <row r="10474" spans="2:2 10461:10476" x14ac:dyDescent="0.3">
      <c r="B10474" s="16301"/>
      <c r="OLR10474" s="10407"/>
    </row>
    <row r="10475" spans="2:2 10461:10476" x14ac:dyDescent="0.3">
      <c r="B10475" s="16301"/>
      <c r="OLS10475" s="10408"/>
    </row>
    <row r="10476" spans="2:2 10461:10476" x14ac:dyDescent="0.3">
      <c r="B10476" s="16301"/>
      <c r="OLT10476" s="10409"/>
    </row>
    <row r="10477" spans="2:2 10461:10476" x14ac:dyDescent="0.3">
      <c r="B10477" s="16301"/>
      <c r="OLU10477" s="10410"/>
    </row>
    <row r="10478" spans="2:2 10461:10476" x14ac:dyDescent="0.3">
      <c r="B10478" s="16301"/>
      <c r="OLV10478" s="10411"/>
    </row>
    <row r="10479" spans="2:2 10461:10476" x14ac:dyDescent="0.3">
      <c r="B10479" s="16301"/>
      <c r="OLW10479" s="10412"/>
    </row>
    <row r="10480" spans="2:2 10461:10476" x14ac:dyDescent="0.3">
      <c r="B10480" s="16301"/>
      <c r="OLX10480" s="10413"/>
    </row>
    <row r="10481" spans="2:2 10477:10492" x14ac:dyDescent="0.3">
      <c r="B10481" s="16301"/>
      <c r="OLY10481" s="10414"/>
    </row>
    <row r="10482" spans="2:2 10477:10492" x14ac:dyDescent="0.3">
      <c r="B10482" s="16301"/>
      <c r="OLZ10482" s="10415"/>
    </row>
    <row r="10483" spans="2:2 10477:10492" x14ac:dyDescent="0.3">
      <c r="B10483" s="16301"/>
      <c r="OMA10483" s="10416"/>
    </row>
    <row r="10484" spans="2:2 10477:10492" x14ac:dyDescent="0.3">
      <c r="B10484" s="16301"/>
      <c r="OMB10484" s="10417"/>
    </row>
    <row r="10485" spans="2:2 10477:10492" x14ac:dyDescent="0.3">
      <c r="B10485" s="16301"/>
      <c r="OMC10485" s="10418"/>
    </row>
    <row r="10486" spans="2:2 10477:10492" x14ac:dyDescent="0.3">
      <c r="B10486" s="16301"/>
      <c r="OMD10486" s="10419"/>
    </row>
    <row r="10487" spans="2:2 10477:10492" x14ac:dyDescent="0.3">
      <c r="B10487" s="16301"/>
      <c r="OME10487" s="10420"/>
    </row>
    <row r="10488" spans="2:2 10477:10492" x14ac:dyDescent="0.3">
      <c r="B10488" s="16301"/>
      <c r="OMF10488" s="10421"/>
    </row>
    <row r="10489" spans="2:2 10477:10492" x14ac:dyDescent="0.3">
      <c r="B10489" s="16301"/>
      <c r="OMG10489" s="10422"/>
    </row>
    <row r="10490" spans="2:2 10477:10492" x14ac:dyDescent="0.3">
      <c r="B10490" s="16301"/>
      <c r="OMH10490" s="10423"/>
    </row>
    <row r="10491" spans="2:2 10477:10492" x14ac:dyDescent="0.3">
      <c r="B10491" s="16301"/>
      <c r="OMI10491" s="10424"/>
    </row>
    <row r="10492" spans="2:2 10477:10492" x14ac:dyDescent="0.3">
      <c r="B10492" s="16301"/>
      <c r="OMJ10492" s="10425"/>
    </row>
    <row r="10493" spans="2:2 10477:10492" x14ac:dyDescent="0.3">
      <c r="B10493" s="16301"/>
      <c r="OMK10493" s="10426"/>
    </row>
    <row r="10494" spans="2:2 10477:10492" x14ac:dyDescent="0.3">
      <c r="B10494" s="16301"/>
      <c r="OML10494" s="10427"/>
    </row>
    <row r="10495" spans="2:2 10477:10492" x14ac:dyDescent="0.3">
      <c r="B10495" s="16301"/>
      <c r="OMM10495" s="10428"/>
    </row>
    <row r="10496" spans="2:2 10477:10492" x14ac:dyDescent="0.3">
      <c r="B10496" s="16301"/>
      <c r="OMN10496" s="10429"/>
    </row>
    <row r="10497" spans="2:2 10493:10508" x14ac:dyDescent="0.3">
      <c r="B10497" s="16301"/>
      <c r="OMO10497" s="10430"/>
    </row>
    <row r="10498" spans="2:2 10493:10508" x14ac:dyDescent="0.3">
      <c r="B10498" s="16301"/>
      <c r="OMP10498" s="10431"/>
    </row>
    <row r="10499" spans="2:2 10493:10508" x14ac:dyDescent="0.3">
      <c r="B10499" s="16301"/>
      <c r="OMQ10499" s="10432"/>
    </row>
    <row r="10500" spans="2:2 10493:10508" x14ac:dyDescent="0.3">
      <c r="B10500" s="16301"/>
      <c r="OMR10500" s="10433"/>
    </row>
    <row r="10501" spans="2:2 10493:10508" x14ac:dyDescent="0.3">
      <c r="B10501" s="16301"/>
      <c r="OMS10501" s="10434"/>
    </row>
    <row r="10502" spans="2:2 10493:10508" x14ac:dyDescent="0.3">
      <c r="B10502" s="16301"/>
      <c r="OMT10502" s="10435"/>
    </row>
    <row r="10503" spans="2:2 10493:10508" x14ac:dyDescent="0.3">
      <c r="B10503" s="16301"/>
      <c r="OMU10503" s="10436"/>
    </row>
    <row r="10504" spans="2:2 10493:10508" x14ac:dyDescent="0.3">
      <c r="B10504" s="16301"/>
      <c r="OMV10504" s="10437"/>
    </row>
    <row r="10505" spans="2:2 10493:10508" x14ac:dyDescent="0.3">
      <c r="B10505" s="16301"/>
      <c r="OMW10505" s="10438"/>
    </row>
    <row r="10506" spans="2:2 10493:10508" x14ac:dyDescent="0.3">
      <c r="B10506" s="16301"/>
      <c r="OMX10506" s="10439"/>
    </row>
    <row r="10507" spans="2:2 10493:10508" x14ac:dyDescent="0.3">
      <c r="B10507" s="16301"/>
      <c r="OMY10507" s="10440"/>
    </row>
    <row r="10508" spans="2:2 10493:10508" x14ac:dyDescent="0.3">
      <c r="B10508" s="16301"/>
      <c r="OMZ10508" s="10441"/>
    </row>
    <row r="10509" spans="2:2 10493:10508" x14ac:dyDescent="0.3">
      <c r="B10509" s="16301"/>
      <c r="ONA10509" s="10442"/>
    </row>
    <row r="10510" spans="2:2 10493:10508" x14ac:dyDescent="0.3">
      <c r="B10510" s="16301"/>
      <c r="ONB10510" s="10443"/>
    </row>
    <row r="10511" spans="2:2 10493:10508" x14ac:dyDescent="0.3">
      <c r="B10511" s="16301"/>
      <c r="ONC10511" s="10444"/>
    </row>
    <row r="10512" spans="2:2 10493:10508" x14ac:dyDescent="0.3">
      <c r="B10512" s="16301"/>
      <c r="OND10512" s="10445"/>
    </row>
    <row r="10513" spans="2:2 10509:10524" x14ac:dyDescent="0.3">
      <c r="B10513" s="16301"/>
      <c r="ONE10513" s="10446"/>
    </row>
    <row r="10514" spans="2:2 10509:10524" x14ac:dyDescent="0.3">
      <c r="B10514" s="16301"/>
      <c r="ONF10514" s="10447"/>
    </row>
    <row r="10515" spans="2:2 10509:10524" x14ac:dyDescent="0.3">
      <c r="B10515" s="16301"/>
      <c r="ONG10515" s="10448"/>
    </row>
    <row r="10516" spans="2:2 10509:10524" x14ac:dyDescent="0.3">
      <c r="B10516" s="16301"/>
      <c r="ONH10516" s="10449"/>
    </row>
    <row r="10517" spans="2:2 10509:10524" x14ac:dyDescent="0.3">
      <c r="B10517" s="16301"/>
      <c r="ONI10517" s="10450"/>
    </row>
    <row r="10518" spans="2:2 10509:10524" x14ac:dyDescent="0.3">
      <c r="B10518" s="16301"/>
      <c r="ONJ10518" s="10451"/>
    </row>
    <row r="10519" spans="2:2 10509:10524" x14ac:dyDescent="0.3">
      <c r="B10519" s="16301"/>
      <c r="ONK10519" s="10452"/>
    </row>
    <row r="10520" spans="2:2 10509:10524" x14ac:dyDescent="0.3">
      <c r="B10520" s="16301"/>
      <c r="ONL10520" s="10453"/>
    </row>
    <row r="10521" spans="2:2 10509:10524" x14ac:dyDescent="0.3">
      <c r="B10521" s="16301"/>
      <c r="ONM10521" s="10454"/>
    </row>
    <row r="10522" spans="2:2 10509:10524" x14ac:dyDescent="0.3">
      <c r="B10522" s="16301"/>
      <c r="ONN10522" s="10455"/>
    </row>
    <row r="10523" spans="2:2 10509:10524" x14ac:dyDescent="0.3">
      <c r="B10523" s="16301"/>
      <c r="ONO10523" s="10456"/>
    </row>
    <row r="10524" spans="2:2 10509:10524" x14ac:dyDescent="0.3">
      <c r="B10524" s="16301"/>
      <c r="ONP10524" s="10457"/>
    </row>
    <row r="10525" spans="2:2 10509:10524" x14ac:dyDescent="0.3">
      <c r="B10525" s="16301"/>
      <c r="ONQ10525" s="10458"/>
    </row>
    <row r="10526" spans="2:2 10509:10524" x14ac:dyDescent="0.3">
      <c r="B10526" s="16301"/>
      <c r="ONR10526" s="10459"/>
    </row>
    <row r="10527" spans="2:2 10509:10524" x14ac:dyDescent="0.3">
      <c r="B10527" s="16301"/>
      <c r="ONS10527" s="10460"/>
    </row>
    <row r="10528" spans="2:2 10509:10524" x14ac:dyDescent="0.3">
      <c r="B10528" s="16301"/>
      <c r="ONT10528" s="10461"/>
    </row>
    <row r="10529" spans="2:2 10525:10540" x14ac:dyDescent="0.3">
      <c r="B10529" s="16301"/>
      <c r="ONU10529" s="10462"/>
    </row>
    <row r="10530" spans="2:2 10525:10540" x14ac:dyDescent="0.3">
      <c r="B10530" s="16301"/>
      <c r="ONV10530" s="10463"/>
    </row>
    <row r="10531" spans="2:2 10525:10540" x14ac:dyDescent="0.3">
      <c r="B10531" s="16301"/>
      <c r="ONW10531" s="10464"/>
    </row>
    <row r="10532" spans="2:2 10525:10540" x14ac:dyDescent="0.3">
      <c r="B10532" s="16301"/>
      <c r="ONX10532" s="10465"/>
    </row>
    <row r="10533" spans="2:2 10525:10540" x14ac:dyDescent="0.3">
      <c r="B10533" s="16301"/>
      <c r="ONY10533" s="10466"/>
    </row>
    <row r="10534" spans="2:2 10525:10540" x14ac:dyDescent="0.3">
      <c r="B10534" s="16301"/>
      <c r="ONZ10534" s="10467"/>
    </row>
    <row r="10535" spans="2:2 10525:10540" x14ac:dyDescent="0.3">
      <c r="B10535" s="16301"/>
      <c r="OOA10535" s="10468"/>
    </row>
    <row r="10536" spans="2:2 10525:10540" x14ac:dyDescent="0.3">
      <c r="B10536" s="16301"/>
      <c r="OOB10536" s="10469"/>
    </row>
    <row r="10537" spans="2:2 10525:10540" x14ac:dyDescent="0.3">
      <c r="B10537" s="16301"/>
      <c r="OOC10537" s="10470"/>
    </row>
    <row r="10538" spans="2:2 10525:10540" x14ac:dyDescent="0.3">
      <c r="B10538" s="16301"/>
      <c r="OOD10538" s="10471"/>
    </row>
    <row r="10539" spans="2:2 10525:10540" x14ac:dyDescent="0.3">
      <c r="B10539" s="16301"/>
      <c r="OOE10539" s="10472"/>
    </row>
    <row r="10540" spans="2:2 10525:10540" x14ac:dyDescent="0.3">
      <c r="B10540" s="16301"/>
      <c r="OOF10540" s="10473"/>
    </row>
    <row r="10541" spans="2:2 10525:10540" x14ac:dyDescent="0.3">
      <c r="B10541" s="16301"/>
      <c r="OOG10541" s="10474"/>
    </row>
    <row r="10542" spans="2:2 10525:10540" x14ac:dyDescent="0.3">
      <c r="B10542" s="16301"/>
      <c r="OOH10542" s="10475"/>
    </row>
    <row r="10543" spans="2:2 10525:10540" x14ac:dyDescent="0.3">
      <c r="B10543" s="16301"/>
      <c r="OOI10543" s="10475"/>
    </row>
    <row r="10544" spans="2:2 10525:10540" x14ac:dyDescent="0.3">
      <c r="B10544" s="16301"/>
      <c r="OOJ10544" s="10476"/>
    </row>
    <row r="10545" spans="2:2 10541:10556" x14ac:dyDescent="0.3">
      <c r="B10545" s="16301"/>
      <c r="OOK10545" s="10477"/>
    </row>
    <row r="10546" spans="2:2 10541:10556" x14ac:dyDescent="0.3">
      <c r="B10546" s="16301"/>
      <c r="OOL10546" s="10478"/>
    </row>
    <row r="10547" spans="2:2 10541:10556" x14ac:dyDescent="0.3">
      <c r="B10547" s="16301"/>
      <c r="OOM10547" s="10479"/>
    </row>
    <row r="10548" spans="2:2 10541:10556" x14ac:dyDescent="0.3">
      <c r="B10548" s="16301"/>
      <c r="OON10548" s="10480"/>
    </row>
    <row r="10549" spans="2:2 10541:10556" x14ac:dyDescent="0.3">
      <c r="B10549" s="16301"/>
      <c r="OOO10549" s="10481"/>
    </row>
    <row r="10550" spans="2:2 10541:10556" x14ac:dyDescent="0.3">
      <c r="B10550" s="16301"/>
      <c r="OOP10550" s="10482"/>
    </row>
    <row r="10551" spans="2:2 10541:10556" x14ac:dyDescent="0.3">
      <c r="B10551" s="16301"/>
      <c r="OOQ10551" s="10483"/>
    </row>
    <row r="10552" spans="2:2 10541:10556" x14ac:dyDescent="0.3">
      <c r="B10552" s="16301"/>
      <c r="OOR10552" s="10484"/>
    </row>
    <row r="10553" spans="2:2 10541:10556" x14ac:dyDescent="0.3">
      <c r="B10553" s="16301"/>
      <c r="OOS10553" s="10485"/>
    </row>
    <row r="10554" spans="2:2 10541:10556" x14ac:dyDescent="0.3">
      <c r="B10554" s="16301"/>
      <c r="OOT10554" s="10486"/>
    </row>
    <row r="10555" spans="2:2 10541:10556" x14ac:dyDescent="0.3">
      <c r="B10555" s="16301"/>
      <c r="OOU10555" s="10487"/>
    </row>
    <row r="10556" spans="2:2 10541:10556" x14ac:dyDescent="0.3">
      <c r="B10556" s="16301"/>
      <c r="OOV10556" s="10488"/>
    </row>
    <row r="10557" spans="2:2 10541:10556" x14ac:dyDescent="0.3">
      <c r="B10557" s="16301"/>
      <c r="OOW10557" s="10489"/>
    </row>
    <row r="10558" spans="2:2 10541:10556" x14ac:dyDescent="0.3">
      <c r="B10558" s="16301"/>
      <c r="OOX10558" s="10490"/>
    </row>
    <row r="10559" spans="2:2 10541:10556" x14ac:dyDescent="0.3">
      <c r="B10559" s="16301"/>
      <c r="OOY10559" s="10491"/>
    </row>
    <row r="10560" spans="2:2 10541:10556" x14ac:dyDescent="0.3">
      <c r="B10560" s="16301"/>
      <c r="OOZ10560" s="10492"/>
    </row>
    <row r="10561" spans="2:2 10557:10572" x14ac:dyDescent="0.3">
      <c r="B10561" s="16301"/>
      <c r="OPA10561" s="10493"/>
    </row>
    <row r="10562" spans="2:2 10557:10572" x14ac:dyDescent="0.3">
      <c r="B10562" s="16301"/>
      <c r="OPB10562" s="10494"/>
    </row>
    <row r="10563" spans="2:2 10557:10572" x14ac:dyDescent="0.3">
      <c r="B10563" s="16301"/>
      <c r="OPC10563" s="10495"/>
    </row>
    <row r="10564" spans="2:2 10557:10572" x14ac:dyDescent="0.3">
      <c r="B10564" s="16301"/>
      <c r="OPD10564" s="10496"/>
    </row>
    <row r="10565" spans="2:2 10557:10572" x14ac:dyDescent="0.3">
      <c r="B10565" s="16301"/>
      <c r="OPE10565" s="10497"/>
    </row>
    <row r="10566" spans="2:2 10557:10572" x14ac:dyDescent="0.3">
      <c r="B10566" s="16301"/>
      <c r="OPF10566" s="10498"/>
    </row>
    <row r="10567" spans="2:2 10557:10572" x14ac:dyDescent="0.3">
      <c r="B10567" s="16301"/>
      <c r="OPG10567" s="10499"/>
    </row>
    <row r="10568" spans="2:2 10557:10572" x14ac:dyDescent="0.3">
      <c r="B10568" s="16301"/>
      <c r="OPH10568" s="10500"/>
    </row>
    <row r="10569" spans="2:2 10557:10572" x14ac:dyDescent="0.3">
      <c r="B10569" s="16301"/>
      <c r="OPI10569" s="10501"/>
    </row>
    <row r="10570" spans="2:2 10557:10572" x14ac:dyDescent="0.3">
      <c r="B10570" s="16301"/>
      <c r="OPJ10570" s="10502"/>
    </row>
    <row r="10571" spans="2:2 10557:10572" x14ac:dyDescent="0.3">
      <c r="B10571" s="16301"/>
      <c r="OPK10571" s="10503"/>
    </row>
    <row r="10572" spans="2:2 10557:10572" x14ac:dyDescent="0.3">
      <c r="B10572" s="16301"/>
      <c r="OPL10572" s="10504"/>
    </row>
    <row r="10573" spans="2:2 10557:10572" x14ac:dyDescent="0.3">
      <c r="B10573" s="16301"/>
      <c r="OPM10573" s="10505"/>
    </row>
    <row r="10574" spans="2:2 10557:10572" x14ac:dyDescent="0.3">
      <c r="B10574" s="16301"/>
      <c r="OPN10574" s="10506"/>
    </row>
    <row r="10575" spans="2:2 10557:10572" x14ac:dyDescent="0.3">
      <c r="B10575" s="16301"/>
      <c r="OPO10575" s="10507"/>
    </row>
    <row r="10576" spans="2:2 10557:10572" x14ac:dyDescent="0.3">
      <c r="B10576" s="16301"/>
      <c r="OPP10576" s="10508"/>
    </row>
    <row r="10577" spans="2:2 10573:10588" x14ac:dyDescent="0.3">
      <c r="B10577" s="16301"/>
      <c r="OPQ10577" s="10509"/>
    </row>
    <row r="10578" spans="2:2 10573:10588" x14ac:dyDescent="0.3">
      <c r="B10578" s="16301"/>
      <c r="OPR10578" s="10510"/>
    </row>
    <row r="10579" spans="2:2 10573:10588" x14ac:dyDescent="0.3">
      <c r="B10579" s="16301"/>
      <c r="OPS10579" s="10511"/>
    </row>
    <row r="10580" spans="2:2 10573:10588" x14ac:dyDescent="0.3">
      <c r="B10580" s="16301"/>
      <c r="OPT10580" s="10512"/>
    </row>
    <row r="10581" spans="2:2 10573:10588" x14ac:dyDescent="0.3">
      <c r="B10581" s="16301"/>
      <c r="OPU10581" s="10513"/>
    </row>
    <row r="10582" spans="2:2 10573:10588" x14ac:dyDescent="0.3">
      <c r="B10582" s="16301"/>
      <c r="OPV10582" s="10514"/>
    </row>
    <row r="10583" spans="2:2 10573:10588" x14ac:dyDescent="0.3">
      <c r="B10583" s="16301"/>
      <c r="OPW10583" s="10515"/>
    </row>
    <row r="10584" spans="2:2 10573:10588" x14ac:dyDescent="0.3">
      <c r="B10584" s="16301"/>
      <c r="OPX10584" s="10516"/>
    </row>
    <row r="10585" spans="2:2 10573:10588" x14ac:dyDescent="0.3">
      <c r="B10585" s="16301"/>
      <c r="OPY10585" s="10517"/>
    </row>
    <row r="10586" spans="2:2 10573:10588" x14ac:dyDescent="0.3">
      <c r="B10586" s="16301"/>
      <c r="OPZ10586" s="10518"/>
    </row>
    <row r="10587" spans="2:2 10573:10588" x14ac:dyDescent="0.3">
      <c r="B10587" s="16301"/>
      <c r="OQA10587" s="10519"/>
    </row>
    <row r="10588" spans="2:2 10573:10588" x14ac:dyDescent="0.3">
      <c r="B10588" s="16301"/>
      <c r="OQB10588" s="10520"/>
    </row>
    <row r="10589" spans="2:2 10573:10588" x14ac:dyDescent="0.3">
      <c r="B10589" s="16301"/>
      <c r="OQC10589" s="10521"/>
    </row>
    <row r="10590" spans="2:2 10573:10588" x14ac:dyDescent="0.3">
      <c r="B10590" s="16301"/>
      <c r="OQD10590" s="10522"/>
    </row>
    <row r="10591" spans="2:2 10573:10588" x14ac:dyDescent="0.3">
      <c r="B10591" s="16301"/>
      <c r="OQE10591" s="10523"/>
    </row>
    <row r="10592" spans="2:2 10573:10588" x14ac:dyDescent="0.3">
      <c r="B10592" s="16301"/>
      <c r="OQF10592" s="10524"/>
    </row>
    <row r="10593" spans="2:2 10589:10604" x14ac:dyDescent="0.3">
      <c r="B10593" s="16301"/>
      <c r="OQG10593" s="10525"/>
    </row>
    <row r="10594" spans="2:2 10589:10604" x14ac:dyDescent="0.3">
      <c r="B10594" s="16301"/>
      <c r="OQH10594" s="10526"/>
    </row>
    <row r="10595" spans="2:2 10589:10604" x14ac:dyDescent="0.3">
      <c r="B10595" s="16301"/>
      <c r="OQI10595" s="10527"/>
    </row>
    <row r="10596" spans="2:2 10589:10604" x14ac:dyDescent="0.3">
      <c r="B10596" s="16301"/>
      <c r="OQJ10596" s="10528"/>
    </row>
    <row r="10597" spans="2:2 10589:10604" x14ac:dyDescent="0.3">
      <c r="B10597" s="16301"/>
      <c r="OQK10597" s="10529"/>
    </row>
    <row r="10598" spans="2:2 10589:10604" x14ac:dyDescent="0.3">
      <c r="B10598" s="16301"/>
      <c r="OQL10598" s="10530"/>
    </row>
    <row r="10599" spans="2:2 10589:10604" x14ac:dyDescent="0.3">
      <c r="B10599" s="16301"/>
      <c r="OQM10599" s="10531"/>
    </row>
    <row r="10600" spans="2:2 10589:10604" x14ac:dyDescent="0.3">
      <c r="B10600" s="16301"/>
      <c r="OQN10600" s="10532"/>
    </row>
    <row r="10601" spans="2:2 10589:10604" x14ac:dyDescent="0.3">
      <c r="B10601" s="16301"/>
      <c r="OQO10601" s="10533"/>
    </row>
    <row r="10602" spans="2:2 10589:10604" x14ac:dyDescent="0.3">
      <c r="B10602" s="16301"/>
      <c r="OQP10602" s="10534"/>
    </row>
    <row r="10603" spans="2:2 10589:10604" x14ac:dyDescent="0.3">
      <c r="B10603" s="16301"/>
      <c r="OQQ10603" s="10535"/>
    </row>
    <row r="10604" spans="2:2 10589:10604" x14ac:dyDescent="0.3">
      <c r="B10604" s="16301"/>
      <c r="OQR10604" s="10536"/>
    </row>
    <row r="10605" spans="2:2 10589:10604" x14ac:dyDescent="0.3">
      <c r="B10605" s="16301"/>
      <c r="OQS10605" s="10537"/>
    </row>
    <row r="10606" spans="2:2 10589:10604" x14ac:dyDescent="0.3">
      <c r="B10606" s="16301"/>
      <c r="OQT10606" s="10538"/>
    </row>
    <row r="10607" spans="2:2 10589:10604" x14ac:dyDescent="0.3">
      <c r="B10607" s="16301"/>
      <c r="OQU10607" s="10539"/>
    </row>
    <row r="10608" spans="2:2 10589:10604" x14ac:dyDescent="0.3">
      <c r="B10608" s="16301"/>
      <c r="OQV10608" s="10540"/>
    </row>
    <row r="10609" spans="2:2 10605:10620" x14ac:dyDescent="0.3">
      <c r="B10609" s="16301"/>
      <c r="OQW10609" s="10541"/>
    </row>
    <row r="10610" spans="2:2 10605:10620" x14ac:dyDescent="0.3">
      <c r="B10610" s="16301"/>
      <c r="OQX10610" s="10542"/>
    </row>
    <row r="10611" spans="2:2 10605:10620" x14ac:dyDescent="0.3">
      <c r="B10611" s="16301"/>
      <c r="OQY10611" s="10543"/>
    </row>
    <row r="10612" spans="2:2 10605:10620" x14ac:dyDescent="0.3">
      <c r="B10612" s="16301"/>
      <c r="OQZ10612" s="10544"/>
    </row>
    <row r="10613" spans="2:2 10605:10620" x14ac:dyDescent="0.3">
      <c r="B10613" s="16301"/>
      <c r="ORA10613" s="10545"/>
    </row>
    <row r="10614" spans="2:2 10605:10620" x14ac:dyDescent="0.3">
      <c r="B10614" s="16301"/>
      <c r="ORB10614" s="10546"/>
    </row>
    <row r="10615" spans="2:2 10605:10620" x14ac:dyDescent="0.3">
      <c r="B10615" s="16301"/>
      <c r="ORC10615" s="10547"/>
    </row>
    <row r="10616" spans="2:2 10605:10620" x14ac:dyDescent="0.3">
      <c r="B10616" s="16301"/>
      <c r="ORD10616" s="10548"/>
    </row>
    <row r="10617" spans="2:2 10605:10620" x14ac:dyDescent="0.3">
      <c r="B10617" s="16301"/>
      <c r="ORE10617" s="10549"/>
    </row>
    <row r="10618" spans="2:2 10605:10620" x14ac:dyDescent="0.3">
      <c r="B10618" s="16301"/>
      <c r="ORF10618" s="10550"/>
    </row>
    <row r="10619" spans="2:2 10605:10620" x14ac:dyDescent="0.3">
      <c r="B10619" s="16301"/>
      <c r="ORG10619" s="10551"/>
    </row>
    <row r="10620" spans="2:2 10605:10620" x14ac:dyDescent="0.3">
      <c r="B10620" s="16301"/>
      <c r="ORH10620" s="10552"/>
    </row>
    <row r="10621" spans="2:2 10605:10620" x14ac:dyDescent="0.3">
      <c r="B10621" s="16301"/>
      <c r="ORI10621" s="10553"/>
    </row>
    <row r="10622" spans="2:2 10605:10620" x14ac:dyDescent="0.3">
      <c r="B10622" s="16301"/>
      <c r="ORJ10622" s="10554"/>
    </row>
    <row r="10623" spans="2:2 10605:10620" x14ac:dyDescent="0.3">
      <c r="B10623" s="16301"/>
      <c r="ORK10623" s="10555"/>
    </row>
    <row r="10624" spans="2:2 10605:10620" x14ac:dyDescent="0.3">
      <c r="B10624" s="16301"/>
      <c r="ORL10624" s="10556"/>
    </row>
    <row r="10625" spans="2:2 10621:10636" x14ac:dyDescent="0.3">
      <c r="B10625" s="16301"/>
      <c r="ORM10625" s="10557"/>
    </row>
    <row r="10626" spans="2:2 10621:10636" x14ac:dyDescent="0.3">
      <c r="B10626" s="16301"/>
      <c r="ORN10626" s="10558"/>
    </row>
    <row r="10627" spans="2:2 10621:10636" x14ac:dyDescent="0.3">
      <c r="B10627" s="16301"/>
      <c r="ORO10627" s="10559"/>
    </row>
    <row r="10628" spans="2:2 10621:10636" x14ac:dyDescent="0.3">
      <c r="B10628" s="16301"/>
      <c r="ORP10628" s="10560"/>
    </row>
    <row r="10629" spans="2:2 10621:10636" x14ac:dyDescent="0.3">
      <c r="B10629" s="16301"/>
      <c r="ORQ10629" s="10561"/>
    </row>
    <row r="10630" spans="2:2 10621:10636" x14ac:dyDescent="0.3">
      <c r="B10630" s="16301"/>
      <c r="ORR10630" s="10562"/>
    </row>
    <row r="10631" spans="2:2 10621:10636" x14ac:dyDescent="0.3">
      <c r="B10631" s="16301"/>
      <c r="ORS10631" s="10563"/>
    </row>
    <row r="10632" spans="2:2 10621:10636" x14ac:dyDescent="0.3">
      <c r="B10632" s="16301"/>
      <c r="ORT10632" s="10564"/>
    </row>
    <row r="10633" spans="2:2 10621:10636" x14ac:dyDescent="0.3">
      <c r="B10633" s="16301"/>
      <c r="ORU10633" s="10565"/>
    </row>
    <row r="10634" spans="2:2 10621:10636" x14ac:dyDescent="0.3">
      <c r="B10634" s="16301"/>
      <c r="ORV10634" s="10566"/>
    </row>
    <row r="10635" spans="2:2 10621:10636" x14ac:dyDescent="0.3">
      <c r="B10635" s="16301"/>
      <c r="ORW10635" s="10567"/>
    </row>
    <row r="10636" spans="2:2 10621:10636" x14ac:dyDescent="0.3">
      <c r="B10636" s="16301"/>
      <c r="ORX10636" s="10568"/>
    </row>
    <row r="10637" spans="2:2 10621:10636" x14ac:dyDescent="0.3">
      <c r="B10637" s="16301"/>
      <c r="ORY10637" s="10569"/>
    </row>
    <row r="10638" spans="2:2 10621:10636" x14ac:dyDescent="0.3">
      <c r="B10638" s="16301"/>
      <c r="ORZ10638" s="10570"/>
    </row>
    <row r="10639" spans="2:2 10621:10636" x14ac:dyDescent="0.3">
      <c r="B10639" s="16301"/>
      <c r="OSA10639" s="10571"/>
    </row>
    <row r="10640" spans="2:2 10621:10636" x14ac:dyDescent="0.3">
      <c r="B10640" s="16301"/>
      <c r="OSB10640" s="10572"/>
    </row>
    <row r="10641" spans="2:2 10637:10652" x14ac:dyDescent="0.3">
      <c r="B10641" s="16301"/>
      <c r="OSC10641" s="10573"/>
    </row>
    <row r="10642" spans="2:2 10637:10652" x14ac:dyDescent="0.3">
      <c r="B10642" s="16301"/>
      <c r="OSD10642" s="10574"/>
    </row>
    <row r="10643" spans="2:2 10637:10652" x14ac:dyDescent="0.3">
      <c r="B10643" s="16301"/>
      <c r="OSE10643" s="10575"/>
    </row>
    <row r="10644" spans="2:2 10637:10652" x14ac:dyDescent="0.3">
      <c r="B10644" s="16301"/>
      <c r="OSF10644" s="10576"/>
    </row>
    <row r="10645" spans="2:2 10637:10652" x14ac:dyDescent="0.3">
      <c r="B10645" s="16301"/>
      <c r="OSG10645" s="10577"/>
    </row>
    <row r="10646" spans="2:2 10637:10652" x14ac:dyDescent="0.3">
      <c r="B10646" s="16301"/>
      <c r="OSH10646" s="10578"/>
    </row>
    <row r="10647" spans="2:2 10637:10652" x14ac:dyDescent="0.3">
      <c r="B10647" s="16301"/>
      <c r="OSI10647" s="10579"/>
    </row>
    <row r="10648" spans="2:2 10637:10652" x14ac:dyDescent="0.3">
      <c r="B10648" s="16301"/>
      <c r="OSJ10648" s="10580"/>
    </row>
    <row r="10649" spans="2:2 10637:10652" x14ac:dyDescent="0.3">
      <c r="B10649" s="16301"/>
      <c r="OSK10649" s="10581"/>
    </row>
    <row r="10650" spans="2:2 10637:10652" x14ac:dyDescent="0.3">
      <c r="B10650" s="16301"/>
      <c r="OSL10650" s="10582"/>
    </row>
    <row r="10651" spans="2:2 10637:10652" x14ac:dyDescent="0.3">
      <c r="B10651" s="16301"/>
      <c r="OSM10651" s="10583"/>
    </row>
    <row r="10652" spans="2:2 10637:10652" x14ac:dyDescent="0.3">
      <c r="B10652" s="16301"/>
      <c r="OSN10652" s="10584"/>
    </row>
    <row r="10653" spans="2:2 10637:10652" x14ac:dyDescent="0.3">
      <c r="B10653" s="16301"/>
      <c r="OSO10653" s="10585"/>
    </row>
    <row r="10654" spans="2:2 10637:10652" x14ac:dyDescent="0.3">
      <c r="B10654" s="16301"/>
      <c r="OSP10654" s="10586"/>
    </row>
    <row r="10655" spans="2:2 10637:10652" x14ac:dyDescent="0.3">
      <c r="B10655" s="16301"/>
      <c r="OSQ10655" s="10587"/>
    </row>
    <row r="10656" spans="2:2 10637:10652" x14ac:dyDescent="0.3">
      <c r="B10656" s="16301"/>
      <c r="OSR10656" s="10588"/>
    </row>
    <row r="10657" spans="2:2 10653:10668" x14ac:dyDescent="0.3">
      <c r="B10657" s="16301"/>
      <c r="OSS10657" s="10589"/>
    </row>
    <row r="10658" spans="2:2 10653:10668" x14ac:dyDescent="0.3">
      <c r="B10658" s="16301"/>
      <c r="OST10658" s="10590"/>
    </row>
    <row r="10659" spans="2:2 10653:10668" x14ac:dyDescent="0.3">
      <c r="B10659" s="16301"/>
      <c r="OSU10659" s="10591"/>
    </row>
    <row r="10660" spans="2:2 10653:10668" x14ac:dyDescent="0.3">
      <c r="B10660" s="16301"/>
      <c r="OSV10660" s="10592"/>
    </row>
    <row r="10661" spans="2:2 10653:10668" x14ac:dyDescent="0.3">
      <c r="B10661" s="16301"/>
      <c r="OSW10661" s="10593"/>
    </row>
    <row r="10662" spans="2:2 10653:10668" x14ac:dyDescent="0.3">
      <c r="B10662" s="16301"/>
      <c r="OSX10662" s="10594"/>
    </row>
    <row r="10663" spans="2:2 10653:10668" x14ac:dyDescent="0.3">
      <c r="B10663" s="16301"/>
      <c r="OSY10663" s="10595"/>
    </row>
    <row r="10664" spans="2:2 10653:10668" x14ac:dyDescent="0.3">
      <c r="B10664" s="16301"/>
      <c r="OSZ10664" s="10596"/>
    </row>
    <row r="10665" spans="2:2 10653:10668" x14ac:dyDescent="0.3">
      <c r="B10665" s="16301"/>
      <c r="OTA10665" s="10597"/>
    </row>
    <row r="10666" spans="2:2 10653:10668" x14ac:dyDescent="0.3">
      <c r="B10666" s="16301"/>
      <c r="OTB10666" s="10598"/>
    </row>
    <row r="10667" spans="2:2 10653:10668" x14ac:dyDescent="0.3">
      <c r="B10667" s="16301"/>
      <c r="OTC10667" s="10599"/>
    </row>
    <row r="10668" spans="2:2 10653:10668" x14ac:dyDescent="0.3">
      <c r="B10668" s="16301"/>
      <c r="OTD10668" s="10600"/>
    </row>
    <row r="10669" spans="2:2 10653:10668" x14ac:dyDescent="0.3">
      <c r="B10669" s="16301"/>
      <c r="OTE10669" s="10601"/>
    </row>
    <row r="10670" spans="2:2 10653:10668" x14ac:dyDescent="0.3">
      <c r="B10670" s="16301"/>
      <c r="OTF10670" s="10602"/>
    </row>
    <row r="10671" spans="2:2 10653:10668" x14ac:dyDescent="0.3">
      <c r="B10671" s="16301"/>
      <c r="OTG10671" s="10603"/>
    </row>
    <row r="10672" spans="2:2 10653:10668" x14ac:dyDescent="0.3">
      <c r="B10672" s="16301"/>
      <c r="OTH10672" s="10604"/>
    </row>
    <row r="10673" spans="2:2 10669:10684" x14ac:dyDescent="0.3">
      <c r="B10673" s="16301"/>
      <c r="OTI10673" s="10605"/>
    </row>
    <row r="10674" spans="2:2 10669:10684" x14ac:dyDescent="0.3">
      <c r="B10674" s="16301"/>
      <c r="OTJ10674" s="10606"/>
    </row>
    <row r="10675" spans="2:2 10669:10684" x14ac:dyDescent="0.3">
      <c r="B10675" s="16301"/>
      <c r="OTK10675" s="10607"/>
    </row>
    <row r="10676" spans="2:2 10669:10684" x14ac:dyDescent="0.3">
      <c r="B10676" s="16301"/>
      <c r="OTL10676" s="10608"/>
    </row>
    <row r="10677" spans="2:2 10669:10684" x14ac:dyDescent="0.3">
      <c r="B10677" s="16301"/>
      <c r="OTM10677" s="10609"/>
    </row>
    <row r="10678" spans="2:2 10669:10684" x14ac:dyDescent="0.3">
      <c r="B10678" s="16301"/>
      <c r="OTN10678" s="10610"/>
    </row>
    <row r="10679" spans="2:2 10669:10684" x14ac:dyDescent="0.3">
      <c r="B10679" s="16301"/>
      <c r="OTO10679" s="10611"/>
    </row>
    <row r="10680" spans="2:2 10669:10684" x14ac:dyDescent="0.3">
      <c r="B10680" s="16301"/>
      <c r="OTP10680" s="10612"/>
    </row>
    <row r="10681" spans="2:2 10669:10684" x14ac:dyDescent="0.3">
      <c r="B10681" s="16301"/>
      <c r="OTQ10681" s="10613"/>
    </row>
    <row r="10682" spans="2:2 10669:10684" x14ac:dyDescent="0.3">
      <c r="B10682" s="16301"/>
      <c r="OTR10682" s="10614"/>
    </row>
    <row r="10683" spans="2:2 10669:10684" x14ac:dyDescent="0.3">
      <c r="B10683" s="16301"/>
      <c r="OTS10683" s="10615"/>
    </row>
    <row r="10684" spans="2:2 10669:10684" x14ac:dyDescent="0.3">
      <c r="B10684" s="16301"/>
      <c r="OTT10684" s="10616"/>
    </row>
    <row r="10685" spans="2:2 10669:10684" x14ac:dyDescent="0.3">
      <c r="B10685" s="16301"/>
      <c r="OTU10685" s="10617"/>
    </row>
    <row r="10686" spans="2:2 10669:10684" x14ac:dyDescent="0.3">
      <c r="B10686" s="16301"/>
      <c r="OTV10686" s="10618"/>
    </row>
    <row r="10687" spans="2:2 10669:10684" x14ac:dyDescent="0.3">
      <c r="B10687" s="16301"/>
      <c r="OTW10687" s="10619"/>
    </row>
    <row r="10688" spans="2:2 10669:10684" x14ac:dyDescent="0.3">
      <c r="B10688" s="16301"/>
      <c r="OTX10688" s="10620"/>
    </row>
    <row r="10689" spans="2:2 10685:10700" x14ac:dyDescent="0.3">
      <c r="B10689" s="16301"/>
      <c r="OTY10689" s="10621"/>
    </row>
    <row r="10690" spans="2:2 10685:10700" x14ac:dyDescent="0.3">
      <c r="B10690" s="16301"/>
      <c r="OTZ10690" s="10622"/>
    </row>
    <row r="10691" spans="2:2 10685:10700" x14ac:dyDescent="0.3">
      <c r="B10691" s="16301"/>
      <c r="OUA10691" s="10623"/>
    </row>
    <row r="10692" spans="2:2 10685:10700" x14ac:dyDescent="0.3">
      <c r="B10692" s="16301"/>
      <c r="OUB10692" s="10624"/>
    </row>
    <row r="10693" spans="2:2 10685:10700" x14ac:dyDescent="0.3">
      <c r="B10693" s="16301"/>
      <c r="OUC10693" s="10625"/>
    </row>
    <row r="10694" spans="2:2 10685:10700" x14ac:dyDescent="0.3">
      <c r="B10694" s="16301"/>
      <c r="OUD10694" s="10626"/>
    </row>
    <row r="10695" spans="2:2 10685:10700" x14ac:dyDescent="0.3">
      <c r="B10695" s="16301"/>
      <c r="OUE10695" s="10627"/>
    </row>
    <row r="10696" spans="2:2 10685:10700" x14ac:dyDescent="0.3">
      <c r="B10696" s="16301"/>
      <c r="OUF10696" s="10628"/>
    </row>
    <row r="10697" spans="2:2 10685:10700" x14ac:dyDescent="0.3">
      <c r="B10697" s="16301"/>
      <c r="OUG10697" s="10629"/>
    </row>
    <row r="10698" spans="2:2 10685:10700" x14ac:dyDescent="0.3">
      <c r="B10698" s="16301"/>
      <c r="OUH10698" s="10630"/>
    </row>
    <row r="10699" spans="2:2 10685:10700" x14ac:dyDescent="0.3">
      <c r="B10699" s="16301"/>
      <c r="OUI10699" s="10631"/>
    </row>
    <row r="10700" spans="2:2 10685:10700" x14ac:dyDescent="0.3">
      <c r="B10700" s="16301"/>
      <c r="OUJ10700" s="10632"/>
    </row>
    <row r="10701" spans="2:2 10685:10700" x14ac:dyDescent="0.3">
      <c r="B10701" s="16301"/>
      <c r="OUK10701" s="10633"/>
    </row>
    <row r="10702" spans="2:2 10685:10700" x14ac:dyDescent="0.3">
      <c r="B10702" s="16301"/>
      <c r="OUL10702" s="10634"/>
    </row>
    <row r="10703" spans="2:2 10685:10700" x14ac:dyDescent="0.3">
      <c r="B10703" s="16301"/>
      <c r="OUM10703" s="10635"/>
    </row>
    <row r="10704" spans="2:2 10685:10700" x14ac:dyDescent="0.3">
      <c r="B10704" s="16301"/>
      <c r="OUN10704" s="10636"/>
    </row>
    <row r="10705" spans="2:2 10701:10716" x14ac:dyDescent="0.3">
      <c r="B10705" s="16301"/>
      <c r="OUO10705" s="10637"/>
    </row>
    <row r="10706" spans="2:2 10701:10716" x14ac:dyDescent="0.3">
      <c r="B10706" s="16301"/>
      <c r="OUP10706" s="10638"/>
    </row>
    <row r="10707" spans="2:2 10701:10716" x14ac:dyDescent="0.3">
      <c r="B10707" s="16301"/>
      <c r="OUQ10707" s="10639"/>
    </row>
    <row r="10708" spans="2:2 10701:10716" x14ac:dyDescent="0.3">
      <c r="B10708" s="16301"/>
      <c r="OUR10708" s="10640"/>
    </row>
    <row r="10709" spans="2:2 10701:10716" x14ac:dyDescent="0.3">
      <c r="B10709" s="16301"/>
      <c r="OUS10709" s="10641"/>
    </row>
    <row r="10710" spans="2:2 10701:10716" x14ac:dyDescent="0.3">
      <c r="B10710" s="16301"/>
      <c r="OUT10710" s="10642"/>
    </row>
    <row r="10711" spans="2:2 10701:10716" x14ac:dyDescent="0.3">
      <c r="B10711" s="16301"/>
      <c r="OUU10711" s="10643"/>
    </row>
    <row r="10712" spans="2:2 10701:10716" x14ac:dyDescent="0.3">
      <c r="B10712" s="16301"/>
      <c r="OUV10712" s="10644"/>
    </row>
    <row r="10713" spans="2:2 10701:10716" x14ac:dyDescent="0.3">
      <c r="B10713" s="16301"/>
      <c r="OUW10713" s="10645"/>
    </row>
    <row r="10714" spans="2:2 10701:10716" x14ac:dyDescent="0.3">
      <c r="B10714" s="16301"/>
      <c r="OUX10714" s="10646"/>
    </row>
    <row r="10715" spans="2:2 10701:10716" x14ac:dyDescent="0.3">
      <c r="B10715" s="16301"/>
      <c r="OUY10715" s="10647"/>
    </row>
    <row r="10716" spans="2:2 10701:10716" x14ac:dyDescent="0.3">
      <c r="B10716" s="16301"/>
      <c r="OUZ10716" s="10648"/>
    </row>
    <row r="10717" spans="2:2 10701:10716" x14ac:dyDescent="0.3">
      <c r="B10717" s="16301"/>
      <c r="OVA10717" s="10649"/>
    </row>
    <row r="10718" spans="2:2 10701:10716" x14ac:dyDescent="0.3">
      <c r="B10718" s="16301"/>
      <c r="OVB10718" s="10650"/>
    </row>
    <row r="10719" spans="2:2 10701:10716" x14ac:dyDescent="0.3">
      <c r="B10719" s="16301"/>
      <c r="OVC10719" s="10651"/>
    </row>
    <row r="10720" spans="2:2 10701:10716" x14ac:dyDescent="0.3">
      <c r="B10720" s="16301"/>
      <c r="OVD10720" s="10652"/>
    </row>
    <row r="10721" spans="2:2 10717:10732" x14ac:dyDescent="0.3">
      <c r="B10721" s="16301"/>
      <c r="OVE10721" s="10653"/>
    </row>
    <row r="10722" spans="2:2 10717:10732" x14ac:dyDescent="0.3">
      <c r="B10722" s="16301"/>
      <c r="OVF10722" s="10654"/>
    </row>
    <row r="10723" spans="2:2 10717:10732" x14ac:dyDescent="0.3">
      <c r="B10723" s="16301"/>
      <c r="OVG10723" s="10655"/>
    </row>
    <row r="10724" spans="2:2 10717:10732" x14ac:dyDescent="0.3">
      <c r="B10724" s="16301"/>
      <c r="OVH10724" s="10656"/>
    </row>
    <row r="10725" spans="2:2 10717:10732" x14ac:dyDescent="0.3">
      <c r="B10725" s="16301"/>
      <c r="OVI10725" s="10657"/>
    </row>
    <row r="10726" spans="2:2 10717:10732" x14ac:dyDescent="0.3">
      <c r="B10726" s="16301"/>
      <c r="OVJ10726" s="10658"/>
    </row>
    <row r="10727" spans="2:2 10717:10732" x14ac:dyDescent="0.3">
      <c r="B10727" s="16301"/>
      <c r="OVK10727" s="10659"/>
    </row>
    <row r="10728" spans="2:2 10717:10732" x14ac:dyDescent="0.3">
      <c r="B10728" s="16301"/>
      <c r="OVL10728" s="10660"/>
    </row>
    <row r="10729" spans="2:2 10717:10732" x14ac:dyDescent="0.3">
      <c r="B10729" s="16301"/>
      <c r="OVM10729" s="10661"/>
    </row>
    <row r="10730" spans="2:2 10717:10732" x14ac:dyDescent="0.3">
      <c r="B10730" s="16301"/>
      <c r="OVN10730" s="10662"/>
    </row>
    <row r="10731" spans="2:2 10717:10732" x14ac:dyDescent="0.3">
      <c r="B10731" s="16301"/>
      <c r="OVO10731" s="10663"/>
    </row>
    <row r="10732" spans="2:2 10717:10732" x14ac:dyDescent="0.3">
      <c r="B10732" s="16301"/>
      <c r="OVP10732" s="10664"/>
    </row>
    <row r="10733" spans="2:2 10717:10732" x14ac:dyDescent="0.3">
      <c r="B10733" s="16301"/>
      <c r="OVQ10733" s="10665"/>
    </row>
    <row r="10734" spans="2:2 10717:10732" x14ac:dyDescent="0.3">
      <c r="B10734" s="16301"/>
      <c r="OVR10734" s="10666"/>
    </row>
    <row r="10735" spans="2:2 10717:10732" x14ac:dyDescent="0.3">
      <c r="B10735" s="16301"/>
      <c r="OVS10735" s="10667"/>
    </row>
    <row r="10736" spans="2:2 10717:10732" x14ac:dyDescent="0.3">
      <c r="B10736" s="16301"/>
      <c r="OVT10736" s="10668"/>
    </row>
    <row r="10737" spans="2:2 10733:10748" x14ac:dyDescent="0.3">
      <c r="B10737" s="16301"/>
      <c r="OVU10737" s="10669"/>
    </row>
    <row r="10738" spans="2:2 10733:10748" x14ac:dyDescent="0.3">
      <c r="B10738" s="16301"/>
      <c r="OVV10738" s="10670"/>
    </row>
    <row r="10739" spans="2:2 10733:10748" x14ac:dyDescent="0.3">
      <c r="B10739" s="16301"/>
      <c r="OVW10739" s="10671"/>
    </row>
    <row r="10740" spans="2:2 10733:10748" x14ac:dyDescent="0.3">
      <c r="B10740" s="16301"/>
      <c r="OVX10740" s="10672"/>
    </row>
    <row r="10741" spans="2:2 10733:10748" x14ac:dyDescent="0.3">
      <c r="B10741" s="16301"/>
      <c r="OVY10741" s="10673"/>
    </row>
    <row r="10742" spans="2:2 10733:10748" x14ac:dyDescent="0.3">
      <c r="B10742" s="16301"/>
      <c r="OVZ10742" s="10674"/>
    </row>
    <row r="10743" spans="2:2 10733:10748" x14ac:dyDescent="0.3">
      <c r="B10743" s="16301"/>
      <c r="OWA10743" s="10675"/>
    </row>
    <row r="10744" spans="2:2 10733:10748" x14ac:dyDescent="0.3">
      <c r="B10744" s="16301"/>
      <c r="OWB10744" s="10676"/>
    </row>
    <row r="10745" spans="2:2 10733:10748" x14ac:dyDescent="0.3">
      <c r="B10745" s="16301"/>
      <c r="OWC10745" s="10677"/>
    </row>
    <row r="10746" spans="2:2 10733:10748" x14ac:dyDescent="0.3">
      <c r="B10746" s="16301"/>
      <c r="OWD10746" s="10678"/>
    </row>
    <row r="10747" spans="2:2 10733:10748" x14ac:dyDescent="0.3">
      <c r="B10747" s="16301"/>
      <c r="OWE10747" s="10679"/>
    </row>
    <row r="10748" spans="2:2 10733:10748" x14ac:dyDescent="0.3">
      <c r="B10748" s="16301"/>
      <c r="OWF10748" s="10680"/>
    </row>
    <row r="10749" spans="2:2 10733:10748" x14ac:dyDescent="0.3">
      <c r="B10749" s="16301"/>
      <c r="OWG10749" s="10681"/>
    </row>
    <row r="10750" spans="2:2 10733:10748" x14ac:dyDescent="0.3">
      <c r="B10750" s="16301"/>
      <c r="OWH10750" s="10682"/>
    </row>
    <row r="10751" spans="2:2 10733:10748" x14ac:dyDescent="0.3">
      <c r="B10751" s="16301"/>
      <c r="OWI10751" s="10683"/>
    </row>
    <row r="10752" spans="2:2 10733:10748" x14ac:dyDescent="0.3">
      <c r="B10752" s="16301"/>
      <c r="OWJ10752" s="10684"/>
    </row>
    <row r="10753" spans="2:2 10749:10764" x14ac:dyDescent="0.3">
      <c r="B10753" s="16301"/>
      <c r="OWK10753" s="10685"/>
    </row>
    <row r="10754" spans="2:2 10749:10764" x14ac:dyDescent="0.3">
      <c r="B10754" s="16301"/>
      <c r="OWL10754" s="10686"/>
    </row>
    <row r="10755" spans="2:2 10749:10764" x14ac:dyDescent="0.3">
      <c r="B10755" s="16301"/>
      <c r="OWM10755" s="10687"/>
    </row>
    <row r="10756" spans="2:2 10749:10764" x14ac:dyDescent="0.3">
      <c r="B10756" s="16301"/>
      <c r="OWN10756" s="10688"/>
    </row>
    <row r="10757" spans="2:2 10749:10764" x14ac:dyDescent="0.3">
      <c r="B10757" s="16301"/>
      <c r="OWO10757" s="10689"/>
    </row>
    <row r="10758" spans="2:2 10749:10764" x14ac:dyDescent="0.3">
      <c r="B10758" s="16301"/>
      <c r="OWP10758" s="10690"/>
    </row>
    <row r="10759" spans="2:2 10749:10764" x14ac:dyDescent="0.3">
      <c r="B10759" s="16301"/>
      <c r="OWQ10759" s="10691"/>
    </row>
    <row r="10760" spans="2:2 10749:10764" x14ac:dyDescent="0.3">
      <c r="B10760" s="16301"/>
      <c r="OWR10760" s="10692"/>
    </row>
    <row r="10761" spans="2:2 10749:10764" x14ac:dyDescent="0.3">
      <c r="B10761" s="16301"/>
      <c r="OWS10761" s="10693"/>
    </row>
    <row r="10762" spans="2:2 10749:10764" x14ac:dyDescent="0.3">
      <c r="B10762" s="16301"/>
      <c r="OWT10762" s="10694"/>
    </row>
    <row r="10763" spans="2:2 10749:10764" x14ac:dyDescent="0.3">
      <c r="B10763" s="16301"/>
      <c r="OWU10763" s="10695"/>
    </row>
    <row r="10764" spans="2:2 10749:10764" x14ac:dyDescent="0.3">
      <c r="B10764" s="16301"/>
      <c r="OWV10764" s="10696"/>
    </row>
    <row r="10765" spans="2:2 10749:10764" x14ac:dyDescent="0.3">
      <c r="B10765" s="16301"/>
      <c r="OWW10765" s="10697"/>
    </row>
    <row r="10766" spans="2:2 10749:10764" x14ac:dyDescent="0.3">
      <c r="B10766" s="16301"/>
      <c r="OWX10766" s="10698"/>
    </row>
    <row r="10767" spans="2:2 10749:10764" x14ac:dyDescent="0.3">
      <c r="B10767" s="16301"/>
      <c r="OWY10767" s="10699"/>
    </row>
    <row r="10768" spans="2:2 10749:10764" x14ac:dyDescent="0.3">
      <c r="B10768" s="16301"/>
      <c r="OWZ10768" s="10700"/>
    </row>
    <row r="10769" spans="2:2 10765:10780" x14ac:dyDescent="0.3">
      <c r="B10769" s="16301"/>
      <c r="OXA10769" s="10701"/>
    </row>
    <row r="10770" spans="2:2 10765:10780" x14ac:dyDescent="0.3">
      <c r="B10770" s="16301"/>
      <c r="OXB10770" s="10702"/>
    </row>
    <row r="10771" spans="2:2 10765:10780" x14ac:dyDescent="0.3">
      <c r="B10771" s="16301"/>
      <c r="OXC10771" s="10703"/>
    </row>
    <row r="10772" spans="2:2 10765:10780" x14ac:dyDescent="0.3">
      <c r="B10772" s="16301"/>
      <c r="OXD10772" s="10704"/>
    </row>
    <row r="10773" spans="2:2 10765:10780" x14ac:dyDescent="0.3">
      <c r="B10773" s="16301"/>
      <c r="OXE10773" s="10705"/>
    </row>
    <row r="10774" spans="2:2 10765:10780" x14ac:dyDescent="0.3">
      <c r="B10774" s="16301"/>
      <c r="OXF10774" s="10706"/>
    </row>
    <row r="10775" spans="2:2 10765:10780" x14ac:dyDescent="0.3">
      <c r="B10775" s="16301"/>
      <c r="OXG10775" s="10707"/>
    </row>
    <row r="10776" spans="2:2 10765:10780" x14ac:dyDescent="0.3">
      <c r="B10776" s="16301"/>
      <c r="OXH10776" s="10708"/>
    </row>
    <row r="10777" spans="2:2 10765:10780" x14ac:dyDescent="0.3">
      <c r="B10777" s="16301"/>
      <c r="OXI10777" s="10709"/>
    </row>
    <row r="10778" spans="2:2 10765:10780" x14ac:dyDescent="0.3">
      <c r="B10778" s="16301"/>
      <c r="OXJ10778" s="10710"/>
    </row>
    <row r="10779" spans="2:2 10765:10780" x14ac:dyDescent="0.3">
      <c r="B10779" s="16301"/>
      <c r="OXK10779" s="10711"/>
    </row>
    <row r="10780" spans="2:2 10765:10780" x14ac:dyDescent="0.3">
      <c r="B10780" s="16301"/>
      <c r="OXL10780" s="10712"/>
    </row>
    <row r="10781" spans="2:2 10765:10780" x14ac:dyDescent="0.3">
      <c r="B10781" s="16301"/>
      <c r="OXM10781" s="10713"/>
    </row>
    <row r="10782" spans="2:2 10765:10780" x14ac:dyDescent="0.3">
      <c r="B10782" s="16301"/>
      <c r="OXN10782" s="10714"/>
    </row>
    <row r="10783" spans="2:2 10765:10780" x14ac:dyDescent="0.3">
      <c r="B10783" s="16301"/>
      <c r="OXO10783" s="10715"/>
    </row>
    <row r="10784" spans="2:2 10765:10780" x14ac:dyDescent="0.3">
      <c r="B10784" s="16301"/>
      <c r="OXP10784" s="10716"/>
    </row>
    <row r="10785" spans="2:2 10781:10796" x14ac:dyDescent="0.3">
      <c r="B10785" s="16301"/>
      <c r="OXQ10785" s="10717"/>
    </row>
    <row r="10786" spans="2:2 10781:10796" x14ac:dyDescent="0.3">
      <c r="B10786" s="16301"/>
      <c r="OXR10786" s="10718"/>
    </row>
    <row r="10787" spans="2:2 10781:10796" x14ac:dyDescent="0.3">
      <c r="B10787" s="16301"/>
      <c r="OXS10787" s="10719"/>
    </row>
    <row r="10788" spans="2:2 10781:10796" x14ac:dyDescent="0.3">
      <c r="B10788" s="16301"/>
      <c r="OXT10788" s="10720"/>
    </row>
    <row r="10789" spans="2:2 10781:10796" x14ac:dyDescent="0.3">
      <c r="B10789" s="16301"/>
      <c r="OXU10789" s="10721"/>
    </row>
    <row r="10790" spans="2:2 10781:10796" x14ac:dyDescent="0.3">
      <c r="B10790" s="16301"/>
      <c r="OXV10790" s="10722"/>
    </row>
    <row r="10791" spans="2:2 10781:10796" x14ac:dyDescent="0.3">
      <c r="B10791" s="16301"/>
      <c r="OXW10791" s="10723"/>
    </row>
    <row r="10792" spans="2:2 10781:10796" x14ac:dyDescent="0.3">
      <c r="B10792" s="16301"/>
      <c r="OXX10792" s="10724"/>
    </row>
    <row r="10793" spans="2:2 10781:10796" x14ac:dyDescent="0.3">
      <c r="B10793" s="16301"/>
      <c r="OXY10793" s="10725"/>
    </row>
    <row r="10794" spans="2:2 10781:10796" x14ac:dyDescent="0.3">
      <c r="B10794" s="16301"/>
      <c r="OXZ10794" s="10726"/>
    </row>
    <row r="10795" spans="2:2 10781:10796" x14ac:dyDescent="0.3">
      <c r="B10795" s="16301"/>
      <c r="OYA10795" s="10727"/>
    </row>
    <row r="10796" spans="2:2 10781:10796" x14ac:dyDescent="0.3">
      <c r="B10796" s="16301"/>
      <c r="OYB10796" s="10728"/>
    </row>
    <row r="10797" spans="2:2 10781:10796" x14ac:dyDescent="0.3">
      <c r="B10797" s="16301"/>
      <c r="OYC10797" s="10729"/>
    </row>
    <row r="10798" spans="2:2 10781:10796" x14ac:dyDescent="0.3">
      <c r="B10798" s="16301"/>
      <c r="OYD10798" s="10730"/>
    </row>
    <row r="10799" spans="2:2 10781:10796" x14ac:dyDescent="0.3">
      <c r="B10799" s="16301"/>
      <c r="OYE10799" s="10731"/>
    </row>
    <row r="10800" spans="2:2 10781:10796" x14ac:dyDescent="0.3">
      <c r="B10800" s="16301"/>
      <c r="OYF10800" s="10731"/>
    </row>
    <row r="10801" spans="2:2 10797:10812" x14ac:dyDescent="0.3">
      <c r="B10801" s="16301"/>
      <c r="OYG10801" s="10732"/>
    </row>
    <row r="10802" spans="2:2 10797:10812" x14ac:dyDescent="0.3">
      <c r="B10802" s="16301"/>
      <c r="OYH10802" s="10733"/>
    </row>
    <row r="10803" spans="2:2 10797:10812" x14ac:dyDescent="0.3">
      <c r="B10803" s="16301"/>
      <c r="OYI10803" s="10734"/>
    </row>
    <row r="10804" spans="2:2 10797:10812" x14ac:dyDescent="0.3">
      <c r="B10804" s="16301"/>
      <c r="OYJ10804" s="10735"/>
    </row>
    <row r="10805" spans="2:2 10797:10812" x14ac:dyDescent="0.3">
      <c r="B10805" s="16301"/>
      <c r="OYK10805" s="10736"/>
    </row>
    <row r="10806" spans="2:2 10797:10812" x14ac:dyDescent="0.3">
      <c r="B10806" s="16301"/>
      <c r="OYL10806" s="10737"/>
    </row>
    <row r="10807" spans="2:2 10797:10812" x14ac:dyDescent="0.3">
      <c r="B10807" s="16301"/>
      <c r="OYM10807" s="10738"/>
    </row>
    <row r="10808" spans="2:2 10797:10812" x14ac:dyDescent="0.3">
      <c r="B10808" s="16301"/>
      <c r="OYN10808" s="10739"/>
    </row>
    <row r="10809" spans="2:2 10797:10812" x14ac:dyDescent="0.3">
      <c r="B10809" s="16301"/>
      <c r="OYO10809" s="10740"/>
    </row>
    <row r="10810" spans="2:2 10797:10812" x14ac:dyDescent="0.3">
      <c r="B10810" s="16301"/>
      <c r="OYP10810" s="10741"/>
    </row>
    <row r="10811" spans="2:2 10797:10812" x14ac:dyDescent="0.3">
      <c r="B10811" s="16301"/>
      <c r="OYQ10811" s="10742"/>
    </row>
    <row r="10812" spans="2:2 10797:10812" x14ac:dyDescent="0.3">
      <c r="B10812" s="16301"/>
      <c r="OYR10812" s="10743"/>
    </row>
    <row r="10813" spans="2:2 10797:10812" x14ac:dyDescent="0.3">
      <c r="B10813" s="16301"/>
      <c r="OYS10813" s="10744"/>
    </row>
    <row r="10814" spans="2:2 10797:10812" x14ac:dyDescent="0.3">
      <c r="B10814" s="16301"/>
      <c r="OYT10814" s="10745"/>
    </row>
    <row r="10815" spans="2:2 10797:10812" x14ac:dyDescent="0.3">
      <c r="B10815" s="16301"/>
      <c r="OYU10815" s="10746"/>
    </row>
    <row r="10816" spans="2:2 10797:10812" x14ac:dyDescent="0.3">
      <c r="B10816" s="16301"/>
      <c r="OYV10816" s="10747"/>
    </row>
    <row r="10817" spans="2:2 10813:10828" x14ac:dyDescent="0.3">
      <c r="B10817" s="16301"/>
      <c r="OYW10817" s="10748"/>
    </row>
    <row r="10818" spans="2:2 10813:10828" x14ac:dyDescent="0.3">
      <c r="B10818" s="16301"/>
      <c r="OYX10818" s="10749"/>
    </row>
    <row r="10819" spans="2:2 10813:10828" x14ac:dyDescent="0.3">
      <c r="B10819" s="16301"/>
      <c r="OYY10819" s="10750"/>
    </row>
    <row r="10820" spans="2:2 10813:10828" x14ac:dyDescent="0.3">
      <c r="B10820" s="16301"/>
      <c r="OYZ10820" s="10751"/>
    </row>
    <row r="10821" spans="2:2 10813:10828" x14ac:dyDescent="0.3">
      <c r="B10821" s="16301"/>
      <c r="OZA10821" s="10752"/>
    </row>
    <row r="10822" spans="2:2 10813:10828" x14ac:dyDescent="0.3">
      <c r="B10822" s="16301"/>
      <c r="OZB10822" s="10753"/>
    </row>
    <row r="10823" spans="2:2 10813:10828" x14ac:dyDescent="0.3">
      <c r="B10823" s="16301"/>
      <c r="OZC10823" s="10754"/>
    </row>
    <row r="10824" spans="2:2 10813:10828" x14ac:dyDescent="0.3">
      <c r="B10824" s="16301"/>
      <c r="OZD10824" s="10755"/>
    </row>
    <row r="10825" spans="2:2 10813:10828" x14ac:dyDescent="0.3">
      <c r="B10825" s="16301"/>
      <c r="OZE10825" s="10756"/>
    </row>
    <row r="10826" spans="2:2 10813:10828" x14ac:dyDescent="0.3">
      <c r="B10826" s="16301"/>
      <c r="OZF10826" s="10757"/>
    </row>
    <row r="10827" spans="2:2 10813:10828" x14ac:dyDescent="0.3">
      <c r="B10827" s="16301"/>
      <c r="OZG10827" s="10758"/>
    </row>
    <row r="10828" spans="2:2 10813:10828" x14ac:dyDescent="0.3">
      <c r="B10828" s="16301"/>
      <c r="OZH10828" s="10759"/>
    </row>
    <row r="10829" spans="2:2 10813:10828" x14ac:dyDescent="0.3">
      <c r="B10829" s="16301"/>
      <c r="OZI10829" s="10760"/>
    </row>
    <row r="10830" spans="2:2 10813:10828" x14ac:dyDescent="0.3">
      <c r="B10830" s="16301"/>
      <c r="OZJ10830" s="10761"/>
    </row>
    <row r="10831" spans="2:2 10813:10828" x14ac:dyDescent="0.3">
      <c r="B10831" s="16301"/>
      <c r="OZK10831" s="10762"/>
    </row>
    <row r="10832" spans="2:2 10813:10828" x14ac:dyDescent="0.3">
      <c r="B10832" s="16301"/>
      <c r="OZL10832" s="10763"/>
    </row>
    <row r="10833" spans="2:2 10829:10844" x14ac:dyDescent="0.3">
      <c r="B10833" s="16301"/>
      <c r="OZM10833" s="10764"/>
    </row>
    <row r="10834" spans="2:2 10829:10844" x14ac:dyDescent="0.3">
      <c r="B10834" s="16301"/>
      <c r="OZN10834" s="10765"/>
    </row>
    <row r="10835" spans="2:2 10829:10844" x14ac:dyDescent="0.3">
      <c r="B10835" s="16301"/>
      <c r="OZO10835" s="10766"/>
    </row>
    <row r="10836" spans="2:2 10829:10844" x14ac:dyDescent="0.3">
      <c r="B10836" s="16301"/>
      <c r="OZP10836" s="10767"/>
    </row>
    <row r="10837" spans="2:2 10829:10844" x14ac:dyDescent="0.3">
      <c r="B10837" s="16301"/>
      <c r="OZQ10837" s="10768"/>
    </row>
    <row r="10838" spans="2:2 10829:10844" x14ac:dyDescent="0.3">
      <c r="B10838" s="16301"/>
      <c r="OZR10838" s="10769"/>
    </row>
    <row r="10839" spans="2:2 10829:10844" x14ac:dyDescent="0.3">
      <c r="B10839" s="16301"/>
      <c r="OZS10839" s="10770"/>
    </row>
    <row r="10840" spans="2:2 10829:10844" x14ac:dyDescent="0.3">
      <c r="B10840" s="16301"/>
      <c r="OZT10840" s="10771"/>
    </row>
    <row r="10841" spans="2:2 10829:10844" x14ac:dyDescent="0.3">
      <c r="B10841" s="16301"/>
      <c r="OZU10841" s="10772"/>
    </row>
    <row r="10842" spans="2:2 10829:10844" x14ac:dyDescent="0.3">
      <c r="B10842" s="16301"/>
      <c r="OZV10842" s="10773"/>
    </row>
    <row r="10843" spans="2:2 10829:10844" x14ac:dyDescent="0.3">
      <c r="B10843" s="16301"/>
      <c r="OZW10843" s="10774"/>
    </row>
    <row r="10844" spans="2:2 10829:10844" x14ac:dyDescent="0.3">
      <c r="B10844" s="16301"/>
      <c r="OZX10844" s="10775"/>
    </row>
    <row r="10845" spans="2:2 10829:10844" x14ac:dyDescent="0.3">
      <c r="B10845" s="16301"/>
      <c r="OZY10845" s="10776"/>
    </row>
    <row r="10846" spans="2:2 10829:10844" x14ac:dyDescent="0.3">
      <c r="B10846" s="16301"/>
      <c r="OZZ10846" s="10777"/>
    </row>
    <row r="10847" spans="2:2 10829:10844" x14ac:dyDescent="0.3">
      <c r="B10847" s="16301"/>
      <c r="PAA10847" s="10778"/>
    </row>
    <row r="10848" spans="2:2 10829:10844" x14ac:dyDescent="0.3">
      <c r="B10848" s="16301"/>
      <c r="PAB10848" s="10779"/>
    </row>
    <row r="10849" spans="2:2 10845:10860" x14ac:dyDescent="0.3">
      <c r="B10849" s="16301"/>
      <c r="PAC10849" s="10780"/>
    </row>
    <row r="10850" spans="2:2 10845:10860" x14ac:dyDescent="0.3">
      <c r="B10850" s="16301"/>
      <c r="PAD10850" s="10781"/>
    </row>
    <row r="10851" spans="2:2 10845:10860" x14ac:dyDescent="0.3">
      <c r="B10851" s="16301"/>
      <c r="PAE10851" s="10782"/>
    </row>
    <row r="10852" spans="2:2 10845:10860" x14ac:dyDescent="0.3">
      <c r="B10852" s="16301"/>
      <c r="PAF10852" s="10783"/>
    </row>
    <row r="10853" spans="2:2 10845:10860" x14ac:dyDescent="0.3">
      <c r="B10853" s="16301"/>
      <c r="PAG10853" s="10784"/>
    </row>
    <row r="10854" spans="2:2 10845:10860" x14ac:dyDescent="0.3">
      <c r="B10854" s="16301"/>
      <c r="PAH10854" s="10785"/>
    </row>
    <row r="10855" spans="2:2 10845:10860" x14ac:dyDescent="0.3">
      <c r="B10855" s="16301"/>
      <c r="PAI10855" s="10786"/>
    </row>
    <row r="10856" spans="2:2 10845:10860" x14ac:dyDescent="0.3">
      <c r="B10856" s="16301"/>
      <c r="PAJ10856" s="10787"/>
    </row>
    <row r="10857" spans="2:2 10845:10860" x14ac:dyDescent="0.3">
      <c r="B10857" s="16301"/>
      <c r="PAK10857" s="10788"/>
    </row>
    <row r="10858" spans="2:2 10845:10860" x14ac:dyDescent="0.3">
      <c r="B10858" s="16301"/>
      <c r="PAL10858" s="10789"/>
    </row>
    <row r="10859" spans="2:2 10845:10860" x14ac:dyDescent="0.3">
      <c r="B10859" s="16301"/>
      <c r="PAM10859" s="10790"/>
    </row>
    <row r="10860" spans="2:2 10845:10860" x14ac:dyDescent="0.3">
      <c r="B10860" s="16301"/>
      <c r="PAN10860" s="10791"/>
    </row>
    <row r="10861" spans="2:2 10845:10860" x14ac:dyDescent="0.3">
      <c r="B10861" s="16301"/>
      <c r="PAO10861" s="10792"/>
    </row>
    <row r="10862" spans="2:2 10845:10860" x14ac:dyDescent="0.3">
      <c r="B10862" s="16301"/>
      <c r="PAP10862" s="10793"/>
    </row>
    <row r="10863" spans="2:2 10845:10860" x14ac:dyDescent="0.3">
      <c r="B10863" s="16301"/>
      <c r="PAQ10863" s="10794"/>
    </row>
    <row r="10864" spans="2:2 10845:10860" x14ac:dyDescent="0.3">
      <c r="B10864" s="16301"/>
      <c r="PAR10864" s="10795"/>
    </row>
    <row r="10865" spans="2:2 10861:10876" x14ac:dyDescent="0.3">
      <c r="B10865" s="16301"/>
      <c r="PAS10865" s="10796"/>
    </row>
    <row r="10866" spans="2:2 10861:10876" x14ac:dyDescent="0.3">
      <c r="B10866" s="16301"/>
      <c r="PAT10866" s="10797"/>
    </row>
    <row r="10867" spans="2:2 10861:10876" x14ac:dyDescent="0.3">
      <c r="B10867" s="16301"/>
      <c r="PAU10867" s="10798"/>
    </row>
    <row r="10868" spans="2:2 10861:10876" x14ac:dyDescent="0.3">
      <c r="B10868" s="16301"/>
      <c r="PAV10868" s="10799"/>
    </row>
    <row r="10869" spans="2:2 10861:10876" x14ac:dyDescent="0.3">
      <c r="B10869" s="16301"/>
      <c r="PAW10869" s="10800"/>
    </row>
    <row r="10870" spans="2:2 10861:10876" x14ac:dyDescent="0.3">
      <c r="B10870" s="16301"/>
      <c r="PAX10870" s="10801"/>
    </row>
    <row r="10871" spans="2:2 10861:10876" x14ac:dyDescent="0.3">
      <c r="B10871" s="16301"/>
      <c r="PAY10871" s="10802"/>
    </row>
    <row r="10872" spans="2:2 10861:10876" x14ac:dyDescent="0.3">
      <c r="B10872" s="16301"/>
      <c r="PAZ10872" s="10803"/>
    </row>
    <row r="10873" spans="2:2 10861:10876" x14ac:dyDescent="0.3">
      <c r="B10873" s="16301"/>
      <c r="PBA10873" s="10804"/>
    </row>
    <row r="10874" spans="2:2 10861:10876" x14ac:dyDescent="0.3">
      <c r="B10874" s="16301"/>
      <c r="PBB10874" s="10805"/>
    </row>
    <row r="10875" spans="2:2 10861:10876" x14ac:dyDescent="0.3">
      <c r="B10875" s="16301"/>
      <c r="PBC10875" s="10806"/>
    </row>
    <row r="10876" spans="2:2 10861:10876" x14ac:dyDescent="0.3">
      <c r="B10876" s="16301"/>
      <c r="PBD10876" s="10807"/>
    </row>
    <row r="10877" spans="2:2 10861:10876" x14ac:dyDescent="0.3">
      <c r="B10877" s="16301"/>
      <c r="PBE10877" s="10808"/>
    </row>
    <row r="10878" spans="2:2 10861:10876" x14ac:dyDescent="0.3">
      <c r="B10878" s="16301"/>
      <c r="PBF10878" s="10809"/>
    </row>
    <row r="10879" spans="2:2 10861:10876" x14ac:dyDescent="0.3">
      <c r="B10879" s="16301"/>
      <c r="PBG10879" s="10810"/>
    </row>
    <row r="10880" spans="2:2 10861:10876" x14ac:dyDescent="0.3">
      <c r="B10880" s="16301"/>
      <c r="PBH10880" s="10811"/>
    </row>
    <row r="10881" spans="2:2 10877:10892" x14ac:dyDescent="0.3">
      <c r="B10881" s="16301"/>
      <c r="PBI10881" s="10812"/>
    </row>
    <row r="10882" spans="2:2 10877:10892" x14ac:dyDescent="0.3">
      <c r="B10882" s="16301"/>
      <c r="PBJ10882" s="10813"/>
    </row>
    <row r="10883" spans="2:2 10877:10892" x14ac:dyDescent="0.3">
      <c r="B10883" s="16301"/>
      <c r="PBK10883" s="10814"/>
    </row>
    <row r="10884" spans="2:2 10877:10892" x14ac:dyDescent="0.3">
      <c r="B10884" s="16301"/>
      <c r="PBL10884" s="10815"/>
    </row>
    <row r="10885" spans="2:2 10877:10892" x14ac:dyDescent="0.3">
      <c r="B10885" s="16301"/>
      <c r="PBM10885" s="10816"/>
    </row>
    <row r="10886" spans="2:2 10877:10892" x14ac:dyDescent="0.3">
      <c r="B10886" s="16301"/>
      <c r="PBN10886" s="10817"/>
    </row>
    <row r="10887" spans="2:2 10877:10892" x14ac:dyDescent="0.3">
      <c r="B10887" s="16301"/>
      <c r="PBO10887" s="10818"/>
    </row>
    <row r="10888" spans="2:2 10877:10892" x14ac:dyDescent="0.3">
      <c r="B10888" s="16301"/>
      <c r="PBP10888" s="10819"/>
    </row>
    <row r="10889" spans="2:2 10877:10892" x14ac:dyDescent="0.3">
      <c r="B10889" s="16301"/>
      <c r="PBQ10889" s="10820"/>
    </row>
    <row r="10890" spans="2:2 10877:10892" x14ac:dyDescent="0.3">
      <c r="B10890" s="16301"/>
      <c r="PBR10890" s="10821"/>
    </row>
    <row r="10891" spans="2:2 10877:10892" x14ac:dyDescent="0.3">
      <c r="B10891" s="16301"/>
      <c r="PBS10891" s="10822"/>
    </row>
    <row r="10892" spans="2:2 10877:10892" x14ac:dyDescent="0.3">
      <c r="B10892" s="16301"/>
      <c r="PBT10892" s="10823"/>
    </row>
    <row r="10893" spans="2:2 10877:10892" x14ac:dyDescent="0.3">
      <c r="B10893" s="16301"/>
      <c r="PBU10893" s="10824"/>
    </row>
    <row r="10894" spans="2:2 10877:10892" x14ac:dyDescent="0.3">
      <c r="B10894" s="16301"/>
      <c r="PBV10894" s="10825"/>
    </row>
    <row r="10895" spans="2:2 10877:10892" x14ac:dyDescent="0.3">
      <c r="B10895" s="16301"/>
      <c r="PBW10895" s="10826"/>
    </row>
    <row r="10896" spans="2:2 10877:10892" x14ac:dyDescent="0.3">
      <c r="B10896" s="16301"/>
      <c r="PBX10896" s="10827"/>
    </row>
    <row r="10897" spans="2:2 10893:10908" x14ac:dyDescent="0.3">
      <c r="B10897" s="16301"/>
      <c r="PBY10897" s="10828"/>
    </row>
    <row r="10898" spans="2:2 10893:10908" x14ac:dyDescent="0.3">
      <c r="B10898" s="16301"/>
      <c r="PBZ10898" s="10829"/>
    </row>
    <row r="10899" spans="2:2 10893:10908" x14ac:dyDescent="0.3">
      <c r="B10899" s="16301"/>
      <c r="PCA10899" s="10830"/>
    </row>
    <row r="10900" spans="2:2 10893:10908" x14ac:dyDescent="0.3">
      <c r="B10900" s="16301"/>
      <c r="PCB10900" s="10831"/>
    </row>
    <row r="10901" spans="2:2 10893:10908" x14ac:dyDescent="0.3">
      <c r="B10901" s="16301"/>
      <c r="PCC10901" s="10832"/>
    </row>
    <row r="10902" spans="2:2 10893:10908" x14ac:dyDescent="0.3">
      <c r="B10902" s="16301"/>
      <c r="PCD10902" s="10833"/>
    </row>
    <row r="10903" spans="2:2 10893:10908" x14ac:dyDescent="0.3">
      <c r="B10903" s="16301"/>
      <c r="PCE10903" s="10834"/>
    </row>
    <row r="10904" spans="2:2 10893:10908" x14ac:dyDescent="0.3">
      <c r="B10904" s="16301"/>
      <c r="PCF10904" s="10835"/>
    </row>
    <row r="10905" spans="2:2 10893:10908" x14ac:dyDescent="0.3">
      <c r="B10905" s="16301"/>
      <c r="PCG10905" s="10836"/>
    </row>
    <row r="10906" spans="2:2 10893:10908" x14ac:dyDescent="0.3">
      <c r="B10906" s="16301"/>
      <c r="PCH10906" s="10837"/>
    </row>
    <row r="10907" spans="2:2 10893:10908" x14ac:dyDescent="0.3">
      <c r="B10907" s="16301"/>
      <c r="PCI10907" s="10838"/>
    </row>
    <row r="10908" spans="2:2 10893:10908" x14ac:dyDescent="0.3">
      <c r="B10908" s="16301"/>
      <c r="PCJ10908" s="10839"/>
    </row>
    <row r="10909" spans="2:2 10893:10908" x14ac:dyDescent="0.3">
      <c r="B10909" s="16301"/>
      <c r="PCK10909" s="10840"/>
    </row>
    <row r="10910" spans="2:2 10893:10908" x14ac:dyDescent="0.3">
      <c r="B10910" s="16301"/>
      <c r="PCL10910" s="10841"/>
    </row>
    <row r="10911" spans="2:2 10893:10908" x14ac:dyDescent="0.3">
      <c r="B10911" s="16301"/>
      <c r="PCM10911" s="10842"/>
    </row>
    <row r="10912" spans="2:2 10893:10908" x14ac:dyDescent="0.3">
      <c r="B10912" s="16301"/>
      <c r="PCN10912" s="10843"/>
    </row>
    <row r="10913" spans="2:2 10909:10924" x14ac:dyDescent="0.3">
      <c r="B10913" s="16301"/>
      <c r="PCO10913" s="10844"/>
    </row>
    <row r="10914" spans="2:2 10909:10924" x14ac:dyDescent="0.3">
      <c r="B10914" s="16301"/>
      <c r="PCP10914" s="10845"/>
    </row>
    <row r="10915" spans="2:2 10909:10924" x14ac:dyDescent="0.3">
      <c r="B10915" s="16301"/>
      <c r="PCQ10915" s="10846"/>
    </row>
    <row r="10916" spans="2:2 10909:10924" x14ac:dyDescent="0.3">
      <c r="B10916" s="16301"/>
      <c r="PCR10916" s="10847"/>
    </row>
    <row r="10917" spans="2:2 10909:10924" x14ac:dyDescent="0.3">
      <c r="B10917" s="16301"/>
      <c r="PCS10917" s="10848"/>
    </row>
    <row r="10918" spans="2:2 10909:10924" x14ac:dyDescent="0.3">
      <c r="B10918" s="16301"/>
      <c r="PCT10918" s="10849"/>
    </row>
    <row r="10919" spans="2:2 10909:10924" x14ac:dyDescent="0.3">
      <c r="B10919" s="16301"/>
      <c r="PCU10919" s="10850"/>
    </row>
    <row r="10920" spans="2:2 10909:10924" x14ac:dyDescent="0.3">
      <c r="B10920" s="16301"/>
      <c r="PCV10920" s="10851"/>
    </row>
    <row r="10921" spans="2:2 10909:10924" x14ac:dyDescent="0.3">
      <c r="B10921" s="16301"/>
      <c r="PCW10921" s="10852"/>
    </row>
    <row r="10922" spans="2:2 10909:10924" x14ac:dyDescent="0.3">
      <c r="B10922" s="16301"/>
      <c r="PCX10922" s="10853"/>
    </row>
    <row r="10923" spans="2:2 10909:10924" x14ac:dyDescent="0.3">
      <c r="B10923" s="16301"/>
      <c r="PCY10923" s="10854"/>
    </row>
    <row r="10924" spans="2:2 10909:10924" x14ac:dyDescent="0.3">
      <c r="B10924" s="16301"/>
      <c r="PCZ10924" s="10855"/>
    </row>
    <row r="10925" spans="2:2 10909:10924" x14ac:dyDescent="0.3">
      <c r="B10925" s="16301"/>
      <c r="PDA10925" s="10856"/>
    </row>
    <row r="10926" spans="2:2 10909:10924" x14ac:dyDescent="0.3">
      <c r="B10926" s="16301"/>
      <c r="PDB10926" s="10857"/>
    </row>
    <row r="10927" spans="2:2 10909:10924" x14ac:dyDescent="0.3">
      <c r="B10927" s="16301"/>
      <c r="PDC10927" s="10858"/>
    </row>
    <row r="10928" spans="2:2 10909:10924" x14ac:dyDescent="0.3">
      <c r="B10928" s="16301"/>
      <c r="PDD10928" s="10859"/>
    </row>
    <row r="10929" spans="2:2 10925:10940" x14ac:dyDescent="0.3">
      <c r="B10929" s="16301"/>
      <c r="PDE10929" s="10860"/>
    </row>
    <row r="10930" spans="2:2 10925:10940" x14ac:dyDescent="0.3">
      <c r="B10930" s="16301"/>
      <c r="PDF10930" s="10861"/>
    </row>
    <row r="10931" spans="2:2 10925:10940" x14ac:dyDescent="0.3">
      <c r="B10931" s="16301"/>
      <c r="PDG10931" s="10862"/>
    </row>
    <row r="10932" spans="2:2 10925:10940" x14ac:dyDescent="0.3">
      <c r="B10932" s="16301"/>
      <c r="PDH10932" s="10863"/>
    </row>
    <row r="10933" spans="2:2 10925:10940" x14ac:dyDescent="0.3">
      <c r="B10933" s="16301"/>
      <c r="PDI10933" s="10864"/>
    </row>
    <row r="10934" spans="2:2 10925:10940" x14ac:dyDescent="0.3">
      <c r="B10934" s="16301"/>
      <c r="PDJ10934" s="10865"/>
    </row>
    <row r="10935" spans="2:2 10925:10940" x14ac:dyDescent="0.3">
      <c r="B10935" s="16301"/>
      <c r="PDK10935" s="10866"/>
    </row>
    <row r="10936" spans="2:2 10925:10940" x14ac:dyDescent="0.3">
      <c r="B10936" s="16301"/>
      <c r="PDL10936" s="10867"/>
    </row>
    <row r="10937" spans="2:2 10925:10940" x14ac:dyDescent="0.3">
      <c r="B10937" s="16301"/>
      <c r="PDM10937" s="10868"/>
    </row>
    <row r="10938" spans="2:2 10925:10940" x14ac:dyDescent="0.3">
      <c r="B10938" s="16301"/>
      <c r="PDN10938" s="10869"/>
    </row>
    <row r="10939" spans="2:2 10925:10940" x14ac:dyDescent="0.3">
      <c r="B10939" s="16301"/>
      <c r="PDO10939" s="10870"/>
    </row>
    <row r="10940" spans="2:2 10925:10940" x14ac:dyDescent="0.3">
      <c r="B10940" s="16301"/>
      <c r="PDP10940" s="10871"/>
    </row>
    <row r="10941" spans="2:2 10925:10940" x14ac:dyDescent="0.3">
      <c r="B10941" s="16301"/>
      <c r="PDQ10941" s="10872"/>
    </row>
    <row r="10942" spans="2:2 10925:10940" x14ac:dyDescent="0.3">
      <c r="B10942" s="16301"/>
      <c r="PDR10942" s="10873"/>
    </row>
    <row r="10943" spans="2:2 10925:10940" x14ac:dyDescent="0.3">
      <c r="B10943" s="16301"/>
      <c r="PDS10943" s="10874"/>
    </row>
    <row r="10944" spans="2:2 10925:10940" x14ac:dyDescent="0.3">
      <c r="B10944" s="16301"/>
      <c r="PDT10944" s="10875"/>
    </row>
    <row r="10945" spans="2:2 10941:10956" x14ac:dyDescent="0.3">
      <c r="B10945" s="16301"/>
      <c r="PDU10945" s="10876"/>
    </row>
    <row r="10946" spans="2:2 10941:10956" x14ac:dyDescent="0.3">
      <c r="B10946" s="16301"/>
      <c r="PDV10946" s="10877"/>
    </row>
    <row r="10947" spans="2:2 10941:10956" x14ac:dyDescent="0.3">
      <c r="B10947" s="16301"/>
      <c r="PDW10947" s="10878"/>
    </row>
    <row r="10948" spans="2:2 10941:10956" x14ac:dyDescent="0.3">
      <c r="B10948" s="16301"/>
      <c r="PDX10948" s="10879"/>
    </row>
    <row r="10949" spans="2:2 10941:10956" x14ac:dyDescent="0.3">
      <c r="B10949" s="16301"/>
      <c r="PDY10949" s="10880"/>
    </row>
    <row r="10950" spans="2:2 10941:10956" x14ac:dyDescent="0.3">
      <c r="B10950" s="16301"/>
      <c r="PDZ10950" s="10881"/>
    </row>
    <row r="10951" spans="2:2 10941:10956" x14ac:dyDescent="0.3">
      <c r="B10951" s="16301"/>
      <c r="PEA10951" s="10882"/>
    </row>
    <row r="10952" spans="2:2 10941:10956" x14ac:dyDescent="0.3">
      <c r="B10952" s="16301"/>
      <c r="PEB10952" s="10883"/>
    </row>
    <row r="10953" spans="2:2 10941:10956" x14ac:dyDescent="0.3">
      <c r="B10953" s="16301"/>
      <c r="PEC10953" s="10884"/>
    </row>
    <row r="10954" spans="2:2 10941:10956" x14ac:dyDescent="0.3">
      <c r="B10954" s="16301"/>
      <c r="PED10954" s="10885"/>
    </row>
    <row r="10955" spans="2:2 10941:10956" x14ac:dyDescent="0.3">
      <c r="B10955" s="16301"/>
      <c r="PEE10955" s="10886"/>
    </row>
    <row r="10956" spans="2:2 10941:10956" x14ac:dyDescent="0.3">
      <c r="B10956" s="16301"/>
      <c r="PEF10956" s="10887"/>
    </row>
    <row r="10957" spans="2:2 10941:10956" x14ac:dyDescent="0.3">
      <c r="B10957" s="16301"/>
      <c r="PEG10957" s="10888"/>
    </row>
    <row r="10958" spans="2:2 10941:10956" x14ac:dyDescent="0.3">
      <c r="B10958" s="16301"/>
      <c r="PEH10958" s="10889"/>
    </row>
    <row r="10959" spans="2:2 10941:10956" x14ac:dyDescent="0.3">
      <c r="B10959" s="16301"/>
      <c r="PEI10959" s="10890"/>
    </row>
    <row r="10960" spans="2:2 10941:10956" x14ac:dyDescent="0.3">
      <c r="B10960" s="16301"/>
      <c r="PEJ10960" s="10891"/>
    </row>
    <row r="10961" spans="2:2 10957:10972" x14ac:dyDescent="0.3">
      <c r="B10961" s="16301"/>
      <c r="PEK10961" s="10892"/>
    </row>
    <row r="10962" spans="2:2 10957:10972" x14ac:dyDescent="0.3">
      <c r="B10962" s="16301"/>
      <c r="PEL10962" s="10893"/>
    </row>
    <row r="10963" spans="2:2 10957:10972" x14ac:dyDescent="0.3">
      <c r="B10963" s="16301"/>
      <c r="PEM10963" s="10894"/>
    </row>
    <row r="10964" spans="2:2 10957:10972" x14ac:dyDescent="0.3">
      <c r="B10964" s="16301"/>
      <c r="PEN10964" s="10895"/>
    </row>
    <row r="10965" spans="2:2 10957:10972" x14ac:dyDescent="0.3">
      <c r="B10965" s="16301"/>
      <c r="PEO10965" s="10896"/>
    </row>
    <row r="10966" spans="2:2 10957:10972" x14ac:dyDescent="0.3">
      <c r="B10966" s="16301"/>
      <c r="PEP10966" s="10897"/>
    </row>
    <row r="10967" spans="2:2 10957:10972" x14ac:dyDescent="0.3">
      <c r="B10967" s="16301"/>
      <c r="PEQ10967" s="10898"/>
    </row>
    <row r="10968" spans="2:2 10957:10972" x14ac:dyDescent="0.3">
      <c r="B10968" s="16301"/>
      <c r="PER10968" s="10899"/>
    </row>
    <row r="10969" spans="2:2 10957:10972" x14ac:dyDescent="0.3">
      <c r="B10969" s="16301"/>
      <c r="PES10969" s="10900"/>
    </row>
    <row r="10970" spans="2:2 10957:10972" x14ac:dyDescent="0.3">
      <c r="B10970" s="16301"/>
      <c r="PET10970" s="10901"/>
    </row>
    <row r="10971" spans="2:2 10957:10972" x14ac:dyDescent="0.3">
      <c r="B10971" s="16301"/>
      <c r="PEU10971" s="10902"/>
    </row>
    <row r="10972" spans="2:2 10957:10972" x14ac:dyDescent="0.3">
      <c r="B10972" s="16301"/>
      <c r="PEV10972" s="10903"/>
    </row>
    <row r="10973" spans="2:2 10957:10972" x14ac:dyDescent="0.3">
      <c r="B10973" s="16301"/>
      <c r="PEW10973" s="10904"/>
    </row>
    <row r="10974" spans="2:2 10957:10972" x14ac:dyDescent="0.3">
      <c r="B10974" s="16301"/>
      <c r="PEX10974" s="10905"/>
    </row>
    <row r="10975" spans="2:2 10957:10972" x14ac:dyDescent="0.3">
      <c r="B10975" s="16301"/>
      <c r="PEY10975" s="10906"/>
    </row>
    <row r="10976" spans="2:2 10957:10972" x14ac:dyDescent="0.3">
      <c r="B10976" s="16301"/>
      <c r="PEZ10976" s="10907"/>
    </row>
    <row r="10977" spans="2:2 10973:10988" x14ac:dyDescent="0.3">
      <c r="B10977" s="16301"/>
      <c r="PFA10977" s="10908"/>
    </row>
    <row r="10978" spans="2:2 10973:10988" x14ac:dyDescent="0.3">
      <c r="B10978" s="16301"/>
      <c r="PFB10978" s="10909"/>
    </row>
    <row r="10979" spans="2:2 10973:10988" x14ac:dyDescent="0.3">
      <c r="B10979" s="16301"/>
      <c r="PFC10979" s="10910"/>
    </row>
    <row r="10980" spans="2:2 10973:10988" x14ac:dyDescent="0.3">
      <c r="B10980" s="16301"/>
      <c r="PFD10980" s="10911"/>
    </row>
    <row r="10981" spans="2:2 10973:10988" x14ac:dyDescent="0.3">
      <c r="B10981" s="16301"/>
      <c r="PFE10981" s="10912"/>
    </row>
    <row r="10982" spans="2:2 10973:10988" x14ac:dyDescent="0.3">
      <c r="B10982" s="16301"/>
      <c r="PFF10982" s="10913"/>
    </row>
    <row r="10983" spans="2:2 10973:10988" x14ac:dyDescent="0.3">
      <c r="B10983" s="16301"/>
      <c r="PFG10983" s="10914"/>
    </row>
    <row r="10984" spans="2:2 10973:10988" x14ac:dyDescent="0.3">
      <c r="B10984" s="16301"/>
      <c r="PFH10984" s="10915"/>
    </row>
    <row r="10985" spans="2:2 10973:10988" x14ac:dyDescent="0.3">
      <c r="B10985" s="16301"/>
      <c r="PFI10985" s="10916"/>
    </row>
    <row r="10986" spans="2:2 10973:10988" x14ac:dyDescent="0.3">
      <c r="B10986" s="16301"/>
      <c r="PFJ10986" s="10917"/>
    </row>
    <row r="10987" spans="2:2 10973:10988" x14ac:dyDescent="0.3">
      <c r="B10987" s="16301"/>
      <c r="PFK10987" s="10918"/>
    </row>
    <row r="10988" spans="2:2 10973:10988" x14ac:dyDescent="0.3">
      <c r="B10988" s="16301"/>
      <c r="PFL10988" s="10919"/>
    </row>
    <row r="10989" spans="2:2 10973:10988" x14ac:dyDescent="0.3">
      <c r="B10989" s="16301"/>
      <c r="PFM10989" s="10920"/>
    </row>
    <row r="10990" spans="2:2 10973:10988" x14ac:dyDescent="0.3">
      <c r="B10990" s="16301"/>
      <c r="PFN10990" s="10921"/>
    </row>
    <row r="10991" spans="2:2 10973:10988" x14ac:dyDescent="0.3">
      <c r="B10991" s="16301"/>
      <c r="PFO10991" s="10922"/>
    </row>
    <row r="10992" spans="2:2 10973:10988" x14ac:dyDescent="0.3">
      <c r="B10992" s="16301"/>
      <c r="PFP10992" s="10923"/>
    </row>
    <row r="10993" spans="2:2 10989:11004" x14ac:dyDescent="0.3">
      <c r="B10993" s="16301"/>
      <c r="PFQ10993" s="10924"/>
    </row>
    <row r="10994" spans="2:2 10989:11004" x14ac:dyDescent="0.3">
      <c r="B10994" s="16301"/>
      <c r="PFR10994" s="10925"/>
    </row>
    <row r="10995" spans="2:2 10989:11004" x14ac:dyDescent="0.3">
      <c r="B10995" s="16301"/>
      <c r="PFS10995" s="10926"/>
    </row>
    <row r="10996" spans="2:2 10989:11004" x14ac:dyDescent="0.3">
      <c r="B10996" s="16301"/>
      <c r="PFT10996" s="10927"/>
    </row>
    <row r="10997" spans="2:2 10989:11004" x14ac:dyDescent="0.3">
      <c r="B10997" s="16301"/>
      <c r="PFU10997" s="10928"/>
    </row>
    <row r="10998" spans="2:2 10989:11004" x14ac:dyDescent="0.3">
      <c r="B10998" s="16301"/>
      <c r="PFV10998" s="10929"/>
    </row>
    <row r="10999" spans="2:2 10989:11004" x14ac:dyDescent="0.3">
      <c r="B10999" s="16301"/>
      <c r="PFW10999" s="10930"/>
    </row>
    <row r="11000" spans="2:2 10989:11004" x14ac:dyDescent="0.3">
      <c r="B11000" s="16301"/>
      <c r="PFX11000" s="10931"/>
    </row>
    <row r="11001" spans="2:2 10989:11004" x14ac:dyDescent="0.3">
      <c r="B11001" s="16301"/>
      <c r="PFY11001" s="10932"/>
    </row>
    <row r="11002" spans="2:2 10989:11004" x14ac:dyDescent="0.3">
      <c r="B11002" s="16301"/>
      <c r="PFZ11002" s="10933"/>
    </row>
    <row r="11003" spans="2:2 10989:11004" x14ac:dyDescent="0.3">
      <c r="B11003" s="16301"/>
      <c r="PGA11003" s="10934"/>
    </row>
    <row r="11004" spans="2:2 10989:11004" x14ac:dyDescent="0.3">
      <c r="B11004" s="16301"/>
      <c r="PGB11004" s="10935"/>
    </row>
    <row r="11005" spans="2:2 10989:11004" x14ac:dyDescent="0.3">
      <c r="B11005" s="16301"/>
      <c r="PGC11005" s="10936"/>
    </row>
    <row r="11006" spans="2:2 10989:11004" x14ac:dyDescent="0.3">
      <c r="B11006" s="16301"/>
      <c r="PGD11006" s="10937"/>
    </row>
    <row r="11007" spans="2:2 10989:11004" x14ac:dyDescent="0.3">
      <c r="B11007" s="16301"/>
      <c r="PGE11007" s="10938"/>
    </row>
    <row r="11008" spans="2:2 10989:11004" x14ac:dyDescent="0.3">
      <c r="B11008" s="16301"/>
      <c r="PGF11008" s="10939"/>
    </row>
    <row r="11009" spans="2:2 11005:11020" x14ac:dyDescent="0.3">
      <c r="B11009" s="16301"/>
      <c r="PGG11009" s="10940"/>
    </row>
    <row r="11010" spans="2:2 11005:11020" x14ac:dyDescent="0.3">
      <c r="B11010" s="16301"/>
      <c r="PGH11010" s="10941"/>
    </row>
    <row r="11011" spans="2:2 11005:11020" x14ac:dyDescent="0.3">
      <c r="B11011" s="16301"/>
      <c r="PGI11011" s="10942"/>
    </row>
    <row r="11012" spans="2:2 11005:11020" x14ac:dyDescent="0.3">
      <c r="B11012" s="16301"/>
      <c r="PGJ11012" s="10943"/>
    </row>
    <row r="11013" spans="2:2 11005:11020" x14ac:dyDescent="0.3">
      <c r="B11013" s="16301"/>
      <c r="PGK11013" s="10944"/>
    </row>
    <row r="11014" spans="2:2 11005:11020" x14ac:dyDescent="0.3">
      <c r="B11014" s="16301"/>
      <c r="PGL11014" s="10945"/>
    </row>
    <row r="11015" spans="2:2 11005:11020" x14ac:dyDescent="0.3">
      <c r="B11015" s="16301"/>
      <c r="PGM11015" s="10946"/>
    </row>
    <row r="11016" spans="2:2 11005:11020" x14ac:dyDescent="0.3">
      <c r="B11016" s="16301"/>
      <c r="PGN11016" s="10947"/>
    </row>
    <row r="11017" spans="2:2 11005:11020" x14ac:dyDescent="0.3">
      <c r="B11017" s="16301"/>
      <c r="PGO11017" s="10948"/>
    </row>
    <row r="11018" spans="2:2 11005:11020" x14ac:dyDescent="0.3">
      <c r="B11018" s="16301"/>
      <c r="PGP11018" s="10949"/>
    </row>
    <row r="11019" spans="2:2 11005:11020" x14ac:dyDescent="0.3">
      <c r="B11019" s="16301"/>
      <c r="PGQ11019" s="10950"/>
    </row>
    <row r="11020" spans="2:2 11005:11020" x14ac:dyDescent="0.3">
      <c r="B11020" s="16301"/>
      <c r="PGR11020" s="10951"/>
    </row>
    <row r="11021" spans="2:2 11005:11020" x14ac:dyDescent="0.3">
      <c r="B11021" s="16301"/>
      <c r="PGS11021" s="10952"/>
    </row>
    <row r="11022" spans="2:2 11005:11020" x14ac:dyDescent="0.3">
      <c r="B11022" s="16301"/>
      <c r="PGT11022" s="10953"/>
    </row>
    <row r="11023" spans="2:2 11005:11020" x14ac:dyDescent="0.3">
      <c r="B11023" s="16301"/>
      <c r="PGU11023" s="10954"/>
    </row>
    <row r="11024" spans="2:2 11005:11020" x14ac:dyDescent="0.3">
      <c r="B11024" s="16301"/>
      <c r="PGV11024" s="10955"/>
    </row>
    <row r="11025" spans="2:2 11021:11036" x14ac:dyDescent="0.3">
      <c r="B11025" s="16301"/>
      <c r="PGW11025" s="10956"/>
    </row>
    <row r="11026" spans="2:2 11021:11036" x14ac:dyDescent="0.3">
      <c r="B11026" s="16301"/>
      <c r="PGX11026" s="10957"/>
    </row>
    <row r="11027" spans="2:2 11021:11036" x14ac:dyDescent="0.3">
      <c r="B11027" s="16301"/>
      <c r="PGY11027" s="10958"/>
    </row>
    <row r="11028" spans="2:2 11021:11036" x14ac:dyDescent="0.3">
      <c r="B11028" s="16301"/>
      <c r="PGZ11028" s="10959"/>
    </row>
    <row r="11029" spans="2:2 11021:11036" x14ac:dyDescent="0.3">
      <c r="B11029" s="16301"/>
      <c r="PHA11029" s="10960"/>
    </row>
    <row r="11030" spans="2:2 11021:11036" x14ac:dyDescent="0.3">
      <c r="B11030" s="16301"/>
      <c r="PHB11030" s="10961"/>
    </row>
    <row r="11031" spans="2:2 11021:11036" x14ac:dyDescent="0.3">
      <c r="B11031" s="16301"/>
      <c r="PHC11031" s="10962"/>
    </row>
    <row r="11032" spans="2:2 11021:11036" x14ac:dyDescent="0.3">
      <c r="B11032" s="16301"/>
      <c r="PHD11032" s="10963"/>
    </row>
    <row r="11033" spans="2:2 11021:11036" x14ac:dyDescent="0.3">
      <c r="B11033" s="16301"/>
      <c r="PHE11033" s="10964"/>
    </row>
    <row r="11034" spans="2:2 11021:11036" x14ac:dyDescent="0.3">
      <c r="B11034" s="16301"/>
      <c r="PHF11034" s="10965"/>
    </row>
    <row r="11035" spans="2:2 11021:11036" x14ac:dyDescent="0.3">
      <c r="B11035" s="16301"/>
      <c r="PHG11035" s="10966"/>
    </row>
    <row r="11036" spans="2:2 11021:11036" x14ac:dyDescent="0.3">
      <c r="B11036" s="16301"/>
      <c r="PHH11036" s="10967"/>
    </row>
    <row r="11037" spans="2:2 11021:11036" x14ac:dyDescent="0.3">
      <c r="B11037" s="16301"/>
      <c r="PHI11037" s="10968"/>
    </row>
    <row r="11038" spans="2:2 11021:11036" x14ac:dyDescent="0.3">
      <c r="B11038" s="16301"/>
      <c r="PHJ11038" s="10969"/>
    </row>
    <row r="11039" spans="2:2 11021:11036" x14ac:dyDescent="0.3">
      <c r="B11039" s="16301"/>
      <c r="PHK11039" s="10970"/>
    </row>
    <row r="11040" spans="2:2 11021:11036" x14ac:dyDescent="0.3">
      <c r="B11040" s="16301"/>
      <c r="PHL11040" s="10971"/>
    </row>
    <row r="11041" spans="2:2 11037:11052" x14ac:dyDescent="0.3">
      <c r="B11041" s="16301"/>
      <c r="PHM11041" s="10972"/>
    </row>
    <row r="11042" spans="2:2 11037:11052" x14ac:dyDescent="0.3">
      <c r="B11042" s="16301"/>
      <c r="PHN11042" s="10973"/>
    </row>
    <row r="11043" spans="2:2 11037:11052" x14ac:dyDescent="0.3">
      <c r="B11043" s="16301"/>
      <c r="PHO11043" s="10974"/>
    </row>
    <row r="11044" spans="2:2 11037:11052" x14ac:dyDescent="0.3">
      <c r="B11044" s="16301"/>
      <c r="PHP11044" s="10975"/>
    </row>
    <row r="11045" spans="2:2 11037:11052" x14ac:dyDescent="0.3">
      <c r="B11045" s="16301"/>
      <c r="PHQ11045" s="10976"/>
    </row>
    <row r="11046" spans="2:2 11037:11052" x14ac:dyDescent="0.3">
      <c r="B11046" s="16301"/>
      <c r="PHR11046" s="10977"/>
    </row>
    <row r="11047" spans="2:2 11037:11052" x14ac:dyDescent="0.3">
      <c r="B11047" s="16301"/>
      <c r="PHS11047" s="10978"/>
    </row>
    <row r="11048" spans="2:2 11037:11052" x14ac:dyDescent="0.3">
      <c r="B11048" s="16301"/>
      <c r="PHT11048" s="10979"/>
    </row>
    <row r="11049" spans="2:2 11037:11052" x14ac:dyDescent="0.3">
      <c r="B11049" s="16301"/>
      <c r="PHU11049" s="10980"/>
    </row>
    <row r="11050" spans="2:2 11037:11052" x14ac:dyDescent="0.3">
      <c r="B11050" s="16301"/>
      <c r="PHV11050" s="10981"/>
    </row>
    <row r="11051" spans="2:2 11037:11052" x14ac:dyDescent="0.3">
      <c r="B11051" s="16301"/>
      <c r="PHW11051" s="10982"/>
    </row>
    <row r="11052" spans="2:2 11037:11052" x14ac:dyDescent="0.3">
      <c r="B11052" s="16301"/>
      <c r="PHX11052" s="10983"/>
    </row>
    <row r="11053" spans="2:2 11037:11052" x14ac:dyDescent="0.3">
      <c r="B11053" s="16301"/>
      <c r="PHY11053" s="10984"/>
    </row>
    <row r="11054" spans="2:2 11037:11052" x14ac:dyDescent="0.3">
      <c r="B11054" s="16301"/>
      <c r="PHZ11054" s="10985"/>
    </row>
    <row r="11055" spans="2:2 11037:11052" x14ac:dyDescent="0.3">
      <c r="B11055" s="16301"/>
      <c r="PIA11055" s="10986"/>
    </row>
    <row r="11056" spans="2:2 11037:11052" x14ac:dyDescent="0.3">
      <c r="B11056" s="16301"/>
      <c r="PIB11056" s="10987"/>
    </row>
    <row r="11057" spans="2:2 11053:11068" x14ac:dyDescent="0.3">
      <c r="B11057" s="16301"/>
      <c r="PIC11057" s="10987"/>
    </row>
    <row r="11058" spans="2:2 11053:11068" x14ac:dyDescent="0.3">
      <c r="B11058" s="16301"/>
      <c r="PID11058" s="10988"/>
    </row>
    <row r="11059" spans="2:2 11053:11068" x14ac:dyDescent="0.3">
      <c r="B11059" s="16301"/>
      <c r="PIE11059" s="10989"/>
    </row>
    <row r="11060" spans="2:2 11053:11068" x14ac:dyDescent="0.3">
      <c r="B11060" s="16301"/>
      <c r="PIF11060" s="10990"/>
    </row>
    <row r="11061" spans="2:2 11053:11068" x14ac:dyDescent="0.3">
      <c r="B11061" s="16301"/>
      <c r="PIG11061" s="10991"/>
    </row>
    <row r="11062" spans="2:2 11053:11068" x14ac:dyDescent="0.3">
      <c r="B11062" s="16301"/>
      <c r="PIH11062" s="10992"/>
    </row>
    <row r="11063" spans="2:2 11053:11068" x14ac:dyDescent="0.3">
      <c r="B11063" s="16301"/>
      <c r="PII11063" s="10993"/>
    </row>
    <row r="11064" spans="2:2 11053:11068" x14ac:dyDescent="0.3">
      <c r="B11064" s="16301"/>
      <c r="PIJ11064" s="10994"/>
    </row>
    <row r="11065" spans="2:2 11053:11068" x14ac:dyDescent="0.3">
      <c r="B11065" s="16301"/>
      <c r="PIK11065" s="10995"/>
    </row>
    <row r="11066" spans="2:2 11053:11068" x14ac:dyDescent="0.3">
      <c r="B11066" s="16301"/>
      <c r="PIL11066" s="10996"/>
    </row>
    <row r="11067" spans="2:2 11053:11068" x14ac:dyDescent="0.3">
      <c r="B11067" s="16301"/>
      <c r="PIM11067" s="10997"/>
    </row>
    <row r="11068" spans="2:2 11053:11068" x14ac:dyDescent="0.3">
      <c r="B11068" s="16301"/>
      <c r="PIN11068" s="10998"/>
    </row>
    <row r="11069" spans="2:2 11053:11068" x14ac:dyDescent="0.3">
      <c r="B11069" s="16301"/>
      <c r="PIO11069" s="10999"/>
    </row>
    <row r="11070" spans="2:2 11053:11068" x14ac:dyDescent="0.3">
      <c r="B11070" s="16301"/>
      <c r="PIP11070" s="11000"/>
    </row>
    <row r="11071" spans="2:2 11053:11068" x14ac:dyDescent="0.3">
      <c r="B11071" s="16301"/>
      <c r="PIQ11071" s="11001"/>
    </row>
    <row r="11072" spans="2:2 11053:11068" x14ac:dyDescent="0.3">
      <c r="B11072" s="16301"/>
      <c r="PIR11072" s="11002"/>
    </row>
    <row r="11073" spans="2:2 11069:11084" x14ac:dyDescent="0.3">
      <c r="B11073" s="16301"/>
      <c r="PIS11073" s="11003"/>
    </row>
    <row r="11074" spans="2:2 11069:11084" x14ac:dyDescent="0.3">
      <c r="B11074" s="16301"/>
      <c r="PIT11074" s="11004"/>
    </row>
    <row r="11075" spans="2:2 11069:11084" x14ac:dyDescent="0.3">
      <c r="B11075" s="16301"/>
      <c r="PIU11075" s="11005"/>
    </row>
    <row r="11076" spans="2:2 11069:11084" x14ac:dyDescent="0.3">
      <c r="B11076" s="16301"/>
      <c r="PIV11076" s="11006"/>
    </row>
    <row r="11077" spans="2:2 11069:11084" x14ac:dyDescent="0.3">
      <c r="B11077" s="16301"/>
      <c r="PIW11077" s="11007"/>
    </row>
    <row r="11078" spans="2:2 11069:11084" x14ac:dyDescent="0.3">
      <c r="B11078" s="16301"/>
      <c r="PIX11078" s="11008"/>
    </row>
    <row r="11079" spans="2:2 11069:11084" x14ac:dyDescent="0.3">
      <c r="B11079" s="16301"/>
      <c r="PIY11079" s="11009"/>
    </row>
    <row r="11080" spans="2:2 11069:11084" x14ac:dyDescent="0.3">
      <c r="B11080" s="16301"/>
      <c r="PIZ11080" s="11010"/>
    </row>
    <row r="11081" spans="2:2 11069:11084" x14ac:dyDescent="0.3">
      <c r="B11081" s="16301"/>
      <c r="PJA11081" s="11011"/>
    </row>
    <row r="11082" spans="2:2 11069:11084" x14ac:dyDescent="0.3">
      <c r="B11082" s="16301"/>
      <c r="PJB11082" s="11012"/>
    </row>
    <row r="11083" spans="2:2 11069:11084" x14ac:dyDescent="0.3">
      <c r="B11083" s="16301"/>
      <c r="PJC11083" s="11013"/>
    </row>
    <row r="11084" spans="2:2 11069:11084" x14ac:dyDescent="0.3">
      <c r="B11084" s="16301"/>
      <c r="PJD11084" s="11014"/>
    </row>
    <row r="11085" spans="2:2 11069:11084" x14ac:dyDescent="0.3">
      <c r="B11085" s="16301"/>
      <c r="PJE11085" s="11015"/>
    </row>
    <row r="11086" spans="2:2 11069:11084" x14ac:dyDescent="0.3">
      <c r="B11086" s="16301"/>
      <c r="PJF11086" s="11016"/>
    </row>
    <row r="11087" spans="2:2 11069:11084" x14ac:dyDescent="0.3">
      <c r="B11087" s="16301"/>
      <c r="PJG11087" s="11017"/>
    </row>
    <row r="11088" spans="2:2 11069:11084" x14ac:dyDescent="0.3">
      <c r="B11088" s="16301"/>
      <c r="PJH11088" s="11018"/>
    </row>
    <row r="11089" spans="2:2 11085:11100" x14ac:dyDescent="0.3">
      <c r="B11089" s="16301"/>
      <c r="PJI11089" s="11019"/>
    </row>
    <row r="11090" spans="2:2 11085:11100" x14ac:dyDescent="0.3">
      <c r="B11090" s="16301"/>
      <c r="PJJ11090" s="11020"/>
    </row>
    <row r="11091" spans="2:2 11085:11100" x14ac:dyDescent="0.3">
      <c r="B11091" s="16301"/>
      <c r="PJK11091" s="11021"/>
    </row>
    <row r="11092" spans="2:2 11085:11100" x14ac:dyDescent="0.3">
      <c r="B11092" s="16301"/>
      <c r="PJL11092" s="11022"/>
    </row>
    <row r="11093" spans="2:2 11085:11100" x14ac:dyDescent="0.3">
      <c r="B11093" s="16301"/>
      <c r="PJM11093" s="11023"/>
    </row>
    <row r="11094" spans="2:2 11085:11100" x14ac:dyDescent="0.3">
      <c r="B11094" s="16301"/>
      <c r="PJN11094" s="11024"/>
    </row>
    <row r="11095" spans="2:2 11085:11100" x14ac:dyDescent="0.3">
      <c r="B11095" s="16301"/>
      <c r="PJO11095" s="11025"/>
    </row>
    <row r="11096" spans="2:2 11085:11100" x14ac:dyDescent="0.3">
      <c r="B11096" s="16301"/>
      <c r="PJP11096" s="11026"/>
    </row>
    <row r="11097" spans="2:2 11085:11100" x14ac:dyDescent="0.3">
      <c r="B11097" s="16301"/>
      <c r="PJQ11097" s="11027"/>
    </row>
    <row r="11098" spans="2:2 11085:11100" x14ac:dyDescent="0.3">
      <c r="B11098" s="16301"/>
      <c r="PJR11098" s="11028"/>
    </row>
    <row r="11099" spans="2:2 11085:11100" x14ac:dyDescent="0.3">
      <c r="B11099" s="16301"/>
      <c r="PJS11099" s="11029"/>
    </row>
    <row r="11100" spans="2:2 11085:11100" x14ac:dyDescent="0.3">
      <c r="B11100" s="16301"/>
      <c r="PJT11100" s="11030"/>
    </row>
    <row r="11101" spans="2:2 11085:11100" x14ac:dyDescent="0.3">
      <c r="B11101" s="16301"/>
      <c r="PJU11101" s="11031"/>
    </row>
    <row r="11102" spans="2:2 11085:11100" x14ac:dyDescent="0.3">
      <c r="B11102" s="16301"/>
      <c r="PJV11102" s="11032"/>
    </row>
    <row r="11103" spans="2:2 11085:11100" x14ac:dyDescent="0.3">
      <c r="B11103" s="16301"/>
      <c r="PJW11103" s="11033"/>
    </row>
    <row r="11104" spans="2:2 11085:11100" x14ac:dyDescent="0.3">
      <c r="B11104" s="16301"/>
      <c r="PJX11104" s="11034"/>
    </row>
    <row r="11105" spans="2:2 11101:11116" x14ac:dyDescent="0.3">
      <c r="B11105" s="16301"/>
      <c r="PJY11105" s="11035"/>
    </row>
    <row r="11106" spans="2:2 11101:11116" x14ac:dyDescent="0.3">
      <c r="B11106" s="16301"/>
      <c r="PJZ11106" s="11036"/>
    </row>
    <row r="11107" spans="2:2 11101:11116" x14ac:dyDescent="0.3">
      <c r="B11107" s="16301"/>
      <c r="PKA11107" s="11037"/>
    </row>
    <row r="11108" spans="2:2 11101:11116" x14ac:dyDescent="0.3">
      <c r="B11108" s="16301"/>
      <c r="PKB11108" s="11038"/>
    </row>
    <row r="11109" spans="2:2 11101:11116" x14ac:dyDescent="0.3">
      <c r="B11109" s="16301"/>
      <c r="PKC11109" s="11039"/>
    </row>
    <row r="11110" spans="2:2 11101:11116" x14ac:dyDescent="0.3">
      <c r="B11110" s="16301"/>
      <c r="PKD11110" s="11040"/>
    </row>
    <row r="11111" spans="2:2 11101:11116" x14ac:dyDescent="0.3">
      <c r="B11111" s="16301"/>
      <c r="PKE11111" s="11041"/>
    </row>
    <row r="11112" spans="2:2 11101:11116" x14ac:dyDescent="0.3">
      <c r="B11112" s="16301"/>
      <c r="PKF11112" s="11042"/>
    </row>
    <row r="11113" spans="2:2 11101:11116" x14ac:dyDescent="0.3">
      <c r="B11113" s="16301"/>
      <c r="PKG11113" s="11043"/>
    </row>
    <row r="11114" spans="2:2 11101:11116" x14ac:dyDescent="0.3">
      <c r="B11114" s="16301"/>
      <c r="PKH11114" s="11044"/>
    </row>
    <row r="11115" spans="2:2 11101:11116" x14ac:dyDescent="0.3">
      <c r="B11115" s="16301"/>
      <c r="PKI11115" s="11045"/>
    </row>
    <row r="11116" spans="2:2 11101:11116" x14ac:dyDescent="0.3">
      <c r="B11116" s="16301"/>
      <c r="PKJ11116" s="11046"/>
    </row>
    <row r="11117" spans="2:2 11101:11116" x14ac:dyDescent="0.3">
      <c r="B11117" s="16301"/>
      <c r="PKK11117" s="11047"/>
    </row>
    <row r="11118" spans="2:2 11101:11116" x14ac:dyDescent="0.3">
      <c r="B11118" s="16301"/>
      <c r="PKL11118" s="11048"/>
    </row>
    <row r="11119" spans="2:2 11101:11116" x14ac:dyDescent="0.3">
      <c r="B11119" s="16301"/>
      <c r="PKM11119" s="11049"/>
    </row>
    <row r="11120" spans="2:2 11101:11116" x14ac:dyDescent="0.3">
      <c r="B11120" s="16301"/>
      <c r="PKN11120" s="11050"/>
    </row>
    <row r="11121" spans="2:2 11117:11132" x14ac:dyDescent="0.3">
      <c r="B11121" s="16301"/>
      <c r="PKO11121" s="11051"/>
    </row>
    <row r="11122" spans="2:2 11117:11132" x14ac:dyDescent="0.3">
      <c r="B11122" s="16301"/>
      <c r="PKP11122" s="11052"/>
    </row>
    <row r="11123" spans="2:2 11117:11132" x14ac:dyDescent="0.3">
      <c r="B11123" s="16301"/>
      <c r="PKQ11123" s="11053"/>
    </row>
    <row r="11124" spans="2:2 11117:11132" x14ac:dyDescent="0.3">
      <c r="B11124" s="16301"/>
      <c r="PKR11124" s="11054"/>
    </row>
    <row r="11125" spans="2:2 11117:11132" x14ac:dyDescent="0.3">
      <c r="B11125" s="16301"/>
      <c r="PKS11125" s="11055"/>
    </row>
    <row r="11126" spans="2:2 11117:11132" x14ac:dyDescent="0.3">
      <c r="B11126" s="16301"/>
      <c r="PKT11126" s="11056"/>
    </row>
    <row r="11127" spans="2:2 11117:11132" x14ac:dyDescent="0.3">
      <c r="B11127" s="16301"/>
      <c r="PKU11127" s="11057"/>
    </row>
    <row r="11128" spans="2:2 11117:11132" x14ac:dyDescent="0.3">
      <c r="B11128" s="16301"/>
      <c r="PKV11128" s="11058"/>
    </row>
    <row r="11129" spans="2:2 11117:11132" x14ac:dyDescent="0.3">
      <c r="B11129" s="16301"/>
      <c r="PKW11129" s="11059"/>
    </row>
    <row r="11130" spans="2:2 11117:11132" x14ac:dyDescent="0.3">
      <c r="B11130" s="16301"/>
      <c r="PKX11130" s="11060"/>
    </row>
    <row r="11131" spans="2:2 11117:11132" x14ac:dyDescent="0.3">
      <c r="B11131" s="16301"/>
      <c r="PKY11131" s="11061"/>
    </row>
    <row r="11132" spans="2:2 11117:11132" x14ac:dyDescent="0.3">
      <c r="B11132" s="16301"/>
      <c r="PKZ11132" s="11062"/>
    </row>
    <row r="11133" spans="2:2 11117:11132" x14ac:dyDescent="0.3">
      <c r="B11133" s="16301"/>
      <c r="PLA11133" s="11063"/>
    </row>
    <row r="11134" spans="2:2 11117:11132" x14ac:dyDescent="0.3">
      <c r="B11134" s="16301"/>
      <c r="PLB11134" s="11064"/>
    </row>
    <row r="11135" spans="2:2 11117:11132" x14ac:dyDescent="0.3">
      <c r="B11135" s="16301"/>
      <c r="PLC11135" s="11065"/>
    </row>
    <row r="11136" spans="2:2 11117:11132" x14ac:dyDescent="0.3">
      <c r="B11136" s="16301"/>
      <c r="PLD11136" s="11066"/>
    </row>
    <row r="11137" spans="2:2 11133:11148" x14ac:dyDescent="0.3">
      <c r="B11137" s="16301"/>
      <c r="PLE11137" s="11067"/>
    </row>
    <row r="11138" spans="2:2 11133:11148" x14ac:dyDescent="0.3">
      <c r="B11138" s="16301"/>
      <c r="PLF11138" s="11068"/>
    </row>
    <row r="11139" spans="2:2 11133:11148" x14ac:dyDescent="0.3">
      <c r="B11139" s="16301"/>
      <c r="PLG11139" s="11069"/>
    </row>
    <row r="11140" spans="2:2 11133:11148" x14ac:dyDescent="0.3">
      <c r="B11140" s="16301"/>
      <c r="PLH11140" s="11070"/>
    </row>
    <row r="11141" spans="2:2 11133:11148" x14ac:dyDescent="0.3">
      <c r="B11141" s="16301"/>
      <c r="PLI11141" s="11071"/>
    </row>
    <row r="11142" spans="2:2 11133:11148" x14ac:dyDescent="0.3">
      <c r="B11142" s="16301"/>
      <c r="PLJ11142" s="11072"/>
    </row>
    <row r="11143" spans="2:2 11133:11148" x14ac:dyDescent="0.3">
      <c r="B11143" s="16301"/>
      <c r="PLK11143" s="11073"/>
    </row>
    <row r="11144" spans="2:2 11133:11148" x14ac:dyDescent="0.3">
      <c r="B11144" s="16301"/>
      <c r="PLL11144" s="11074"/>
    </row>
    <row r="11145" spans="2:2 11133:11148" x14ac:dyDescent="0.3">
      <c r="B11145" s="16301"/>
      <c r="PLM11145" s="11075"/>
    </row>
    <row r="11146" spans="2:2 11133:11148" x14ac:dyDescent="0.3">
      <c r="B11146" s="16301"/>
      <c r="PLN11146" s="11076"/>
    </row>
    <row r="11147" spans="2:2 11133:11148" x14ac:dyDescent="0.3">
      <c r="B11147" s="16301"/>
      <c r="PLO11147" s="11077"/>
    </row>
    <row r="11148" spans="2:2 11133:11148" x14ac:dyDescent="0.3">
      <c r="B11148" s="16301"/>
      <c r="PLP11148" s="11078"/>
    </row>
    <row r="11149" spans="2:2 11133:11148" x14ac:dyDescent="0.3">
      <c r="B11149" s="16301"/>
      <c r="PLQ11149" s="11079"/>
    </row>
    <row r="11150" spans="2:2 11133:11148" x14ac:dyDescent="0.3">
      <c r="B11150" s="16301"/>
      <c r="PLR11150" s="11080"/>
    </row>
    <row r="11151" spans="2:2 11133:11148" x14ac:dyDescent="0.3">
      <c r="B11151" s="16301"/>
      <c r="PLS11151" s="11081"/>
    </row>
    <row r="11152" spans="2:2 11133:11148" x14ac:dyDescent="0.3">
      <c r="B11152" s="16301"/>
      <c r="PLT11152" s="11082"/>
    </row>
    <row r="11153" spans="2:2 11149:11164" x14ac:dyDescent="0.3">
      <c r="B11153" s="16301"/>
      <c r="PLU11153" s="11083"/>
    </row>
    <row r="11154" spans="2:2 11149:11164" x14ac:dyDescent="0.3">
      <c r="B11154" s="16301"/>
      <c r="PLV11154" s="11084"/>
    </row>
    <row r="11155" spans="2:2 11149:11164" x14ac:dyDescent="0.3">
      <c r="B11155" s="16301"/>
      <c r="PLW11155" s="11085"/>
    </row>
    <row r="11156" spans="2:2 11149:11164" x14ac:dyDescent="0.3">
      <c r="B11156" s="16301"/>
      <c r="PLX11156" s="11086"/>
    </row>
    <row r="11157" spans="2:2 11149:11164" x14ac:dyDescent="0.3">
      <c r="B11157" s="16301"/>
      <c r="PLY11157" s="11087"/>
    </row>
    <row r="11158" spans="2:2 11149:11164" x14ac:dyDescent="0.3">
      <c r="B11158" s="16301"/>
      <c r="PLZ11158" s="11088"/>
    </row>
    <row r="11159" spans="2:2 11149:11164" x14ac:dyDescent="0.3">
      <c r="B11159" s="16301"/>
      <c r="PMA11159" s="11089"/>
    </row>
    <row r="11160" spans="2:2 11149:11164" x14ac:dyDescent="0.3">
      <c r="B11160" s="16301"/>
      <c r="PMB11160" s="11090"/>
    </row>
    <row r="11161" spans="2:2 11149:11164" x14ac:dyDescent="0.3">
      <c r="B11161" s="16301"/>
      <c r="PMC11161" s="11091"/>
    </row>
    <row r="11162" spans="2:2 11149:11164" x14ac:dyDescent="0.3">
      <c r="B11162" s="16301"/>
      <c r="PMD11162" s="11092"/>
    </row>
    <row r="11163" spans="2:2 11149:11164" x14ac:dyDescent="0.3">
      <c r="B11163" s="16301"/>
      <c r="PME11163" s="11093"/>
    </row>
    <row r="11164" spans="2:2 11149:11164" x14ac:dyDescent="0.3">
      <c r="B11164" s="16301"/>
      <c r="PMF11164" s="11094"/>
    </row>
    <row r="11165" spans="2:2 11149:11164" x14ac:dyDescent="0.3">
      <c r="B11165" s="16301"/>
      <c r="PMG11165" s="11095"/>
    </row>
    <row r="11166" spans="2:2 11149:11164" x14ac:dyDescent="0.3">
      <c r="B11166" s="16301"/>
      <c r="PMH11166" s="11096"/>
    </row>
    <row r="11167" spans="2:2 11149:11164" x14ac:dyDescent="0.3">
      <c r="B11167" s="16301"/>
      <c r="PMI11167" s="11097"/>
    </row>
    <row r="11168" spans="2:2 11149:11164" x14ac:dyDescent="0.3">
      <c r="B11168" s="16301"/>
      <c r="PMJ11168" s="11098"/>
    </row>
    <row r="11169" spans="2:2 11165:11180" x14ac:dyDescent="0.3">
      <c r="B11169" s="16301"/>
      <c r="PMK11169" s="11099"/>
    </row>
    <row r="11170" spans="2:2 11165:11180" x14ac:dyDescent="0.3">
      <c r="B11170" s="16301"/>
      <c r="PML11170" s="11100"/>
    </row>
    <row r="11171" spans="2:2 11165:11180" x14ac:dyDescent="0.3">
      <c r="B11171" s="16301"/>
      <c r="PMM11171" s="11101"/>
    </row>
    <row r="11172" spans="2:2 11165:11180" x14ac:dyDescent="0.3">
      <c r="B11172" s="16301"/>
      <c r="PMN11172" s="11102"/>
    </row>
    <row r="11173" spans="2:2 11165:11180" x14ac:dyDescent="0.3">
      <c r="B11173" s="16301"/>
      <c r="PMO11173" s="11103"/>
    </row>
    <row r="11174" spans="2:2 11165:11180" x14ac:dyDescent="0.3">
      <c r="B11174" s="16301"/>
      <c r="PMP11174" s="11104"/>
    </row>
    <row r="11175" spans="2:2 11165:11180" x14ac:dyDescent="0.3">
      <c r="B11175" s="16301"/>
      <c r="PMQ11175" s="11105"/>
    </row>
    <row r="11176" spans="2:2 11165:11180" x14ac:dyDescent="0.3">
      <c r="B11176" s="16301"/>
      <c r="PMR11176" s="11106"/>
    </row>
    <row r="11177" spans="2:2 11165:11180" x14ac:dyDescent="0.3">
      <c r="B11177" s="16301"/>
      <c r="PMS11177" s="11107"/>
    </row>
    <row r="11178" spans="2:2 11165:11180" x14ac:dyDescent="0.3">
      <c r="B11178" s="16301"/>
      <c r="PMT11178" s="11108"/>
    </row>
    <row r="11179" spans="2:2 11165:11180" x14ac:dyDescent="0.3">
      <c r="B11179" s="16301"/>
      <c r="PMU11179" s="11109"/>
    </row>
    <row r="11180" spans="2:2 11165:11180" x14ac:dyDescent="0.3">
      <c r="B11180" s="16301"/>
      <c r="PMV11180" s="11110"/>
    </row>
    <row r="11181" spans="2:2 11165:11180" x14ac:dyDescent="0.3">
      <c r="B11181" s="16301"/>
      <c r="PMW11181" s="11111"/>
    </row>
    <row r="11182" spans="2:2 11165:11180" x14ac:dyDescent="0.3">
      <c r="B11182" s="16301"/>
      <c r="PMX11182" s="11112"/>
    </row>
    <row r="11183" spans="2:2 11165:11180" x14ac:dyDescent="0.3">
      <c r="B11183" s="16301"/>
      <c r="PMY11183" s="11113"/>
    </row>
    <row r="11184" spans="2:2 11165:11180" x14ac:dyDescent="0.3">
      <c r="B11184" s="16301"/>
      <c r="PMZ11184" s="11114"/>
    </row>
    <row r="11185" spans="2:2 11181:11196" x14ac:dyDescent="0.3">
      <c r="B11185" s="16301"/>
      <c r="PNA11185" s="11115"/>
    </row>
    <row r="11186" spans="2:2 11181:11196" x14ac:dyDescent="0.3">
      <c r="B11186" s="16301"/>
      <c r="PNB11186" s="11116"/>
    </row>
    <row r="11187" spans="2:2 11181:11196" x14ac:dyDescent="0.3">
      <c r="B11187" s="16301"/>
      <c r="PNC11187" s="11117"/>
    </row>
    <row r="11188" spans="2:2 11181:11196" x14ac:dyDescent="0.3">
      <c r="B11188" s="16301"/>
      <c r="PND11188" s="11118"/>
    </row>
    <row r="11189" spans="2:2 11181:11196" x14ac:dyDescent="0.3">
      <c r="B11189" s="16301"/>
      <c r="PNE11189" s="11119"/>
    </row>
    <row r="11190" spans="2:2 11181:11196" x14ac:dyDescent="0.3">
      <c r="B11190" s="16301"/>
      <c r="PNF11190" s="11120"/>
    </row>
    <row r="11191" spans="2:2 11181:11196" x14ac:dyDescent="0.3">
      <c r="B11191" s="16301"/>
      <c r="PNG11191" s="11121"/>
    </row>
    <row r="11192" spans="2:2 11181:11196" x14ac:dyDescent="0.3">
      <c r="B11192" s="16301"/>
      <c r="PNH11192" s="11122"/>
    </row>
    <row r="11193" spans="2:2 11181:11196" x14ac:dyDescent="0.3">
      <c r="B11193" s="16301"/>
      <c r="PNI11193" s="11123"/>
    </row>
    <row r="11194" spans="2:2 11181:11196" x14ac:dyDescent="0.3">
      <c r="B11194" s="16301"/>
      <c r="PNJ11194" s="11124"/>
    </row>
    <row r="11195" spans="2:2 11181:11196" x14ac:dyDescent="0.3">
      <c r="B11195" s="16301"/>
      <c r="PNK11195" s="11125"/>
    </row>
    <row r="11196" spans="2:2 11181:11196" x14ac:dyDescent="0.3">
      <c r="B11196" s="16301"/>
      <c r="PNL11196" s="11126"/>
    </row>
    <row r="11197" spans="2:2 11181:11196" x14ac:dyDescent="0.3">
      <c r="B11197" s="16301"/>
      <c r="PNM11197" s="11127"/>
    </row>
    <row r="11198" spans="2:2 11181:11196" x14ac:dyDescent="0.3">
      <c r="B11198" s="16301"/>
      <c r="PNN11198" s="11128"/>
    </row>
    <row r="11199" spans="2:2 11181:11196" x14ac:dyDescent="0.3">
      <c r="B11199" s="16301"/>
      <c r="PNO11199" s="11129"/>
    </row>
    <row r="11200" spans="2:2 11181:11196" x14ac:dyDescent="0.3">
      <c r="B11200" s="16301"/>
      <c r="PNP11200" s="11130"/>
    </row>
    <row r="11201" spans="2:2 11197:11212" x14ac:dyDescent="0.3">
      <c r="B11201" s="16301"/>
      <c r="PNQ11201" s="11131"/>
    </row>
    <row r="11202" spans="2:2 11197:11212" x14ac:dyDescent="0.3">
      <c r="B11202" s="16301"/>
      <c r="PNR11202" s="11132"/>
    </row>
    <row r="11203" spans="2:2 11197:11212" x14ac:dyDescent="0.3">
      <c r="B11203" s="16301"/>
      <c r="PNS11203" s="11133"/>
    </row>
    <row r="11204" spans="2:2 11197:11212" x14ac:dyDescent="0.3">
      <c r="B11204" s="16301"/>
      <c r="PNT11204" s="11134"/>
    </row>
    <row r="11205" spans="2:2 11197:11212" x14ac:dyDescent="0.3">
      <c r="B11205" s="16301"/>
      <c r="PNU11205" s="11135"/>
    </row>
    <row r="11206" spans="2:2 11197:11212" x14ac:dyDescent="0.3">
      <c r="B11206" s="16301"/>
      <c r="PNV11206" s="11136"/>
    </row>
    <row r="11207" spans="2:2 11197:11212" x14ac:dyDescent="0.3">
      <c r="B11207" s="16301"/>
      <c r="PNW11207" s="11137"/>
    </row>
    <row r="11208" spans="2:2 11197:11212" x14ac:dyDescent="0.3">
      <c r="B11208" s="16301"/>
      <c r="PNX11208" s="11138"/>
    </row>
    <row r="11209" spans="2:2 11197:11212" x14ac:dyDescent="0.3">
      <c r="B11209" s="16301"/>
      <c r="PNY11209" s="11139"/>
    </row>
    <row r="11210" spans="2:2 11197:11212" x14ac:dyDescent="0.3">
      <c r="B11210" s="16301"/>
      <c r="PNZ11210" s="11140"/>
    </row>
    <row r="11211" spans="2:2 11197:11212" x14ac:dyDescent="0.3">
      <c r="B11211" s="16301"/>
      <c r="POA11211" s="11141"/>
    </row>
    <row r="11212" spans="2:2 11197:11212" x14ac:dyDescent="0.3">
      <c r="B11212" s="16301"/>
      <c r="POB11212" s="11142"/>
    </row>
    <row r="11213" spans="2:2 11197:11212" x14ac:dyDescent="0.3">
      <c r="B11213" s="16301"/>
      <c r="POC11213" s="11143"/>
    </row>
    <row r="11214" spans="2:2 11197:11212" x14ac:dyDescent="0.3">
      <c r="B11214" s="16301"/>
      <c r="POD11214" s="11144"/>
    </row>
    <row r="11215" spans="2:2 11197:11212" x14ac:dyDescent="0.3">
      <c r="B11215" s="16301"/>
      <c r="POE11215" s="11145"/>
    </row>
    <row r="11216" spans="2:2 11197:11212" x14ac:dyDescent="0.3">
      <c r="B11216" s="16301"/>
      <c r="POF11216" s="11146"/>
    </row>
    <row r="11217" spans="2:2 11213:11228" x14ac:dyDescent="0.3">
      <c r="B11217" s="16301"/>
      <c r="POG11217" s="11147"/>
    </row>
    <row r="11218" spans="2:2 11213:11228" x14ac:dyDescent="0.3">
      <c r="B11218" s="16301"/>
      <c r="POH11218" s="11148"/>
    </row>
    <row r="11219" spans="2:2 11213:11228" x14ac:dyDescent="0.3">
      <c r="B11219" s="16301"/>
      <c r="POI11219" s="11149"/>
    </row>
    <row r="11220" spans="2:2 11213:11228" x14ac:dyDescent="0.3">
      <c r="B11220" s="16301"/>
      <c r="POJ11220" s="11150"/>
    </row>
    <row r="11221" spans="2:2 11213:11228" x14ac:dyDescent="0.3">
      <c r="B11221" s="16301"/>
      <c r="POK11221" s="11151"/>
    </row>
    <row r="11222" spans="2:2 11213:11228" x14ac:dyDescent="0.3">
      <c r="B11222" s="16301"/>
      <c r="POL11222" s="11152"/>
    </row>
    <row r="11223" spans="2:2 11213:11228" x14ac:dyDescent="0.3">
      <c r="B11223" s="16301"/>
      <c r="POM11223" s="11153"/>
    </row>
    <row r="11224" spans="2:2 11213:11228" x14ac:dyDescent="0.3">
      <c r="B11224" s="16301"/>
      <c r="PON11224" s="11154"/>
    </row>
    <row r="11225" spans="2:2 11213:11228" x14ac:dyDescent="0.3">
      <c r="B11225" s="16301"/>
      <c r="POO11225" s="11155"/>
    </row>
    <row r="11226" spans="2:2 11213:11228" x14ac:dyDescent="0.3">
      <c r="B11226" s="16301"/>
      <c r="POP11226" s="11156"/>
    </row>
    <row r="11227" spans="2:2 11213:11228" x14ac:dyDescent="0.3">
      <c r="B11227" s="16301"/>
      <c r="POQ11227" s="11157"/>
    </row>
    <row r="11228" spans="2:2 11213:11228" x14ac:dyDescent="0.3">
      <c r="B11228" s="16301"/>
      <c r="POR11228" s="11158"/>
    </row>
    <row r="11229" spans="2:2 11213:11228" x14ac:dyDescent="0.3">
      <c r="B11229" s="16301"/>
      <c r="POS11229" s="11159"/>
    </row>
    <row r="11230" spans="2:2 11213:11228" x14ac:dyDescent="0.3">
      <c r="B11230" s="16301"/>
      <c r="POT11230" s="11160"/>
    </row>
    <row r="11231" spans="2:2 11213:11228" x14ac:dyDescent="0.3">
      <c r="B11231" s="16301"/>
      <c r="POU11231" s="11161"/>
    </row>
    <row r="11232" spans="2:2 11213:11228" x14ac:dyDescent="0.3">
      <c r="B11232" s="16301"/>
      <c r="POV11232" s="11162"/>
    </row>
    <row r="11233" spans="2:2 11229:11244" x14ac:dyDescent="0.3">
      <c r="B11233" s="16301"/>
      <c r="POW11233" s="11163"/>
    </row>
    <row r="11234" spans="2:2 11229:11244" x14ac:dyDescent="0.3">
      <c r="B11234" s="16301"/>
      <c r="POX11234" s="11164"/>
    </row>
    <row r="11235" spans="2:2 11229:11244" x14ac:dyDescent="0.3">
      <c r="B11235" s="16301"/>
      <c r="POY11235" s="11165"/>
    </row>
    <row r="11236" spans="2:2 11229:11244" x14ac:dyDescent="0.3">
      <c r="B11236" s="16301"/>
      <c r="POZ11236" s="11166"/>
    </row>
    <row r="11237" spans="2:2 11229:11244" x14ac:dyDescent="0.3">
      <c r="B11237" s="16301"/>
      <c r="PPA11237" s="11167"/>
    </row>
    <row r="11238" spans="2:2 11229:11244" x14ac:dyDescent="0.3">
      <c r="B11238" s="16301"/>
      <c r="PPB11238" s="11168"/>
    </row>
    <row r="11239" spans="2:2 11229:11244" x14ac:dyDescent="0.3">
      <c r="B11239" s="16301"/>
      <c r="PPC11239" s="11169"/>
    </row>
    <row r="11240" spans="2:2 11229:11244" x14ac:dyDescent="0.3">
      <c r="B11240" s="16301"/>
      <c r="PPD11240" s="11170"/>
    </row>
    <row r="11241" spans="2:2 11229:11244" x14ac:dyDescent="0.3">
      <c r="B11241" s="16301"/>
      <c r="PPE11241" s="11171"/>
    </row>
    <row r="11242" spans="2:2 11229:11244" x14ac:dyDescent="0.3">
      <c r="B11242" s="16301"/>
      <c r="PPF11242" s="11172"/>
    </row>
    <row r="11243" spans="2:2 11229:11244" x14ac:dyDescent="0.3">
      <c r="B11243" s="16301"/>
      <c r="PPG11243" s="11173"/>
    </row>
    <row r="11244" spans="2:2 11229:11244" x14ac:dyDescent="0.3">
      <c r="B11244" s="16301"/>
      <c r="PPH11244" s="11174"/>
    </row>
    <row r="11245" spans="2:2 11229:11244" x14ac:dyDescent="0.3">
      <c r="B11245" s="16301"/>
      <c r="PPI11245" s="11175"/>
    </row>
    <row r="11246" spans="2:2 11229:11244" x14ac:dyDescent="0.3">
      <c r="B11246" s="16301"/>
      <c r="PPJ11246" s="11176"/>
    </row>
    <row r="11247" spans="2:2 11229:11244" x14ac:dyDescent="0.3">
      <c r="B11247" s="16301"/>
      <c r="PPK11247" s="11177"/>
    </row>
    <row r="11248" spans="2:2 11229:11244" x14ac:dyDescent="0.3">
      <c r="B11248" s="16301"/>
      <c r="PPL11248" s="11178"/>
    </row>
    <row r="11249" spans="2:2 11245:11260" x14ac:dyDescent="0.3">
      <c r="B11249" s="16301"/>
      <c r="PPM11249" s="11179"/>
    </row>
    <row r="11250" spans="2:2 11245:11260" x14ac:dyDescent="0.3">
      <c r="B11250" s="16301"/>
      <c r="PPN11250" s="11180"/>
    </row>
    <row r="11251" spans="2:2 11245:11260" x14ac:dyDescent="0.3">
      <c r="B11251" s="16301"/>
      <c r="PPO11251" s="11181"/>
    </row>
    <row r="11252" spans="2:2 11245:11260" x14ac:dyDescent="0.3">
      <c r="B11252" s="16301"/>
      <c r="PPP11252" s="11182"/>
    </row>
    <row r="11253" spans="2:2 11245:11260" x14ac:dyDescent="0.3">
      <c r="B11253" s="16301"/>
      <c r="PPQ11253" s="11183"/>
    </row>
    <row r="11254" spans="2:2 11245:11260" x14ac:dyDescent="0.3">
      <c r="B11254" s="16301"/>
      <c r="PPR11254" s="11184"/>
    </row>
    <row r="11255" spans="2:2 11245:11260" x14ac:dyDescent="0.3">
      <c r="B11255" s="16301"/>
      <c r="PPS11255" s="11185"/>
    </row>
    <row r="11256" spans="2:2 11245:11260" x14ac:dyDescent="0.3">
      <c r="B11256" s="16301"/>
      <c r="PPT11256" s="11186"/>
    </row>
    <row r="11257" spans="2:2 11245:11260" x14ac:dyDescent="0.3">
      <c r="B11257" s="16301"/>
      <c r="PPU11257" s="11187"/>
    </row>
    <row r="11258" spans="2:2 11245:11260" x14ac:dyDescent="0.3">
      <c r="B11258" s="16301"/>
      <c r="PPV11258" s="11188"/>
    </row>
    <row r="11259" spans="2:2 11245:11260" x14ac:dyDescent="0.3">
      <c r="B11259" s="16301"/>
      <c r="PPW11259" s="11189"/>
    </row>
    <row r="11260" spans="2:2 11245:11260" x14ac:dyDescent="0.3">
      <c r="B11260" s="16301"/>
      <c r="PPX11260" s="11190"/>
    </row>
    <row r="11261" spans="2:2 11245:11260" x14ac:dyDescent="0.3">
      <c r="B11261" s="16301"/>
      <c r="PPY11261" s="11191"/>
    </row>
    <row r="11262" spans="2:2 11245:11260" x14ac:dyDescent="0.3">
      <c r="B11262" s="16301"/>
      <c r="PPZ11262" s="11192"/>
    </row>
    <row r="11263" spans="2:2 11245:11260" x14ac:dyDescent="0.3">
      <c r="B11263" s="16301"/>
      <c r="PQA11263" s="11193"/>
    </row>
    <row r="11264" spans="2:2 11245:11260" x14ac:dyDescent="0.3">
      <c r="B11264" s="16301"/>
      <c r="PQB11264" s="11194"/>
    </row>
    <row r="11265" spans="2:2 11261:11276" x14ac:dyDescent="0.3">
      <c r="B11265" s="16301"/>
      <c r="PQC11265" s="11195"/>
    </row>
    <row r="11266" spans="2:2 11261:11276" x14ac:dyDescent="0.3">
      <c r="B11266" s="16301"/>
      <c r="PQD11266" s="11196"/>
    </row>
    <row r="11267" spans="2:2 11261:11276" x14ac:dyDescent="0.3">
      <c r="B11267" s="16301"/>
      <c r="PQE11267" s="11197"/>
    </row>
    <row r="11268" spans="2:2 11261:11276" x14ac:dyDescent="0.3">
      <c r="B11268" s="16301"/>
      <c r="PQF11268" s="11198"/>
    </row>
    <row r="11269" spans="2:2 11261:11276" x14ac:dyDescent="0.3">
      <c r="B11269" s="16301"/>
      <c r="PQG11269" s="11199"/>
    </row>
    <row r="11270" spans="2:2 11261:11276" x14ac:dyDescent="0.3">
      <c r="B11270" s="16301"/>
      <c r="PQH11270" s="11200"/>
    </row>
    <row r="11271" spans="2:2 11261:11276" x14ac:dyDescent="0.3">
      <c r="B11271" s="16301"/>
      <c r="PQI11271" s="11201"/>
    </row>
    <row r="11272" spans="2:2 11261:11276" x14ac:dyDescent="0.3">
      <c r="B11272" s="16301"/>
      <c r="PQJ11272" s="11202"/>
    </row>
    <row r="11273" spans="2:2 11261:11276" x14ac:dyDescent="0.3">
      <c r="B11273" s="16301"/>
      <c r="PQK11273" s="11203"/>
    </row>
    <row r="11274" spans="2:2 11261:11276" x14ac:dyDescent="0.3">
      <c r="B11274" s="16301"/>
      <c r="PQL11274" s="11204"/>
    </row>
    <row r="11275" spans="2:2 11261:11276" x14ac:dyDescent="0.3">
      <c r="B11275" s="16301"/>
      <c r="PQM11275" s="11205"/>
    </row>
    <row r="11276" spans="2:2 11261:11276" x14ac:dyDescent="0.3">
      <c r="B11276" s="16301"/>
      <c r="PQN11276" s="11206"/>
    </row>
    <row r="11277" spans="2:2 11261:11276" x14ac:dyDescent="0.3">
      <c r="B11277" s="16301"/>
      <c r="PQO11277" s="11207"/>
    </row>
    <row r="11278" spans="2:2 11261:11276" x14ac:dyDescent="0.3">
      <c r="B11278" s="16301"/>
      <c r="PQP11278" s="11208"/>
    </row>
    <row r="11279" spans="2:2 11261:11276" x14ac:dyDescent="0.3">
      <c r="B11279" s="16301"/>
      <c r="PQQ11279" s="11209"/>
    </row>
    <row r="11280" spans="2:2 11261:11276" x14ac:dyDescent="0.3">
      <c r="B11280" s="16301"/>
      <c r="PQR11280" s="11210"/>
    </row>
    <row r="11281" spans="2:2 11277:11292" x14ac:dyDescent="0.3">
      <c r="B11281" s="16301"/>
      <c r="PQS11281" s="11211"/>
    </row>
    <row r="11282" spans="2:2 11277:11292" x14ac:dyDescent="0.3">
      <c r="B11282" s="16301"/>
      <c r="PQT11282" s="11212"/>
    </row>
    <row r="11283" spans="2:2 11277:11292" x14ac:dyDescent="0.3">
      <c r="B11283" s="16301"/>
      <c r="PQU11283" s="11213"/>
    </row>
    <row r="11284" spans="2:2 11277:11292" x14ac:dyDescent="0.3">
      <c r="B11284" s="16301"/>
      <c r="PQV11284" s="11214"/>
    </row>
    <row r="11285" spans="2:2 11277:11292" x14ac:dyDescent="0.3">
      <c r="B11285" s="16301"/>
      <c r="PQW11285" s="11215"/>
    </row>
    <row r="11286" spans="2:2 11277:11292" x14ac:dyDescent="0.3">
      <c r="B11286" s="16301"/>
      <c r="PQX11286" s="11216"/>
    </row>
    <row r="11287" spans="2:2 11277:11292" x14ac:dyDescent="0.3">
      <c r="B11287" s="16301"/>
      <c r="PQY11287" s="11217"/>
    </row>
    <row r="11288" spans="2:2 11277:11292" x14ac:dyDescent="0.3">
      <c r="B11288" s="16301"/>
      <c r="PQZ11288" s="11218"/>
    </row>
    <row r="11289" spans="2:2 11277:11292" x14ac:dyDescent="0.3">
      <c r="B11289" s="16301"/>
      <c r="PRA11289" s="11219"/>
    </row>
    <row r="11290" spans="2:2 11277:11292" x14ac:dyDescent="0.3">
      <c r="B11290" s="16301"/>
      <c r="PRB11290" s="11220"/>
    </row>
    <row r="11291" spans="2:2 11277:11292" x14ac:dyDescent="0.3">
      <c r="B11291" s="16301"/>
      <c r="PRC11291" s="11221"/>
    </row>
    <row r="11292" spans="2:2 11277:11292" x14ac:dyDescent="0.3">
      <c r="B11292" s="16301"/>
      <c r="PRD11292" s="11222"/>
    </row>
    <row r="11293" spans="2:2 11277:11292" x14ac:dyDescent="0.3">
      <c r="B11293" s="16301"/>
      <c r="PRE11293" s="11223"/>
    </row>
    <row r="11294" spans="2:2 11277:11292" x14ac:dyDescent="0.3">
      <c r="B11294" s="16301"/>
      <c r="PRF11294" s="11224"/>
    </row>
    <row r="11295" spans="2:2 11277:11292" x14ac:dyDescent="0.3">
      <c r="B11295" s="16301"/>
      <c r="PRG11295" s="11225"/>
    </row>
    <row r="11296" spans="2:2 11277:11292" x14ac:dyDescent="0.3">
      <c r="B11296" s="16301"/>
      <c r="PRH11296" s="11226"/>
    </row>
    <row r="11297" spans="2:2 11293:11308" x14ac:dyDescent="0.3">
      <c r="B11297" s="16301"/>
      <c r="PRI11297" s="11227"/>
    </row>
    <row r="11298" spans="2:2 11293:11308" x14ac:dyDescent="0.3">
      <c r="B11298" s="16301"/>
      <c r="PRJ11298" s="11228"/>
    </row>
    <row r="11299" spans="2:2 11293:11308" x14ac:dyDescent="0.3">
      <c r="B11299" s="16301"/>
      <c r="PRK11299" s="11229"/>
    </row>
    <row r="11300" spans="2:2 11293:11308" x14ac:dyDescent="0.3">
      <c r="B11300" s="16301"/>
      <c r="PRL11300" s="11230"/>
    </row>
    <row r="11301" spans="2:2 11293:11308" x14ac:dyDescent="0.3">
      <c r="B11301" s="16301"/>
      <c r="PRM11301" s="11231"/>
    </row>
    <row r="11302" spans="2:2 11293:11308" x14ac:dyDescent="0.3">
      <c r="B11302" s="16301"/>
      <c r="PRN11302" s="11232"/>
    </row>
    <row r="11303" spans="2:2 11293:11308" x14ac:dyDescent="0.3">
      <c r="B11303" s="16301"/>
      <c r="PRO11303" s="11233"/>
    </row>
    <row r="11304" spans="2:2 11293:11308" x14ac:dyDescent="0.3">
      <c r="B11304" s="16301"/>
      <c r="PRP11304" s="11234"/>
    </row>
    <row r="11305" spans="2:2 11293:11308" x14ac:dyDescent="0.3">
      <c r="B11305" s="16301"/>
      <c r="PRQ11305" s="11235"/>
    </row>
    <row r="11306" spans="2:2 11293:11308" x14ac:dyDescent="0.3">
      <c r="B11306" s="16301"/>
      <c r="PRR11306" s="11236"/>
    </row>
    <row r="11307" spans="2:2 11293:11308" x14ac:dyDescent="0.3">
      <c r="B11307" s="16301"/>
      <c r="PRS11307" s="11237"/>
    </row>
    <row r="11308" spans="2:2 11293:11308" x14ac:dyDescent="0.3">
      <c r="B11308" s="16301"/>
      <c r="PRT11308" s="11238"/>
    </row>
    <row r="11309" spans="2:2 11293:11308" x14ac:dyDescent="0.3">
      <c r="B11309" s="16301"/>
      <c r="PRU11309" s="11239"/>
    </row>
    <row r="11310" spans="2:2 11293:11308" x14ac:dyDescent="0.3">
      <c r="B11310" s="16301"/>
      <c r="PRV11310" s="11240"/>
    </row>
    <row r="11311" spans="2:2 11293:11308" x14ac:dyDescent="0.3">
      <c r="B11311" s="16301"/>
      <c r="PRW11311" s="11241"/>
    </row>
    <row r="11312" spans="2:2 11293:11308" x14ac:dyDescent="0.3">
      <c r="B11312" s="16301"/>
      <c r="PRX11312" s="11242"/>
    </row>
    <row r="11313" spans="2:2 11309:11324" x14ac:dyDescent="0.3">
      <c r="B11313" s="16301"/>
      <c r="PRY11313" s="11243"/>
    </row>
    <row r="11314" spans="2:2 11309:11324" x14ac:dyDescent="0.3">
      <c r="B11314" s="16301"/>
      <c r="PRZ11314" s="11243"/>
    </row>
    <row r="11315" spans="2:2 11309:11324" x14ac:dyDescent="0.3">
      <c r="B11315" s="16301"/>
      <c r="PSA11315" s="11244"/>
    </row>
    <row r="11316" spans="2:2 11309:11324" x14ac:dyDescent="0.3">
      <c r="B11316" s="16301"/>
      <c r="PSB11316" s="11245"/>
    </row>
    <row r="11317" spans="2:2 11309:11324" x14ac:dyDescent="0.3">
      <c r="B11317" s="16301"/>
      <c r="PSC11317" s="11246"/>
    </row>
    <row r="11318" spans="2:2 11309:11324" x14ac:dyDescent="0.3">
      <c r="B11318" s="16301"/>
      <c r="PSD11318" s="11247"/>
    </row>
    <row r="11319" spans="2:2 11309:11324" x14ac:dyDescent="0.3">
      <c r="B11319" s="16301"/>
      <c r="PSE11319" s="11248"/>
    </row>
    <row r="11320" spans="2:2 11309:11324" x14ac:dyDescent="0.3">
      <c r="B11320" s="16301"/>
      <c r="PSF11320" s="11249"/>
    </row>
    <row r="11321" spans="2:2 11309:11324" x14ac:dyDescent="0.3">
      <c r="B11321" s="16301"/>
      <c r="PSG11321" s="11250"/>
    </row>
    <row r="11322" spans="2:2 11309:11324" x14ac:dyDescent="0.3">
      <c r="B11322" s="16301"/>
      <c r="PSH11322" s="11251"/>
    </row>
    <row r="11323" spans="2:2 11309:11324" x14ac:dyDescent="0.3">
      <c r="B11323" s="16301"/>
      <c r="PSI11323" s="11252"/>
    </row>
    <row r="11324" spans="2:2 11309:11324" x14ac:dyDescent="0.3">
      <c r="B11324" s="16301"/>
      <c r="PSJ11324" s="11253"/>
    </row>
    <row r="11325" spans="2:2 11309:11324" x14ac:dyDescent="0.3">
      <c r="B11325" s="16301"/>
      <c r="PSK11325" s="11254"/>
    </row>
    <row r="11326" spans="2:2 11309:11324" x14ac:dyDescent="0.3">
      <c r="B11326" s="16301"/>
      <c r="PSL11326" s="11255"/>
    </row>
    <row r="11327" spans="2:2 11309:11324" x14ac:dyDescent="0.3">
      <c r="B11327" s="16301"/>
      <c r="PSM11327" s="11256"/>
    </row>
    <row r="11328" spans="2:2 11309:11324" x14ac:dyDescent="0.3">
      <c r="B11328" s="16301"/>
      <c r="PSN11328" s="11257"/>
    </row>
    <row r="11329" spans="2:2 11325:11340" x14ac:dyDescent="0.3">
      <c r="B11329" s="16301"/>
      <c r="PSO11329" s="11258"/>
    </row>
    <row r="11330" spans="2:2 11325:11340" x14ac:dyDescent="0.3">
      <c r="B11330" s="16301"/>
      <c r="PSP11330" s="11259"/>
    </row>
    <row r="11331" spans="2:2 11325:11340" x14ac:dyDescent="0.3">
      <c r="B11331" s="16301"/>
      <c r="PSQ11331" s="11260"/>
    </row>
    <row r="11332" spans="2:2 11325:11340" x14ac:dyDescent="0.3">
      <c r="B11332" s="16301"/>
      <c r="PSR11332" s="11261"/>
    </row>
    <row r="11333" spans="2:2 11325:11340" x14ac:dyDescent="0.3">
      <c r="B11333" s="16301"/>
      <c r="PSS11333" s="11262"/>
    </row>
    <row r="11334" spans="2:2 11325:11340" x14ac:dyDescent="0.3">
      <c r="B11334" s="16301"/>
      <c r="PST11334" s="11263"/>
    </row>
    <row r="11335" spans="2:2 11325:11340" x14ac:dyDescent="0.3">
      <c r="B11335" s="16301"/>
      <c r="PSU11335" s="11264"/>
    </row>
    <row r="11336" spans="2:2 11325:11340" x14ac:dyDescent="0.3">
      <c r="B11336" s="16301"/>
      <c r="PSV11336" s="11265"/>
    </row>
    <row r="11337" spans="2:2 11325:11340" x14ac:dyDescent="0.3">
      <c r="B11337" s="16301"/>
      <c r="PSW11337" s="11266"/>
    </row>
    <row r="11338" spans="2:2 11325:11340" x14ac:dyDescent="0.3">
      <c r="B11338" s="16301"/>
      <c r="PSX11338" s="11267"/>
    </row>
    <row r="11339" spans="2:2 11325:11340" x14ac:dyDescent="0.3">
      <c r="B11339" s="16301"/>
      <c r="PSY11339" s="11268"/>
    </row>
    <row r="11340" spans="2:2 11325:11340" x14ac:dyDescent="0.3">
      <c r="B11340" s="16301"/>
      <c r="PSZ11340" s="11269"/>
    </row>
    <row r="11341" spans="2:2 11325:11340" x14ac:dyDescent="0.3">
      <c r="B11341" s="16301"/>
      <c r="PTA11341" s="11270"/>
    </row>
    <row r="11342" spans="2:2 11325:11340" x14ac:dyDescent="0.3">
      <c r="B11342" s="16301"/>
      <c r="PTB11342" s="11271"/>
    </row>
    <row r="11343" spans="2:2 11325:11340" x14ac:dyDescent="0.3">
      <c r="B11343" s="16301"/>
      <c r="PTC11343" s="11272"/>
    </row>
    <row r="11344" spans="2:2 11325:11340" x14ac:dyDescent="0.3">
      <c r="B11344" s="16301"/>
      <c r="PTD11344" s="11273"/>
    </row>
    <row r="11345" spans="2:2 11341:11356" x14ac:dyDescent="0.3">
      <c r="B11345" s="16301"/>
      <c r="PTE11345" s="11274"/>
    </row>
    <row r="11346" spans="2:2 11341:11356" x14ac:dyDescent="0.3">
      <c r="B11346" s="16301"/>
      <c r="PTF11346" s="11275"/>
    </row>
    <row r="11347" spans="2:2 11341:11356" x14ac:dyDescent="0.3">
      <c r="B11347" s="16301"/>
      <c r="PTG11347" s="11276"/>
    </row>
    <row r="11348" spans="2:2 11341:11356" x14ac:dyDescent="0.3">
      <c r="B11348" s="16301"/>
      <c r="PTH11348" s="11277"/>
    </row>
    <row r="11349" spans="2:2 11341:11356" x14ac:dyDescent="0.3">
      <c r="B11349" s="16301"/>
      <c r="PTI11349" s="11278"/>
    </row>
    <row r="11350" spans="2:2 11341:11356" x14ac:dyDescent="0.3">
      <c r="B11350" s="16301"/>
      <c r="PTJ11350" s="11279"/>
    </row>
    <row r="11351" spans="2:2 11341:11356" x14ac:dyDescent="0.3">
      <c r="B11351" s="16301"/>
      <c r="PTK11351" s="11280"/>
    </row>
    <row r="11352" spans="2:2 11341:11356" x14ac:dyDescent="0.3">
      <c r="B11352" s="16301"/>
      <c r="PTL11352" s="11281"/>
    </row>
    <row r="11353" spans="2:2 11341:11356" x14ac:dyDescent="0.3">
      <c r="B11353" s="16301"/>
      <c r="PTM11353" s="11282"/>
    </row>
    <row r="11354" spans="2:2 11341:11356" x14ac:dyDescent="0.3">
      <c r="B11354" s="16301"/>
      <c r="PTN11354" s="11283"/>
    </row>
    <row r="11355" spans="2:2 11341:11356" x14ac:dyDescent="0.3">
      <c r="B11355" s="16301"/>
      <c r="PTO11355" s="11284"/>
    </row>
    <row r="11356" spans="2:2 11341:11356" x14ac:dyDescent="0.3">
      <c r="B11356" s="16301"/>
      <c r="PTP11356" s="11285"/>
    </row>
    <row r="11357" spans="2:2 11341:11356" x14ac:dyDescent="0.3">
      <c r="B11357" s="16301"/>
      <c r="PTQ11357" s="11286"/>
    </row>
    <row r="11358" spans="2:2 11341:11356" x14ac:dyDescent="0.3">
      <c r="B11358" s="16301"/>
      <c r="PTR11358" s="11287"/>
    </row>
    <row r="11359" spans="2:2 11341:11356" x14ac:dyDescent="0.3">
      <c r="B11359" s="16301"/>
      <c r="PTS11359" s="11288"/>
    </row>
    <row r="11360" spans="2:2 11341:11356" x14ac:dyDescent="0.3">
      <c r="B11360" s="16301"/>
      <c r="PTT11360" s="11289"/>
    </row>
    <row r="11361" spans="2:2 11357:11372" x14ac:dyDescent="0.3">
      <c r="B11361" s="16301"/>
      <c r="PTU11361" s="11290"/>
    </row>
    <row r="11362" spans="2:2 11357:11372" x14ac:dyDescent="0.3">
      <c r="B11362" s="16301"/>
      <c r="PTV11362" s="11291"/>
    </row>
    <row r="11363" spans="2:2 11357:11372" x14ac:dyDescent="0.3">
      <c r="B11363" s="16301"/>
      <c r="PTW11363" s="11292"/>
    </row>
    <row r="11364" spans="2:2 11357:11372" x14ac:dyDescent="0.3">
      <c r="B11364" s="16301"/>
      <c r="PTX11364" s="11293"/>
    </row>
    <row r="11365" spans="2:2 11357:11372" x14ac:dyDescent="0.3">
      <c r="B11365" s="16301"/>
      <c r="PTY11365" s="11294"/>
    </row>
    <row r="11366" spans="2:2 11357:11372" x14ac:dyDescent="0.3">
      <c r="B11366" s="16301"/>
      <c r="PTZ11366" s="11295"/>
    </row>
    <row r="11367" spans="2:2 11357:11372" x14ac:dyDescent="0.3">
      <c r="B11367" s="16301"/>
      <c r="PUA11367" s="11296"/>
    </row>
    <row r="11368" spans="2:2 11357:11372" x14ac:dyDescent="0.3">
      <c r="B11368" s="16301"/>
      <c r="PUB11368" s="11297"/>
    </row>
    <row r="11369" spans="2:2 11357:11372" x14ac:dyDescent="0.3">
      <c r="B11369" s="16301"/>
      <c r="PUC11369" s="11298"/>
    </row>
    <row r="11370" spans="2:2 11357:11372" x14ac:dyDescent="0.3">
      <c r="B11370" s="16301"/>
      <c r="PUD11370" s="11299"/>
    </row>
    <row r="11371" spans="2:2 11357:11372" x14ac:dyDescent="0.3">
      <c r="B11371" s="16301"/>
      <c r="PUE11371" s="11300"/>
    </row>
    <row r="11372" spans="2:2 11357:11372" x14ac:dyDescent="0.3">
      <c r="B11372" s="16301"/>
      <c r="PUF11372" s="11301"/>
    </row>
    <row r="11373" spans="2:2 11357:11372" x14ac:dyDescent="0.3">
      <c r="B11373" s="16301"/>
      <c r="PUG11373" s="11302"/>
    </row>
    <row r="11374" spans="2:2 11357:11372" x14ac:dyDescent="0.3">
      <c r="B11374" s="16301"/>
      <c r="PUH11374" s="11303"/>
    </row>
    <row r="11375" spans="2:2 11357:11372" x14ac:dyDescent="0.3">
      <c r="B11375" s="16301"/>
      <c r="PUI11375" s="11304"/>
    </row>
    <row r="11376" spans="2:2 11357:11372" x14ac:dyDescent="0.3">
      <c r="B11376" s="16301"/>
      <c r="PUJ11376" s="11305"/>
    </row>
    <row r="11377" spans="2:2 11373:11388" x14ac:dyDescent="0.3">
      <c r="B11377" s="16301"/>
      <c r="PUK11377" s="11306"/>
    </row>
    <row r="11378" spans="2:2 11373:11388" x14ac:dyDescent="0.3">
      <c r="B11378" s="16301"/>
      <c r="PUL11378" s="11307"/>
    </row>
    <row r="11379" spans="2:2 11373:11388" x14ac:dyDescent="0.3">
      <c r="B11379" s="16301"/>
      <c r="PUM11379" s="11308"/>
    </row>
    <row r="11380" spans="2:2 11373:11388" x14ac:dyDescent="0.3">
      <c r="B11380" s="16301"/>
      <c r="PUN11380" s="11309"/>
    </row>
    <row r="11381" spans="2:2 11373:11388" x14ac:dyDescent="0.3">
      <c r="B11381" s="16301"/>
      <c r="PUO11381" s="11310"/>
    </row>
    <row r="11382" spans="2:2 11373:11388" x14ac:dyDescent="0.3">
      <c r="B11382" s="16301"/>
      <c r="PUP11382" s="11311"/>
    </row>
    <row r="11383" spans="2:2 11373:11388" x14ac:dyDescent="0.3">
      <c r="B11383" s="16301"/>
      <c r="PUQ11383" s="11312"/>
    </row>
    <row r="11384" spans="2:2 11373:11388" x14ac:dyDescent="0.3">
      <c r="B11384" s="16301"/>
      <c r="PUR11384" s="11313"/>
    </row>
    <row r="11385" spans="2:2 11373:11388" x14ac:dyDescent="0.3">
      <c r="B11385" s="16301"/>
      <c r="PUS11385" s="11314"/>
    </row>
    <row r="11386" spans="2:2 11373:11388" x14ac:dyDescent="0.3">
      <c r="B11386" s="16301"/>
      <c r="PUT11386" s="11315"/>
    </row>
    <row r="11387" spans="2:2 11373:11388" x14ac:dyDescent="0.3">
      <c r="B11387" s="16301"/>
      <c r="PUU11387" s="11316"/>
    </row>
    <row r="11388" spans="2:2 11373:11388" x14ac:dyDescent="0.3">
      <c r="B11388" s="16301"/>
      <c r="PUV11388" s="11317"/>
    </row>
    <row r="11389" spans="2:2 11373:11388" x14ac:dyDescent="0.3">
      <c r="B11389" s="16301"/>
      <c r="PUW11389" s="11318"/>
    </row>
    <row r="11390" spans="2:2 11373:11388" x14ac:dyDescent="0.3">
      <c r="B11390" s="16301"/>
      <c r="PUX11390" s="11319"/>
    </row>
    <row r="11391" spans="2:2 11373:11388" x14ac:dyDescent="0.3">
      <c r="B11391" s="16301"/>
      <c r="PUY11391" s="11320"/>
    </row>
    <row r="11392" spans="2:2 11373:11388" x14ac:dyDescent="0.3">
      <c r="B11392" s="16301"/>
      <c r="PUZ11392" s="11321"/>
    </row>
    <row r="11393" spans="2:2 11389:11404" x14ac:dyDescent="0.3">
      <c r="B11393" s="16301"/>
      <c r="PVA11393" s="11322"/>
    </row>
    <row r="11394" spans="2:2 11389:11404" x14ac:dyDescent="0.3">
      <c r="B11394" s="16301"/>
      <c r="PVB11394" s="11323"/>
    </row>
    <row r="11395" spans="2:2 11389:11404" x14ac:dyDescent="0.3">
      <c r="B11395" s="16301"/>
      <c r="PVC11395" s="11324"/>
    </row>
    <row r="11396" spans="2:2 11389:11404" x14ac:dyDescent="0.3">
      <c r="B11396" s="16301"/>
      <c r="PVD11396" s="11325"/>
    </row>
    <row r="11397" spans="2:2 11389:11404" x14ac:dyDescent="0.3">
      <c r="B11397" s="16301"/>
      <c r="PVE11397" s="11326"/>
    </row>
    <row r="11398" spans="2:2 11389:11404" x14ac:dyDescent="0.3">
      <c r="B11398" s="16301"/>
      <c r="PVF11398" s="11327"/>
    </row>
    <row r="11399" spans="2:2 11389:11404" x14ac:dyDescent="0.3">
      <c r="B11399" s="16301"/>
      <c r="PVG11399" s="11328"/>
    </row>
    <row r="11400" spans="2:2 11389:11404" x14ac:dyDescent="0.3">
      <c r="B11400" s="16301"/>
      <c r="PVH11400" s="11329"/>
    </row>
    <row r="11401" spans="2:2 11389:11404" x14ac:dyDescent="0.3">
      <c r="B11401" s="16301"/>
      <c r="PVI11401" s="11330"/>
    </row>
    <row r="11402" spans="2:2 11389:11404" x14ac:dyDescent="0.3">
      <c r="B11402" s="16301"/>
      <c r="PVJ11402" s="11331"/>
    </row>
    <row r="11403" spans="2:2 11389:11404" x14ac:dyDescent="0.3">
      <c r="B11403" s="16301"/>
      <c r="PVK11403" s="11332"/>
    </row>
    <row r="11404" spans="2:2 11389:11404" x14ac:dyDescent="0.3">
      <c r="B11404" s="16301"/>
      <c r="PVL11404" s="11333"/>
    </row>
    <row r="11405" spans="2:2 11389:11404" x14ac:dyDescent="0.3">
      <c r="B11405" s="16301"/>
      <c r="PVM11405" s="11334"/>
    </row>
    <row r="11406" spans="2:2 11389:11404" x14ac:dyDescent="0.3">
      <c r="B11406" s="16301"/>
      <c r="PVN11406" s="11335"/>
    </row>
    <row r="11407" spans="2:2 11389:11404" x14ac:dyDescent="0.3">
      <c r="B11407" s="16301"/>
      <c r="PVO11407" s="11336"/>
    </row>
    <row r="11408" spans="2:2 11389:11404" x14ac:dyDescent="0.3">
      <c r="B11408" s="16301"/>
      <c r="PVP11408" s="11337"/>
    </row>
    <row r="11409" spans="2:2 11405:11420" x14ac:dyDescent="0.3">
      <c r="B11409" s="16301"/>
      <c r="PVQ11409" s="11338"/>
    </row>
    <row r="11410" spans="2:2 11405:11420" x14ac:dyDescent="0.3">
      <c r="B11410" s="16301"/>
      <c r="PVR11410" s="11339"/>
    </row>
    <row r="11411" spans="2:2 11405:11420" x14ac:dyDescent="0.3">
      <c r="B11411" s="16301"/>
      <c r="PVS11411" s="11340"/>
    </row>
    <row r="11412" spans="2:2 11405:11420" x14ac:dyDescent="0.3">
      <c r="B11412" s="16301"/>
      <c r="PVT11412" s="11341"/>
    </row>
    <row r="11413" spans="2:2 11405:11420" x14ac:dyDescent="0.3">
      <c r="B11413" s="16301"/>
      <c r="PVU11413" s="11342"/>
    </row>
    <row r="11414" spans="2:2 11405:11420" x14ac:dyDescent="0.3">
      <c r="B11414" s="16301"/>
      <c r="PVV11414" s="11343"/>
    </row>
    <row r="11415" spans="2:2 11405:11420" x14ac:dyDescent="0.3">
      <c r="B11415" s="16301"/>
      <c r="PVW11415" s="11344"/>
    </row>
    <row r="11416" spans="2:2 11405:11420" x14ac:dyDescent="0.3">
      <c r="B11416" s="16301"/>
      <c r="PVX11416" s="11345"/>
    </row>
    <row r="11417" spans="2:2 11405:11420" x14ac:dyDescent="0.3">
      <c r="B11417" s="16301"/>
      <c r="PVY11417" s="11346"/>
    </row>
    <row r="11418" spans="2:2 11405:11420" x14ac:dyDescent="0.3">
      <c r="B11418" s="16301"/>
      <c r="PVZ11418" s="11347"/>
    </row>
    <row r="11419" spans="2:2 11405:11420" x14ac:dyDescent="0.3">
      <c r="B11419" s="16301"/>
      <c r="PWA11419" s="11348"/>
    </row>
    <row r="11420" spans="2:2 11405:11420" x14ac:dyDescent="0.3">
      <c r="B11420" s="16301"/>
      <c r="PWB11420" s="11349"/>
    </row>
    <row r="11421" spans="2:2 11405:11420" x14ac:dyDescent="0.3">
      <c r="B11421" s="16301"/>
      <c r="PWC11421" s="11350"/>
    </row>
    <row r="11422" spans="2:2 11405:11420" x14ac:dyDescent="0.3">
      <c r="B11422" s="16301"/>
      <c r="PWD11422" s="11351"/>
    </row>
    <row r="11423" spans="2:2 11405:11420" x14ac:dyDescent="0.3">
      <c r="B11423" s="16301"/>
      <c r="PWE11423" s="11352"/>
    </row>
    <row r="11424" spans="2:2 11405:11420" x14ac:dyDescent="0.3">
      <c r="B11424" s="16301"/>
      <c r="PWF11424" s="11353"/>
    </row>
    <row r="11425" spans="2:2 11421:11436" x14ac:dyDescent="0.3">
      <c r="B11425" s="16301"/>
      <c r="PWG11425" s="11354"/>
    </row>
    <row r="11426" spans="2:2 11421:11436" x14ac:dyDescent="0.3">
      <c r="B11426" s="16301"/>
      <c r="PWH11426" s="11355"/>
    </row>
    <row r="11427" spans="2:2 11421:11436" x14ac:dyDescent="0.3">
      <c r="B11427" s="16301"/>
      <c r="PWI11427" s="11356"/>
    </row>
    <row r="11428" spans="2:2 11421:11436" x14ac:dyDescent="0.3">
      <c r="B11428" s="16301"/>
      <c r="PWJ11428" s="11357"/>
    </row>
    <row r="11429" spans="2:2 11421:11436" x14ac:dyDescent="0.3">
      <c r="B11429" s="16301"/>
      <c r="PWK11429" s="11358"/>
    </row>
    <row r="11430" spans="2:2 11421:11436" x14ac:dyDescent="0.3">
      <c r="B11430" s="16301"/>
      <c r="PWL11430" s="11359"/>
    </row>
    <row r="11431" spans="2:2 11421:11436" x14ac:dyDescent="0.3">
      <c r="B11431" s="16301"/>
      <c r="PWM11431" s="11360"/>
    </row>
    <row r="11432" spans="2:2 11421:11436" x14ac:dyDescent="0.3">
      <c r="B11432" s="16301"/>
      <c r="PWN11432" s="11361"/>
    </row>
    <row r="11433" spans="2:2 11421:11436" x14ac:dyDescent="0.3">
      <c r="B11433" s="16301"/>
      <c r="PWO11433" s="11362"/>
    </row>
    <row r="11434" spans="2:2 11421:11436" x14ac:dyDescent="0.3">
      <c r="B11434" s="16301"/>
      <c r="PWP11434" s="11363"/>
    </row>
    <row r="11435" spans="2:2 11421:11436" x14ac:dyDescent="0.3">
      <c r="B11435" s="16301"/>
      <c r="PWQ11435" s="11364"/>
    </row>
    <row r="11436" spans="2:2 11421:11436" x14ac:dyDescent="0.3">
      <c r="B11436" s="16301"/>
      <c r="PWR11436" s="11365"/>
    </row>
    <row r="11437" spans="2:2 11421:11436" x14ac:dyDescent="0.3">
      <c r="B11437" s="16301"/>
      <c r="PWS11437" s="11366"/>
    </row>
    <row r="11438" spans="2:2 11421:11436" x14ac:dyDescent="0.3">
      <c r="B11438" s="16301"/>
      <c r="PWT11438" s="11367"/>
    </row>
    <row r="11439" spans="2:2 11421:11436" x14ac:dyDescent="0.3">
      <c r="B11439" s="16301"/>
      <c r="PWU11439" s="11368"/>
    </row>
    <row r="11440" spans="2:2 11421:11436" x14ac:dyDescent="0.3">
      <c r="B11440" s="16301"/>
      <c r="PWV11440" s="11369"/>
    </row>
    <row r="11441" spans="2:2 11437:11452" x14ac:dyDescent="0.3">
      <c r="B11441" s="16301"/>
      <c r="PWW11441" s="11370"/>
    </row>
    <row r="11442" spans="2:2 11437:11452" x14ac:dyDescent="0.3">
      <c r="B11442" s="16301"/>
      <c r="PWX11442" s="11371"/>
    </row>
    <row r="11443" spans="2:2 11437:11452" x14ac:dyDescent="0.3">
      <c r="B11443" s="16301"/>
      <c r="PWY11443" s="11372"/>
    </row>
    <row r="11444" spans="2:2 11437:11452" x14ac:dyDescent="0.3">
      <c r="B11444" s="16301"/>
      <c r="PWZ11444" s="11373"/>
    </row>
    <row r="11445" spans="2:2 11437:11452" x14ac:dyDescent="0.3">
      <c r="B11445" s="16301"/>
      <c r="PXA11445" s="11374"/>
    </row>
    <row r="11446" spans="2:2 11437:11452" x14ac:dyDescent="0.3">
      <c r="B11446" s="16301"/>
      <c r="PXB11446" s="11375"/>
    </row>
    <row r="11447" spans="2:2 11437:11452" x14ac:dyDescent="0.3">
      <c r="B11447" s="16301"/>
      <c r="PXC11447" s="11376"/>
    </row>
    <row r="11448" spans="2:2 11437:11452" x14ac:dyDescent="0.3">
      <c r="B11448" s="16301"/>
      <c r="PXD11448" s="11377"/>
    </row>
    <row r="11449" spans="2:2 11437:11452" x14ac:dyDescent="0.3">
      <c r="B11449" s="16301"/>
      <c r="PXE11449" s="11378"/>
    </row>
    <row r="11450" spans="2:2 11437:11452" x14ac:dyDescent="0.3">
      <c r="B11450" s="16301"/>
      <c r="PXF11450" s="11379"/>
    </row>
    <row r="11451" spans="2:2 11437:11452" x14ac:dyDescent="0.3">
      <c r="B11451" s="16301"/>
      <c r="PXG11451" s="11380"/>
    </row>
    <row r="11452" spans="2:2 11437:11452" x14ac:dyDescent="0.3">
      <c r="B11452" s="16301"/>
      <c r="PXH11452" s="11381"/>
    </row>
    <row r="11453" spans="2:2 11437:11452" x14ac:dyDescent="0.3">
      <c r="B11453" s="16301"/>
      <c r="PXI11453" s="11382"/>
    </row>
    <row r="11454" spans="2:2 11437:11452" x14ac:dyDescent="0.3">
      <c r="B11454" s="16301"/>
      <c r="PXJ11454" s="11383"/>
    </row>
    <row r="11455" spans="2:2 11437:11452" x14ac:dyDescent="0.3">
      <c r="B11455" s="16301"/>
      <c r="PXK11455" s="11384"/>
    </row>
    <row r="11456" spans="2:2 11437:11452" x14ac:dyDescent="0.3">
      <c r="B11456" s="16301"/>
      <c r="PXL11456" s="11385"/>
    </row>
    <row r="11457" spans="2:2 11453:11468" x14ac:dyDescent="0.3">
      <c r="B11457" s="16301"/>
      <c r="PXM11457" s="11386"/>
    </row>
    <row r="11458" spans="2:2 11453:11468" x14ac:dyDescent="0.3">
      <c r="B11458" s="16301"/>
      <c r="PXN11458" s="11387"/>
    </row>
    <row r="11459" spans="2:2 11453:11468" x14ac:dyDescent="0.3">
      <c r="B11459" s="16301"/>
      <c r="PXO11459" s="11388"/>
    </row>
    <row r="11460" spans="2:2 11453:11468" x14ac:dyDescent="0.3">
      <c r="B11460" s="16301"/>
      <c r="PXP11460" s="11389"/>
    </row>
    <row r="11461" spans="2:2 11453:11468" x14ac:dyDescent="0.3">
      <c r="B11461" s="16301"/>
      <c r="PXQ11461" s="11390"/>
    </row>
    <row r="11462" spans="2:2 11453:11468" x14ac:dyDescent="0.3">
      <c r="B11462" s="16301"/>
      <c r="PXR11462" s="11391"/>
    </row>
    <row r="11463" spans="2:2 11453:11468" x14ac:dyDescent="0.3">
      <c r="B11463" s="16301"/>
      <c r="PXS11463" s="11392"/>
    </row>
    <row r="11464" spans="2:2 11453:11468" x14ac:dyDescent="0.3">
      <c r="B11464" s="16301"/>
      <c r="PXT11464" s="11393"/>
    </row>
    <row r="11465" spans="2:2 11453:11468" x14ac:dyDescent="0.3">
      <c r="B11465" s="16301"/>
      <c r="PXU11465" s="11394"/>
    </row>
    <row r="11466" spans="2:2 11453:11468" x14ac:dyDescent="0.3">
      <c r="B11466" s="16301"/>
      <c r="PXV11466" s="11395"/>
    </row>
    <row r="11467" spans="2:2 11453:11468" x14ac:dyDescent="0.3">
      <c r="B11467" s="16301"/>
      <c r="PXW11467" s="11396"/>
    </row>
    <row r="11468" spans="2:2 11453:11468" x14ac:dyDescent="0.3">
      <c r="B11468" s="16301"/>
      <c r="PXX11468" s="11397"/>
    </row>
    <row r="11469" spans="2:2 11453:11468" x14ac:dyDescent="0.3">
      <c r="B11469" s="16301"/>
      <c r="PXY11469" s="11398"/>
    </row>
    <row r="11470" spans="2:2 11453:11468" x14ac:dyDescent="0.3">
      <c r="B11470" s="16301"/>
      <c r="PXZ11470" s="11399"/>
    </row>
    <row r="11471" spans="2:2 11453:11468" x14ac:dyDescent="0.3">
      <c r="B11471" s="16301"/>
      <c r="PYA11471" s="11400"/>
    </row>
    <row r="11472" spans="2:2 11453:11468" x14ac:dyDescent="0.3">
      <c r="B11472" s="16301"/>
      <c r="PYB11472" s="11401"/>
    </row>
    <row r="11473" spans="2:2 11469:11484" x14ac:dyDescent="0.3">
      <c r="B11473" s="16301"/>
      <c r="PYC11473" s="11402"/>
    </row>
    <row r="11474" spans="2:2 11469:11484" x14ac:dyDescent="0.3">
      <c r="B11474" s="16301"/>
      <c r="PYD11474" s="11403"/>
    </row>
    <row r="11475" spans="2:2 11469:11484" x14ac:dyDescent="0.3">
      <c r="B11475" s="16301"/>
      <c r="PYE11475" s="11404"/>
    </row>
    <row r="11476" spans="2:2 11469:11484" x14ac:dyDescent="0.3">
      <c r="B11476" s="16301"/>
      <c r="PYF11476" s="11405"/>
    </row>
    <row r="11477" spans="2:2 11469:11484" x14ac:dyDescent="0.3">
      <c r="B11477" s="16301"/>
      <c r="PYG11477" s="11406"/>
    </row>
    <row r="11478" spans="2:2 11469:11484" x14ac:dyDescent="0.3">
      <c r="B11478" s="16301"/>
      <c r="PYH11478" s="11407"/>
    </row>
    <row r="11479" spans="2:2 11469:11484" x14ac:dyDescent="0.3">
      <c r="B11479" s="16301"/>
      <c r="PYI11479" s="11408"/>
    </row>
    <row r="11480" spans="2:2 11469:11484" x14ac:dyDescent="0.3">
      <c r="B11480" s="16301"/>
      <c r="PYJ11480" s="11409"/>
    </row>
    <row r="11481" spans="2:2 11469:11484" x14ac:dyDescent="0.3">
      <c r="B11481" s="16301"/>
      <c r="PYK11481" s="11410"/>
    </row>
    <row r="11482" spans="2:2 11469:11484" x14ac:dyDescent="0.3">
      <c r="B11482" s="16301"/>
      <c r="PYL11482" s="11411"/>
    </row>
    <row r="11483" spans="2:2 11469:11484" x14ac:dyDescent="0.3">
      <c r="B11483" s="16301"/>
      <c r="PYM11483" s="11412"/>
    </row>
    <row r="11484" spans="2:2 11469:11484" x14ac:dyDescent="0.3">
      <c r="B11484" s="16301"/>
      <c r="PYN11484" s="11413"/>
    </row>
    <row r="11485" spans="2:2 11469:11484" x14ac:dyDescent="0.3">
      <c r="B11485" s="16301"/>
      <c r="PYO11485" s="11414"/>
    </row>
    <row r="11486" spans="2:2 11469:11484" x14ac:dyDescent="0.3">
      <c r="B11486" s="16301"/>
      <c r="PYP11486" s="11415"/>
    </row>
    <row r="11487" spans="2:2 11469:11484" x14ac:dyDescent="0.3">
      <c r="B11487" s="16301"/>
      <c r="PYQ11487" s="11416"/>
    </row>
    <row r="11488" spans="2:2 11469:11484" x14ac:dyDescent="0.3">
      <c r="B11488" s="16301"/>
      <c r="PYR11488" s="11417"/>
    </row>
    <row r="11489" spans="2:2 11485:11500" x14ac:dyDescent="0.3">
      <c r="B11489" s="16301"/>
      <c r="PYS11489" s="11418"/>
    </row>
    <row r="11490" spans="2:2 11485:11500" x14ac:dyDescent="0.3">
      <c r="B11490" s="16301"/>
      <c r="PYT11490" s="11419"/>
    </row>
    <row r="11491" spans="2:2 11485:11500" x14ac:dyDescent="0.3">
      <c r="B11491" s="16301"/>
      <c r="PYU11491" s="11420"/>
    </row>
    <row r="11492" spans="2:2 11485:11500" x14ac:dyDescent="0.3">
      <c r="B11492" s="16301"/>
      <c r="PYV11492" s="11421"/>
    </row>
    <row r="11493" spans="2:2 11485:11500" x14ac:dyDescent="0.3">
      <c r="B11493" s="16301"/>
      <c r="PYW11493" s="11422"/>
    </row>
    <row r="11494" spans="2:2 11485:11500" x14ac:dyDescent="0.3">
      <c r="B11494" s="16301"/>
      <c r="PYX11494" s="11423"/>
    </row>
    <row r="11495" spans="2:2 11485:11500" x14ac:dyDescent="0.3">
      <c r="B11495" s="16301"/>
      <c r="PYY11495" s="11424"/>
    </row>
    <row r="11496" spans="2:2 11485:11500" x14ac:dyDescent="0.3">
      <c r="B11496" s="16301"/>
      <c r="PYZ11496" s="11425"/>
    </row>
    <row r="11497" spans="2:2 11485:11500" x14ac:dyDescent="0.3">
      <c r="B11497" s="16301"/>
      <c r="PZA11497" s="11426"/>
    </row>
    <row r="11498" spans="2:2 11485:11500" x14ac:dyDescent="0.3">
      <c r="B11498" s="16301"/>
      <c r="PZB11498" s="11427"/>
    </row>
    <row r="11499" spans="2:2 11485:11500" x14ac:dyDescent="0.3">
      <c r="B11499" s="16301"/>
      <c r="PZC11499" s="11428"/>
    </row>
    <row r="11500" spans="2:2 11485:11500" x14ac:dyDescent="0.3">
      <c r="B11500" s="16301"/>
      <c r="PZD11500" s="11429"/>
    </row>
    <row r="11501" spans="2:2 11485:11500" x14ac:dyDescent="0.3">
      <c r="B11501" s="16301"/>
      <c r="PZE11501" s="11430"/>
    </row>
    <row r="11502" spans="2:2 11485:11500" x14ac:dyDescent="0.3">
      <c r="B11502" s="16301"/>
      <c r="PZF11502" s="11431"/>
    </row>
    <row r="11503" spans="2:2 11485:11500" x14ac:dyDescent="0.3">
      <c r="B11503" s="16301"/>
      <c r="PZG11503" s="11432"/>
    </row>
    <row r="11504" spans="2:2 11485:11500" x14ac:dyDescent="0.3">
      <c r="B11504" s="16301"/>
      <c r="PZH11504" s="11433"/>
    </row>
    <row r="11505" spans="2:2 11501:11516" x14ac:dyDescent="0.3">
      <c r="B11505" s="16301"/>
      <c r="PZI11505" s="11434"/>
    </row>
    <row r="11506" spans="2:2 11501:11516" x14ac:dyDescent="0.3">
      <c r="B11506" s="16301"/>
      <c r="PZJ11506" s="11435"/>
    </row>
    <row r="11507" spans="2:2 11501:11516" x14ac:dyDescent="0.3">
      <c r="B11507" s="16301"/>
      <c r="PZK11507" s="11436"/>
    </row>
    <row r="11508" spans="2:2 11501:11516" x14ac:dyDescent="0.3">
      <c r="B11508" s="16301"/>
      <c r="PZL11508" s="11437"/>
    </row>
    <row r="11509" spans="2:2 11501:11516" x14ac:dyDescent="0.3">
      <c r="B11509" s="16301"/>
      <c r="PZM11509" s="11438"/>
    </row>
    <row r="11510" spans="2:2 11501:11516" x14ac:dyDescent="0.3">
      <c r="B11510" s="16301"/>
      <c r="PZN11510" s="11439"/>
    </row>
    <row r="11511" spans="2:2 11501:11516" x14ac:dyDescent="0.3">
      <c r="B11511" s="16301"/>
      <c r="PZO11511" s="11440"/>
    </row>
    <row r="11512" spans="2:2 11501:11516" x14ac:dyDescent="0.3">
      <c r="B11512" s="16301"/>
      <c r="PZP11512" s="11441"/>
    </row>
    <row r="11513" spans="2:2 11501:11516" x14ac:dyDescent="0.3">
      <c r="B11513" s="16301"/>
      <c r="PZQ11513" s="11442"/>
    </row>
    <row r="11514" spans="2:2 11501:11516" x14ac:dyDescent="0.3">
      <c r="B11514" s="16301"/>
      <c r="PZR11514" s="11443"/>
    </row>
    <row r="11515" spans="2:2 11501:11516" x14ac:dyDescent="0.3">
      <c r="B11515" s="16301"/>
      <c r="PZS11515" s="11444"/>
    </row>
    <row r="11516" spans="2:2 11501:11516" x14ac:dyDescent="0.3">
      <c r="B11516" s="16301"/>
      <c r="PZT11516" s="11445"/>
    </row>
    <row r="11517" spans="2:2 11501:11516" x14ac:dyDescent="0.3">
      <c r="B11517" s="16301"/>
      <c r="PZU11517" s="11446"/>
    </row>
    <row r="11518" spans="2:2 11501:11516" x14ac:dyDescent="0.3">
      <c r="B11518" s="16301"/>
      <c r="PZV11518" s="11447"/>
    </row>
    <row r="11519" spans="2:2 11501:11516" x14ac:dyDescent="0.3">
      <c r="B11519" s="16301"/>
      <c r="PZW11519" s="11448"/>
    </row>
    <row r="11520" spans="2:2 11501:11516" x14ac:dyDescent="0.3">
      <c r="B11520" s="16301"/>
      <c r="PZX11520" s="11449"/>
    </row>
    <row r="11521" spans="2:2 11517:11532" x14ac:dyDescent="0.3">
      <c r="B11521" s="16301"/>
      <c r="PZY11521" s="11450"/>
    </row>
    <row r="11522" spans="2:2 11517:11532" x14ac:dyDescent="0.3">
      <c r="B11522" s="16301"/>
      <c r="PZZ11522" s="11451"/>
    </row>
    <row r="11523" spans="2:2 11517:11532" x14ac:dyDescent="0.3">
      <c r="B11523" s="16301"/>
      <c r="QAA11523" s="11452"/>
    </row>
    <row r="11524" spans="2:2 11517:11532" x14ac:dyDescent="0.3">
      <c r="B11524" s="16301"/>
      <c r="QAB11524" s="11453"/>
    </row>
    <row r="11525" spans="2:2 11517:11532" x14ac:dyDescent="0.3">
      <c r="B11525" s="16301"/>
      <c r="QAC11525" s="11454"/>
    </row>
    <row r="11526" spans="2:2 11517:11532" x14ac:dyDescent="0.3">
      <c r="B11526" s="16301"/>
      <c r="QAD11526" s="11455"/>
    </row>
    <row r="11527" spans="2:2 11517:11532" x14ac:dyDescent="0.3">
      <c r="B11527" s="16301"/>
      <c r="QAE11527" s="11456"/>
    </row>
    <row r="11528" spans="2:2 11517:11532" x14ac:dyDescent="0.3">
      <c r="B11528" s="16301"/>
      <c r="QAF11528" s="11457"/>
    </row>
    <row r="11529" spans="2:2 11517:11532" x14ac:dyDescent="0.3">
      <c r="B11529" s="16301"/>
      <c r="QAG11529" s="11458"/>
    </row>
    <row r="11530" spans="2:2 11517:11532" x14ac:dyDescent="0.3">
      <c r="B11530" s="16301"/>
      <c r="QAH11530" s="11459"/>
    </row>
    <row r="11531" spans="2:2 11517:11532" x14ac:dyDescent="0.3">
      <c r="B11531" s="16301"/>
      <c r="QAI11531" s="11460"/>
    </row>
    <row r="11532" spans="2:2 11517:11532" x14ac:dyDescent="0.3">
      <c r="B11532" s="16301"/>
      <c r="QAJ11532" s="11461"/>
    </row>
    <row r="11533" spans="2:2 11517:11532" x14ac:dyDescent="0.3">
      <c r="B11533" s="16301"/>
      <c r="QAK11533" s="11462"/>
    </row>
    <row r="11534" spans="2:2 11517:11532" x14ac:dyDescent="0.3">
      <c r="B11534" s="16301"/>
      <c r="QAL11534" s="11463"/>
    </row>
    <row r="11535" spans="2:2 11517:11532" x14ac:dyDescent="0.3">
      <c r="B11535" s="16301"/>
      <c r="QAM11535" s="11464"/>
    </row>
    <row r="11536" spans="2:2 11517:11532" x14ac:dyDescent="0.3">
      <c r="B11536" s="16301"/>
      <c r="QAN11536" s="11465"/>
    </row>
    <row r="11537" spans="2:2 11533:11548" x14ac:dyDescent="0.3">
      <c r="B11537" s="16301"/>
      <c r="QAO11537" s="11466"/>
    </row>
    <row r="11538" spans="2:2 11533:11548" x14ac:dyDescent="0.3">
      <c r="B11538" s="16301"/>
      <c r="QAP11538" s="11467"/>
    </row>
    <row r="11539" spans="2:2 11533:11548" x14ac:dyDescent="0.3">
      <c r="B11539" s="16301"/>
      <c r="QAQ11539" s="11468"/>
    </row>
    <row r="11540" spans="2:2 11533:11548" x14ac:dyDescent="0.3">
      <c r="B11540" s="16301"/>
      <c r="QAR11540" s="11469"/>
    </row>
    <row r="11541" spans="2:2 11533:11548" x14ac:dyDescent="0.3">
      <c r="B11541" s="16301"/>
      <c r="QAS11541" s="11470"/>
    </row>
    <row r="11542" spans="2:2 11533:11548" x14ac:dyDescent="0.3">
      <c r="B11542" s="16301"/>
      <c r="QAT11542" s="11471"/>
    </row>
    <row r="11543" spans="2:2 11533:11548" x14ac:dyDescent="0.3">
      <c r="B11543" s="16301"/>
      <c r="QAU11543" s="11472"/>
    </row>
    <row r="11544" spans="2:2 11533:11548" x14ac:dyDescent="0.3">
      <c r="B11544" s="16301"/>
      <c r="QAV11544" s="11473"/>
    </row>
    <row r="11545" spans="2:2 11533:11548" x14ac:dyDescent="0.3">
      <c r="B11545" s="16301"/>
      <c r="QAW11545" s="11474"/>
    </row>
    <row r="11546" spans="2:2 11533:11548" x14ac:dyDescent="0.3">
      <c r="B11546" s="16301"/>
      <c r="QAX11546" s="11475"/>
    </row>
    <row r="11547" spans="2:2 11533:11548" x14ac:dyDescent="0.3">
      <c r="B11547" s="16301"/>
      <c r="QAY11547" s="11476"/>
    </row>
    <row r="11548" spans="2:2 11533:11548" x14ac:dyDescent="0.3">
      <c r="B11548" s="16301"/>
      <c r="QAZ11548" s="11477"/>
    </row>
    <row r="11549" spans="2:2 11533:11548" x14ac:dyDescent="0.3">
      <c r="B11549" s="16301"/>
      <c r="QBA11549" s="11478"/>
    </row>
    <row r="11550" spans="2:2 11533:11548" x14ac:dyDescent="0.3">
      <c r="B11550" s="16301"/>
      <c r="QBB11550" s="11479"/>
    </row>
    <row r="11551" spans="2:2 11533:11548" x14ac:dyDescent="0.3">
      <c r="B11551" s="16301"/>
      <c r="QBC11551" s="11480"/>
    </row>
    <row r="11552" spans="2:2 11533:11548" x14ac:dyDescent="0.3">
      <c r="B11552" s="16301"/>
      <c r="QBD11552" s="11481"/>
    </row>
    <row r="11553" spans="2:2 11549:11564" x14ac:dyDescent="0.3">
      <c r="B11553" s="16301"/>
      <c r="QBE11553" s="11482"/>
    </row>
    <row r="11554" spans="2:2 11549:11564" x14ac:dyDescent="0.3">
      <c r="B11554" s="16301"/>
      <c r="QBF11554" s="11483"/>
    </row>
    <row r="11555" spans="2:2 11549:11564" x14ac:dyDescent="0.3">
      <c r="B11555" s="16301"/>
      <c r="QBG11555" s="11484"/>
    </row>
    <row r="11556" spans="2:2 11549:11564" x14ac:dyDescent="0.3">
      <c r="B11556" s="16301"/>
      <c r="QBH11556" s="11485"/>
    </row>
    <row r="11557" spans="2:2 11549:11564" x14ac:dyDescent="0.3">
      <c r="B11557" s="16301"/>
      <c r="QBI11557" s="11486"/>
    </row>
    <row r="11558" spans="2:2 11549:11564" x14ac:dyDescent="0.3">
      <c r="B11558" s="16301"/>
      <c r="QBJ11558" s="11487"/>
    </row>
    <row r="11559" spans="2:2 11549:11564" x14ac:dyDescent="0.3">
      <c r="B11559" s="16301"/>
      <c r="QBK11559" s="11488"/>
    </row>
    <row r="11560" spans="2:2 11549:11564" x14ac:dyDescent="0.3">
      <c r="B11560" s="16301"/>
      <c r="QBL11560" s="11489"/>
    </row>
    <row r="11561" spans="2:2 11549:11564" x14ac:dyDescent="0.3">
      <c r="B11561" s="16301"/>
      <c r="QBM11561" s="11490"/>
    </row>
    <row r="11562" spans="2:2 11549:11564" x14ac:dyDescent="0.3">
      <c r="B11562" s="16301"/>
      <c r="QBN11562" s="11491"/>
    </row>
    <row r="11563" spans="2:2 11549:11564" x14ac:dyDescent="0.3">
      <c r="B11563" s="16301"/>
      <c r="QBO11563" s="11492"/>
    </row>
    <row r="11564" spans="2:2 11549:11564" x14ac:dyDescent="0.3">
      <c r="B11564" s="16301"/>
      <c r="QBP11564" s="11493"/>
    </row>
    <row r="11565" spans="2:2 11549:11564" x14ac:dyDescent="0.3">
      <c r="B11565" s="16301"/>
      <c r="QBQ11565" s="11494"/>
    </row>
    <row r="11566" spans="2:2 11549:11564" x14ac:dyDescent="0.3">
      <c r="B11566" s="16301"/>
      <c r="QBR11566" s="11495"/>
    </row>
    <row r="11567" spans="2:2 11549:11564" x14ac:dyDescent="0.3">
      <c r="B11567" s="16301"/>
      <c r="QBS11567" s="11496"/>
    </row>
    <row r="11568" spans="2:2 11549:11564" x14ac:dyDescent="0.3">
      <c r="B11568" s="16301"/>
      <c r="QBT11568" s="11497"/>
    </row>
    <row r="11569" spans="2:2 11565:11580" x14ac:dyDescent="0.3">
      <c r="B11569" s="16301"/>
      <c r="QBU11569" s="11498"/>
    </row>
    <row r="11570" spans="2:2 11565:11580" x14ac:dyDescent="0.3">
      <c r="B11570" s="16301"/>
      <c r="QBV11570" s="11499"/>
    </row>
    <row r="11571" spans="2:2 11565:11580" x14ac:dyDescent="0.3">
      <c r="B11571" s="16301"/>
      <c r="QBW11571" s="11499"/>
    </row>
    <row r="11572" spans="2:2 11565:11580" x14ac:dyDescent="0.3">
      <c r="B11572" s="16301"/>
      <c r="QBX11572" s="11500"/>
    </row>
    <row r="11573" spans="2:2 11565:11580" x14ac:dyDescent="0.3">
      <c r="B11573" s="16301"/>
      <c r="QBY11573" s="11501"/>
    </row>
    <row r="11574" spans="2:2 11565:11580" x14ac:dyDescent="0.3">
      <c r="B11574" s="16301"/>
      <c r="QBZ11574" s="11502"/>
    </row>
    <row r="11575" spans="2:2 11565:11580" x14ac:dyDescent="0.3">
      <c r="B11575" s="16301"/>
      <c r="QCA11575" s="11503"/>
    </row>
    <row r="11576" spans="2:2 11565:11580" x14ac:dyDescent="0.3">
      <c r="B11576" s="16301"/>
      <c r="QCB11576" s="11504"/>
    </row>
    <row r="11577" spans="2:2 11565:11580" x14ac:dyDescent="0.3">
      <c r="B11577" s="16301"/>
      <c r="QCC11577" s="11505"/>
    </row>
    <row r="11578" spans="2:2 11565:11580" x14ac:dyDescent="0.3">
      <c r="B11578" s="16301"/>
      <c r="QCD11578" s="11506"/>
    </row>
    <row r="11579" spans="2:2 11565:11580" x14ac:dyDescent="0.3">
      <c r="B11579" s="16301"/>
      <c r="QCE11579" s="11507"/>
    </row>
    <row r="11580" spans="2:2 11565:11580" x14ac:dyDescent="0.3">
      <c r="B11580" s="16301"/>
      <c r="QCF11580" s="11508"/>
    </row>
    <row r="11581" spans="2:2 11565:11580" x14ac:dyDescent="0.3">
      <c r="B11581" s="16301"/>
      <c r="QCG11581" s="11509"/>
    </row>
    <row r="11582" spans="2:2 11565:11580" x14ac:dyDescent="0.3">
      <c r="B11582" s="16301"/>
      <c r="QCH11582" s="11510"/>
    </row>
    <row r="11583" spans="2:2 11565:11580" x14ac:dyDescent="0.3">
      <c r="B11583" s="16301"/>
      <c r="QCI11583" s="11511"/>
    </row>
    <row r="11584" spans="2:2 11565:11580" x14ac:dyDescent="0.3">
      <c r="B11584" s="16301"/>
      <c r="QCJ11584" s="11512"/>
    </row>
    <row r="11585" spans="2:2 11581:11596" x14ac:dyDescent="0.3">
      <c r="B11585" s="16301"/>
      <c r="QCK11585" s="11513"/>
    </row>
    <row r="11586" spans="2:2 11581:11596" x14ac:dyDescent="0.3">
      <c r="B11586" s="16301"/>
      <c r="QCL11586" s="11514"/>
    </row>
    <row r="11587" spans="2:2 11581:11596" x14ac:dyDescent="0.3">
      <c r="B11587" s="16301"/>
      <c r="QCM11587" s="11515"/>
    </row>
    <row r="11588" spans="2:2 11581:11596" x14ac:dyDescent="0.3">
      <c r="B11588" s="16301"/>
      <c r="QCN11588" s="11516"/>
    </row>
    <row r="11589" spans="2:2 11581:11596" x14ac:dyDescent="0.3">
      <c r="B11589" s="16301"/>
      <c r="QCO11589" s="11517"/>
    </row>
    <row r="11590" spans="2:2 11581:11596" x14ac:dyDescent="0.3">
      <c r="B11590" s="16301"/>
      <c r="QCP11590" s="11518"/>
    </row>
    <row r="11591" spans="2:2 11581:11596" x14ac:dyDescent="0.3">
      <c r="B11591" s="16301"/>
      <c r="QCQ11591" s="11519"/>
    </row>
    <row r="11592" spans="2:2 11581:11596" x14ac:dyDescent="0.3">
      <c r="B11592" s="16301"/>
      <c r="QCR11592" s="11520"/>
    </row>
    <row r="11593" spans="2:2 11581:11596" x14ac:dyDescent="0.3">
      <c r="B11593" s="16301"/>
      <c r="QCS11593" s="11521"/>
    </row>
    <row r="11594" spans="2:2 11581:11596" x14ac:dyDescent="0.3">
      <c r="B11594" s="16301"/>
      <c r="QCT11594" s="11522"/>
    </row>
    <row r="11595" spans="2:2 11581:11596" x14ac:dyDescent="0.3">
      <c r="B11595" s="16301"/>
      <c r="QCU11595" s="11523"/>
    </row>
    <row r="11596" spans="2:2 11581:11596" x14ac:dyDescent="0.3">
      <c r="B11596" s="16301"/>
      <c r="QCV11596" s="11524"/>
    </row>
    <row r="11597" spans="2:2 11581:11596" x14ac:dyDescent="0.3">
      <c r="B11597" s="16301"/>
      <c r="QCW11597" s="11525"/>
    </row>
    <row r="11598" spans="2:2 11581:11596" x14ac:dyDescent="0.3">
      <c r="B11598" s="16301"/>
      <c r="QCX11598" s="11526"/>
    </row>
    <row r="11599" spans="2:2 11581:11596" x14ac:dyDescent="0.3">
      <c r="B11599" s="16301"/>
      <c r="QCY11599" s="11527"/>
    </row>
    <row r="11600" spans="2:2 11581:11596" x14ac:dyDescent="0.3">
      <c r="B11600" s="16301"/>
      <c r="QCZ11600" s="11528"/>
    </row>
    <row r="11601" spans="2:2 11597:11612" x14ac:dyDescent="0.3">
      <c r="B11601" s="16301"/>
      <c r="QDA11601" s="11529"/>
    </row>
    <row r="11602" spans="2:2 11597:11612" x14ac:dyDescent="0.3">
      <c r="B11602" s="16301"/>
      <c r="QDB11602" s="11530"/>
    </row>
    <row r="11603" spans="2:2 11597:11612" x14ac:dyDescent="0.3">
      <c r="B11603" s="16301"/>
      <c r="QDC11603" s="11531"/>
    </row>
    <row r="11604" spans="2:2 11597:11612" x14ac:dyDescent="0.3">
      <c r="B11604" s="16301"/>
      <c r="QDD11604" s="11532"/>
    </row>
    <row r="11605" spans="2:2 11597:11612" x14ac:dyDescent="0.3">
      <c r="B11605" s="16301"/>
      <c r="QDE11605" s="11533"/>
    </row>
    <row r="11606" spans="2:2 11597:11612" x14ac:dyDescent="0.3">
      <c r="B11606" s="16301"/>
      <c r="QDF11606" s="11534"/>
    </row>
    <row r="11607" spans="2:2 11597:11612" x14ac:dyDescent="0.3">
      <c r="B11607" s="16301"/>
      <c r="QDG11607" s="11535"/>
    </row>
    <row r="11608" spans="2:2 11597:11612" x14ac:dyDescent="0.3">
      <c r="B11608" s="16301"/>
      <c r="QDH11608" s="11536"/>
    </row>
    <row r="11609" spans="2:2 11597:11612" x14ac:dyDescent="0.3">
      <c r="B11609" s="16301"/>
      <c r="QDI11609" s="11537"/>
    </row>
    <row r="11610" spans="2:2 11597:11612" x14ac:dyDescent="0.3">
      <c r="B11610" s="16301"/>
      <c r="QDJ11610" s="11538"/>
    </row>
    <row r="11611" spans="2:2 11597:11612" x14ac:dyDescent="0.3">
      <c r="B11611" s="16301"/>
      <c r="QDK11611" s="11539"/>
    </row>
    <row r="11612" spans="2:2 11597:11612" x14ac:dyDescent="0.3">
      <c r="B11612" s="16301"/>
      <c r="QDL11612" s="11540"/>
    </row>
    <row r="11613" spans="2:2 11597:11612" x14ac:dyDescent="0.3">
      <c r="B11613" s="16301"/>
      <c r="QDM11613" s="11541"/>
    </row>
    <row r="11614" spans="2:2 11597:11612" x14ac:dyDescent="0.3">
      <c r="B11614" s="16301"/>
      <c r="QDN11614" s="11542"/>
    </row>
    <row r="11615" spans="2:2 11597:11612" x14ac:dyDescent="0.3">
      <c r="B11615" s="16301"/>
      <c r="QDO11615" s="11543"/>
    </row>
    <row r="11616" spans="2:2 11597:11612" x14ac:dyDescent="0.3">
      <c r="B11616" s="16301"/>
      <c r="QDP11616" s="11544"/>
    </row>
    <row r="11617" spans="2:2 11613:11628" x14ac:dyDescent="0.3">
      <c r="B11617" s="16301"/>
      <c r="QDQ11617" s="11545"/>
    </row>
    <row r="11618" spans="2:2 11613:11628" x14ac:dyDescent="0.3">
      <c r="B11618" s="16301"/>
      <c r="QDR11618" s="11546"/>
    </row>
    <row r="11619" spans="2:2 11613:11628" x14ac:dyDescent="0.3">
      <c r="B11619" s="16301"/>
      <c r="QDS11619" s="11547"/>
    </row>
    <row r="11620" spans="2:2 11613:11628" x14ac:dyDescent="0.3">
      <c r="B11620" s="16301"/>
      <c r="QDT11620" s="11548"/>
    </row>
    <row r="11621" spans="2:2 11613:11628" x14ac:dyDescent="0.3">
      <c r="B11621" s="16301"/>
      <c r="QDU11621" s="11549"/>
    </row>
    <row r="11622" spans="2:2 11613:11628" x14ac:dyDescent="0.3">
      <c r="B11622" s="16301"/>
      <c r="QDV11622" s="11550"/>
    </row>
    <row r="11623" spans="2:2 11613:11628" x14ac:dyDescent="0.3">
      <c r="B11623" s="16301"/>
      <c r="QDW11623" s="11551"/>
    </row>
    <row r="11624" spans="2:2 11613:11628" x14ac:dyDescent="0.3">
      <c r="B11624" s="16301"/>
      <c r="QDX11624" s="11552"/>
    </row>
    <row r="11625" spans="2:2 11613:11628" x14ac:dyDescent="0.3">
      <c r="B11625" s="16301"/>
      <c r="QDY11625" s="11553"/>
    </row>
    <row r="11626" spans="2:2 11613:11628" x14ac:dyDescent="0.3">
      <c r="B11626" s="16301"/>
      <c r="QDZ11626" s="11554"/>
    </row>
    <row r="11627" spans="2:2 11613:11628" x14ac:dyDescent="0.3">
      <c r="B11627" s="16301"/>
      <c r="QEA11627" s="11555"/>
    </row>
    <row r="11628" spans="2:2 11613:11628" x14ac:dyDescent="0.3">
      <c r="B11628" s="16301"/>
      <c r="QEB11628" s="11556"/>
    </row>
    <row r="11629" spans="2:2 11613:11628" x14ac:dyDescent="0.3">
      <c r="B11629" s="16301"/>
      <c r="QEC11629" s="11557"/>
    </row>
    <row r="11630" spans="2:2 11613:11628" x14ac:dyDescent="0.3">
      <c r="B11630" s="16301"/>
      <c r="QED11630" s="11558"/>
    </row>
    <row r="11631" spans="2:2 11613:11628" x14ac:dyDescent="0.3">
      <c r="B11631" s="16301"/>
      <c r="QEE11631" s="11559"/>
    </row>
    <row r="11632" spans="2:2 11613:11628" x14ac:dyDescent="0.3">
      <c r="B11632" s="16301"/>
      <c r="QEF11632" s="11560"/>
    </row>
    <row r="11633" spans="2:2 11629:11644" x14ac:dyDescent="0.3">
      <c r="B11633" s="16301"/>
      <c r="QEG11633" s="11561"/>
    </row>
    <row r="11634" spans="2:2 11629:11644" x14ac:dyDescent="0.3">
      <c r="B11634" s="16301"/>
      <c r="QEH11634" s="11562"/>
    </row>
    <row r="11635" spans="2:2 11629:11644" x14ac:dyDescent="0.3">
      <c r="B11635" s="16301"/>
      <c r="QEI11635" s="11563"/>
    </row>
    <row r="11636" spans="2:2 11629:11644" x14ac:dyDescent="0.3">
      <c r="B11636" s="16301"/>
      <c r="QEJ11636" s="11564"/>
    </row>
    <row r="11637" spans="2:2 11629:11644" x14ac:dyDescent="0.3">
      <c r="B11637" s="16301"/>
      <c r="QEK11637" s="11565"/>
    </row>
    <row r="11638" spans="2:2 11629:11644" x14ac:dyDescent="0.3">
      <c r="B11638" s="16301"/>
      <c r="QEL11638" s="11566"/>
    </row>
    <row r="11639" spans="2:2 11629:11644" x14ac:dyDescent="0.3">
      <c r="B11639" s="16301"/>
      <c r="QEM11639" s="11567"/>
    </row>
    <row r="11640" spans="2:2 11629:11644" x14ac:dyDescent="0.3">
      <c r="B11640" s="16301"/>
      <c r="QEN11640" s="11568"/>
    </row>
    <row r="11641" spans="2:2 11629:11644" x14ac:dyDescent="0.3">
      <c r="B11641" s="16301"/>
      <c r="QEO11641" s="11569"/>
    </row>
    <row r="11642" spans="2:2 11629:11644" x14ac:dyDescent="0.3">
      <c r="B11642" s="16301"/>
      <c r="QEP11642" s="11570"/>
    </row>
    <row r="11643" spans="2:2 11629:11644" x14ac:dyDescent="0.3">
      <c r="B11643" s="16301"/>
      <c r="QEQ11643" s="11571"/>
    </row>
    <row r="11644" spans="2:2 11629:11644" x14ac:dyDescent="0.3">
      <c r="B11644" s="16301"/>
      <c r="QER11644" s="11572"/>
    </row>
    <row r="11645" spans="2:2 11629:11644" x14ac:dyDescent="0.3">
      <c r="B11645" s="16301"/>
      <c r="QES11645" s="11573"/>
    </row>
    <row r="11646" spans="2:2 11629:11644" x14ac:dyDescent="0.3">
      <c r="B11646" s="16301"/>
      <c r="QET11646" s="11574"/>
    </row>
    <row r="11647" spans="2:2 11629:11644" x14ac:dyDescent="0.3">
      <c r="B11647" s="16301"/>
      <c r="QEU11647" s="11575"/>
    </row>
    <row r="11648" spans="2:2 11629:11644" x14ac:dyDescent="0.3">
      <c r="B11648" s="16301"/>
      <c r="QEV11648" s="11576"/>
    </row>
    <row r="11649" spans="2:2 11645:11660" x14ac:dyDescent="0.3">
      <c r="B11649" s="16301"/>
      <c r="QEW11649" s="11577"/>
    </row>
    <row r="11650" spans="2:2 11645:11660" x14ac:dyDescent="0.3">
      <c r="B11650" s="16301"/>
      <c r="QEX11650" s="11578"/>
    </row>
    <row r="11651" spans="2:2 11645:11660" x14ac:dyDescent="0.3">
      <c r="B11651" s="16301"/>
      <c r="QEY11651" s="11579"/>
    </row>
    <row r="11652" spans="2:2 11645:11660" x14ac:dyDescent="0.3">
      <c r="B11652" s="16301"/>
      <c r="QEZ11652" s="11580"/>
    </row>
    <row r="11653" spans="2:2 11645:11660" x14ac:dyDescent="0.3">
      <c r="B11653" s="16301"/>
      <c r="QFA11653" s="11581"/>
    </row>
    <row r="11654" spans="2:2 11645:11660" x14ac:dyDescent="0.3">
      <c r="B11654" s="16301"/>
      <c r="QFB11654" s="11582"/>
    </row>
    <row r="11655" spans="2:2 11645:11660" x14ac:dyDescent="0.3">
      <c r="B11655" s="16301"/>
      <c r="QFC11655" s="11583"/>
    </row>
    <row r="11656" spans="2:2 11645:11660" x14ac:dyDescent="0.3">
      <c r="B11656" s="16301"/>
      <c r="QFD11656" s="11584"/>
    </row>
    <row r="11657" spans="2:2 11645:11660" x14ac:dyDescent="0.3">
      <c r="B11657" s="16301"/>
      <c r="QFE11657" s="11585"/>
    </row>
    <row r="11658" spans="2:2 11645:11660" x14ac:dyDescent="0.3">
      <c r="B11658" s="16301"/>
      <c r="QFF11658" s="11586"/>
    </row>
    <row r="11659" spans="2:2 11645:11660" x14ac:dyDescent="0.3">
      <c r="B11659" s="16301"/>
      <c r="QFG11659" s="11587"/>
    </row>
    <row r="11660" spans="2:2 11645:11660" x14ac:dyDescent="0.3">
      <c r="B11660" s="16301"/>
      <c r="QFH11660" s="11588"/>
    </row>
    <row r="11661" spans="2:2 11645:11660" x14ac:dyDescent="0.3">
      <c r="B11661" s="16301"/>
      <c r="QFI11661" s="11589"/>
    </row>
    <row r="11662" spans="2:2 11645:11660" x14ac:dyDescent="0.3">
      <c r="B11662" s="16301"/>
      <c r="QFJ11662" s="11590"/>
    </row>
    <row r="11663" spans="2:2 11645:11660" x14ac:dyDescent="0.3">
      <c r="B11663" s="16301"/>
      <c r="QFK11663" s="11591"/>
    </row>
    <row r="11664" spans="2:2 11645:11660" x14ac:dyDescent="0.3">
      <c r="B11664" s="16301"/>
      <c r="QFL11664" s="11592"/>
    </row>
    <row r="11665" spans="2:2 11661:11676" x14ac:dyDescent="0.3">
      <c r="B11665" s="16301"/>
      <c r="QFM11665" s="11593"/>
    </row>
    <row r="11666" spans="2:2 11661:11676" x14ac:dyDescent="0.3">
      <c r="B11666" s="16301"/>
      <c r="QFN11666" s="11594"/>
    </row>
    <row r="11667" spans="2:2 11661:11676" x14ac:dyDescent="0.3">
      <c r="B11667" s="16301"/>
      <c r="QFO11667" s="11595"/>
    </row>
    <row r="11668" spans="2:2 11661:11676" x14ac:dyDescent="0.3">
      <c r="B11668" s="16301"/>
      <c r="QFP11668" s="11596"/>
    </row>
    <row r="11669" spans="2:2 11661:11676" x14ac:dyDescent="0.3">
      <c r="B11669" s="16301"/>
      <c r="QFQ11669" s="11597"/>
    </row>
    <row r="11670" spans="2:2 11661:11676" x14ac:dyDescent="0.3">
      <c r="B11670" s="16301"/>
      <c r="QFR11670" s="11598"/>
    </row>
    <row r="11671" spans="2:2 11661:11676" x14ac:dyDescent="0.3">
      <c r="B11671" s="16301"/>
      <c r="QFS11671" s="11599"/>
    </row>
    <row r="11672" spans="2:2 11661:11676" x14ac:dyDescent="0.3">
      <c r="B11672" s="16301"/>
      <c r="QFT11672" s="11600"/>
    </row>
    <row r="11673" spans="2:2 11661:11676" x14ac:dyDescent="0.3">
      <c r="B11673" s="16301"/>
      <c r="QFU11673" s="11601"/>
    </row>
    <row r="11674" spans="2:2 11661:11676" x14ac:dyDescent="0.3">
      <c r="B11674" s="16301"/>
      <c r="QFV11674" s="11602"/>
    </row>
    <row r="11675" spans="2:2 11661:11676" x14ac:dyDescent="0.3">
      <c r="B11675" s="16301"/>
      <c r="QFW11675" s="11603"/>
    </row>
    <row r="11676" spans="2:2 11661:11676" x14ac:dyDescent="0.3">
      <c r="B11676" s="16301"/>
      <c r="QFX11676" s="11604"/>
    </row>
    <row r="11677" spans="2:2 11661:11676" x14ac:dyDescent="0.3">
      <c r="B11677" s="16301"/>
      <c r="QFY11677" s="11605"/>
    </row>
    <row r="11678" spans="2:2 11661:11676" x14ac:dyDescent="0.3">
      <c r="B11678" s="16301"/>
      <c r="QFZ11678" s="11606"/>
    </row>
    <row r="11679" spans="2:2 11661:11676" x14ac:dyDescent="0.3">
      <c r="B11679" s="16301"/>
      <c r="QGA11679" s="11607"/>
    </row>
    <row r="11680" spans="2:2 11661:11676" x14ac:dyDescent="0.3">
      <c r="B11680" s="16301"/>
      <c r="QGB11680" s="11608"/>
    </row>
    <row r="11681" spans="2:2 11677:11692" x14ac:dyDescent="0.3">
      <c r="B11681" s="16301"/>
      <c r="QGC11681" s="11609"/>
    </row>
    <row r="11682" spans="2:2 11677:11692" x14ac:dyDescent="0.3">
      <c r="B11682" s="16301"/>
      <c r="QGD11682" s="11610"/>
    </row>
    <row r="11683" spans="2:2 11677:11692" x14ac:dyDescent="0.3">
      <c r="B11683" s="16301"/>
      <c r="QGE11683" s="11611"/>
    </row>
    <row r="11684" spans="2:2 11677:11692" x14ac:dyDescent="0.3">
      <c r="B11684" s="16301"/>
      <c r="QGF11684" s="11612"/>
    </row>
    <row r="11685" spans="2:2 11677:11692" x14ac:dyDescent="0.3">
      <c r="B11685" s="16301"/>
      <c r="QGG11685" s="11613"/>
    </row>
    <row r="11686" spans="2:2 11677:11692" x14ac:dyDescent="0.3">
      <c r="B11686" s="16301"/>
      <c r="QGH11686" s="11614"/>
    </row>
    <row r="11687" spans="2:2 11677:11692" x14ac:dyDescent="0.3">
      <c r="B11687" s="16301"/>
      <c r="QGI11687" s="11615"/>
    </row>
    <row r="11688" spans="2:2 11677:11692" x14ac:dyDescent="0.3">
      <c r="B11688" s="16301"/>
      <c r="QGJ11688" s="11616"/>
    </row>
    <row r="11689" spans="2:2 11677:11692" x14ac:dyDescent="0.3">
      <c r="B11689" s="16301"/>
      <c r="QGK11689" s="11617"/>
    </row>
    <row r="11690" spans="2:2 11677:11692" x14ac:dyDescent="0.3">
      <c r="B11690" s="16301"/>
      <c r="QGL11690" s="11618"/>
    </row>
    <row r="11691" spans="2:2 11677:11692" x14ac:dyDescent="0.3">
      <c r="B11691" s="16301"/>
      <c r="QGM11691" s="11619"/>
    </row>
    <row r="11692" spans="2:2 11677:11692" x14ac:dyDescent="0.3">
      <c r="B11692" s="16301"/>
      <c r="QGN11692" s="11620"/>
    </row>
    <row r="11693" spans="2:2 11677:11692" x14ac:dyDescent="0.3">
      <c r="B11693" s="16301"/>
      <c r="QGO11693" s="11621"/>
    </row>
    <row r="11694" spans="2:2 11677:11692" x14ac:dyDescent="0.3">
      <c r="B11694" s="16301"/>
      <c r="QGP11694" s="11622"/>
    </row>
    <row r="11695" spans="2:2 11677:11692" x14ac:dyDescent="0.3">
      <c r="B11695" s="16301"/>
      <c r="QGQ11695" s="11623"/>
    </row>
    <row r="11696" spans="2:2 11677:11692" x14ac:dyDescent="0.3">
      <c r="B11696" s="16301"/>
      <c r="QGR11696" s="11624"/>
    </row>
    <row r="11697" spans="2:2 11693:11708" x14ac:dyDescent="0.3">
      <c r="B11697" s="16301"/>
      <c r="QGS11697" s="11625"/>
    </row>
    <row r="11698" spans="2:2 11693:11708" x14ac:dyDescent="0.3">
      <c r="B11698" s="16301"/>
      <c r="QGT11698" s="11626"/>
    </row>
    <row r="11699" spans="2:2 11693:11708" x14ac:dyDescent="0.3">
      <c r="B11699" s="16301"/>
      <c r="QGU11699" s="11627"/>
    </row>
    <row r="11700" spans="2:2 11693:11708" x14ac:dyDescent="0.3">
      <c r="B11700" s="16301"/>
      <c r="QGV11700" s="11628"/>
    </row>
    <row r="11701" spans="2:2 11693:11708" x14ac:dyDescent="0.3">
      <c r="B11701" s="16301"/>
      <c r="QGW11701" s="11629"/>
    </row>
    <row r="11702" spans="2:2 11693:11708" x14ac:dyDescent="0.3">
      <c r="B11702" s="16301"/>
      <c r="QGX11702" s="11630"/>
    </row>
    <row r="11703" spans="2:2 11693:11708" x14ac:dyDescent="0.3">
      <c r="B11703" s="16301"/>
      <c r="QGY11703" s="11631"/>
    </row>
    <row r="11704" spans="2:2 11693:11708" x14ac:dyDescent="0.3">
      <c r="B11704" s="16301"/>
      <c r="QGZ11704" s="11632"/>
    </row>
    <row r="11705" spans="2:2 11693:11708" x14ac:dyDescent="0.3">
      <c r="B11705" s="16301"/>
      <c r="QHA11705" s="11633"/>
    </row>
    <row r="11706" spans="2:2 11693:11708" x14ac:dyDescent="0.3">
      <c r="B11706" s="16301"/>
      <c r="QHB11706" s="11634"/>
    </row>
    <row r="11707" spans="2:2 11693:11708" x14ac:dyDescent="0.3">
      <c r="B11707" s="16301"/>
      <c r="QHC11707" s="11635"/>
    </row>
    <row r="11708" spans="2:2 11693:11708" x14ac:dyDescent="0.3">
      <c r="B11708" s="16301"/>
      <c r="QHD11708" s="11636"/>
    </row>
    <row r="11709" spans="2:2 11693:11708" x14ac:dyDescent="0.3">
      <c r="B11709" s="16301"/>
      <c r="QHE11709" s="11637"/>
    </row>
    <row r="11710" spans="2:2 11693:11708" x14ac:dyDescent="0.3">
      <c r="B11710" s="16301"/>
      <c r="QHF11710" s="11638"/>
    </row>
    <row r="11711" spans="2:2 11693:11708" x14ac:dyDescent="0.3">
      <c r="B11711" s="16301"/>
      <c r="QHG11711" s="11639"/>
    </row>
    <row r="11712" spans="2:2 11693:11708" x14ac:dyDescent="0.3">
      <c r="B11712" s="16301"/>
      <c r="QHH11712" s="11640"/>
    </row>
    <row r="11713" spans="2:2 11709:11724" x14ac:dyDescent="0.3">
      <c r="B11713" s="16301"/>
      <c r="QHI11713" s="11641"/>
    </row>
    <row r="11714" spans="2:2 11709:11724" x14ac:dyDescent="0.3">
      <c r="B11714" s="16301"/>
      <c r="QHJ11714" s="11642"/>
    </row>
    <row r="11715" spans="2:2 11709:11724" x14ac:dyDescent="0.3">
      <c r="B11715" s="16301"/>
      <c r="QHK11715" s="11643"/>
    </row>
    <row r="11716" spans="2:2 11709:11724" x14ac:dyDescent="0.3">
      <c r="B11716" s="16301"/>
      <c r="QHL11716" s="11644"/>
    </row>
    <row r="11717" spans="2:2 11709:11724" x14ac:dyDescent="0.3">
      <c r="B11717" s="16301"/>
      <c r="QHM11717" s="11645"/>
    </row>
    <row r="11718" spans="2:2 11709:11724" x14ac:dyDescent="0.3">
      <c r="B11718" s="16301"/>
      <c r="QHN11718" s="11646"/>
    </row>
    <row r="11719" spans="2:2 11709:11724" x14ac:dyDescent="0.3">
      <c r="B11719" s="16301"/>
      <c r="QHO11719" s="11647"/>
    </row>
    <row r="11720" spans="2:2 11709:11724" x14ac:dyDescent="0.3">
      <c r="B11720" s="16301"/>
      <c r="QHP11720" s="11648"/>
    </row>
    <row r="11721" spans="2:2 11709:11724" x14ac:dyDescent="0.3">
      <c r="B11721" s="16301"/>
      <c r="QHQ11721" s="11649"/>
    </row>
    <row r="11722" spans="2:2 11709:11724" x14ac:dyDescent="0.3">
      <c r="B11722" s="16301"/>
      <c r="QHR11722" s="11650"/>
    </row>
    <row r="11723" spans="2:2 11709:11724" x14ac:dyDescent="0.3">
      <c r="B11723" s="16301"/>
      <c r="QHS11723" s="11651"/>
    </row>
    <row r="11724" spans="2:2 11709:11724" x14ac:dyDescent="0.3">
      <c r="B11724" s="16301"/>
      <c r="QHT11724" s="11652"/>
    </row>
    <row r="11725" spans="2:2 11709:11724" x14ac:dyDescent="0.3">
      <c r="B11725" s="16301"/>
      <c r="QHU11725" s="11653"/>
    </row>
    <row r="11726" spans="2:2 11709:11724" x14ac:dyDescent="0.3">
      <c r="B11726" s="16301"/>
      <c r="QHV11726" s="11654"/>
    </row>
    <row r="11727" spans="2:2 11709:11724" x14ac:dyDescent="0.3">
      <c r="B11727" s="16301"/>
      <c r="QHW11727" s="11655"/>
    </row>
    <row r="11728" spans="2:2 11709:11724" x14ac:dyDescent="0.3">
      <c r="B11728" s="16301"/>
      <c r="QHX11728" s="11656"/>
    </row>
    <row r="11729" spans="2:2 11725:11740" x14ac:dyDescent="0.3">
      <c r="B11729" s="16301"/>
      <c r="QHY11729" s="11657"/>
    </row>
    <row r="11730" spans="2:2 11725:11740" x14ac:dyDescent="0.3">
      <c r="B11730" s="16301"/>
      <c r="QHZ11730" s="11658"/>
    </row>
    <row r="11731" spans="2:2 11725:11740" x14ac:dyDescent="0.3">
      <c r="B11731" s="16301"/>
      <c r="QIA11731" s="11659"/>
    </row>
    <row r="11732" spans="2:2 11725:11740" x14ac:dyDescent="0.3">
      <c r="B11732" s="16301"/>
      <c r="QIB11732" s="11660"/>
    </row>
    <row r="11733" spans="2:2 11725:11740" x14ac:dyDescent="0.3">
      <c r="B11733" s="16301"/>
      <c r="QIC11733" s="11661"/>
    </row>
    <row r="11734" spans="2:2 11725:11740" x14ac:dyDescent="0.3">
      <c r="B11734" s="16301"/>
      <c r="QID11734" s="11662"/>
    </row>
    <row r="11735" spans="2:2 11725:11740" x14ac:dyDescent="0.3">
      <c r="B11735" s="16301"/>
      <c r="QIE11735" s="11663"/>
    </row>
    <row r="11736" spans="2:2 11725:11740" x14ac:dyDescent="0.3">
      <c r="B11736" s="16301"/>
      <c r="QIF11736" s="11664"/>
    </row>
    <row r="11737" spans="2:2 11725:11740" x14ac:dyDescent="0.3">
      <c r="B11737" s="16301"/>
      <c r="QIG11737" s="11665"/>
    </row>
    <row r="11738" spans="2:2 11725:11740" x14ac:dyDescent="0.3">
      <c r="B11738" s="16301"/>
      <c r="QIH11738" s="11666"/>
    </row>
    <row r="11739" spans="2:2 11725:11740" x14ac:dyDescent="0.3">
      <c r="B11739" s="16301"/>
      <c r="QII11739" s="11667"/>
    </row>
    <row r="11740" spans="2:2 11725:11740" x14ac:dyDescent="0.3">
      <c r="B11740" s="16301"/>
      <c r="QIJ11740" s="11668"/>
    </row>
    <row r="11741" spans="2:2 11725:11740" x14ac:dyDescent="0.3">
      <c r="B11741" s="16301"/>
      <c r="QIK11741" s="11669"/>
    </row>
    <row r="11742" spans="2:2 11725:11740" x14ac:dyDescent="0.3">
      <c r="B11742" s="16301"/>
      <c r="QIL11742" s="11670"/>
    </row>
    <row r="11743" spans="2:2 11725:11740" x14ac:dyDescent="0.3">
      <c r="B11743" s="16301"/>
      <c r="QIM11743" s="11671"/>
    </row>
    <row r="11744" spans="2:2 11725:11740" x14ac:dyDescent="0.3">
      <c r="B11744" s="16301"/>
      <c r="QIN11744" s="11672"/>
    </row>
    <row r="11745" spans="2:2 11741:11756" x14ac:dyDescent="0.3">
      <c r="B11745" s="16301"/>
      <c r="QIO11745" s="11673"/>
    </row>
    <row r="11746" spans="2:2 11741:11756" x14ac:dyDescent="0.3">
      <c r="B11746" s="16301"/>
      <c r="QIP11746" s="11674"/>
    </row>
    <row r="11747" spans="2:2 11741:11756" x14ac:dyDescent="0.3">
      <c r="B11747" s="16301"/>
      <c r="QIQ11747" s="11675"/>
    </row>
    <row r="11748" spans="2:2 11741:11756" x14ac:dyDescent="0.3">
      <c r="B11748" s="16301"/>
      <c r="QIR11748" s="11676"/>
    </row>
    <row r="11749" spans="2:2 11741:11756" x14ac:dyDescent="0.3">
      <c r="B11749" s="16301"/>
      <c r="QIS11749" s="11677"/>
    </row>
    <row r="11750" spans="2:2 11741:11756" x14ac:dyDescent="0.3">
      <c r="B11750" s="16301"/>
      <c r="QIT11750" s="11678"/>
    </row>
    <row r="11751" spans="2:2 11741:11756" x14ac:dyDescent="0.3">
      <c r="B11751" s="16301"/>
      <c r="QIU11751" s="11679"/>
    </row>
    <row r="11752" spans="2:2 11741:11756" x14ac:dyDescent="0.3">
      <c r="B11752" s="16301"/>
      <c r="QIV11752" s="11680"/>
    </row>
    <row r="11753" spans="2:2 11741:11756" x14ac:dyDescent="0.3">
      <c r="B11753" s="16301"/>
      <c r="QIW11753" s="11681"/>
    </row>
    <row r="11754" spans="2:2 11741:11756" x14ac:dyDescent="0.3">
      <c r="B11754" s="16301"/>
      <c r="QIX11754" s="11682"/>
    </row>
    <row r="11755" spans="2:2 11741:11756" x14ac:dyDescent="0.3">
      <c r="B11755" s="16301"/>
      <c r="QIY11755" s="11683"/>
    </row>
    <row r="11756" spans="2:2 11741:11756" x14ac:dyDescent="0.3">
      <c r="B11756" s="16301"/>
      <c r="QIZ11756" s="11684"/>
    </row>
    <row r="11757" spans="2:2 11741:11756" x14ac:dyDescent="0.3">
      <c r="B11757" s="16301"/>
      <c r="QJA11757" s="11685"/>
    </row>
    <row r="11758" spans="2:2 11741:11756" x14ac:dyDescent="0.3">
      <c r="B11758" s="16301"/>
      <c r="QJB11758" s="11686"/>
    </row>
    <row r="11759" spans="2:2 11741:11756" x14ac:dyDescent="0.3">
      <c r="B11759" s="16301"/>
      <c r="QJC11759" s="11687"/>
    </row>
    <row r="11760" spans="2:2 11741:11756" x14ac:dyDescent="0.3">
      <c r="B11760" s="16301"/>
      <c r="QJD11760" s="11688"/>
    </row>
    <row r="11761" spans="2:2 11757:11772" x14ac:dyDescent="0.3">
      <c r="B11761" s="16301"/>
      <c r="QJE11761" s="11689"/>
    </row>
    <row r="11762" spans="2:2 11757:11772" x14ac:dyDescent="0.3">
      <c r="B11762" s="16301"/>
      <c r="QJF11762" s="11690"/>
    </row>
    <row r="11763" spans="2:2 11757:11772" x14ac:dyDescent="0.3">
      <c r="B11763" s="16301"/>
      <c r="QJG11763" s="11691"/>
    </row>
    <row r="11764" spans="2:2 11757:11772" x14ac:dyDescent="0.3">
      <c r="B11764" s="16301"/>
      <c r="QJH11764" s="11692"/>
    </row>
    <row r="11765" spans="2:2 11757:11772" x14ac:dyDescent="0.3">
      <c r="B11765" s="16301"/>
      <c r="QJI11765" s="11693"/>
    </row>
    <row r="11766" spans="2:2 11757:11772" x14ac:dyDescent="0.3">
      <c r="B11766" s="16301"/>
      <c r="QJJ11766" s="11694"/>
    </row>
    <row r="11767" spans="2:2 11757:11772" x14ac:dyDescent="0.3">
      <c r="B11767" s="16301"/>
      <c r="QJK11767" s="11695"/>
    </row>
    <row r="11768" spans="2:2 11757:11772" x14ac:dyDescent="0.3">
      <c r="B11768" s="16301"/>
      <c r="QJL11768" s="11696"/>
    </row>
    <row r="11769" spans="2:2 11757:11772" x14ac:dyDescent="0.3">
      <c r="B11769" s="16301"/>
      <c r="QJM11769" s="11697"/>
    </row>
    <row r="11770" spans="2:2 11757:11772" x14ac:dyDescent="0.3">
      <c r="B11770" s="16301"/>
      <c r="QJN11770" s="11698"/>
    </row>
    <row r="11771" spans="2:2 11757:11772" x14ac:dyDescent="0.3">
      <c r="B11771" s="16301"/>
      <c r="QJO11771" s="11699"/>
    </row>
    <row r="11772" spans="2:2 11757:11772" x14ac:dyDescent="0.3">
      <c r="B11772" s="16301"/>
      <c r="QJP11772" s="11700"/>
    </row>
    <row r="11773" spans="2:2 11757:11772" x14ac:dyDescent="0.3">
      <c r="B11773" s="16301"/>
      <c r="QJQ11773" s="11701"/>
    </row>
    <row r="11774" spans="2:2 11757:11772" x14ac:dyDescent="0.3">
      <c r="B11774" s="16301"/>
      <c r="QJR11774" s="11702"/>
    </row>
    <row r="11775" spans="2:2 11757:11772" x14ac:dyDescent="0.3">
      <c r="B11775" s="16301"/>
      <c r="QJS11775" s="11703"/>
    </row>
    <row r="11776" spans="2:2 11757:11772" x14ac:dyDescent="0.3">
      <c r="B11776" s="16301"/>
      <c r="QJT11776" s="11704"/>
    </row>
    <row r="11777" spans="2:2 11773:11788" x14ac:dyDescent="0.3">
      <c r="B11777" s="16301"/>
      <c r="QJU11777" s="11705"/>
    </row>
    <row r="11778" spans="2:2 11773:11788" x14ac:dyDescent="0.3">
      <c r="B11778" s="16301"/>
      <c r="QJV11778" s="11706"/>
    </row>
    <row r="11779" spans="2:2 11773:11788" x14ac:dyDescent="0.3">
      <c r="B11779" s="16301"/>
      <c r="QJW11779" s="11707"/>
    </row>
    <row r="11780" spans="2:2 11773:11788" x14ac:dyDescent="0.3">
      <c r="B11780" s="16301"/>
      <c r="QJX11780" s="11708"/>
    </row>
    <row r="11781" spans="2:2 11773:11788" x14ac:dyDescent="0.3">
      <c r="B11781" s="16301"/>
      <c r="QJY11781" s="11709"/>
    </row>
    <row r="11782" spans="2:2 11773:11788" x14ac:dyDescent="0.3">
      <c r="B11782" s="16301"/>
      <c r="QJZ11782" s="11710"/>
    </row>
    <row r="11783" spans="2:2 11773:11788" x14ac:dyDescent="0.3">
      <c r="B11783" s="16301"/>
      <c r="QKA11783" s="11711"/>
    </row>
    <row r="11784" spans="2:2 11773:11788" x14ac:dyDescent="0.3">
      <c r="B11784" s="16301"/>
      <c r="QKB11784" s="11712"/>
    </row>
    <row r="11785" spans="2:2 11773:11788" x14ac:dyDescent="0.3">
      <c r="B11785" s="16301"/>
      <c r="QKC11785" s="11713"/>
    </row>
    <row r="11786" spans="2:2 11773:11788" x14ac:dyDescent="0.3">
      <c r="B11786" s="16301"/>
      <c r="QKD11786" s="11714"/>
    </row>
    <row r="11787" spans="2:2 11773:11788" x14ac:dyDescent="0.3">
      <c r="B11787" s="16301"/>
      <c r="QKE11787" s="11715"/>
    </row>
    <row r="11788" spans="2:2 11773:11788" x14ac:dyDescent="0.3">
      <c r="B11788" s="16301"/>
      <c r="QKF11788" s="11716"/>
    </row>
    <row r="11789" spans="2:2 11773:11788" x14ac:dyDescent="0.3">
      <c r="B11789" s="16301"/>
      <c r="QKG11789" s="11717"/>
    </row>
    <row r="11790" spans="2:2 11773:11788" x14ac:dyDescent="0.3">
      <c r="B11790" s="16301"/>
      <c r="QKH11790" s="11718"/>
    </row>
    <row r="11791" spans="2:2 11773:11788" x14ac:dyDescent="0.3">
      <c r="B11791" s="16301"/>
      <c r="QKI11791" s="11719"/>
    </row>
    <row r="11792" spans="2:2 11773:11788" x14ac:dyDescent="0.3">
      <c r="B11792" s="16301"/>
      <c r="QKJ11792" s="11720"/>
    </row>
    <row r="11793" spans="2:2 11789:11804" x14ac:dyDescent="0.3">
      <c r="B11793" s="16301"/>
      <c r="QKK11793" s="11721"/>
    </row>
    <row r="11794" spans="2:2 11789:11804" x14ac:dyDescent="0.3">
      <c r="B11794" s="16301"/>
      <c r="QKL11794" s="11722"/>
    </row>
    <row r="11795" spans="2:2 11789:11804" x14ac:dyDescent="0.3">
      <c r="B11795" s="16301"/>
      <c r="QKM11795" s="11723"/>
    </row>
    <row r="11796" spans="2:2 11789:11804" x14ac:dyDescent="0.3">
      <c r="B11796" s="16301"/>
      <c r="QKN11796" s="11724"/>
    </row>
    <row r="11797" spans="2:2 11789:11804" x14ac:dyDescent="0.3">
      <c r="B11797" s="16301"/>
      <c r="QKO11797" s="11725"/>
    </row>
    <row r="11798" spans="2:2 11789:11804" x14ac:dyDescent="0.3">
      <c r="B11798" s="16301"/>
      <c r="QKP11798" s="11726"/>
    </row>
    <row r="11799" spans="2:2 11789:11804" x14ac:dyDescent="0.3">
      <c r="B11799" s="16301"/>
      <c r="QKQ11799" s="11727"/>
    </row>
    <row r="11800" spans="2:2 11789:11804" x14ac:dyDescent="0.3">
      <c r="B11800" s="16301"/>
      <c r="QKR11800" s="11728"/>
    </row>
    <row r="11801" spans="2:2 11789:11804" x14ac:dyDescent="0.3">
      <c r="B11801" s="16301"/>
      <c r="QKS11801" s="11729"/>
    </row>
    <row r="11802" spans="2:2 11789:11804" x14ac:dyDescent="0.3">
      <c r="B11802" s="16301"/>
      <c r="QKT11802" s="11730"/>
    </row>
    <row r="11803" spans="2:2 11789:11804" x14ac:dyDescent="0.3">
      <c r="B11803" s="16301"/>
      <c r="QKU11803" s="11731"/>
    </row>
    <row r="11804" spans="2:2 11789:11804" x14ac:dyDescent="0.3">
      <c r="B11804" s="16301"/>
      <c r="QKV11804" s="11732"/>
    </row>
    <row r="11805" spans="2:2 11789:11804" x14ac:dyDescent="0.3">
      <c r="B11805" s="16301"/>
      <c r="QKW11805" s="11733"/>
    </row>
    <row r="11806" spans="2:2 11789:11804" x14ac:dyDescent="0.3">
      <c r="B11806" s="16301"/>
      <c r="QKX11806" s="11734"/>
    </row>
    <row r="11807" spans="2:2 11789:11804" x14ac:dyDescent="0.3">
      <c r="B11807" s="16301"/>
      <c r="QKY11807" s="11735"/>
    </row>
    <row r="11808" spans="2:2 11789:11804" x14ac:dyDescent="0.3">
      <c r="B11808" s="16301"/>
      <c r="QKZ11808" s="11736"/>
    </row>
    <row r="11809" spans="2:2 11805:11820" x14ac:dyDescent="0.3">
      <c r="B11809" s="16301"/>
      <c r="QLA11809" s="11737"/>
    </row>
    <row r="11810" spans="2:2 11805:11820" x14ac:dyDescent="0.3">
      <c r="B11810" s="16301"/>
      <c r="QLB11810" s="11738"/>
    </row>
    <row r="11811" spans="2:2 11805:11820" x14ac:dyDescent="0.3">
      <c r="B11811" s="16301"/>
      <c r="QLC11811" s="11739"/>
    </row>
    <row r="11812" spans="2:2 11805:11820" x14ac:dyDescent="0.3">
      <c r="B11812" s="16301"/>
      <c r="QLD11812" s="11740"/>
    </row>
    <row r="11813" spans="2:2 11805:11820" x14ac:dyDescent="0.3">
      <c r="B11813" s="16301"/>
      <c r="QLE11813" s="11741"/>
    </row>
    <row r="11814" spans="2:2 11805:11820" x14ac:dyDescent="0.3">
      <c r="B11814" s="16301"/>
      <c r="QLF11814" s="11742"/>
    </row>
    <row r="11815" spans="2:2 11805:11820" x14ac:dyDescent="0.3">
      <c r="B11815" s="16301"/>
      <c r="QLG11815" s="11743"/>
    </row>
    <row r="11816" spans="2:2 11805:11820" x14ac:dyDescent="0.3">
      <c r="B11816" s="16301"/>
      <c r="QLH11816" s="11744"/>
    </row>
    <row r="11817" spans="2:2 11805:11820" x14ac:dyDescent="0.3">
      <c r="B11817" s="16301"/>
      <c r="QLI11817" s="11745"/>
    </row>
    <row r="11818" spans="2:2 11805:11820" x14ac:dyDescent="0.3">
      <c r="B11818" s="16301"/>
      <c r="QLJ11818" s="11746"/>
    </row>
    <row r="11819" spans="2:2 11805:11820" x14ac:dyDescent="0.3">
      <c r="B11819" s="16301"/>
      <c r="QLK11819" s="11747"/>
    </row>
    <row r="11820" spans="2:2 11805:11820" x14ac:dyDescent="0.3">
      <c r="B11820" s="16301"/>
      <c r="QLL11820" s="11748"/>
    </row>
    <row r="11821" spans="2:2 11805:11820" x14ac:dyDescent="0.3">
      <c r="B11821" s="16301"/>
      <c r="QLM11821" s="11749"/>
    </row>
    <row r="11822" spans="2:2 11805:11820" x14ac:dyDescent="0.3">
      <c r="B11822" s="16301"/>
      <c r="QLN11822" s="11750"/>
    </row>
    <row r="11823" spans="2:2 11805:11820" x14ac:dyDescent="0.3">
      <c r="B11823" s="16301"/>
      <c r="QLO11823" s="11751"/>
    </row>
    <row r="11824" spans="2:2 11805:11820" x14ac:dyDescent="0.3">
      <c r="B11824" s="16301"/>
      <c r="QLP11824" s="11752"/>
    </row>
    <row r="11825" spans="2:2 11821:11836" x14ac:dyDescent="0.3">
      <c r="B11825" s="16301"/>
      <c r="QLQ11825" s="11753"/>
    </row>
    <row r="11826" spans="2:2 11821:11836" x14ac:dyDescent="0.3">
      <c r="B11826" s="16301"/>
      <c r="QLR11826" s="11754"/>
    </row>
    <row r="11827" spans="2:2 11821:11836" x14ac:dyDescent="0.3">
      <c r="B11827" s="16301"/>
      <c r="QLS11827" s="11755"/>
    </row>
    <row r="11828" spans="2:2 11821:11836" x14ac:dyDescent="0.3">
      <c r="B11828" s="16301"/>
      <c r="QLT11828" s="11755"/>
    </row>
    <row r="11829" spans="2:2 11821:11836" x14ac:dyDescent="0.3">
      <c r="B11829" s="16301"/>
      <c r="QLU11829" s="11756"/>
    </row>
    <row r="11830" spans="2:2 11821:11836" x14ac:dyDescent="0.3">
      <c r="B11830" s="16301"/>
      <c r="QLV11830" s="11757"/>
    </row>
    <row r="11831" spans="2:2 11821:11836" x14ac:dyDescent="0.3">
      <c r="B11831" s="16301"/>
      <c r="QLW11831" s="11758"/>
    </row>
    <row r="11832" spans="2:2 11821:11836" x14ac:dyDescent="0.3">
      <c r="B11832" s="16301"/>
      <c r="QLX11832" s="11759"/>
    </row>
    <row r="11833" spans="2:2 11821:11836" x14ac:dyDescent="0.3">
      <c r="B11833" s="16301"/>
      <c r="QLY11833" s="11760"/>
    </row>
    <row r="11834" spans="2:2 11821:11836" x14ac:dyDescent="0.3">
      <c r="B11834" s="16301"/>
      <c r="QLZ11834" s="11761"/>
    </row>
    <row r="11835" spans="2:2 11821:11836" x14ac:dyDescent="0.3">
      <c r="B11835" s="16301"/>
      <c r="QMA11835" s="11762"/>
    </row>
    <row r="11836" spans="2:2 11821:11836" x14ac:dyDescent="0.3">
      <c r="B11836" s="16301"/>
      <c r="QMB11836" s="11763"/>
    </row>
    <row r="11837" spans="2:2 11821:11836" x14ac:dyDescent="0.3">
      <c r="B11837" s="16301"/>
      <c r="QMC11837" s="11764"/>
    </row>
    <row r="11838" spans="2:2 11821:11836" x14ac:dyDescent="0.3">
      <c r="B11838" s="16301"/>
      <c r="QMD11838" s="11765"/>
    </row>
    <row r="11839" spans="2:2 11821:11836" x14ac:dyDescent="0.3">
      <c r="B11839" s="16301"/>
      <c r="QME11839" s="11766"/>
    </row>
    <row r="11840" spans="2:2 11821:11836" x14ac:dyDescent="0.3">
      <c r="B11840" s="16301"/>
      <c r="QMF11840" s="11767"/>
    </row>
    <row r="11841" spans="2:2 11837:11852" x14ac:dyDescent="0.3">
      <c r="B11841" s="16301"/>
      <c r="QMG11841" s="11768"/>
    </row>
    <row r="11842" spans="2:2 11837:11852" x14ac:dyDescent="0.3">
      <c r="B11842" s="16301"/>
      <c r="QMH11842" s="11769"/>
    </row>
    <row r="11843" spans="2:2 11837:11852" x14ac:dyDescent="0.3">
      <c r="B11843" s="16301"/>
      <c r="QMI11843" s="11770"/>
    </row>
    <row r="11844" spans="2:2 11837:11852" x14ac:dyDescent="0.3">
      <c r="B11844" s="16301"/>
      <c r="QMJ11844" s="11771"/>
    </row>
    <row r="11845" spans="2:2 11837:11852" x14ac:dyDescent="0.3">
      <c r="B11845" s="16301"/>
      <c r="QMK11845" s="11772"/>
    </row>
    <row r="11846" spans="2:2 11837:11852" x14ac:dyDescent="0.3">
      <c r="B11846" s="16301"/>
      <c r="QML11846" s="11773"/>
    </row>
    <row r="11847" spans="2:2 11837:11852" x14ac:dyDescent="0.3">
      <c r="B11847" s="16301"/>
      <c r="QMM11847" s="11774"/>
    </row>
    <row r="11848" spans="2:2 11837:11852" x14ac:dyDescent="0.3">
      <c r="B11848" s="16301"/>
      <c r="QMN11848" s="11775"/>
    </row>
    <row r="11849" spans="2:2 11837:11852" x14ac:dyDescent="0.3">
      <c r="B11849" s="16301"/>
      <c r="QMO11849" s="11776"/>
    </row>
    <row r="11850" spans="2:2 11837:11852" x14ac:dyDescent="0.3">
      <c r="B11850" s="16301"/>
      <c r="QMP11850" s="11777"/>
    </row>
    <row r="11851" spans="2:2 11837:11852" x14ac:dyDescent="0.3">
      <c r="B11851" s="16301"/>
      <c r="QMQ11851" s="11778"/>
    </row>
    <row r="11852" spans="2:2 11837:11852" x14ac:dyDescent="0.3">
      <c r="B11852" s="16301"/>
      <c r="QMR11852" s="11779"/>
    </row>
    <row r="11853" spans="2:2 11837:11852" x14ac:dyDescent="0.3">
      <c r="B11853" s="16301"/>
      <c r="QMS11853" s="11780"/>
    </row>
    <row r="11854" spans="2:2 11837:11852" x14ac:dyDescent="0.3">
      <c r="B11854" s="16301"/>
      <c r="QMT11854" s="11781"/>
    </row>
    <row r="11855" spans="2:2 11837:11852" x14ac:dyDescent="0.3">
      <c r="B11855" s="16301"/>
      <c r="QMU11855" s="11782"/>
    </row>
    <row r="11856" spans="2:2 11837:11852" x14ac:dyDescent="0.3">
      <c r="B11856" s="16301"/>
      <c r="QMV11856" s="11783"/>
    </row>
    <row r="11857" spans="2:2 11853:11868" x14ac:dyDescent="0.3">
      <c r="B11857" s="16301"/>
      <c r="QMW11857" s="11784"/>
    </row>
    <row r="11858" spans="2:2 11853:11868" x14ac:dyDescent="0.3">
      <c r="B11858" s="16301"/>
      <c r="QMX11858" s="11785"/>
    </row>
    <row r="11859" spans="2:2 11853:11868" x14ac:dyDescent="0.3">
      <c r="B11859" s="16301"/>
      <c r="QMY11859" s="11786"/>
    </row>
    <row r="11860" spans="2:2 11853:11868" x14ac:dyDescent="0.3">
      <c r="B11860" s="16301"/>
      <c r="QMZ11860" s="11787"/>
    </row>
    <row r="11861" spans="2:2 11853:11868" x14ac:dyDescent="0.3">
      <c r="B11861" s="16301"/>
      <c r="QNA11861" s="11788"/>
    </row>
    <row r="11862" spans="2:2 11853:11868" x14ac:dyDescent="0.3">
      <c r="B11862" s="16301"/>
      <c r="QNB11862" s="11789"/>
    </row>
    <row r="11863" spans="2:2 11853:11868" x14ac:dyDescent="0.3">
      <c r="B11863" s="16301"/>
      <c r="QNC11863" s="11790"/>
    </row>
    <row r="11864" spans="2:2 11853:11868" x14ac:dyDescent="0.3">
      <c r="B11864" s="16301"/>
      <c r="QND11864" s="11791"/>
    </row>
    <row r="11865" spans="2:2 11853:11868" x14ac:dyDescent="0.3">
      <c r="B11865" s="16301"/>
      <c r="QNE11865" s="11792"/>
    </row>
    <row r="11866" spans="2:2 11853:11868" x14ac:dyDescent="0.3">
      <c r="B11866" s="16301"/>
      <c r="QNF11866" s="11793"/>
    </row>
    <row r="11867" spans="2:2 11853:11868" x14ac:dyDescent="0.3">
      <c r="B11867" s="16301"/>
      <c r="QNG11867" s="11794"/>
    </row>
    <row r="11868" spans="2:2 11853:11868" x14ac:dyDescent="0.3">
      <c r="B11868" s="16301"/>
      <c r="QNH11868" s="11795"/>
    </row>
    <row r="11869" spans="2:2 11853:11868" x14ac:dyDescent="0.3">
      <c r="B11869" s="16301"/>
      <c r="QNI11869" s="11796"/>
    </row>
    <row r="11870" spans="2:2 11853:11868" x14ac:dyDescent="0.3">
      <c r="B11870" s="16301"/>
      <c r="QNJ11870" s="11797"/>
    </row>
    <row r="11871" spans="2:2 11853:11868" x14ac:dyDescent="0.3">
      <c r="B11871" s="16301"/>
      <c r="QNK11871" s="11798"/>
    </row>
    <row r="11872" spans="2:2 11853:11868" x14ac:dyDescent="0.3">
      <c r="B11872" s="16301"/>
      <c r="QNL11872" s="11799"/>
    </row>
    <row r="11873" spans="2:2 11869:11884" x14ac:dyDescent="0.3">
      <c r="B11873" s="16301"/>
      <c r="QNM11873" s="11800"/>
    </row>
    <row r="11874" spans="2:2 11869:11884" x14ac:dyDescent="0.3">
      <c r="B11874" s="16301"/>
      <c r="QNN11874" s="11801"/>
    </row>
    <row r="11875" spans="2:2 11869:11884" x14ac:dyDescent="0.3">
      <c r="B11875" s="16301"/>
      <c r="QNO11875" s="11802"/>
    </row>
    <row r="11876" spans="2:2 11869:11884" x14ac:dyDescent="0.3">
      <c r="B11876" s="16301"/>
      <c r="QNP11876" s="11803"/>
    </row>
    <row r="11877" spans="2:2 11869:11884" x14ac:dyDescent="0.3">
      <c r="B11877" s="16301"/>
      <c r="QNQ11877" s="11804"/>
    </row>
    <row r="11878" spans="2:2 11869:11884" x14ac:dyDescent="0.3">
      <c r="B11878" s="16301"/>
      <c r="QNR11878" s="11805"/>
    </row>
    <row r="11879" spans="2:2 11869:11884" x14ac:dyDescent="0.3">
      <c r="B11879" s="16301"/>
      <c r="QNS11879" s="11806"/>
    </row>
    <row r="11880" spans="2:2 11869:11884" x14ac:dyDescent="0.3">
      <c r="B11880" s="16301"/>
      <c r="QNT11880" s="11807"/>
    </row>
    <row r="11881" spans="2:2 11869:11884" x14ac:dyDescent="0.3">
      <c r="B11881" s="16301"/>
      <c r="QNU11881" s="11808"/>
    </row>
    <row r="11882" spans="2:2 11869:11884" x14ac:dyDescent="0.3">
      <c r="B11882" s="16301"/>
      <c r="QNV11882" s="11809"/>
    </row>
    <row r="11883" spans="2:2 11869:11884" x14ac:dyDescent="0.3">
      <c r="B11883" s="16301"/>
      <c r="QNW11883" s="11810"/>
    </row>
    <row r="11884" spans="2:2 11869:11884" x14ac:dyDescent="0.3">
      <c r="B11884" s="16301"/>
      <c r="QNX11884" s="11811"/>
    </row>
    <row r="11885" spans="2:2 11869:11884" x14ac:dyDescent="0.3">
      <c r="B11885" s="16301"/>
      <c r="QNY11885" s="11812"/>
    </row>
    <row r="11886" spans="2:2 11869:11884" x14ac:dyDescent="0.3">
      <c r="B11886" s="16301"/>
      <c r="QNZ11886" s="11813"/>
    </row>
    <row r="11887" spans="2:2 11869:11884" x14ac:dyDescent="0.3">
      <c r="B11887" s="16301"/>
      <c r="QOA11887" s="11814"/>
    </row>
    <row r="11888" spans="2:2 11869:11884" x14ac:dyDescent="0.3">
      <c r="B11888" s="16301"/>
      <c r="QOB11888" s="11815"/>
    </row>
    <row r="11889" spans="2:2 11885:11900" x14ac:dyDescent="0.3">
      <c r="B11889" s="16301"/>
      <c r="QOC11889" s="11816"/>
    </row>
    <row r="11890" spans="2:2 11885:11900" x14ac:dyDescent="0.3">
      <c r="B11890" s="16301"/>
      <c r="QOD11890" s="11817"/>
    </row>
    <row r="11891" spans="2:2 11885:11900" x14ac:dyDescent="0.3">
      <c r="B11891" s="16301"/>
      <c r="QOE11891" s="11818"/>
    </row>
    <row r="11892" spans="2:2 11885:11900" x14ac:dyDescent="0.3">
      <c r="B11892" s="16301"/>
      <c r="QOF11892" s="11819"/>
    </row>
    <row r="11893" spans="2:2 11885:11900" x14ac:dyDescent="0.3">
      <c r="B11893" s="16301"/>
      <c r="QOG11893" s="11820"/>
    </row>
    <row r="11894" spans="2:2 11885:11900" x14ac:dyDescent="0.3">
      <c r="B11894" s="16301"/>
      <c r="QOH11894" s="11821"/>
    </row>
    <row r="11895" spans="2:2 11885:11900" x14ac:dyDescent="0.3">
      <c r="B11895" s="16301"/>
      <c r="QOI11895" s="11822"/>
    </row>
    <row r="11896" spans="2:2 11885:11900" x14ac:dyDescent="0.3">
      <c r="B11896" s="16301"/>
      <c r="QOJ11896" s="11823"/>
    </row>
    <row r="11897" spans="2:2 11885:11900" x14ac:dyDescent="0.3">
      <c r="B11897" s="16301"/>
      <c r="QOK11897" s="11824"/>
    </row>
    <row r="11898" spans="2:2 11885:11900" x14ac:dyDescent="0.3">
      <c r="B11898" s="16301"/>
      <c r="QOL11898" s="11825"/>
    </row>
    <row r="11899" spans="2:2 11885:11900" x14ac:dyDescent="0.3">
      <c r="B11899" s="16301"/>
      <c r="QOM11899" s="11826"/>
    </row>
    <row r="11900" spans="2:2 11885:11900" x14ac:dyDescent="0.3">
      <c r="B11900" s="16301"/>
      <c r="QON11900" s="11827"/>
    </row>
    <row r="11901" spans="2:2 11885:11900" x14ac:dyDescent="0.3">
      <c r="B11901" s="16301"/>
      <c r="QOO11901" s="11828"/>
    </row>
    <row r="11902" spans="2:2 11885:11900" x14ac:dyDescent="0.3">
      <c r="B11902" s="16301"/>
      <c r="QOP11902" s="11829"/>
    </row>
    <row r="11903" spans="2:2 11885:11900" x14ac:dyDescent="0.3">
      <c r="B11903" s="16301"/>
      <c r="QOQ11903" s="11830"/>
    </row>
    <row r="11904" spans="2:2 11885:11900" x14ac:dyDescent="0.3">
      <c r="B11904" s="16301"/>
      <c r="QOR11904" s="11831"/>
    </row>
    <row r="11905" spans="2:2 11901:11916" x14ac:dyDescent="0.3">
      <c r="B11905" s="16301"/>
      <c r="QOS11905" s="11832"/>
    </row>
    <row r="11906" spans="2:2 11901:11916" x14ac:dyDescent="0.3">
      <c r="B11906" s="16301"/>
      <c r="QOT11906" s="11833"/>
    </row>
    <row r="11907" spans="2:2 11901:11916" x14ac:dyDescent="0.3">
      <c r="B11907" s="16301"/>
      <c r="QOU11907" s="11834"/>
    </row>
    <row r="11908" spans="2:2 11901:11916" x14ac:dyDescent="0.3">
      <c r="B11908" s="16301"/>
      <c r="QOV11908" s="11835"/>
    </row>
    <row r="11909" spans="2:2 11901:11916" x14ac:dyDescent="0.3">
      <c r="B11909" s="16301"/>
      <c r="QOW11909" s="11836"/>
    </row>
    <row r="11910" spans="2:2 11901:11916" x14ac:dyDescent="0.3">
      <c r="B11910" s="16301"/>
      <c r="QOX11910" s="11837"/>
    </row>
    <row r="11911" spans="2:2 11901:11916" x14ac:dyDescent="0.3">
      <c r="B11911" s="16301"/>
      <c r="QOY11911" s="11838"/>
    </row>
    <row r="11912" spans="2:2 11901:11916" x14ac:dyDescent="0.3">
      <c r="B11912" s="16301"/>
      <c r="QOZ11912" s="11839"/>
    </row>
    <row r="11913" spans="2:2 11901:11916" x14ac:dyDescent="0.3">
      <c r="B11913" s="16301"/>
      <c r="QPA11913" s="11840"/>
    </row>
    <row r="11914" spans="2:2 11901:11916" x14ac:dyDescent="0.3">
      <c r="B11914" s="16301"/>
      <c r="QPB11914" s="11841"/>
    </row>
    <row r="11915" spans="2:2 11901:11916" x14ac:dyDescent="0.3">
      <c r="B11915" s="16301"/>
      <c r="QPC11915" s="11842"/>
    </row>
    <row r="11916" spans="2:2 11901:11916" x14ac:dyDescent="0.3">
      <c r="B11916" s="16301"/>
      <c r="QPD11916" s="11843"/>
    </row>
    <row r="11917" spans="2:2 11901:11916" x14ac:dyDescent="0.3">
      <c r="B11917" s="16301"/>
      <c r="QPE11917" s="11844"/>
    </row>
    <row r="11918" spans="2:2 11901:11916" x14ac:dyDescent="0.3">
      <c r="B11918" s="16301"/>
      <c r="QPF11918" s="11845"/>
    </row>
    <row r="11919" spans="2:2 11901:11916" x14ac:dyDescent="0.3">
      <c r="B11919" s="16301"/>
      <c r="QPG11919" s="11846"/>
    </row>
    <row r="11920" spans="2:2 11901:11916" x14ac:dyDescent="0.3">
      <c r="B11920" s="16301"/>
      <c r="QPH11920" s="11847"/>
    </row>
    <row r="11921" spans="2:2 11917:11932" x14ac:dyDescent="0.3">
      <c r="B11921" s="16301"/>
      <c r="QPI11921" s="11848"/>
    </row>
    <row r="11922" spans="2:2 11917:11932" x14ac:dyDescent="0.3">
      <c r="B11922" s="16301"/>
      <c r="QPJ11922" s="11849"/>
    </row>
    <row r="11923" spans="2:2 11917:11932" x14ac:dyDescent="0.3">
      <c r="B11923" s="16301"/>
      <c r="QPK11923" s="11850"/>
    </row>
    <row r="11924" spans="2:2 11917:11932" x14ac:dyDescent="0.3">
      <c r="B11924" s="16301"/>
      <c r="QPL11924" s="11851"/>
    </row>
    <row r="11925" spans="2:2 11917:11932" x14ac:dyDescent="0.3">
      <c r="B11925" s="16301"/>
      <c r="QPM11925" s="11852"/>
    </row>
    <row r="11926" spans="2:2 11917:11932" x14ac:dyDescent="0.3">
      <c r="B11926" s="16301"/>
      <c r="QPN11926" s="11853"/>
    </row>
    <row r="11927" spans="2:2 11917:11932" x14ac:dyDescent="0.3">
      <c r="B11927" s="16301"/>
      <c r="QPO11927" s="11854"/>
    </row>
    <row r="11928" spans="2:2 11917:11932" x14ac:dyDescent="0.3">
      <c r="B11928" s="16301"/>
      <c r="QPP11928" s="11855"/>
    </row>
    <row r="11929" spans="2:2 11917:11932" x14ac:dyDescent="0.3">
      <c r="B11929" s="16301"/>
      <c r="QPQ11929" s="11856"/>
    </row>
    <row r="11930" spans="2:2 11917:11932" x14ac:dyDescent="0.3">
      <c r="B11930" s="16301"/>
      <c r="QPR11930" s="11857"/>
    </row>
    <row r="11931" spans="2:2 11917:11932" x14ac:dyDescent="0.3">
      <c r="B11931" s="16301"/>
      <c r="QPS11931" s="11858"/>
    </row>
    <row r="11932" spans="2:2 11917:11932" x14ac:dyDescent="0.3">
      <c r="B11932" s="16301"/>
      <c r="QPT11932" s="11859"/>
    </row>
    <row r="11933" spans="2:2 11917:11932" x14ac:dyDescent="0.3">
      <c r="B11933" s="16301"/>
      <c r="QPU11933" s="11860"/>
    </row>
    <row r="11934" spans="2:2 11917:11932" x14ac:dyDescent="0.3">
      <c r="B11934" s="16301"/>
      <c r="QPV11934" s="11861"/>
    </row>
    <row r="11935" spans="2:2 11917:11932" x14ac:dyDescent="0.3">
      <c r="B11935" s="16301"/>
      <c r="QPW11935" s="11862"/>
    </row>
    <row r="11936" spans="2:2 11917:11932" x14ac:dyDescent="0.3">
      <c r="B11936" s="16301"/>
      <c r="QPX11936" s="11863"/>
    </row>
    <row r="11937" spans="2:2 11933:11948" x14ac:dyDescent="0.3">
      <c r="B11937" s="16301"/>
      <c r="QPY11937" s="11864"/>
    </row>
    <row r="11938" spans="2:2 11933:11948" x14ac:dyDescent="0.3">
      <c r="B11938" s="16301"/>
      <c r="QPZ11938" s="11865"/>
    </row>
    <row r="11939" spans="2:2 11933:11948" x14ac:dyDescent="0.3">
      <c r="B11939" s="16301"/>
      <c r="QQA11939" s="11866"/>
    </row>
    <row r="11940" spans="2:2 11933:11948" x14ac:dyDescent="0.3">
      <c r="B11940" s="16301"/>
      <c r="QQB11940" s="11867"/>
    </row>
    <row r="11941" spans="2:2 11933:11948" x14ac:dyDescent="0.3">
      <c r="B11941" s="16301"/>
      <c r="QQC11941" s="11868"/>
    </row>
    <row r="11942" spans="2:2 11933:11948" x14ac:dyDescent="0.3">
      <c r="B11942" s="16301"/>
      <c r="QQD11942" s="11869"/>
    </row>
    <row r="11943" spans="2:2 11933:11948" x14ac:dyDescent="0.3">
      <c r="B11943" s="16301"/>
      <c r="QQE11943" s="11870"/>
    </row>
    <row r="11944" spans="2:2 11933:11948" x14ac:dyDescent="0.3">
      <c r="B11944" s="16301"/>
      <c r="QQF11944" s="11871"/>
    </row>
    <row r="11945" spans="2:2 11933:11948" x14ac:dyDescent="0.3">
      <c r="B11945" s="16301"/>
      <c r="QQG11945" s="11872"/>
    </row>
    <row r="11946" spans="2:2 11933:11948" x14ac:dyDescent="0.3">
      <c r="B11946" s="16301"/>
      <c r="QQH11946" s="11873"/>
    </row>
    <row r="11947" spans="2:2 11933:11948" x14ac:dyDescent="0.3">
      <c r="B11947" s="16301"/>
      <c r="QQI11947" s="11874"/>
    </row>
    <row r="11948" spans="2:2 11933:11948" x14ac:dyDescent="0.3">
      <c r="B11948" s="16301"/>
      <c r="QQJ11948" s="11875"/>
    </row>
    <row r="11949" spans="2:2 11933:11948" x14ac:dyDescent="0.3">
      <c r="B11949" s="16301"/>
      <c r="QQK11949" s="11876"/>
    </row>
    <row r="11950" spans="2:2 11933:11948" x14ac:dyDescent="0.3">
      <c r="B11950" s="16301"/>
      <c r="QQL11950" s="11877"/>
    </row>
    <row r="11951" spans="2:2 11933:11948" x14ac:dyDescent="0.3">
      <c r="B11951" s="16301"/>
      <c r="QQM11951" s="11878"/>
    </row>
    <row r="11952" spans="2:2 11933:11948" x14ac:dyDescent="0.3">
      <c r="B11952" s="16301"/>
      <c r="QQN11952" s="11879"/>
    </row>
    <row r="11953" spans="2:2 11949:11964" x14ac:dyDescent="0.3">
      <c r="B11953" s="16301"/>
      <c r="QQO11953" s="11880"/>
    </row>
    <row r="11954" spans="2:2 11949:11964" x14ac:dyDescent="0.3">
      <c r="B11954" s="16301"/>
      <c r="QQP11954" s="11881"/>
    </row>
    <row r="11955" spans="2:2 11949:11964" x14ac:dyDescent="0.3">
      <c r="B11955" s="16301"/>
      <c r="QQQ11955" s="11882"/>
    </row>
    <row r="11956" spans="2:2 11949:11964" x14ac:dyDescent="0.3">
      <c r="B11956" s="16301"/>
      <c r="QQR11956" s="11883"/>
    </row>
    <row r="11957" spans="2:2 11949:11964" x14ac:dyDescent="0.3">
      <c r="B11957" s="16301"/>
      <c r="QQS11957" s="11884"/>
    </row>
    <row r="11958" spans="2:2 11949:11964" x14ac:dyDescent="0.3">
      <c r="B11958" s="16301"/>
      <c r="QQT11958" s="11885"/>
    </row>
    <row r="11959" spans="2:2 11949:11964" x14ac:dyDescent="0.3">
      <c r="B11959" s="16301"/>
      <c r="QQU11959" s="11886"/>
    </row>
    <row r="11960" spans="2:2 11949:11964" x14ac:dyDescent="0.3">
      <c r="B11960" s="16301"/>
      <c r="QQV11960" s="11887"/>
    </row>
    <row r="11961" spans="2:2 11949:11964" x14ac:dyDescent="0.3">
      <c r="B11961" s="16301"/>
      <c r="QQW11961" s="11888"/>
    </row>
    <row r="11962" spans="2:2 11949:11964" x14ac:dyDescent="0.3">
      <c r="B11962" s="16301"/>
      <c r="QQX11962" s="11889"/>
    </row>
    <row r="11963" spans="2:2 11949:11964" x14ac:dyDescent="0.3">
      <c r="B11963" s="16301"/>
      <c r="QQY11963" s="11890"/>
    </row>
    <row r="11964" spans="2:2 11949:11964" x14ac:dyDescent="0.3">
      <c r="B11964" s="16301"/>
      <c r="QQZ11964" s="11891"/>
    </row>
    <row r="11965" spans="2:2 11949:11964" x14ac:dyDescent="0.3">
      <c r="B11965" s="16301"/>
      <c r="QRA11965" s="11892"/>
    </row>
    <row r="11966" spans="2:2 11949:11964" x14ac:dyDescent="0.3">
      <c r="B11966" s="16301"/>
      <c r="QRB11966" s="11893"/>
    </row>
    <row r="11967" spans="2:2 11949:11964" x14ac:dyDescent="0.3">
      <c r="B11967" s="16301"/>
      <c r="QRC11967" s="11894"/>
    </row>
    <row r="11968" spans="2:2 11949:11964" x14ac:dyDescent="0.3">
      <c r="B11968" s="16301"/>
      <c r="QRD11968" s="11895"/>
    </row>
    <row r="11969" spans="2:2 11965:11980" x14ac:dyDescent="0.3">
      <c r="B11969" s="16301"/>
      <c r="QRE11969" s="11896"/>
    </row>
    <row r="11970" spans="2:2 11965:11980" x14ac:dyDescent="0.3">
      <c r="B11970" s="16301"/>
      <c r="QRF11970" s="11897"/>
    </row>
    <row r="11971" spans="2:2 11965:11980" x14ac:dyDescent="0.3">
      <c r="B11971" s="16301"/>
      <c r="QRG11971" s="11898"/>
    </row>
    <row r="11972" spans="2:2 11965:11980" x14ac:dyDescent="0.3">
      <c r="B11972" s="16301"/>
      <c r="QRH11972" s="11899"/>
    </row>
    <row r="11973" spans="2:2 11965:11980" x14ac:dyDescent="0.3">
      <c r="B11973" s="16301"/>
      <c r="QRI11973" s="11900"/>
    </row>
    <row r="11974" spans="2:2 11965:11980" x14ac:dyDescent="0.3">
      <c r="B11974" s="16301"/>
      <c r="QRJ11974" s="11901"/>
    </row>
    <row r="11975" spans="2:2 11965:11980" x14ac:dyDescent="0.3">
      <c r="B11975" s="16301"/>
      <c r="QRK11975" s="11902"/>
    </row>
    <row r="11976" spans="2:2 11965:11980" x14ac:dyDescent="0.3">
      <c r="B11976" s="16301"/>
      <c r="QRL11976" s="11903"/>
    </row>
    <row r="11977" spans="2:2 11965:11980" x14ac:dyDescent="0.3">
      <c r="B11977" s="16301"/>
      <c r="QRM11977" s="11904"/>
    </row>
    <row r="11978" spans="2:2 11965:11980" x14ac:dyDescent="0.3">
      <c r="B11978" s="16301"/>
      <c r="QRN11978" s="11905"/>
    </row>
    <row r="11979" spans="2:2 11965:11980" x14ac:dyDescent="0.3">
      <c r="B11979" s="16301"/>
      <c r="QRO11979" s="11906"/>
    </row>
    <row r="11980" spans="2:2 11965:11980" x14ac:dyDescent="0.3">
      <c r="B11980" s="16301"/>
      <c r="QRP11980" s="11907"/>
    </row>
    <row r="11981" spans="2:2 11965:11980" x14ac:dyDescent="0.3">
      <c r="B11981" s="16301"/>
      <c r="QRQ11981" s="11908"/>
    </row>
    <row r="11982" spans="2:2 11965:11980" x14ac:dyDescent="0.3">
      <c r="B11982" s="16301"/>
      <c r="QRR11982" s="11909"/>
    </row>
    <row r="11983" spans="2:2 11965:11980" x14ac:dyDescent="0.3">
      <c r="B11983" s="16301"/>
      <c r="QRS11983" s="11910"/>
    </row>
    <row r="11984" spans="2:2 11965:11980" x14ac:dyDescent="0.3">
      <c r="B11984" s="16301"/>
      <c r="QRT11984" s="11911"/>
    </row>
    <row r="11985" spans="2:2 11981:11996" x14ac:dyDescent="0.3">
      <c r="B11985" s="16301"/>
      <c r="QRU11985" s="11912"/>
    </row>
    <row r="11986" spans="2:2 11981:11996" x14ac:dyDescent="0.3">
      <c r="B11986" s="16301"/>
      <c r="QRV11986" s="11913"/>
    </row>
    <row r="11987" spans="2:2 11981:11996" x14ac:dyDescent="0.3">
      <c r="B11987" s="16301"/>
      <c r="QRW11987" s="11914"/>
    </row>
    <row r="11988" spans="2:2 11981:11996" x14ac:dyDescent="0.3">
      <c r="B11988" s="16301"/>
      <c r="QRX11988" s="11915"/>
    </row>
    <row r="11989" spans="2:2 11981:11996" x14ac:dyDescent="0.3">
      <c r="B11989" s="16301"/>
      <c r="QRY11989" s="11916"/>
    </row>
    <row r="11990" spans="2:2 11981:11996" x14ac:dyDescent="0.3">
      <c r="B11990" s="16301"/>
      <c r="QRZ11990" s="11917"/>
    </row>
    <row r="11991" spans="2:2 11981:11996" x14ac:dyDescent="0.3">
      <c r="B11991" s="16301"/>
      <c r="QSA11991" s="11918"/>
    </row>
    <row r="11992" spans="2:2 11981:11996" x14ac:dyDescent="0.3">
      <c r="B11992" s="16301"/>
      <c r="QSB11992" s="11919"/>
    </row>
    <row r="11993" spans="2:2 11981:11996" x14ac:dyDescent="0.3">
      <c r="B11993" s="16301"/>
      <c r="QSC11993" s="11920"/>
    </row>
    <row r="11994" spans="2:2 11981:11996" x14ac:dyDescent="0.3">
      <c r="B11994" s="16301"/>
      <c r="QSD11994" s="11921"/>
    </row>
    <row r="11995" spans="2:2 11981:11996" x14ac:dyDescent="0.3">
      <c r="B11995" s="16301"/>
      <c r="QSE11995" s="11922"/>
    </row>
    <row r="11996" spans="2:2 11981:11996" x14ac:dyDescent="0.3">
      <c r="B11996" s="16301"/>
      <c r="QSF11996" s="11923"/>
    </row>
    <row r="11997" spans="2:2 11981:11996" x14ac:dyDescent="0.3">
      <c r="B11997" s="16301"/>
      <c r="QSG11997" s="11924"/>
    </row>
    <row r="11998" spans="2:2 11981:11996" x14ac:dyDescent="0.3">
      <c r="B11998" s="16301"/>
      <c r="QSH11998" s="11925"/>
    </row>
    <row r="11999" spans="2:2 11981:11996" x14ac:dyDescent="0.3">
      <c r="B11999" s="16301"/>
      <c r="QSI11999" s="11926"/>
    </row>
    <row r="12000" spans="2:2 11981:11996" x14ac:dyDescent="0.3">
      <c r="B12000" s="16301"/>
      <c r="QSJ12000" s="11927"/>
    </row>
    <row r="12001" spans="2:2 11997:12012" x14ac:dyDescent="0.3">
      <c r="B12001" s="16301"/>
      <c r="QSK12001" s="11928"/>
    </row>
    <row r="12002" spans="2:2 11997:12012" x14ac:dyDescent="0.3">
      <c r="B12002" s="16301"/>
      <c r="QSL12002" s="11929"/>
    </row>
    <row r="12003" spans="2:2 11997:12012" x14ac:dyDescent="0.3">
      <c r="B12003" s="16301"/>
      <c r="QSM12003" s="11930"/>
    </row>
    <row r="12004" spans="2:2 11997:12012" x14ac:dyDescent="0.3">
      <c r="B12004" s="16301"/>
      <c r="QSN12004" s="11931"/>
    </row>
    <row r="12005" spans="2:2 11997:12012" x14ac:dyDescent="0.3">
      <c r="B12005" s="16301"/>
      <c r="QSO12005" s="11932"/>
    </row>
    <row r="12006" spans="2:2 11997:12012" x14ac:dyDescent="0.3">
      <c r="B12006" s="16301"/>
      <c r="QSP12006" s="11933"/>
    </row>
    <row r="12007" spans="2:2 11997:12012" x14ac:dyDescent="0.3">
      <c r="B12007" s="16301"/>
      <c r="QSQ12007" s="11934"/>
    </row>
    <row r="12008" spans="2:2 11997:12012" x14ac:dyDescent="0.3">
      <c r="B12008" s="16301"/>
      <c r="QSR12008" s="11935"/>
    </row>
    <row r="12009" spans="2:2 11997:12012" x14ac:dyDescent="0.3">
      <c r="B12009" s="16301"/>
      <c r="QSS12009" s="11936"/>
    </row>
    <row r="12010" spans="2:2 11997:12012" x14ac:dyDescent="0.3">
      <c r="B12010" s="16301"/>
      <c r="QST12010" s="11937"/>
    </row>
    <row r="12011" spans="2:2 11997:12012" x14ac:dyDescent="0.3">
      <c r="B12011" s="16301"/>
      <c r="QSU12011" s="11938"/>
    </row>
    <row r="12012" spans="2:2 11997:12012" x14ac:dyDescent="0.3">
      <c r="B12012" s="16301"/>
      <c r="QSV12012" s="11939"/>
    </row>
    <row r="12013" spans="2:2 11997:12012" x14ac:dyDescent="0.3">
      <c r="B12013" s="16301"/>
      <c r="QSW12013" s="11940"/>
    </row>
    <row r="12014" spans="2:2 11997:12012" x14ac:dyDescent="0.3">
      <c r="B12014" s="16301"/>
      <c r="QSX12014" s="11941"/>
    </row>
    <row r="12015" spans="2:2 11997:12012" x14ac:dyDescent="0.3">
      <c r="B12015" s="16301"/>
      <c r="QSY12015" s="11942"/>
    </row>
    <row r="12016" spans="2:2 11997:12012" x14ac:dyDescent="0.3">
      <c r="B12016" s="16301"/>
      <c r="QSZ12016" s="11943"/>
    </row>
    <row r="12017" spans="2:2 12013:12028" x14ac:dyDescent="0.3">
      <c r="B12017" s="16301"/>
      <c r="QTA12017" s="11944"/>
    </row>
    <row r="12018" spans="2:2 12013:12028" x14ac:dyDescent="0.3">
      <c r="B12018" s="16301"/>
      <c r="QTB12018" s="11945"/>
    </row>
    <row r="12019" spans="2:2 12013:12028" x14ac:dyDescent="0.3">
      <c r="B12019" s="16301"/>
      <c r="QTC12019" s="11946"/>
    </row>
    <row r="12020" spans="2:2 12013:12028" x14ac:dyDescent="0.3">
      <c r="B12020" s="16301"/>
      <c r="QTD12020" s="11947"/>
    </row>
    <row r="12021" spans="2:2 12013:12028" x14ac:dyDescent="0.3">
      <c r="B12021" s="16301"/>
      <c r="QTE12021" s="11948"/>
    </row>
    <row r="12022" spans="2:2 12013:12028" x14ac:dyDescent="0.3">
      <c r="B12022" s="16301"/>
      <c r="QTF12022" s="11949"/>
    </row>
    <row r="12023" spans="2:2 12013:12028" x14ac:dyDescent="0.3">
      <c r="B12023" s="16301"/>
      <c r="QTG12023" s="11950"/>
    </row>
    <row r="12024" spans="2:2 12013:12028" x14ac:dyDescent="0.3">
      <c r="B12024" s="16301"/>
      <c r="QTH12024" s="11951"/>
    </row>
    <row r="12025" spans="2:2 12013:12028" x14ac:dyDescent="0.3">
      <c r="B12025" s="16301"/>
      <c r="QTI12025" s="11952"/>
    </row>
    <row r="12026" spans="2:2 12013:12028" x14ac:dyDescent="0.3">
      <c r="B12026" s="16301"/>
      <c r="QTJ12026" s="11953"/>
    </row>
    <row r="12027" spans="2:2 12013:12028" x14ac:dyDescent="0.3">
      <c r="B12027" s="16301"/>
      <c r="QTK12027" s="11954"/>
    </row>
    <row r="12028" spans="2:2 12013:12028" x14ac:dyDescent="0.3">
      <c r="B12028" s="16301"/>
      <c r="QTL12028" s="11955"/>
    </row>
    <row r="12029" spans="2:2 12013:12028" x14ac:dyDescent="0.3">
      <c r="B12029" s="16301"/>
      <c r="QTM12029" s="11956"/>
    </row>
    <row r="12030" spans="2:2 12013:12028" x14ac:dyDescent="0.3">
      <c r="B12030" s="16301"/>
      <c r="QTN12030" s="11957"/>
    </row>
    <row r="12031" spans="2:2 12013:12028" x14ac:dyDescent="0.3">
      <c r="B12031" s="16301"/>
      <c r="QTO12031" s="11958"/>
    </row>
    <row r="12032" spans="2:2 12013:12028" x14ac:dyDescent="0.3">
      <c r="B12032" s="16301"/>
      <c r="QTP12032" s="11959"/>
    </row>
    <row r="12033" spans="2:2 12029:12044" x14ac:dyDescent="0.3">
      <c r="B12033" s="16301"/>
      <c r="QTQ12033" s="11960"/>
    </row>
    <row r="12034" spans="2:2 12029:12044" x14ac:dyDescent="0.3">
      <c r="B12034" s="16301"/>
      <c r="QTR12034" s="11961"/>
    </row>
    <row r="12035" spans="2:2 12029:12044" x14ac:dyDescent="0.3">
      <c r="B12035" s="16301"/>
      <c r="QTS12035" s="11962"/>
    </row>
    <row r="12036" spans="2:2 12029:12044" x14ac:dyDescent="0.3">
      <c r="B12036" s="16301"/>
      <c r="QTT12036" s="11963"/>
    </row>
    <row r="12037" spans="2:2 12029:12044" x14ac:dyDescent="0.3">
      <c r="B12037" s="16301"/>
      <c r="QTU12037" s="11964"/>
    </row>
    <row r="12038" spans="2:2 12029:12044" x14ac:dyDescent="0.3">
      <c r="B12038" s="16301"/>
      <c r="QTV12038" s="11965"/>
    </row>
    <row r="12039" spans="2:2 12029:12044" x14ac:dyDescent="0.3">
      <c r="B12039" s="16301"/>
      <c r="QTW12039" s="11966"/>
    </row>
    <row r="12040" spans="2:2 12029:12044" x14ac:dyDescent="0.3">
      <c r="B12040" s="16301"/>
      <c r="QTX12040" s="11967"/>
    </row>
    <row r="12041" spans="2:2 12029:12044" x14ac:dyDescent="0.3">
      <c r="B12041" s="16301"/>
      <c r="QTY12041" s="11968"/>
    </row>
    <row r="12042" spans="2:2 12029:12044" x14ac:dyDescent="0.3">
      <c r="B12042" s="16301"/>
      <c r="QTZ12042" s="11969"/>
    </row>
    <row r="12043" spans="2:2 12029:12044" x14ac:dyDescent="0.3">
      <c r="B12043" s="16301"/>
      <c r="QUA12043" s="11970"/>
    </row>
    <row r="12044" spans="2:2 12029:12044" x14ac:dyDescent="0.3">
      <c r="B12044" s="16301"/>
      <c r="QUB12044" s="11971"/>
    </row>
    <row r="12045" spans="2:2 12029:12044" x14ac:dyDescent="0.3">
      <c r="B12045" s="16301"/>
      <c r="QUC12045" s="11972"/>
    </row>
    <row r="12046" spans="2:2 12029:12044" x14ac:dyDescent="0.3">
      <c r="B12046" s="16301"/>
      <c r="QUD12046" s="11973"/>
    </row>
    <row r="12047" spans="2:2 12029:12044" x14ac:dyDescent="0.3">
      <c r="B12047" s="16301"/>
      <c r="QUE12047" s="11974"/>
    </row>
    <row r="12048" spans="2:2 12029:12044" x14ac:dyDescent="0.3">
      <c r="B12048" s="16301"/>
      <c r="QUF12048" s="11975"/>
    </row>
    <row r="12049" spans="2:2 12045:12060" x14ac:dyDescent="0.3">
      <c r="B12049" s="16301"/>
      <c r="QUG12049" s="11976"/>
    </row>
    <row r="12050" spans="2:2 12045:12060" x14ac:dyDescent="0.3">
      <c r="B12050" s="16301"/>
      <c r="QUH12050" s="11977"/>
    </row>
    <row r="12051" spans="2:2 12045:12060" x14ac:dyDescent="0.3">
      <c r="B12051" s="16301"/>
      <c r="QUI12051" s="11978"/>
    </row>
    <row r="12052" spans="2:2 12045:12060" x14ac:dyDescent="0.3">
      <c r="B12052" s="16301"/>
      <c r="QUJ12052" s="11979"/>
    </row>
    <row r="12053" spans="2:2 12045:12060" x14ac:dyDescent="0.3">
      <c r="B12053" s="16301"/>
      <c r="QUK12053" s="11980"/>
    </row>
    <row r="12054" spans="2:2 12045:12060" x14ac:dyDescent="0.3">
      <c r="B12054" s="16301"/>
      <c r="QUL12054" s="11981"/>
    </row>
    <row r="12055" spans="2:2 12045:12060" x14ac:dyDescent="0.3">
      <c r="B12055" s="16301"/>
      <c r="QUM12055" s="11982"/>
    </row>
    <row r="12056" spans="2:2 12045:12060" x14ac:dyDescent="0.3">
      <c r="B12056" s="16301"/>
      <c r="QUN12056" s="11983"/>
    </row>
    <row r="12057" spans="2:2 12045:12060" x14ac:dyDescent="0.3">
      <c r="B12057" s="16301"/>
      <c r="QUO12057" s="11984"/>
    </row>
    <row r="12058" spans="2:2 12045:12060" x14ac:dyDescent="0.3">
      <c r="B12058" s="16301"/>
      <c r="QUP12058" s="11985"/>
    </row>
    <row r="12059" spans="2:2 12045:12060" x14ac:dyDescent="0.3">
      <c r="B12059" s="16301"/>
      <c r="QUQ12059" s="11986"/>
    </row>
    <row r="12060" spans="2:2 12045:12060" x14ac:dyDescent="0.3">
      <c r="B12060" s="16301"/>
      <c r="QUR12060" s="11987"/>
    </row>
    <row r="12061" spans="2:2 12045:12060" x14ac:dyDescent="0.3">
      <c r="B12061" s="16301"/>
      <c r="QUS12061" s="11988"/>
    </row>
    <row r="12062" spans="2:2 12045:12060" x14ac:dyDescent="0.3">
      <c r="B12062" s="16301"/>
      <c r="QUT12062" s="11989"/>
    </row>
    <row r="12063" spans="2:2 12045:12060" x14ac:dyDescent="0.3">
      <c r="B12063" s="16301"/>
      <c r="QUU12063" s="11990"/>
    </row>
    <row r="12064" spans="2:2 12045:12060" x14ac:dyDescent="0.3">
      <c r="B12064" s="16301"/>
      <c r="QUV12064" s="11991"/>
    </row>
    <row r="12065" spans="2:2 12061:12076" x14ac:dyDescent="0.3">
      <c r="B12065" s="16301"/>
      <c r="QUW12065" s="11992"/>
    </row>
    <row r="12066" spans="2:2 12061:12076" x14ac:dyDescent="0.3">
      <c r="B12066" s="16301"/>
      <c r="QUX12066" s="11993"/>
    </row>
    <row r="12067" spans="2:2 12061:12076" x14ac:dyDescent="0.3">
      <c r="B12067" s="16301"/>
      <c r="QUY12067" s="11994"/>
    </row>
    <row r="12068" spans="2:2 12061:12076" x14ac:dyDescent="0.3">
      <c r="B12068" s="16301"/>
      <c r="QUZ12068" s="11995"/>
    </row>
    <row r="12069" spans="2:2 12061:12076" x14ac:dyDescent="0.3">
      <c r="B12069" s="16301"/>
      <c r="QVA12069" s="11996"/>
    </row>
    <row r="12070" spans="2:2 12061:12076" x14ac:dyDescent="0.3">
      <c r="B12070" s="16301"/>
      <c r="QVB12070" s="11997"/>
    </row>
    <row r="12071" spans="2:2 12061:12076" x14ac:dyDescent="0.3">
      <c r="B12071" s="16301"/>
      <c r="QVC12071" s="11998"/>
    </row>
    <row r="12072" spans="2:2 12061:12076" x14ac:dyDescent="0.3">
      <c r="B12072" s="16301"/>
      <c r="QVD12072" s="11999"/>
    </row>
    <row r="12073" spans="2:2 12061:12076" x14ac:dyDescent="0.3">
      <c r="B12073" s="16301"/>
      <c r="QVE12073" s="12000"/>
    </row>
    <row r="12074" spans="2:2 12061:12076" x14ac:dyDescent="0.3">
      <c r="B12074" s="16301"/>
      <c r="QVF12074" s="12001"/>
    </row>
    <row r="12075" spans="2:2 12061:12076" x14ac:dyDescent="0.3">
      <c r="B12075" s="16301"/>
      <c r="QVG12075" s="12002"/>
    </row>
    <row r="12076" spans="2:2 12061:12076" x14ac:dyDescent="0.3">
      <c r="B12076" s="16301"/>
      <c r="QVH12076" s="12003"/>
    </row>
    <row r="12077" spans="2:2 12061:12076" x14ac:dyDescent="0.3">
      <c r="B12077" s="16301"/>
      <c r="QVI12077" s="12004"/>
    </row>
    <row r="12078" spans="2:2 12061:12076" x14ac:dyDescent="0.3">
      <c r="B12078" s="16301"/>
      <c r="QVJ12078" s="12005"/>
    </row>
    <row r="12079" spans="2:2 12061:12076" x14ac:dyDescent="0.3">
      <c r="B12079" s="16301"/>
      <c r="QVK12079" s="12006"/>
    </row>
    <row r="12080" spans="2:2 12061:12076" x14ac:dyDescent="0.3">
      <c r="B12080" s="16301"/>
      <c r="QVL12080" s="12007"/>
    </row>
    <row r="12081" spans="2:2 12077:12092" x14ac:dyDescent="0.3">
      <c r="B12081" s="16301"/>
      <c r="QVM12081" s="12008"/>
    </row>
    <row r="12082" spans="2:2 12077:12092" x14ac:dyDescent="0.3">
      <c r="B12082" s="16301"/>
      <c r="QVN12082" s="12009"/>
    </row>
    <row r="12083" spans="2:2 12077:12092" x14ac:dyDescent="0.3">
      <c r="B12083" s="16301"/>
      <c r="QVO12083" s="12010"/>
    </row>
    <row r="12084" spans="2:2 12077:12092" x14ac:dyDescent="0.3">
      <c r="B12084" s="16301"/>
      <c r="QVP12084" s="12011"/>
    </row>
    <row r="12085" spans="2:2 12077:12092" x14ac:dyDescent="0.3">
      <c r="B12085" s="16301"/>
      <c r="QVQ12085" s="12011"/>
    </row>
    <row r="12086" spans="2:2 12077:12092" x14ac:dyDescent="0.3">
      <c r="B12086" s="16301"/>
      <c r="QVR12086" s="12012"/>
    </row>
    <row r="12087" spans="2:2 12077:12092" x14ac:dyDescent="0.3">
      <c r="B12087" s="16301"/>
      <c r="QVS12087" s="12013"/>
    </row>
    <row r="12088" spans="2:2 12077:12092" x14ac:dyDescent="0.3">
      <c r="B12088" s="16301"/>
      <c r="QVT12088" s="12014"/>
    </row>
    <row r="12089" spans="2:2 12077:12092" x14ac:dyDescent="0.3">
      <c r="B12089" s="16301"/>
      <c r="QVU12089" s="12015"/>
    </row>
    <row r="12090" spans="2:2 12077:12092" x14ac:dyDescent="0.3">
      <c r="B12090" s="16301"/>
      <c r="QVV12090" s="12016"/>
    </row>
    <row r="12091" spans="2:2 12077:12092" x14ac:dyDescent="0.3">
      <c r="B12091" s="16301"/>
      <c r="QVW12091" s="12017"/>
    </row>
    <row r="12092" spans="2:2 12077:12092" x14ac:dyDescent="0.3">
      <c r="B12092" s="16301"/>
      <c r="QVX12092" s="12018"/>
    </row>
    <row r="12093" spans="2:2 12077:12092" x14ac:dyDescent="0.3">
      <c r="B12093" s="16301"/>
      <c r="QVY12093" s="12019"/>
    </row>
    <row r="12094" spans="2:2 12077:12092" x14ac:dyDescent="0.3">
      <c r="B12094" s="16301"/>
      <c r="QVZ12094" s="12020"/>
    </row>
    <row r="12095" spans="2:2 12077:12092" x14ac:dyDescent="0.3">
      <c r="B12095" s="16301"/>
      <c r="QWA12095" s="12021"/>
    </row>
    <row r="12096" spans="2:2 12077:12092" x14ac:dyDescent="0.3">
      <c r="B12096" s="16301"/>
      <c r="QWB12096" s="12022"/>
    </row>
    <row r="12097" spans="2:2 12093:12108" x14ac:dyDescent="0.3">
      <c r="B12097" s="16301"/>
      <c r="QWC12097" s="12023"/>
    </row>
    <row r="12098" spans="2:2 12093:12108" x14ac:dyDescent="0.3">
      <c r="B12098" s="16301"/>
      <c r="QWD12098" s="12024"/>
    </row>
    <row r="12099" spans="2:2 12093:12108" x14ac:dyDescent="0.3">
      <c r="B12099" s="16301"/>
      <c r="QWE12099" s="12025"/>
    </row>
    <row r="12100" spans="2:2 12093:12108" x14ac:dyDescent="0.3">
      <c r="B12100" s="16301"/>
      <c r="QWF12100" s="12026"/>
    </row>
    <row r="12101" spans="2:2 12093:12108" x14ac:dyDescent="0.3">
      <c r="B12101" s="16301"/>
      <c r="QWG12101" s="12027"/>
    </row>
    <row r="12102" spans="2:2 12093:12108" x14ac:dyDescent="0.3">
      <c r="B12102" s="16301"/>
      <c r="QWH12102" s="12028"/>
    </row>
    <row r="12103" spans="2:2 12093:12108" x14ac:dyDescent="0.3">
      <c r="B12103" s="16301"/>
      <c r="QWI12103" s="12029"/>
    </row>
    <row r="12104" spans="2:2 12093:12108" x14ac:dyDescent="0.3">
      <c r="B12104" s="16301"/>
      <c r="QWJ12104" s="12030"/>
    </row>
    <row r="12105" spans="2:2 12093:12108" x14ac:dyDescent="0.3">
      <c r="B12105" s="16301"/>
      <c r="QWK12105" s="12031"/>
    </row>
    <row r="12106" spans="2:2 12093:12108" x14ac:dyDescent="0.3">
      <c r="B12106" s="16301"/>
      <c r="QWL12106" s="12032"/>
    </row>
    <row r="12107" spans="2:2 12093:12108" x14ac:dyDescent="0.3">
      <c r="B12107" s="16301"/>
      <c r="QWM12107" s="12033"/>
    </row>
    <row r="12108" spans="2:2 12093:12108" x14ac:dyDescent="0.3">
      <c r="B12108" s="16301"/>
      <c r="QWN12108" s="12034"/>
    </row>
    <row r="12109" spans="2:2 12093:12108" x14ac:dyDescent="0.3">
      <c r="B12109" s="16301"/>
      <c r="QWO12109" s="12035"/>
    </row>
    <row r="12110" spans="2:2 12093:12108" x14ac:dyDescent="0.3">
      <c r="B12110" s="16301"/>
      <c r="QWP12110" s="12036"/>
    </row>
    <row r="12111" spans="2:2 12093:12108" x14ac:dyDescent="0.3">
      <c r="B12111" s="16301"/>
      <c r="QWQ12111" s="12037"/>
    </row>
    <row r="12112" spans="2:2 12093:12108" x14ac:dyDescent="0.3">
      <c r="B12112" s="16301"/>
      <c r="QWR12112" s="12038"/>
    </row>
    <row r="12113" spans="2:2 12109:12124" x14ac:dyDescent="0.3">
      <c r="B12113" s="16301"/>
      <c r="QWS12113" s="12039"/>
    </row>
    <row r="12114" spans="2:2 12109:12124" x14ac:dyDescent="0.3">
      <c r="B12114" s="16301"/>
      <c r="QWT12114" s="12040"/>
    </row>
    <row r="12115" spans="2:2 12109:12124" x14ac:dyDescent="0.3">
      <c r="B12115" s="16301"/>
      <c r="QWU12115" s="12041"/>
    </row>
    <row r="12116" spans="2:2 12109:12124" x14ac:dyDescent="0.3">
      <c r="B12116" s="16301"/>
      <c r="QWV12116" s="12042"/>
    </row>
    <row r="12117" spans="2:2 12109:12124" x14ac:dyDescent="0.3">
      <c r="B12117" s="16301"/>
      <c r="QWW12117" s="12043"/>
    </row>
    <row r="12118" spans="2:2 12109:12124" x14ac:dyDescent="0.3">
      <c r="B12118" s="16301"/>
      <c r="QWX12118" s="12044"/>
    </row>
    <row r="12119" spans="2:2 12109:12124" x14ac:dyDescent="0.3">
      <c r="B12119" s="16301"/>
      <c r="QWY12119" s="12045"/>
    </row>
    <row r="12120" spans="2:2 12109:12124" x14ac:dyDescent="0.3">
      <c r="B12120" s="16301"/>
      <c r="QWZ12120" s="12046"/>
    </row>
    <row r="12121" spans="2:2 12109:12124" x14ac:dyDescent="0.3">
      <c r="B12121" s="16301"/>
      <c r="QXA12121" s="12047"/>
    </row>
    <row r="12122" spans="2:2 12109:12124" x14ac:dyDescent="0.3">
      <c r="B12122" s="16301"/>
      <c r="QXB12122" s="12048"/>
    </row>
    <row r="12123" spans="2:2 12109:12124" x14ac:dyDescent="0.3">
      <c r="B12123" s="16301"/>
      <c r="QXC12123" s="12049"/>
    </row>
    <row r="12124" spans="2:2 12109:12124" x14ac:dyDescent="0.3">
      <c r="B12124" s="16301"/>
      <c r="QXD12124" s="12050"/>
    </row>
    <row r="12125" spans="2:2 12109:12124" x14ac:dyDescent="0.3">
      <c r="B12125" s="16301"/>
      <c r="QXE12125" s="12051"/>
    </row>
    <row r="12126" spans="2:2 12109:12124" x14ac:dyDescent="0.3">
      <c r="B12126" s="16301"/>
      <c r="QXF12126" s="12052"/>
    </row>
    <row r="12127" spans="2:2 12109:12124" x14ac:dyDescent="0.3">
      <c r="B12127" s="16301"/>
      <c r="QXG12127" s="12053"/>
    </row>
    <row r="12128" spans="2:2 12109:12124" x14ac:dyDescent="0.3">
      <c r="B12128" s="16301"/>
      <c r="QXH12128" s="12054"/>
    </row>
    <row r="12129" spans="2:2 12125:12140" x14ac:dyDescent="0.3">
      <c r="B12129" s="16301"/>
      <c r="QXI12129" s="12055"/>
    </row>
    <row r="12130" spans="2:2 12125:12140" x14ac:dyDescent="0.3">
      <c r="B12130" s="16301"/>
      <c r="QXJ12130" s="12056"/>
    </row>
    <row r="12131" spans="2:2 12125:12140" x14ac:dyDescent="0.3">
      <c r="B12131" s="16301"/>
      <c r="QXK12131" s="12057"/>
    </row>
    <row r="12132" spans="2:2 12125:12140" x14ac:dyDescent="0.3">
      <c r="B12132" s="16301"/>
      <c r="QXL12132" s="12058"/>
    </row>
    <row r="12133" spans="2:2 12125:12140" x14ac:dyDescent="0.3">
      <c r="B12133" s="16301"/>
      <c r="QXM12133" s="12059"/>
    </row>
    <row r="12134" spans="2:2 12125:12140" x14ac:dyDescent="0.3">
      <c r="B12134" s="16301"/>
      <c r="QXN12134" s="12060"/>
    </row>
    <row r="12135" spans="2:2 12125:12140" x14ac:dyDescent="0.3">
      <c r="B12135" s="16301"/>
      <c r="QXO12135" s="12061"/>
    </row>
    <row r="12136" spans="2:2 12125:12140" x14ac:dyDescent="0.3">
      <c r="B12136" s="16301"/>
      <c r="QXP12136" s="12062"/>
    </row>
    <row r="12137" spans="2:2 12125:12140" x14ac:dyDescent="0.3">
      <c r="B12137" s="16301"/>
      <c r="QXQ12137" s="12063"/>
    </row>
    <row r="12138" spans="2:2 12125:12140" x14ac:dyDescent="0.3">
      <c r="B12138" s="16301"/>
      <c r="QXR12138" s="12064"/>
    </row>
    <row r="12139" spans="2:2 12125:12140" x14ac:dyDescent="0.3">
      <c r="B12139" s="16301"/>
      <c r="QXS12139" s="12065"/>
    </row>
    <row r="12140" spans="2:2 12125:12140" x14ac:dyDescent="0.3">
      <c r="B12140" s="16301"/>
      <c r="QXT12140" s="12066"/>
    </row>
    <row r="12141" spans="2:2 12125:12140" x14ac:dyDescent="0.3">
      <c r="B12141" s="16301"/>
      <c r="QXU12141" s="12067"/>
    </row>
    <row r="12142" spans="2:2 12125:12140" x14ac:dyDescent="0.3">
      <c r="B12142" s="16301"/>
      <c r="QXV12142" s="12068"/>
    </row>
    <row r="12143" spans="2:2 12125:12140" x14ac:dyDescent="0.3">
      <c r="B12143" s="16301"/>
      <c r="QXW12143" s="12069"/>
    </row>
    <row r="12144" spans="2:2 12125:12140" x14ac:dyDescent="0.3">
      <c r="B12144" s="16301"/>
      <c r="QXX12144" s="12070"/>
    </row>
    <row r="12145" spans="2:2 12141:12156" x14ac:dyDescent="0.3">
      <c r="B12145" s="16301"/>
      <c r="QXY12145" s="12071"/>
    </row>
    <row r="12146" spans="2:2 12141:12156" x14ac:dyDescent="0.3">
      <c r="B12146" s="16301"/>
      <c r="QXZ12146" s="12072"/>
    </row>
    <row r="12147" spans="2:2 12141:12156" x14ac:dyDescent="0.3">
      <c r="B12147" s="16301"/>
      <c r="QYA12147" s="12073"/>
    </row>
    <row r="12148" spans="2:2 12141:12156" x14ac:dyDescent="0.3">
      <c r="B12148" s="16301"/>
      <c r="QYB12148" s="12074"/>
    </row>
    <row r="12149" spans="2:2 12141:12156" x14ac:dyDescent="0.3">
      <c r="B12149" s="16301"/>
      <c r="QYC12149" s="12075"/>
    </row>
    <row r="12150" spans="2:2 12141:12156" x14ac:dyDescent="0.3">
      <c r="B12150" s="16301"/>
      <c r="QYD12150" s="12076"/>
    </row>
    <row r="12151" spans="2:2 12141:12156" x14ac:dyDescent="0.3">
      <c r="B12151" s="16301"/>
      <c r="QYE12151" s="12077"/>
    </row>
    <row r="12152" spans="2:2 12141:12156" x14ac:dyDescent="0.3">
      <c r="B12152" s="16301"/>
      <c r="QYF12152" s="12078"/>
    </row>
    <row r="12153" spans="2:2 12141:12156" x14ac:dyDescent="0.3">
      <c r="B12153" s="16301"/>
      <c r="QYG12153" s="12079"/>
    </row>
    <row r="12154" spans="2:2 12141:12156" x14ac:dyDescent="0.3">
      <c r="B12154" s="16301"/>
      <c r="QYH12154" s="12080"/>
    </row>
    <row r="12155" spans="2:2 12141:12156" x14ac:dyDescent="0.3">
      <c r="B12155" s="16301"/>
      <c r="QYI12155" s="12081"/>
    </row>
    <row r="12156" spans="2:2 12141:12156" x14ac:dyDescent="0.3">
      <c r="B12156" s="16301"/>
      <c r="QYJ12156" s="12082"/>
    </row>
    <row r="12157" spans="2:2 12141:12156" x14ac:dyDescent="0.3">
      <c r="B12157" s="16301"/>
      <c r="QYK12157" s="12083"/>
    </row>
    <row r="12158" spans="2:2 12141:12156" x14ac:dyDescent="0.3">
      <c r="B12158" s="16301"/>
      <c r="QYL12158" s="12084"/>
    </row>
    <row r="12159" spans="2:2 12141:12156" x14ac:dyDescent="0.3">
      <c r="B12159" s="16301"/>
      <c r="QYM12159" s="12085"/>
    </row>
    <row r="12160" spans="2:2 12141:12156" x14ac:dyDescent="0.3">
      <c r="B12160" s="16301"/>
      <c r="QYN12160" s="12086"/>
    </row>
    <row r="12161" spans="2:2 12157:12172" x14ac:dyDescent="0.3">
      <c r="B12161" s="16301"/>
      <c r="QYO12161" s="12087"/>
    </row>
    <row r="12162" spans="2:2 12157:12172" x14ac:dyDescent="0.3">
      <c r="B12162" s="16301"/>
      <c r="QYP12162" s="12088"/>
    </row>
    <row r="12163" spans="2:2 12157:12172" x14ac:dyDescent="0.3">
      <c r="B12163" s="16301"/>
      <c r="QYQ12163" s="12089"/>
    </row>
    <row r="12164" spans="2:2 12157:12172" x14ac:dyDescent="0.3">
      <c r="B12164" s="16301"/>
      <c r="QYR12164" s="12090"/>
    </row>
    <row r="12165" spans="2:2 12157:12172" x14ac:dyDescent="0.3">
      <c r="B12165" s="16301"/>
      <c r="QYS12165" s="12091"/>
    </row>
    <row r="12166" spans="2:2 12157:12172" x14ac:dyDescent="0.3">
      <c r="B12166" s="16301"/>
      <c r="QYT12166" s="12092"/>
    </row>
    <row r="12167" spans="2:2 12157:12172" x14ac:dyDescent="0.3">
      <c r="B12167" s="16301"/>
      <c r="QYU12167" s="12093"/>
    </row>
    <row r="12168" spans="2:2 12157:12172" x14ac:dyDescent="0.3">
      <c r="B12168" s="16301"/>
      <c r="QYV12168" s="12094"/>
    </row>
    <row r="12169" spans="2:2 12157:12172" x14ac:dyDescent="0.3">
      <c r="B12169" s="16301"/>
      <c r="QYW12169" s="12095"/>
    </row>
    <row r="12170" spans="2:2 12157:12172" x14ac:dyDescent="0.3">
      <c r="B12170" s="16301"/>
      <c r="QYX12170" s="12096"/>
    </row>
    <row r="12171" spans="2:2 12157:12172" x14ac:dyDescent="0.3">
      <c r="B12171" s="16301"/>
      <c r="QYY12171" s="12097"/>
    </row>
    <row r="12172" spans="2:2 12157:12172" x14ac:dyDescent="0.3">
      <c r="B12172" s="16301"/>
      <c r="QYZ12172" s="12098"/>
    </row>
    <row r="12173" spans="2:2 12157:12172" x14ac:dyDescent="0.3">
      <c r="B12173" s="16301"/>
      <c r="QZA12173" s="12099"/>
    </row>
    <row r="12174" spans="2:2 12157:12172" x14ac:dyDescent="0.3">
      <c r="B12174" s="16301"/>
      <c r="QZB12174" s="12100"/>
    </row>
    <row r="12175" spans="2:2 12157:12172" x14ac:dyDescent="0.3">
      <c r="B12175" s="16301"/>
      <c r="QZC12175" s="12101"/>
    </row>
    <row r="12176" spans="2:2 12157:12172" x14ac:dyDescent="0.3">
      <c r="B12176" s="16301"/>
      <c r="QZD12176" s="12102"/>
    </row>
    <row r="12177" spans="2:2 12173:12188" x14ac:dyDescent="0.3">
      <c r="B12177" s="16301"/>
      <c r="QZE12177" s="12103"/>
    </row>
    <row r="12178" spans="2:2 12173:12188" x14ac:dyDescent="0.3">
      <c r="B12178" s="16301"/>
      <c r="QZF12178" s="12104"/>
    </row>
    <row r="12179" spans="2:2 12173:12188" x14ac:dyDescent="0.3">
      <c r="B12179" s="16301"/>
      <c r="QZG12179" s="12105"/>
    </row>
    <row r="12180" spans="2:2 12173:12188" x14ac:dyDescent="0.3">
      <c r="B12180" s="16301"/>
      <c r="QZH12180" s="12106"/>
    </row>
    <row r="12181" spans="2:2 12173:12188" x14ac:dyDescent="0.3">
      <c r="B12181" s="16301"/>
      <c r="QZI12181" s="12107"/>
    </row>
    <row r="12182" spans="2:2 12173:12188" x14ac:dyDescent="0.3">
      <c r="B12182" s="16301"/>
      <c r="QZJ12182" s="12108"/>
    </row>
    <row r="12183" spans="2:2 12173:12188" x14ac:dyDescent="0.3">
      <c r="B12183" s="16301"/>
      <c r="QZK12183" s="12109"/>
    </row>
    <row r="12184" spans="2:2 12173:12188" x14ac:dyDescent="0.3">
      <c r="B12184" s="16301"/>
      <c r="QZL12184" s="12110"/>
    </row>
    <row r="12185" spans="2:2 12173:12188" x14ac:dyDescent="0.3">
      <c r="B12185" s="16301"/>
      <c r="QZM12185" s="12111"/>
    </row>
    <row r="12186" spans="2:2 12173:12188" x14ac:dyDescent="0.3">
      <c r="B12186" s="16301"/>
      <c r="QZN12186" s="12112"/>
    </row>
    <row r="12187" spans="2:2 12173:12188" x14ac:dyDescent="0.3">
      <c r="B12187" s="16301"/>
      <c r="QZO12187" s="12113"/>
    </row>
    <row r="12188" spans="2:2 12173:12188" x14ac:dyDescent="0.3">
      <c r="B12188" s="16301"/>
      <c r="QZP12188" s="12114"/>
    </row>
    <row r="12189" spans="2:2 12173:12188" x14ac:dyDescent="0.3">
      <c r="B12189" s="16301"/>
      <c r="QZQ12189" s="12115"/>
    </row>
    <row r="12190" spans="2:2 12173:12188" x14ac:dyDescent="0.3">
      <c r="B12190" s="16301"/>
      <c r="QZR12190" s="12116"/>
    </row>
    <row r="12191" spans="2:2 12173:12188" x14ac:dyDescent="0.3">
      <c r="B12191" s="16301"/>
      <c r="QZS12191" s="12117"/>
    </row>
    <row r="12192" spans="2:2 12173:12188" x14ac:dyDescent="0.3">
      <c r="B12192" s="16301"/>
      <c r="QZT12192" s="12118"/>
    </row>
    <row r="12193" spans="2:2 12189:12204" x14ac:dyDescent="0.3">
      <c r="B12193" s="16301"/>
      <c r="QZU12193" s="12119"/>
    </row>
    <row r="12194" spans="2:2 12189:12204" x14ac:dyDescent="0.3">
      <c r="B12194" s="16301"/>
      <c r="QZV12194" s="12120"/>
    </row>
    <row r="12195" spans="2:2 12189:12204" x14ac:dyDescent="0.3">
      <c r="B12195" s="16301"/>
      <c r="QZW12195" s="12121"/>
    </row>
    <row r="12196" spans="2:2 12189:12204" x14ac:dyDescent="0.3">
      <c r="B12196" s="16301"/>
      <c r="QZX12196" s="12122"/>
    </row>
    <row r="12197" spans="2:2 12189:12204" x14ac:dyDescent="0.3">
      <c r="B12197" s="16301"/>
      <c r="QZY12197" s="12123"/>
    </row>
    <row r="12198" spans="2:2 12189:12204" x14ac:dyDescent="0.3">
      <c r="B12198" s="16301"/>
      <c r="QZZ12198" s="12124"/>
    </row>
    <row r="12199" spans="2:2 12189:12204" x14ac:dyDescent="0.3">
      <c r="B12199" s="16301"/>
      <c r="RAA12199" s="12125"/>
    </row>
    <row r="12200" spans="2:2 12189:12204" x14ac:dyDescent="0.3">
      <c r="B12200" s="16301"/>
      <c r="RAB12200" s="12126"/>
    </row>
    <row r="12201" spans="2:2 12189:12204" x14ac:dyDescent="0.3">
      <c r="B12201" s="16301"/>
      <c r="RAC12201" s="12127"/>
    </row>
    <row r="12202" spans="2:2 12189:12204" x14ac:dyDescent="0.3">
      <c r="B12202" s="16301"/>
      <c r="RAD12202" s="12128"/>
    </row>
    <row r="12203" spans="2:2 12189:12204" x14ac:dyDescent="0.3">
      <c r="B12203" s="16301"/>
      <c r="RAE12203" s="12129"/>
    </row>
    <row r="12204" spans="2:2 12189:12204" x14ac:dyDescent="0.3">
      <c r="B12204" s="16301"/>
      <c r="RAF12204" s="12130"/>
    </row>
    <row r="12205" spans="2:2 12189:12204" x14ac:dyDescent="0.3">
      <c r="B12205" s="16301"/>
      <c r="RAG12205" s="12131"/>
    </row>
    <row r="12206" spans="2:2 12189:12204" x14ac:dyDescent="0.3">
      <c r="B12206" s="16301"/>
      <c r="RAH12206" s="12132"/>
    </row>
    <row r="12207" spans="2:2 12189:12204" x14ac:dyDescent="0.3">
      <c r="B12207" s="16301"/>
      <c r="RAI12207" s="12133"/>
    </row>
    <row r="12208" spans="2:2 12189:12204" x14ac:dyDescent="0.3">
      <c r="B12208" s="16301"/>
      <c r="RAJ12208" s="12134"/>
    </row>
    <row r="12209" spans="2:2 12205:12220" x14ac:dyDescent="0.3">
      <c r="B12209" s="16301"/>
      <c r="RAK12209" s="12135"/>
    </row>
    <row r="12210" spans="2:2 12205:12220" x14ac:dyDescent="0.3">
      <c r="B12210" s="16301"/>
      <c r="RAL12210" s="12136"/>
    </row>
    <row r="12211" spans="2:2 12205:12220" x14ac:dyDescent="0.3">
      <c r="B12211" s="16301"/>
      <c r="RAM12211" s="12137"/>
    </row>
    <row r="12212" spans="2:2 12205:12220" x14ac:dyDescent="0.3">
      <c r="B12212" s="16301"/>
      <c r="RAN12212" s="12138"/>
    </row>
    <row r="12213" spans="2:2 12205:12220" x14ac:dyDescent="0.3">
      <c r="B12213" s="16301"/>
      <c r="RAO12213" s="12139"/>
    </row>
    <row r="12214" spans="2:2 12205:12220" x14ac:dyDescent="0.3">
      <c r="B12214" s="16301"/>
      <c r="RAP12214" s="12140"/>
    </row>
    <row r="12215" spans="2:2 12205:12220" x14ac:dyDescent="0.3">
      <c r="B12215" s="16301"/>
      <c r="RAQ12215" s="12141"/>
    </row>
    <row r="12216" spans="2:2 12205:12220" x14ac:dyDescent="0.3">
      <c r="B12216" s="16301"/>
      <c r="RAR12216" s="12142"/>
    </row>
    <row r="12217" spans="2:2 12205:12220" x14ac:dyDescent="0.3">
      <c r="B12217" s="16301"/>
      <c r="RAS12217" s="12143"/>
    </row>
    <row r="12218" spans="2:2 12205:12220" x14ac:dyDescent="0.3">
      <c r="B12218" s="16301"/>
      <c r="RAT12218" s="12144"/>
    </row>
    <row r="12219" spans="2:2 12205:12220" x14ac:dyDescent="0.3">
      <c r="B12219" s="16301"/>
      <c r="RAU12219" s="12145"/>
    </row>
    <row r="12220" spans="2:2 12205:12220" x14ac:dyDescent="0.3">
      <c r="B12220" s="16301"/>
      <c r="RAV12220" s="12146"/>
    </row>
    <row r="12221" spans="2:2 12205:12220" x14ac:dyDescent="0.3">
      <c r="B12221" s="16301"/>
      <c r="RAW12221" s="12147"/>
    </row>
    <row r="12222" spans="2:2 12205:12220" x14ac:dyDescent="0.3">
      <c r="B12222" s="16301"/>
      <c r="RAX12222" s="12148"/>
    </row>
    <row r="12223" spans="2:2 12205:12220" x14ac:dyDescent="0.3">
      <c r="B12223" s="16301"/>
      <c r="RAY12223" s="12149"/>
    </row>
    <row r="12224" spans="2:2 12205:12220" x14ac:dyDescent="0.3">
      <c r="B12224" s="16301"/>
      <c r="RAZ12224" s="12150"/>
    </row>
    <row r="12225" spans="2:2 12221:12236" x14ac:dyDescent="0.3">
      <c r="B12225" s="16301"/>
      <c r="RBA12225" s="12151"/>
    </row>
    <row r="12226" spans="2:2 12221:12236" x14ac:dyDescent="0.3">
      <c r="B12226" s="16301"/>
      <c r="RBB12226" s="12152"/>
    </row>
    <row r="12227" spans="2:2 12221:12236" x14ac:dyDescent="0.3">
      <c r="B12227" s="16301"/>
      <c r="RBC12227" s="12153"/>
    </row>
    <row r="12228" spans="2:2 12221:12236" x14ac:dyDescent="0.3">
      <c r="B12228" s="16301"/>
      <c r="RBD12228" s="12154"/>
    </row>
    <row r="12229" spans="2:2 12221:12236" x14ac:dyDescent="0.3">
      <c r="B12229" s="16301"/>
      <c r="RBE12229" s="12155"/>
    </row>
    <row r="12230" spans="2:2 12221:12236" x14ac:dyDescent="0.3">
      <c r="B12230" s="16301"/>
      <c r="RBF12230" s="12156"/>
    </row>
    <row r="12231" spans="2:2 12221:12236" x14ac:dyDescent="0.3">
      <c r="B12231" s="16301"/>
      <c r="RBG12231" s="12157"/>
    </row>
    <row r="12232" spans="2:2 12221:12236" x14ac:dyDescent="0.3">
      <c r="B12232" s="16301"/>
      <c r="RBH12232" s="12158"/>
    </row>
    <row r="12233" spans="2:2 12221:12236" x14ac:dyDescent="0.3">
      <c r="B12233" s="16301"/>
      <c r="RBI12233" s="12159"/>
    </row>
    <row r="12234" spans="2:2 12221:12236" x14ac:dyDescent="0.3">
      <c r="B12234" s="16301"/>
      <c r="RBJ12234" s="12160"/>
    </row>
    <row r="12235" spans="2:2 12221:12236" x14ac:dyDescent="0.3">
      <c r="B12235" s="16301"/>
      <c r="RBK12235" s="12161"/>
    </row>
    <row r="12236" spans="2:2 12221:12236" x14ac:dyDescent="0.3">
      <c r="B12236" s="16301"/>
      <c r="RBL12236" s="12162"/>
    </row>
    <row r="12237" spans="2:2 12221:12236" x14ac:dyDescent="0.3">
      <c r="B12237" s="16301"/>
      <c r="RBM12237" s="12163"/>
    </row>
    <row r="12238" spans="2:2 12221:12236" x14ac:dyDescent="0.3">
      <c r="B12238" s="16301"/>
      <c r="RBN12238" s="12164"/>
    </row>
    <row r="12239" spans="2:2 12221:12236" x14ac:dyDescent="0.3">
      <c r="B12239" s="16301"/>
      <c r="RBO12239" s="12165"/>
    </row>
    <row r="12240" spans="2:2 12221:12236" x14ac:dyDescent="0.3">
      <c r="B12240" s="16301"/>
      <c r="RBP12240" s="12166"/>
    </row>
    <row r="12241" spans="2:2 12237:12252" x14ac:dyDescent="0.3">
      <c r="B12241" s="16301"/>
      <c r="RBQ12241" s="12167"/>
    </row>
    <row r="12242" spans="2:2 12237:12252" x14ac:dyDescent="0.3">
      <c r="B12242" s="16301"/>
      <c r="RBR12242" s="12168"/>
    </row>
    <row r="12243" spans="2:2 12237:12252" x14ac:dyDescent="0.3">
      <c r="B12243" s="16301"/>
      <c r="RBS12243" s="12169"/>
    </row>
    <row r="12244" spans="2:2 12237:12252" x14ac:dyDescent="0.3">
      <c r="B12244" s="16301"/>
      <c r="RBT12244" s="12170"/>
    </row>
    <row r="12245" spans="2:2 12237:12252" x14ac:dyDescent="0.3">
      <c r="B12245" s="16301"/>
      <c r="RBU12245" s="12171"/>
    </row>
    <row r="12246" spans="2:2 12237:12252" x14ac:dyDescent="0.3">
      <c r="B12246" s="16301"/>
      <c r="RBV12246" s="12172"/>
    </row>
    <row r="12247" spans="2:2 12237:12252" x14ac:dyDescent="0.3">
      <c r="B12247" s="16301"/>
      <c r="RBW12247" s="12173"/>
    </row>
    <row r="12248" spans="2:2 12237:12252" x14ac:dyDescent="0.3">
      <c r="B12248" s="16301"/>
      <c r="RBX12248" s="12174"/>
    </row>
    <row r="12249" spans="2:2 12237:12252" x14ac:dyDescent="0.3">
      <c r="B12249" s="16301"/>
      <c r="RBY12249" s="12175"/>
    </row>
    <row r="12250" spans="2:2 12237:12252" x14ac:dyDescent="0.3">
      <c r="B12250" s="16301"/>
      <c r="RBZ12250" s="12176"/>
    </row>
    <row r="12251" spans="2:2 12237:12252" x14ac:dyDescent="0.3">
      <c r="B12251" s="16301"/>
      <c r="RCA12251" s="12177"/>
    </row>
    <row r="12252" spans="2:2 12237:12252" x14ac:dyDescent="0.3">
      <c r="B12252" s="16301"/>
      <c r="RCB12252" s="12178"/>
    </row>
    <row r="12253" spans="2:2 12237:12252" x14ac:dyDescent="0.3">
      <c r="B12253" s="16301"/>
      <c r="RCC12253" s="12179"/>
    </row>
    <row r="12254" spans="2:2 12237:12252" x14ac:dyDescent="0.3">
      <c r="B12254" s="16301"/>
      <c r="RCD12254" s="12180"/>
    </row>
    <row r="12255" spans="2:2 12237:12252" x14ac:dyDescent="0.3">
      <c r="B12255" s="16301"/>
      <c r="RCE12255" s="12181"/>
    </row>
    <row r="12256" spans="2:2 12237:12252" x14ac:dyDescent="0.3">
      <c r="B12256" s="16301"/>
      <c r="RCF12256" s="12182"/>
    </row>
    <row r="12257" spans="2:2 12253:12268" x14ac:dyDescent="0.3">
      <c r="B12257" s="16301"/>
      <c r="RCG12257" s="12183"/>
    </row>
    <row r="12258" spans="2:2 12253:12268" x14ac:dyDescent="0.3">
      <c r="B12258" s="16301"/>
      <c r="RCH12258" s="12184"/>
    </row>
    <row r="12259" spans="2:2 12253:12268" x14ac:dyDescent="0.3">
      <c r="B12259" s="16301"/>
      <c r="RCI12259" s="12185"/>
    </row>
    <row r="12260" spans="2:2 12253:12268" x14ac:dyDescent="0.3">
      <c r="B12260" s="16301"/>
      <c r="RCJ12260" s="12186"/>
    </row>
    <row r="12261" spans="2:2 12253:12268" x14ac:dyDescent="0.3">
      <c r="B12261" s="16301"/>
      <c r="RCK12261" s="12187"/>
    </row>
    <row r="12262" spans="2:2 12253:12268" x14ac:dyDescent="0.3">
      <c r="B12262" s="16301"/>
      <c r="RCL12262" s="12188"/>
    </row>
    <row r="12263" spans="2:2 12253:12268" x14ac:dyDescent="0.3">
      <c r="B12263" s="16301"/>
      <c r="RCM12263" s="12189"/>
    </row>
    <row r="12264" spans="2:2 12253:12268" x14ac:dyDescent="0.3">
      <c r="B12264" s="16301"/>
      <c r="RCN12264" s="12190"/>
    </row>
    <row r="12265" spans="2:2 12253:12268" x14ac:dyDescent="0.3">
      <c r="B12265" s="16301"/>
      <c r="RCO12265" s="12191"/>
    </row>
    <row r="12266" spans="2:2 12253:12268" x14ac:dyDescent="0.3">
      <c r="B12266" s="16301"/>
      <c r="RCP12266" s="12192"/>
    </row>
    <row r="12267" spans="2:2 12253:12268" x14ac:dyDescent="0.3">
      <c r="B12267" s="16301"/>
      <c r="RCQ12267" s="12193"/>
    </row>
    <row r="12268" spans="2:2 12253:12268" x14ac:dyDescent="0.3">
      <c r="B12268" s="16301"/>
      <c r="RCR12268" s="12194"/>
    </row>
    <row r="12269" spans="2:2 12253:12268" x14ac:dyDescent="0.3">
      <c r="B12269" s="16301"/>
      <c r="RCS12269" s="12195"/>
    </row>
    <row r="12270" spans="2:2 12253:12268" x14ac:dyDescent="0.3">
      <c r="B12270" s="16301"/>
      <c r="RCT12270" s="12196"/>
    </row>
    <row r="12271" spans="2:2 12253:12268" x14ac:dyDescent="0.3">
      <c r="B12271" s="16301"/>
      <c r="RCU12271" s="12197"/>
    </row>
    <row r="12272" spans="2:2 12253:12268" x14ac:dyDescent="0.3">
      <c r="B12272" s="16301"/>
      <c r="RCV12272" s="12198"/>
    </row>
    <row r="12273" spans="2:2 12269:12284" x14ac:dyDescent="0.3">
      <c r="B12273" s="16301"/>
      <c r="RCW12273" s="12199"/>
    </row>
    <row r="12274" spans="2:2 12269:12284" x14ac:dyDescent="0.3">
      <c r="B12274" s="16301"/>
      <c r="RCX12274" s="12200"/>
    </row>
    <row r="12275" spans="2:2 12269:12284" x14ac:dyDescent="0.3">
      <c r="B12275" s="16301"/>
      <c r="RCY12275" s="12201"/>
    </row>
    <row r="12276" spans="2:2 12269:12284" x14ac:dyDescent="0.3">
      <c r="B12276" s="16301"/>
      <c r="RCZ12276" s="12202"/>
    </row>
    <row r="12277" spans="2:2 12269:12284" x14ac:dyDescent="0.3">
      <c r="B12277" s="16301"/>
      <c r="RDA12277" s="12203"/>
    </row>
    <row r="12278" spans="2:2 12269:12284" x14ac:dyDescent="0.3">
      <c r="B12278" s="16301"/>
      <c r="RDB12278" s="12204"/>
    </row>
    <row r="12279" spans="2:2 12269:12284" x14ac:dyDescent="0.3">
      <c r="B12279" s="16301"/>
      <c r="RDC12279" s="12205"/>
    </row>
    <row r="12280" spans="2:2 12269:12284" x14ac:dyDescent="0.3">
      <c r="B12280" s="16301"/>
      <c r="RDD12280" s="12206"/>
    </row>
    <row r="12281" spans="2:2 12269:12284" x14ac:dyDescent="0.3">
      <c r="B12281" s="16301"/>
      <c r="RDE12281" s="12207"/>
    </row>
    <row r="12282" spans="2:2 12269:12284" x14ac:dyDescent="0.3">
      <c r="B12282" s="16301"/>
      <c r="RDF12282" s="12208"/>
    </row>
    <row r="12283" spans="2:2 12269:12284" x14ac:dyDescent="0.3">
      <c r="B12283" s="16301"/>
      <c r="RDG12283" s="12209"/>
    </row>
    <row r="12284" spans="2:2 12269:12284" x14ac:dyDescent="0.3">
      <c r="B12284" s="16301"/>
      <c r="RDH12284" s="12210"/>
    </row>
    <row r="12285" spans="2:2 12269:12284" x14ac:dyDescent="0.3">
      <c r="B12285" s="16301"/>
      <c r="RDI12285" s="12211"/>
    </row>
    <row r="12286" spans="2:2 12269:12284" x14ac:dyDescent="0.3">
      <c r="B12286" s="16301"/>
      <c r="RDJ12286" s="12212"/>
    </row>
    <row r="12287" spans="2:2 12269:12284" x14ac:dyDescent="0.3">
      <c r="B12287" s="16301"/>
      <c r="RDK12287" s="12213"/>
    </row>
    <row r="12288" spans="2:2 12269:12284" x14ac:dyDescent="0.3">
      <c r="B12288" s="16301"/>
      <c r="RDL12288" s="12214"/>
    </row>
    <row r="12289" spans="2:2 12285:12300" x14ac:dyDescent="0.3">
      <c r="B12289" s="16301"/>
      <c r="RDM12289" s="12215"/>
    </row>
    <row r="12290" spans="2:2 12285:12300" x14ac:dyDescent="0.3">
      <c r="B12290" s="16301"/>
      <c r="RDN12290" s="12216"/>
    </row>
    <row r="12291" spans="2:2 12285:12300" x14ac:dyDescent="0.3">
      <c r="B12291" s="16301"/>
      <c r="RDO12291" s="12217"/>
    </row>
    <row r="12292" spans="2:2 12285:12300" x14ac:dyDescent="0.3">
      <c r="B12292" s="16301"/>
      <c r="RDP12292" s="12218"/>
    </row>
    <row r="12293" spans="2:2 12285:12300" x14ac:dyDescent="0.3">
      <c r="B12293" s="16301"/>
      <c r="RDQ12293" s="12219"/>
    </row>
    <row r="12294" spans="2:2 12285:12300" x14ac:dyDescent="0.3">
      <c r="B12294" s="16301"/>
      <c r="RDR12294" s="12220"/>
    </row>
    <row r="12295" spans="2:2 12285:12300" x14ac:dyDescent="0.3">
      <c r="B12295" s="16301"/>
      <c r="RDS12295" s="12221"/>
    </row>
    <row r="12296" spans="2:2 12285:12300" x14ac:dyDescent="0.3">
      <c r="B12296" s="16301"/>
      <c r="RDT12296" s="12222"/>
    </row>
    <row r="12297" spans="2:2 12285:12300" x14ac:dyDescent="0.3">
      <c r="B12297" s="16301"/>
      <c r="RDU12297" s="12223"/>
    </row>
    <row r="12298" spans="2:2 12285:12300" x14ac:dyDescent="0.3">
      <c r="B12298" s="16301"/>
      <c r="RDV12298" s="12224"/>
    </row>
    <row r="12299" spans="2:2 12285:12300" x14ac:dyDescent="0.3">
      <c r="B12299" s="16301"/>
      <c r="RDW12299" s="12225"/>
    </row>
    <row r="12300" spans="2:2 12285:12300" x14ac:dyDescent="0.3">
      <c r="B12300" s="16301"/>
      <c r="RDX12300" s="12226"/>
    </row>
    <row r="12301" spans="2:2 12285:12300" x14ac:dyDescent="0.3">
      <c r="B12301" s="16301"/>
      <c r="RDY12301" s="12227"/>
    </row>
    <row r="12302" spans="2:2 12285:12300" x14ac:dyDescent="0.3">
      <c r="B12302" s="16301"/>
      <c r="RDZ12302" s="12228"/>
    </row>
    <row r="12303" spans="2:2 12285:12300" x14ac:dyDescent="0.3">
      <c r="B12303" s="16301"/>
      <c r="REA12303" s="12229"/>
    </row>
    <row r="12304" spans="2:2 12285:12300" x14ac:dyDescent="0.3">
      <c r="B12304" s="16301"/>
      <c r="REB12304" s="12230"/>
    </row>
    <row r="12305" spans="2:2 12301:12316" x14ac:dyDescent="0.3">
      <c r="B12305" s="16301"/>
      <c r="REC12305" s="12231"/>
    </row>
    <row r="12306" spans="2:2 12301:12316" x14ac:dyDescent="0.3">
      <c r="B12306" s="16301"/>
      <c r="RED12306" s="12232"/>
    </row>
    <row r="12307" spans="2:2 12301:12316" x14ac:dyDescent="0.3">
      <c r="B12307" s="16301"/>
      <c r="REE12307" s="12233"/>
    </row>
    <row r="12308" spans="2:2 12301:12316" x14ac:dyDescent="0.3">
      <c r="B12308" s="16301"/>
      <c r="REF12308" s="12234"/>
    </row>
    <row r="12309" spans="2:2 12301:12316" x14ac:dyDescent="0.3">
      <c r="B12309" s="16301"/>
      <c r="REG12309" s="12235"/>
    </row>
    <row r="12310" spans="2:2 12301:12316" x14ac:dyDescent="0.3">
      <c r="B12310" s="16301"/>
      <c r="REH12310" s="12236"/>
    </row>
    <row r="12311" spans="2:2 12301:12316" x14ac:dyDescent="0.3">
      <c r="B12311" s="16301"/>
      <c r="REI12311" s="12237"/>
    </row>
    <row r="12312" spans="2:2 12301:12316" x14ac:dyDescent="0.3">
      <c r="B12312" s="16301"/>
      <c r="REJ12312" s="12238"/>
    </row>
    <row r="12313" spans="2:2 12301:12316" x14ac:dyDescent="0.3">
      <c r="B12313" s="16301"/>
      <c r="REK12313" s="12239"/>
    </row>
    <row r="12314" spans="2:2 12301:12316" x14ac:dyDescent="0.3">
      <c r="B12314" s="16301"/>
      <c r="REL12314" s="12240"/>
    </row>
    <row r="12315" spans="2:2 12301:12316" x14ac:dyDescent="0.3">
      <c r="B12315" s="16301"/>
      <c r="REM12315" s="12241"/>
    </row>
    <row r="12316" spans="2:2 12301:12316" x14ac:dyDescent="0.3">
      <c r="B12316" s="16301"/>
      <c r="REN12316" s="12242"/>
    </row>
    <row r="12317" spans="2:2 12301:12316" x14ac:dyDescent="0.3">
      <c r="B12317" s="16301"/>
      <c r="REO12317" s="12243"/>
    </row>
    <row r="12318" spans="2:2 12301:12316" x14ac:dyDescent="0.3">
      <c r="B12318" s="16301"/>
      <c r="REP12318" s="12244"/>
    </row>
    <row r="12319" spans="2:2 12301:12316" x14ac:dyDescent="0.3">
      <c r="B12319" s="16301"/>
      <c r="REQ12319" s="12245"/>
    </row>
    <row r="12320" spans="2:2 12301:12316" x14ac:dyDescent="0.3">
      <c r="B12320" s="16301"/>
      <c r="RER12320" s="12246"/>
    </row>
    <row r="12321" spans="2:2 12317:12332" x14ac:dyDescent="0.3">
      <c r="B12321" s="16301"/>
      <c r="RES12321" s="12247"/>
    </row>
    <row r="12322" spans="2:2 12317:12332" x14ac:dyDescent="0.3">
      <c r="B12322" s="16301"/>
      <c r="RET12322" s="12248"/>
    </row>
    <row r="12323" spans="2:2 12317:12332" x14ac:dyDescent="0.3">
      <c r="B12323" s="16301"/>
      <c r="REU12323" s="12249"/>
    </row>
    <row r="12324" spans="2:2 12317:12332" x14ac:dyDescent="0.3">
      <c r="B12324" s="16301"/>
      <c r="REV12324" s="12250"/>
    </row>
    <row r="12325" spans="2:2 12317:12332" x14ac:dyDescent="0.3">
      <c r="B12325" s="16301"/>
      <c r="REW12325" s="12251"/>
    </row>
    <row r="12326" spans="2:2 12317:12332" x14ac:dyDescent="0.3">
      <c r="B12326" s="16301"/>
      <c r="REX12326" s="12252"/>
    </row>
    <row r="12327" spans="2:2 12317:12332" x14ac:dyDescent="0.3">
      <c r="B12327" s="16301"/>
      <c r="REY12327" s="12253"/>
    </row>
    <row r="12328" spans="2:2 12317:12332" x14ac:dyDescent="0.3">
      <c r="B12328" s="16301"/>
      <c r="REZ12328" s="12254"/>
    </row>
    <row r="12329" spans="2:2 12317:12332" x14ac:dyDescent="0.3">
      <c r="B12329" s="16301"/>
      <c r="RFA12329" s="12255"/>
    </row>
    <row r="12330" spans="2:2 12317:12332" x14ac:dyDescent="0.3">
      <c r="B12330" s="16301"/>
      <c r="RFB12330" s="12256"/>
    </row>
    <row r="12331" spans="2:2 12317:12332" x14ac:dyDescent="0.3">
      <c r="B12331" s="16301"/>
      <c r="RFC12331" s="12257"/>
    </row>
    <row r="12332" spans="2:2 12317:12332" x14ac:dyDescent="0.3">
      <c r="B12332" s="16301"/>
      <c r="RFD12332" s="12258"/>
    </row>
    <row r="12333" spans="2:2 12317:12332" x14ac:dyDescent="0.3">
      <c r="B12333" s="16301"/>
      <c r="RFE12333" s="12259"/>
    </row>
    <row r="12334" spans="2:2 12317:12332" x14ac:dyDescent="0.3">
      <c r="B12334" s="16301"/>
      <c r="RFF12334" s="12260"/>
    </row>
    <row r="12335" spans="2:2 12317:12332" x14ac:dyDescent="0.3">
      <c r="B12335" s="16301"/>
      <c r="RFG12335" s="12261"/>
    </row>
    <row r="12336" spans="2:2 12317:12332" x14ac:dyDescent="0.3">
      <c r="B12336" s="16301"/>
      <c r="RFH12336" s="12262"/>
    </row>
    <row r="12337" spans="2:2 12333:12348" x14ac:dyDescent="0.3">
      <c r="B12337" s="16301"/>
      <c r="RFI12337" s="12263"/>
    </row>
    <row r="12338" spans="2:2 12333:12348" x14ac:dyDescent="0.3">
      <c r="B12338" s="16301"/>
      <c r="RFJ12338" s="12264"/>
    </row>
    <row r="12339" spans="2:2 12333:12348" x14ac:dyDescent="0.3">
      <c r="B12339" s="16301"/>
      <c r="RFK12339" s="12265"/>
    </row>
    <row r="12340" spans="2:2 12333:12348" x14ac:dyDescent="0.3">
      <c r="B12340" s="16301"/>
      <c r="RFL12340" s="12266"/>
    </row>
    <row r="12341" spans="2:2 12333:12348" x14ac:dyDescent="0.3">
      <c r="B12341" s="16301"/>
      <c r="RFM12341" s="12267"/>
    </row>
    <row r="12342" spans="2:2 12333:12348" x14ac:dyDescent="0.3">
      <c r="B12342" s="16301"/>
      <c r="RFN12342" s="12267"/>
    </row>
    <row r="12343" spans="2:2 12333:12348" x14ac:dyDescent="0.3">
      <c r="B12343" s="16301"/>
      <c r="RFO12343" s="12268"/>
    </row>
    <row r="12344" spans="2:2 12333:12348" x14ac:dyDescent="0.3">
      <c r="B12344" s="16301"/>
      <c r="RFP12344" s="12269"/>
    </row>
    <row r="12345" spans="2:2 12333:12348" x14ac:dyDescent="0.3">
      <c r="B12345" s="16301"/>
      <c r="RFQ12345" s="12270"/>
    </row>
    <row r="12346" spans="2:2 12333:12348" x14ac:dyDescent="0.3">
      <c r="B12346" s="16301"/>
      <c r="RFR12346" s="12271"/>
    </row>
    <row r="12347" spans="2:2 12333:12348" x14ac:dyDescent="0.3">
      <c r="B12347" s="16301"/>
      <c r="RFS12347" s="12272"/>
    </row>
    <row r="12348" spans="2:2 12333:12348" x14ac:dyDescent="0.3">
      <c r="B12348" s="16301"/>
      <c r="RFT12348" s="12273"/>
    </row>
    <row r="12349" spans="2:2 12333:12348" x14ac:dyDescent="0.3">
      <c r="B12349" s="16301"/>
      <c r="RFU12349" s="12274"/>
    </row>
    <row r="12350" spans="2:2 12333:12348" x14ac:dyDescent="0.3">
      <c r="B12350" s="16301"/>
      <c r="RFV12350" s="12275"/>
    </row>
    <row r="12351" spans="2:2 12333:12348" x14ac:dyDescent="0.3">
      <c r="B12351" s="16301"/>
      <c r="RFW12351" s="12276"/>
    </row>
    <row r="12352" spans="2:2 12333:12348" x14ac:dyDescent="0.3">
      <c r="B12352" s="16301"/>
      <c r="RFX12352" s="12277"/>
    </row>
    <row r="12353" spans="2:2 12349:12364" x14ac:dyDescent="0.3">
      <c r="B12353" s="16301"/>
      <c r="RFY12353" s="12278"/>
    </row>
    <row r="12354" spans="2:2 12349:12364" x14ac:dyDescent="0.3">
      <c r="B12354" s="16301"/>
      <c r="RFZ12354" s="12279"/>
    </row>
    <row r="12355" spans="2:2 12349:12364" x14ac:dyDescent="0.3">
      <c r="B12355" s="16301"/>
      <c r="RGA12355" s="12280"/>
    </row>
    <row r="12356" spans="2:2 12349:12364" x14ac:dyDescent="0.3">
      <c r="B12356" s="16301"/>
      <c r="RGB12356" s="12281"/>
    </row>
    <row r="12357" spans="2:2 12349:12364" x14ac:dyDescent="0.3">
      <c r="B12357" s="16301"/>
      <c r="RGC12357" s="12282"/>
    </row>
    <row r="12358" spans="2:2 12349:12364" x14ac:dyDescent="0.3">
      <c r="B12358" s="16301"/>
      <c r="RGD12358" s="12283"/>
    </row>
    <row r="12359" spans="2:2 12349:12364" x14ac:dyDescent="0.3">
      <c r="B12359" s="16301"/>
      <c r="RGE12359" s="12284"/>
    </row>
    <row r="12360" spans="2:2 12349:12364" x14ac:dyDescent="0.3">
      <c r="B12360" s="16301"/>
      <c r="RGF12360" s="12285"/>
    </row>
    <row r="12361" spans="2:2 12349:12364" x14ac:dyDescent="0.3">
      <c r="B12361" s="16301"/>
      <c r="RGG12361" s="12286"/>
    </row>
    <row r="12362" spans="2:2 12349:12364" x14ac:dyDescent="0.3">
      <c r="B12362" s="16301"/>
      <c r="RGH12362" s="12287"/>
    </row>
    <row r="12363" spans="2:2 12349:12364" x14ac:dyDescent="0.3">
      <c r="B12363" s="16301"/>
      <c r="RGI12363" s="12288"/>
    </row>
    <row r="12364" spans="2:2 12349:12364" x14ac:dyDescent="0.3">
      <c r="B12364" s="16301"/>
      <c r="RGJ12364" s="12289"/>
    </row>
    <row r="12365" spans="2:2 12349:12364" x14ac:dyDescent="0.3">
      <c r="B12365" s="16301"/>
      <c r="RGK12365" s="12290"/>
    </row>
    <row r="12366" spans="2:2 12349:12364" x14ac:dyDescent="0.3">
      <c r="B12366" s="16301"/>
      <c r="RGL12366" s="12291"/>
    </row>
    <row r="12367" spans="2:2 12349:12364" x14ac:dyDescent="0.3">
      <c r="B12367" s="16301"/>
      <c r="RGM12367" s="12292"/>
    </row>
    <row r="12368" spans="2:2 12349:12364" x14ac:dyDescent="0.3">
      <c r="B12368" s="16301"/>
      <c r="RGN12368" s="12293"/>
    </row>
    <row r="12369" spans="2:2 12365:12380" x14ac:dyDescent="0.3">
      <c r="B12369" s="16301"/>
      <c r="RGO12369" s="12294"/>
    </row>
    <row r="12370" spans="2:2 12365:12380" x14ac:dyDescent="0.3">
      <c r="B12370" s="16301"/>
      <c r="RGP12370" s="12295"/>
    </row>
    <row r="12371" spans="2:2 12365:12380" x14ac:dyDescent="0.3">
      <c r="B12371" s="16301"/>
      <c r="RGQ12371" s="12296"/>
    </row>
    <row r="12372" spans="2:2 12365:12380" x14ac:dyDescent="0.3">
      <c r="B12372" s="16301"/>
      <c r="RGR12372" s="12297"/>
    </row>
    <row r="12373" spans="2:2 12365:12380" x14ac:dyDescent="0.3">
      <c r="B12373" s="16301"/>
      <c r="RGS12373" s="12298"/>
    </row>
    <row r="12374" spans="2:2 12365:12380" x14ac:dyDescent="0.3">
      <c r="B12374" s="16301"/>
      <c r="RGT12374" s="12299"/>
    </row>
    <row r="12375" spans="2:2 12365:12380" x14ac:dyDescent="0.3">
      <c r="B12375" s="16301"/>
      <c r="RGU12375" s="12300"/>
    </row>
    <row r="12376" spans="2:2 12365:12380" x14ac:dyDescent="0.3">
      <c r="B12376" s="16301"/>
      <c r="RGV12376" s="12301"/>
    </row>
    <row r="12377" spans="2:2 12365:12380" x14ac:dyDescent="0.3">
      <c r="B12377" s="16301"/>
      <c r="RGW12377" s="12302"/>
    </row>
    <row r="12378" spans="2:2 12365:12380" x14ac:dyDescent="0.3">
      <c r="B12378" s="16301"/>
      <c r="RGX12378" s="12303"/>
    </row>
    <row r="12379" spans="2:2 12365:12380" x14ac:dyDescent="0.3">
      <c r="B12379" s="16301"/>
      <c r="RGY12379" s="12304"/>
    </row>
    <row r="12380" spans="2:2 12365:12380" x14ac:dyDescent="0.3">
      <c r="B12380" s="16301"/>
      <c r="RGZ12380" s="12305"/>
    </row>
    <row r="12381" spans="2:2 12365:12380" x14ac:dyDescent="0.3">
      <c r="B12381" s="16301"/>
      <c r="RHA12381" s="12306"/>
    </row>
    <row r="12382" spans="2:2 12365:12380" x14ac:dyDescent="0.3">
      <c r="B12382" s="16301"/>
      <c r="RHB12382" s="12307"/>
    </row>
    <row r="12383" spans="2:2 12365:12380" x14ac:dyDescent="0.3">
      <c r="B12383" s="16301"/>
      <c r="RHC12383" s="12308"/>
    </row>
    <row r="12384" spans="2:2 12365:12380" x14ac:dyDescent="0.3">
      <c r="B12384" s="16301"/>
      <c r="RHD12384" s="12309"/>
    </row>
    <row r="12385" spans="2:2 12381:12396" x14ac:dyDescent="0.3">
      <c r="B12385" s="16301"/>
      <c r="RHE12385" s="12310"/>
    </row>
    <row r="12386" spans="2:2 12381:12396" x14ac:dyDescent="0.3">
      <c r="B12386" s="16301"/>
      <c r="RHF12386" s="12311"/>
    </row>
    <row r="12387" spans="2:2 12381:12396" x14ac:dyDescent="0.3">
      <c r="B12387" s="16301"/>
      <c r="RHG12387" s="12312"/>
    </row>
    <row r="12388" spans="2:2 12381:12396" x14ac:dyDescent="0.3">
      <c r="B12388" s="16301"/>
      <c r="RHH12388" s="12313"/>
    </row>
    <row r="12389" spans="2:2 12381:12396" x14ac:dyDescent="0.3">
      <c r="B12389" s="16301"/>
      <c r="RHI12389" s="12314"/>
    </row>
    <row r="12390" spans="2:2 12381:12396" x14ac:dyDescent="0.3">
      <c r="B12390" s="16301"/>
      <c r="RHJ12390" s="12315"/>
    </row>
    <row r="12391" spans="2:2 12381:12396" x14ac:dyDescent="0.3">
      <c r="B12391" s="16301"/>
      <c r="RHK12391" s="12316"/>
    </row>
    <row r="12392" spans="2:2 12381:12396" x14ac:dyDescent="0.3">
      <c r="B12392" s="16301"/>
      <c r="RHL12392" s="12317"/>
    </row>
    <row r="12393" spans="2:2 12381:12396" x14ac:dyDescent="0.3">
      <c r="B12393" s="16301"/>
      <c r="RHM12393" s="12318"/>
    </row>
    <row r="12394" spans="2:2 12381:12396" x14ac:dyDescent="0.3">
      <c r="B12394" s="16301"/>
      <c r="RHN12394" s="12319"/>
    </row>
    <row r="12395" spans="2:2 12381:12396" x14ac:dyDescent="0.3">
      <c r="B12395" s="16301"/>
      <c r="RHO12395" s="12320"/>
    </row>
    <row r="12396" spans="2:2 12381:12396" x14ac:dyDescent="0.3">
      <c r="B12396" s="16301"/>
      <c r="RHP12396" s="12321"/>
    </row>
    <row r="12397" spans="2:2 12381:12396" x14ac:dyDescent="0.3">
      <c r="B12397" s="16301"/>
      <c r="RHQ12397" s="12322"/>
    </row>
    <row r="12398" spans="2:2 12381:12396" x14ac:dyDescent="0.3">
      <c r="B12398" s="16301"/>
      <c r="RHR12398" s="12323"/>
    </row>
    <row r="12399" spans="2:2 12381:12396" x14ac:dyDescent="0.3">
      <c r="B12399" s="16301"/>
      <c r="RHS12399" s="12324"/>
    </row>
    <row r="12400" spans="2:2 12381:12396" x14ac:dyDescent="0.3">
      <c r="B12400" s="16301"/>
      <c r="RHT12400" s="12325"/>
    </row>
    <row r="12401" spans="2:2 12397:12412" x14ac:dyDescent="0.3">
      <c r="B12401" s="16301"/>
      <c r="RHU12401" s="12326"/>
    </row>
    <row r="12402" spans="2:2 12397:12412" x14ac:dyDescent="0.3">
      <c r="B12402" s="16301"/>
      <c r="RHV12402" s="12327"/>
    </row>
    <row r="12403" spans="2:2 12397:12412" x14ac:dyDescent="0.3">
      <c r="B12403" s="16301"/>
      <c r="RHW12403" s="12328"/>
    </row>
    <row r="12404" spans="2:2 12397:12412" x14ac:dyDescent="0.3">
      <c r="B12404" s="16301"/>
      <c r="RHX12404" s="12329"/>
    </row>
    <row r="12405" spans="2:2 12397:12412" x14ac:dyDescent="0.3">
      <c r="B12405" s="16301"/>
      <c r="RHY12405" s="12330"/>
    </row>
    <row r="12406" spans="2:2 12397:12412" x14ac:dyDescent="0.3">
      <c r="B12406" s="16301"/>
      <c r="RHZ12406" s="12331"/>
    </row>
    <row r="12407" spans="2:2 12397:12412" x14ac:dyDescent="0.3">
      <c r="B12407" s="16301"/>
      <c r="RIA12407" s="12332"/>
    </row>
    <row r="12408" spans="2:2 12397:12412" x14ac:dyDescent="0.3">
      <c r="B12408" s="16301"/>
      <c r="RIB12408" s="12333"/>
    </row>
    <row r="12409" spans="2:2 12397:12412" x14ac:dyDescent="0.3">
      <c r="B12409" s="16301"/>
      <c r="RIC12409" s="12334"/>
    </row>
    <row r="12410" spans="2:2 12397:12412" x14ac:dyDescent="0.3">
      <c r="B12410" s="16301"/>
      <c r="RID12410" s="12335"/>
    </row>
    <row r="12411" spans="2:2 12397:12412" x14ac:dyDescent="0.3">
      <c r="B12411" s="16301"/>
      <c r="RIE12411" s="12336"/>
    </row>
    <row r="12412" spans="2:2 12397:12412" x14ac:dyDescent="0.3">
      <c r="B12412" s="16301"/>
      <c r="RIF12412" s="12337"/>
    </row>
    <row r="12413" spans="2:2 12397:12412" x14ac:dyDescent="0.3">
      <c r="B12413" s="16301"/>
      <c r="RIG12413" s="12338"/>
    </row>
    <row r="12414" spans="2:2 12397:12412" x14ac:dyDescent="0.3">
      <c r="B12414" s="16301"/>
      <c r="RIH12414" s="12339"/>
    </row>
    <row r="12415" spans="2:2 12397:12412" x14ac:dyDescent="0.3">
      <c r="B12415" s="16301"/>
      <c r="RII12415" s="12340"/>
    </row>
    <row r="12416" spans="2:2 12397:12412" x14ac:dyDescent="0.3">
      <c r="B12416" s="16301"/>
      <c r="RIJ12416" s="12341"/>
    </row>
    <row r="12417" spans="2:2 12413:12428" x14ac:dyDescent="0.3">
      <c r="B12417" s="16301"/>
      <c r="RIK12417" s="12342"/>
    </row>
    <row r="12418" spans="2:2 12413:12428" x14ac:dyDescent="0.3">
      <c r="B12418" s="16301"/>
      <c r="RIL12418" s="12343"/>
    </row>
    <row r="12419" spans="2:2 12413:12428" x14ac:dyDescent="0.3">
      <c r="B12419" s="16301"/>
      <c r="RIM12419" s="12344"/>
    </row>
    <row r="12420" spans="2:2 12413:12428" x14ac:dyDescent="0.3">
      <c r="B12420" s="16301"/>
      <c r="RIN12420" s="12345"/>
    </row>
    <row r="12421" spans="2:2 12413:12428" x14ac:dyDescent="0.3">
      <c r="B12421" s="16301"/>
      <c r="RIO12421" s="12346"/>
    </row>
    <row r="12422" spans="2:2 12413:12428" x14ac:dyDescent="0.3">
      <c r="B12422" s="16301"/>
      <c r="RIP12422" s="12347"/>
    </row>
    <row r="12423" spans="2:2 12413:12428" x14ac:dyDescent="0.3">
      <c r="B12423" s="16301"/>
      <c r="RIQ12423" s="12348"/>
    </row>
    <row r="12424" spans="2:2 12413:12428" x14ac:dyDescent="0.3">
      <c r="B12424" s="16301"/>
      <c r="RIR12424" s="12349"/>
    </row>
    <row r="12425" spans="2:2 12413:12428" x14ac:dyDescent="0.3">
      <c r="B12425" s="16301"/>
      <c r="RIS12425" s="12350"/>
    </row>
    <row r="12426" spans="2:2 12413:12428" x14ac:dyDescent="0.3">
      <c r="B12426" s="16301"/>
      <c r="RIT12426" s="12351"/>
    </row>
    <row r="12427" spans="2:2 12413:12428" x14ac:dyDescent="0.3">
      <c r="B12427" s="16301"/>
      <c r="RIU12427" s="12352"/>
    </row>
    <row r="12428" spans="2:2 12413:12428" x14ac:dyDescent="0.3">
      <c r="B12428" s="16301"/>
      <c r="RIV12428" s="12353"/>
    </row>
    <row r="12429" spans="2:2 12413:12428" x14ac:dyDescent="0.3">
      <c r="B12429" s="16301"/>
      <c r="RIW12429" s="12354"/>
    </row>
    <row r="12430" spans="2:2 12413:12428" x14ac:dyDescent="0.3">
      <c r="B12430" s="16301"/>
      <c r="RIX12430" s="12355"/>
    </row>
    <row r="12431" spans="2:2 12413:12428" x14ac:dyDescent="0.3">
      <c r="B12431" s="16301"/>
      <c r="RIY12431" s="12356"/>
    </row>
    <row r="12432" spans="2:2 12413:12428" x14ac:dyDescent="0.3">
      <c r="B12432" s="16301"/>
      <c r="RIZ12432" s="12357"/>
    </row>
    <row r="12433" spans="2:2 12429:12444" x14ac:dyDescent="0.3">
      <c r="B12433" s="16301"/>
      <c r="RJA12433" s="12358"/>
    </row>
    <row r="12434" spans="2:2 12429:12444" x14ac:dyDescent="0.3">
      <c r="B12434" s="16301"/>
      <c r="RJB12434" s="12359"/>
    </row>
    <row r="12435" spans="2:2 12429:12444" x14ac:dyDescent="0.3">
      <c r="B12435" s="16301"/>
      <c r="RJC12435" s="12360"/>
    </row>
    <row r="12436" spans="2:2 12429:12444" x14ac:dyDescent="0.3">
      <c r="B12436" s="16301"/>
      <c r="RJD12436" s="12361"/>
    </row>
    <row r="12437" spans="2:2 12429:12444" x14ac:dyDescent="0.3">
      <c r="B12437" s="16301"/>
      <c r="RJE12437" s="12362"/>
    </row>
    <row r="12438" spans="2:2 12429:12444" x14ac:dyDescent="0.3">
      <c r="B12438" s="16301"/>
      <c r="RJF12438" s="12363"/>
    </row>
    <row r="12439" spans="2:2 12429:12444" x14ac:dyDescent="0.3">
      <c r="B12439" s="16301"/>
      <c r="RJG12439" s="12364"/>
    </row>
    <row r="12440" spans="2:2 12429:12444" x14ac:dyDescent="0.3">
      <c r="B12440" s="16301"/>
      <c r="RJH12440" s="12365"/>
    </row>
    <row r="12441" spans="2:2 12429:12444" x14ac:dyDescent="0.3">
      <c r="B12441" s="16301"/>
      <c r="RJI12441" s="12366"/>
    </row>
    <row r="12442" spans="2:2 12429:12444" x14ac:dyDescent="0.3">
      <c r="B12442" s="16301"/>
      <c r="RJJ12442" s="12367"/>
    </row>
    <row r="12443" spans="2:2 12429:12444" x14ac:dyDescent="0.3">
      <c r="B12443" s="16301"/>
      <c r="RJK12443" s="12368"/>
    </row>
    <row r="12444" spans="2:2 12429:12444" x14ac:dyDescent="0.3">
      <c r="B12444" s="16301"/>
      <c r="RJL12444" s="12369"/>
    </row>
    <row r="12445" spans="2:2 12429:12444" x14ac:dyDescent="0.3">
      <c r="B12445" s="16301"/>
      <c r="RJM12445" s="12370"/>
    </row>
    <row r="12446" spans="2:2 12429:12444" x14ac:dyDescent="0.3">
      <c r="B12446" s="16301"/>
      <c r="RJN12446" s="12371"/>
    </row>
    <row r="12447" spans="2:2 12429:12444" x14ac:dyDescent="0.3">
      <c r="B12447" s="16301"/>
      <c r="RJO12447" s="12372"/>
    </row>
    <row r="12448" spans="2:2 12429:12444" x14ac:dyDescent="0.3">
      <c r="B12448" s="16301"/>
      <c r="RJP12448" s="12373"/>
    </row>
    <row r="12449" spans="2:2 12445:12460" x14ac:dyDescent="0.3">
      <c r="B12449" s="16301"/>
      <c r="RJQ12449" s="12374"/>
    </row>
    <row r="12450" spans="2:2 12445:12460" x14ac:dyDescent="0.3">
      <c r="B12450" s="16301"/>
      <c r="RJR12450" s="12375"/>
    </row>
    <row r="12451" spans="2:2 12445:12460" x14ac:dyDescent="0.3">
      <c r="B12451" s="16301"/>
      <c r="RJS12451" s="12376"/>
    </row>
    <row r="12452" spans="2:2 12445:12460" x14ac:dyDescent="0.3">
      <c r="B12452" s="16301"/>
      <c r="RJT12452" s="12377"/>
    </row>
    <row r="12453" spans="2:2 12445:12460" x14ac:dyDescent="0.3">
      <c r="B12453" s="16301"/>
      <c r="RJU12453" s="12378"/>
    </row>
    <row r="12454" spans="2:2 12445:12460" x14ac:dyDescent="0.3">
      <c r="B12454" s="16301"/>
      <c r="RJV12454" s="12379"/>
    </row>
    <row r="12455" spans="2:2 12445:12460" x14ac:dyDescent="0.3">
      <c r="B12455" s="16301"/>
      <c r="RJW12455" s="12380"/>
    </row>
    <row r="12456" spans="2:2 12445:12460" x14ac:dyDescent="0.3">
      <c r="B12456" s="16301"/>
      <c r="RJX12456" s="12381"/>
    </row>
    <row r="12457" spans="2:2 12445:12460" x14ac:dyDescent="0.3">
      <c r="B12457" s="16301"/>
      <c r="RJY12457" s="12382"/>
    </row>
    <row r="12458" spans="2:2 12445:12460" x14ac:dyDescent="0.3">
      <c r="B12458" s="16301"/>
      <c r="RJZ12458" s="12383"/>
    </row>
    <row r="12459" spans="2:2 12445:12460" x14ac:dyDescent="0.3">
      <c r="B12459" s="16301"/>
      <c r="RKA12459" s="12384"/>
    </row>
    <row r="12460" spans="2:2 12445:12460" x14ac:dyDescent="0.3">
      <c r="B12460" s="16301"/>
      <c r="RKB12460" s="12385"/>
    </row>
    <row r="12461" spans="2:2 12445:12460" x14ac:dyDescent="0.3">
      <c r="B12461" s="16301"/>
      <c r="RKC12461" s="12386"/>
    </row>
    <row r="12462" spans="2:2 12445:12460" x14ac:dyDescent="0.3">
      <c r="B12462" s="16301"/>
      <c r="RKD12462" s="12387"/>
    </row>
    <row r="12463" spans="2:2 12445:12460" x14ac:dyDescent="0.3">
      <c r="B12463" s="16301"/>
      <c r="RKE12463" s="12388"/>
    </row>
    <row r="12464" spans="2:2 12445:12460" x14ac:dyDescent="0.3">
      <c r="B12464" s="16301"/>
      <c r="RKF12464" s="12389"/>
    </row>
    <row r="12465" spans="2:2 12461:12476" x14ac:dyDescent="0.3">
      <c r="B12465" s="16301"/>
      <c r="RKG12465" s="12390"/>
    </row>
    <row r="12466" spans="2:2 12461:12476" x14ac:dyDescent="0.3">
      <c r="B12466" s="16301"/>
      <c r="RKH12466" s="12391"/>
    </row>
    <row r="12467" spans="2:2 12461:12476" x14ac:dyDescent="0.3">
      <c r="B12467" s="16301"/>
      <c r="RKI12467" s="12392"/>
    </row>
    <row r="12468" spans="2:2 12461:12476" x14ac:dyDescent="0.3">
      <c r="B12468" s="16301"/>
      <c r="RKJ12468" s="12393"/>
    </row>
    <row r="12469" spans="2:2 12461:12476" x14ac:dyDescent="0.3">
      <c r="B12469" s="16301"/>
      <c r="RKK12469" s="12394"/>
    </row>
    <row r="12470" spans="2:2 12461:12476" x14ac:dyDescent="0.3">
      <c r="B12470" s="16301"/>
      <c r="RKL12470" s="12395"/>
    </row>
    <row r="12471" spans="2:2 12461:12476" x14ac:dyDescent="0.3">
      <c r="B12471" s="16301"/>
      <c r="RKM12471" s="12396"/>
    </row>
    <row r="12472" spans="2:2 12461:12476" x14ac:dyDescent="0.3">
      <c r="B12472" s="16301"/>
      <c r="RKN12472" s="12397"/>
    </row>
    <row r="12473" spans="2:2 12461:12476" x14ac:dyDescent="0.3">
      <c r="B12473" s="16301"/>
      <c r="RKO12473" s="12398"/>
    </row>
    <row r="12474" spans="2:2 12461:12476" x14ac:dyDescent="0.3">
      <c r="B12474" s="16301"/>
      <c r="RKP12474" s="12399"/>
    </row>
    <row r="12475" spans="2:2 12461:12476" x14ac:dyDescent="0.3">
      <c r="B12475" s="16301"/>
      <c r="RKQ12475" s="12400"/>
    </row>
    <row r="12476" spans="2:2 12461:12476" x14ac:dyDescent="0.3">
      <c r="B12476" s="16301"/>
      <c r="RKR12476" s="12401"/>
    </row>
    <row r="12477" spans="2:2 12461:12476" x14ac:dyDescent="0.3">
      <c r="B12477" s="16301"/>
      <c r="RKS12477" s="12402"/>
    </row>
    <row r="12478" spans="2:2 12461:12476" x14ac:dyDescent="0.3">
      <c r="B12478" s="16301"/>
      <c r="RKT12478" s="12403"/>
    </row>
    <row r="12479" spans="2:2 12461:12476" x14ac:dyDescent="0.3">
      <c r="B12479" s="16301"/>
      <c r="RKU12479" s="12404"/>
    </row>
    <row r="12480" spans="2:2 12461:12476" x14ac:dyDescent="0.3">
      <c r="B12480" s="16301"/>
      <c r="RKV12480" s="12405"/>
    </row>
    <row r="12481" spans="2:2 12477:12492" x14ac:dyDescent="0.3">
      <c r="B12481" s="16301"/>
      <c r="RKW12481" s="12406"/>
    </row>
    <row r="12482" spans="2:2 12477:12492" x14ac:dyDescent="0.3">
      <c r="B12482" s="16301"/>
      <c r="RKX12482" s="12407"/>
    </row>
    <row r="12483" spans="2:2 12477:12492" x14ac:dyDescent="0.3">
      <c r="B12483" s="16301"/>
      <c r="RKY12483" s="12408"/>
    </row>
    <row r="12484" spans="2:2 12477:12492" x14ac:dyDescent="0.3">
      <c r="B12484" s="16301"/>
      <c r="RKZ12484" s="12409"/>
    </row>
    <row r="12485" spans="2:2 12477:12492" x14ac:dyDescent="0.3">
      <c r="B12485" s="16301"/>
      <c r="RLA12485" s="12410"/>
    </row>
    <row r="12486" spans="2:2 12477:12492" x14ac:dyDescent="0.3">
      <c r="B12486" s="16301"/>
      <c r="RLB12486" s="12411"/>
    </row>
    <row r="12487" spans="2:2 12477:12492" x14ac:dyDescent="0.3">
      <c r="B12487" s="16301"/>
      <c r="RLC12487" s="12412"/>
    </row>
    <row r="12488" spans="2:2 12477:12492" x14ac:dyDescent="0.3">
      <c r="B12488" s="16301"/>
      <c r="RLD12488" s="12413"/>
    </row>
    <row r="12489" spans="2:2 12477:12492" x14ac:dyDescent="0.3">
      <c r="B12489" s="16301"/>
      <c r="RLE12489" s="12414"/>
    </row>
    <row r="12490" spans="2:2 12477:12492" x14ac:dyDescent="0.3">
      <c r="B12490" s="16301"/>
      <c r="RLF12490" s="12415"/>
    </row>
    <row r="12491" spans="2:2 12477:12492" x14ac:dyDescent="0.3">
      <c r="B12491" s="16301"/>
      <c r="RLG12491" s="12416"/>
    </row>
    <row r="12492" spans="2:2 12477:12492" x14ac:dyDescent="0.3">
      <c r="B12492" s="16301"/>
      <c r="RLH12492" s="12417"/>
    </row>
    <row r="12493" spans="2:2 12477:12492" x14ac:dyDescent="0.3">
      <c r="B12493" s="16301"/>
      <c r="RLI12493" s="12418"/>
    </row>
    <row r="12494" spans="2:2 12477:12492" x14ac:dyDescent="0.3">
      <c r="B12494" s="16301"/>
      <c r="RLJ12494" s="12419"/>
    </row>
    <row r="12495" spans="2:2 12477:12492" x14ac:dyDescent="0.3">
      <c r="B12495" s="16301"/>
      <c r="RLK12495" s="12420"/>
    </row>
    <row r="12496" spans="2:2 12477:12492" x14ac:dyDescent="0.3">
      <c r="B12496" s="16301"/>
      <c r="RLL12496" s="12421"/>
    </row>
    <row r="12497" spans="2:2 12493:12508" x14ac:dyDescent="0.3">
      <c r="B12497" s="16301"/>
      <c r="RLM12497" s="12422"/>
    </row>
    <row r="12498" spans="2:2 12493:12508" x14ac:dyDescent="0.3">
      <c r="B12498" s="16301"/>
      <c r="RLN12498" s="12423"/>
    </row>
    <row r="12499" spans="2:2 12493:12508" x14ac:dyDescent="0.3">
      <c r="B12499" s="16301"/>
      <c r="RLO12499" s="12424"/>
    </row>
    <row r="12500" spans="2:2 12493:12508" x14ac:dyDescent="0.3">
      <c r="B12500" s="16301"/>
      <c r="RLP12500" s="12425"/>
    </row>
    <row r="12501" spans="2:2 12493:12508" x14ac:dyDescent="0.3">
      <c r="B12501" s="16301"/>
      <c r="RLQ12501" s="12426"/>
    </row>
    <row r="12502" spans="2:2 12493:12508" x14ac:dyDescent="0.3">
      <c r="B12502" s="16301"/>
      <c r="RLR12502" s="12427"/>
    </row>
    <row r="12503" spans="2:2 12493:12508" x14ac:dyDescent="0.3">
      <c r="B12503" s="16301"/>
      <c r="RLS12503" s="12428"/>
    </row>
    <row r="12504" spans="2:2 12493:12508" x14ac:dyDescent="0.3">
      <c r="B12504" s="16301"/>
      <c r="RLT12504" s="12429"/>
    </row>
    <row r="12505" spans="2:2 12493:12508" x14ac:dyDescent="0.3">
      <c r="B12505" s="16301"/>
      <c r="RLU12505" s="12430"/>
    </row>
    <row r="12506" spans="2:2 12493:12508" x14ac:dyDescent="0.3">
      <c r="B12506" s="16301"/>
      <c r="RLV12506" s="12431"/>
    </row>
    <row r="12507" spans="2:2 12493:12508" x14ac:dyDescent="0.3">
      <c r="B12507" s="16301"/>
      <c r="RLW12507" s="12432"/>
    </row>
    <row r="12508" spans="2:2 12493:12508" x14ac:dyDescent="0.3">
      <c r="B12508" s="16301"/>
      <c r="RLX12508" s="12433"/>
    </row>
    <row r="12509" spans="2:2 12493:12508" x14ac:dyDescent="0.3">
      <c r="B12509" s="16301"/>
      <c r="RLY12509" s="12434"/>
    </row>
    <row r="12510" spans="2:2 12493:12508" x14ac:dyDescent="0.3">
      <c r="B12510" s="16301"/>
      <c r="RLZ12510" s="12435"/>
    </row>
    <row r="12511" spans="2:2 12493:12508" x14ac:dyDescent="0.3">
      <c r="B12511" s="16301"/>
      <c r="RMA12511" s="12436"/>
    </row>
    <row r="12512" spans="2:2 12493:12508" x14ac:dyDescent="0.3">
      <c r="B12512" s="16301"/>
      <c r="RMB12512" s="12437"/>
    </row>
    <row r="12513" spans="2:2 12509:12524" x14ac:dyDescent="0.3">
      <c r="B12513" s="16301"/>
      <c r="RMC12513" s="12438"/>
    </row>
    <row r="12514" spans="2:2 12509:12524" x14ac:dyDescent="0.3">
      <c r="B12514" s="16301"/>
      <c r="RMD12514" s="12439"/>
    </row>
    <row r="12515" spans="2:2 12509:12524" x14ac:dyDescent="0.3">
      <c r="B12515" s="16301"/>
      <c r="RME12515" s="12440"/>
    </row>
    <row r="12516" spans="2:2 12509:12524" x14ac:dyDescent="0.3">
      <c r="B12516" s="16301"/>
      <c r="RMF12516" s="12441"/>
    </row>
    <row r="12517" spans="2:2 12509:12524" x14ac:dyDescent="0.3">
      <c r="B12517" s="16301"/>
      <c r="RMG12517" s="12442"/>
    </row>
    <row r="12518" spans="2:2 12509:12524" x14ac:dyDescent="0.3">
      <c r="B12518" s="16301"/>
      <c r="RMH12518" s="12443"/>
    </row>
    <row r="12519" spans="2:2 12509:12524" x14ac:dyDescent="0.3">
      <c r="B12519" s="16301"/>
      <c r="RMI12519" s="12444"/>
    </row>
    <row r="12520" spans="2:2 12509:12524" x14ac:dyDescent="0.3">
      <c r="B12520" s="16301"/>
      <c r="RMJ12520" s="12445"/>
    </row>
    <row r="12521" spans="2:2 12509:12524" x14ac:dyDescent="0.3">
      <c r="B12521" s="16301"/>
      <c r="RMK12521" s="12446"/>
    </row>
    <row r="12522" spans="2:2 12509:12524" x14ac:dyDescent="0.3">
      <c r="B12522" s="16301"/>
      <c r="RML12522" s="12447"/>
    </row>
    <row r="12523" spans="2:2 12509:12524" x14ac:dyDescent="0.3">
      <c r="B12523" s="16301"/>
      <c r="RMM12523" s="12448"/>
    </row>
    <row r="12524" spans="2:2 12509:12524" x14ac:dyDescent="0.3">
      <c r="B12524" s="16301"/>
      <c r="RMN12524" s="12449"/>
    </row>
    <row r="12525" spans="2:2 12509:12524" x14ac:dyDescent="0.3">
      <c r="B12525" s="16301"/>
      <c r="RMO12525" s="12450"/>
    </row>
    <row r="12526" spans="2:2 12509:12524" x14ac:dyDescent="0.3">
      <c r="B12526" s="16301"/>
      <c r="RMP12526" s="12451"/>
    </row>
    <row r="12527" spans="2:2 12509:12524" x14ac:dyDescent="0.3">
      <c r="B12527" s="16301"/>
      <c r="RMQ12527" s="12452"/>
    </row>
    <row r="12528" spans="2:2 12509:12524" x14ac:dyDescent="0.3">
      <c r="B12528" s="16301"/>
      <c r="RMR12528" s="12453"/>
    </row>
    <row r="12529" spans="2:2 12525:12540" x14ac:dyDescent="0.3">
      <c r="B12529" s="16301"/>
      <c r="RMS12529" s="12454"/>
    </row>
    <row r="12530" spans="2:2 12525:12540" x14ac:dyDescent="0.3">
      <c r="B12530" s="16301"/>
      <c r="RMT12530" s="12455"/>
    </row>
    <row r="12531" spans="2:2 12525:12540" x14ac:dyDescent="0.3">
      <c r="B12531" s="16301"/>
      <c r="RMU12531" s="12456"/>
    </row>
    <row r="12532" spans="2:2 12525:12540" x14ac:dyDescent="0.3">
      <c r="B12532" s="16301"/>
      <c r="RMV12532" s="12457"/>
    </row>
    <row r="12533" spans="2:2 12525:12540" x14ac:dyDescent="0.3">
      <c r="B12533" s="16301"/>
      <c r="RMW12533" s="12458"/>
    </row>
    <row r="12534" spans="2:2 12525:12540" x14ac:dyDescent="0.3">
      <c r="B12534" s="16301"/>
      <c r="RMX12534" s="12459"/>
    </row>
    <row r="12535" spans="2:2 12525:12540" x14ac:dyDescent="0.3">
      <c r="B12535" s="16301"/>
      <c r="RMY12535" s="12460"/>
    </row>
    <row r="12536" spans="2:2 12525:12540" x14ac:dyDescent="0.3">
      <c r="B12536" s="16301"/>
      <c r="RMZ12536" s="12461"/>
    </row>
    <row r="12537" spans="2:2 12525:12540" x14ac:dyDescent="0.3">
      <c r="B12537" s="16301"/>
      <c r="RNA12537" s="12462"/>
    </row>
    <row r="12538" spans="2:2 12525:12540" x14ac:dyDescent="0.3">
      <c r="B12538" s="16301"/>
      <c r="RNB12538" s="12463"/>
    </row>
    <row r="12539" spans="2:2 12525:12540" x14ac:dyDescent="0.3">
      <c r="B12539" s="16301"/>
      <c r="RNC12539" s="12464"/>
    </row>
    <row r="12540" spans="2:2 12525:12540" x14ac:dyDescent="0.3">
      <c r="B12540" s="16301"/>
      <c r="RND12540" s="12465"/>
    </row>
    <row r="12541" spans="2:2 12525:12540" x14ac:dyDescent="0.3">
      <c r="B12541" s="16301"/>
      <c r="RNE12541" s="12466"/>
    </row>
    <row r="12542" spans="2:2 12525:12540" x14ac:dyDescent="0.3">
      <c r="B12542" s="16301"/>
      <c r="RNF12542" s="12467"/>
    </row>
    <row r="12543" spans="2:2 12525:12540" x14ac:dyDescent="0.3">
      <c r="B12543" s="16301"/>
      <c r="RNG12543" s="12468"/>
    </row>
    <row r="12544" spans="2:2 12525:12540" x14ac:dyDescent="0.3">
      <c r="B12544" s="16301"/>
      <c r="RNH12544" s="12469"/>
    </row>
    <row r="12545" spans="2:2 12541:12556" x14ac:dyDescent="0.3">
      <c r="B12545" s="16301"/>
      <c r="RNI12545" s="12470"/>
    </row>
    <row r="12546" spans="2:2 12541:12556" x14ac:dyDescent="0.3">
      <c r="B12546" s="16301"/>
      <c r="RNJ12546" s="12471"/>
    </row>
    <row r="12547" spans="2:2 12541:12556" x14ac:dyDescent="0.3">
      <c r="B12547" s="16301"/>
      <c r="RNK12547" s="12472"/>
    </row>
    <row r="12548" spans="2:2 12541:12556" x14ac:dyDescent="0.3">
      <c r="B12548" s="16301"/>
      <c r="RNL12548" s="12473"/>
    </row>
    <row r="12549" spans="2:2 12541:12556" x14ac:dyDescent="0.3">
      <c r="B12549" s="16301"/>
      <c r="RNM12549" s="12474"/>
    </row>
    <row r="12550" spans="2:2 12541:12556" x14ac:dyDescent="0.3">
      <c r="B12550" s="16301"/>
      <c r="RNN12550" s="12475"/>
    </row>
    <row r="12551" spans="2:2 12541:12556" x14ac:dyDescent="0.3">
      <c r="B12551" s="16301"/>
      <c r="RNO12551" s="12476"/>
    </row>
    <row r="12552" spans="2:2 12541:12556" x14ac:dyDescent="0.3">
      <c r="B12552" s="16301"/>
      <c r="RNP12552" s="12477"/>
    </row>
    <row r="12553" spans="2:2 12541:12556" x14ac:dyDescent="0.3">
      <c r="B12553" s="16301"/>
      <c r="RNQ12553" s="12478"/>
    </row>
    <row r="12554" spans="2:2 12541:12556" x14ac:dyDescent="0.3">
      <c r="B12554" s="16301"/>
      <c r="RNR12554" s="12479"/>
    </row>
    <row r="12555" spans="2:2 12541:12556" x14ac:dyDescent="0.3">
      <c r="B12555" s="16301"/>
      <c r="RNS12555" s="12480"/>
    </row>
    <row r="12556" spans="2:2 12541:12556" x14ac:dyDescent="0.3">
      <c r="B12556" s="16301"/>
      <c r="RNT12556" s="12481"/>
    </row>
    <row r="12557" spans="2:2 12541:12556" x14ac:dyDescent="0.3">
      <c r="B12557" s="16301"/>
      <c r="RNU12557" s="12482"/>
    </row>
    <row r="12558" spans="2:2 12541:12556" x14ac:dyDescent="0.3">
      <c r="B12558" s="16301"/>
      <c r="RNV12558" s="12483"/>
    </row>
    <row r="12559" spans="2:2 12541:12556" x14ac:dyDescent="0.3">
      <c r="B12559" s="16301"/>
      <c r="RNW12559" s="12484"/>
    </row>
    <row r="12560" spans="2:2 12541:12556" x14ac:dyDescent="0.3">
      <c r="B12560" s="16301"/>
      <c r="RNX12560" s="12485"/>
    </row>
    <row r="12561" spans="2:2 12557:12572" x14ac:dyDescent="0.3">
      <c r="B12561" s="16301"/>
      <c r="RNY12561" s="12486"/>
    </row>
    <row r="12562" spans="2:2 12557:12572" x14ac:dyDescent="0.3">
      <c r="B12562" s="16301"/>
      <c r="RNZ12562" s="12487"/>
    </row>
    <row r="12563" spans="2:2 12557:12572" x14ac:dyDescent="0.3">
      <c r="B12563" s="16301"/>
      <c r="ROA12563" s="12488"/>
    </row>
    <row r="12564" spans="2:2 12557:12572" x14ac:dyDescent="0.3">
      <c r="B12564" s="16301"/>
      <c r="ROB12564" s="12489"/>
    </row>
    <row r="12565" spans="2:2 12557:12572" x14ac:dyDescent="0.3">
      <c r="B12565" s="16301"/>
      <c r="ROC12565" s="12490"/>
    </row>
    <row r="12566" spans="2:2 12557:12572" x14ac:dyDescent="0.3">
      <c r="B12566" s="16301"/>
      <c r="ROD12566" s="12491"/>
    </row>
    <row r="12567" spans="2:2 12557:12572" x14ac:dyDescent="0.3">
      <c r="B12567" s="16301"/>
      <c r="ROE12567" s="12492"/>
    </row>
    <row r="12568" spans="2:2 12557:12572" x14ac:dyDescent="0.3">
      <c r="B12568" s="16301"/>
      <c r="ROF12568" s="12493"/>
    </row>
    <row r="12569" spans="2:2 12557:12572" x14ac:dyDescent="0.3">
      <c r="B12569" s="16301"/>
      <c r="ROG12569" s="12494"/>
    </row>
    <row r="12570" spans="2:2 12557:12572" x14ac:dyDescent="0.3">
      <c r="B12570" s="16301"/>
      <c r="ROH12570" s="12495"/>
    </row>
    <row r="12571" spans="2:2 12557:12572" x14ac:dyDescent="0.3">
      <c r="B12571" s="16301"/>
      <c r="ROI12571" s="12496"/>
    </row>
    <row r="12572" spans="2:2 12557:12572" x14ac:dyDescent="0.3">
      <c r="B12572" s="16301"/>
      <c r="ROJ12572" s="12497"/>
    </row>
    <row r="12573" spans="2:2 12557:12572" x14ac:dyDescent="0.3">
      <c r="B12573" s="16301"/>
      <c r="ROK12573" s="12498"/>
    </row>
    <row r="12574" spans="2:2 12557:12572" x14ac:dyDescent="0.3">
      <c r="B12574" s="16301"/>
      <c r="ROL12574" s="12499"/>
    </row>
    <row r="12575" spans="2:2 12557:12572" x14ac:dyDescent="0.3">
      <c r="B12575" s="16301"/>
      <c r="ROM12575" s="12500"/>
    </row>
    <row r="12576" spans="2:2 12557:12572" x14ac:dyDescent="0.3">
      <c r="B12576" s="16301"/>
      <c r="RON12576" s="12501"/>
    </row>
    <row r="12577" spans="2:2 12573:12588" x14ac:dyDescent="0.3">
      <c r="B12577" s="16301"/>
      <c r="ROO12577" s="12502"/>
    </row>
    <row r="12578" spans="2:2 12573:12588" x14ac:dyDescent="0.3">
      <c r="B12578" s="16301"/>
      <c r="ROP12578" s="12503"/>
    </row>
    <row r="12579" spans="2:2 12573:12588" x14ac:dyDescent="0.3">
      <c r="B12579" s="16301"/>
      <c r="ROQ12579" s="12504"/>
    </row>
    <row r="12580" spans="2:2 12573:12588" x14ac:dyDescent="0.3">
      <c r="B12580" s="16301"/>
      <c r="ROR12580" s="12505"/>
    </row>
    <row r="12581" spans="2:2 12573:12588" x14ac:dyDescent="0.3">
      <c r="B12581" s="16301"/>
      <c r="ROS12581" s="12506"/>
    </row>
    <row r="12582" spans="2:2 12573:12588" x14ac:dyDescent="0.3">
      <c r="B12582" s="16301"/>
      <c r="ROT12582" s="12507"/>
    </row>
    <row r="12583" spans="2:2 12573:12588" x14ac:dyDescent="0.3">
      <c r="B12583" s="16301"/>
      <c r="ROU12583" s="12508"/>
    </row>
    <row r="12584" spans="2:2 12573:12588" x14ac:dyDescent="0.3">
      <c r="B12584" s="16301"/>
      <c r="ROV12584" s="12509"/>
    </row>
    <row r="12585" spans="2:2 12573:12588" x14ac:dyDescent="0.3">
      <c r="B12585" s="16301"/>
      <c r="ROW12585" s="12510"/>
    </row>
    <row r="12586" spans="2:2 12573:12588" x14ac:dyDescent="0.3">
      <c r="B12586" s="16301"/>
      <c r="ROX12586" s="12511"/>
    </row>
    <row r="12587" spans="2:2 12573:12588" x14ac:dyDescent="0.3">
      <c r="B12587" s="16301"/>
      <c r="ROY12587" s="12512"/>
    </row>
    <row r="12588" spans="2:2 12573:12588" x14ac:dyDescent="0.3">
      <c r="B12588" s="16301"/>
      <c r="ROZ12588" s="12513"/>
    </row>
    <row r="12589" spans="2:2 12573:12588" x14ac:dyDescent="0.3">
      <c r="B12589" s="16301"/>
      <c r="RPA12589" s="12514"/>
    </row>
    <row r="12590" spans="2:2 12573:12588" x14ac:dyDescent="0.3">
      <c r="B12590" s="16301"/>
      <c r="RPB12590" s="12515"/>
    </row>
    <row r="12591" spans="2:2 12573:12588" x14ac:dyDescent="0.3">
      <c r="B12591" s="16301"/>
      <c r="RPC12591" s="12516"/>
    </row>
    <row r="12592" spans="2:2 12573:12588" x14ac:dyDescent="0.3">
      <c r="B12592" s="16301"/>
      <c r="RPD12592" s="12517"/>
    </row>
    <row r="12593" spans="2:2 12589:12604" x14ac:dyDescent="0.3">
      <c r="B12593" s="16301"/>
      <c r="RPE12593" s="12518"/>
    </row>
    <row r="12594" spans="2:2 12589:12604" x14ac:dyDescent="0.3">
      <c r="B12594" s="16301"/>
      <c r="RPF12594" s="12519"/>
    </row>
    <row r="12595" spans="2:2 12589:12604" x14ac:dyDescent="0.3">
      <c r="B12595" s="16301"/>
      <c r="RPG12595" s="12520"/>
    </row>
    <row r="12596" spans="2:2 12589:12604" x14ac:dyDescent="0.3">
      <c r="B12596" s="16301"/>
      <c r="RPH12596" s="12521"/>
    </row>
    <row r="12597" spans="2:2 12589:12604" x14ac:dyDescent="0.3">
      <c r="B12597" s="16301"/>
      <c r="RPI12597" s="12522"/>
    </row>
    <row r="12598" spans="2:2 12589:12604" x14ac:dyDescent="0.3">
      <c r="B12598" s="16301"/>
      <c r="RPJ12598" s="12523"/>
    </row>
    <row r="12599" spans="2:2 12589:12604" x14ac:dyDescent="0.3">
      <c r="B12599" s="16301"/>
      <c r="RPK12599" s="12523"/>
    </row>
    <row r="12600" spans="2:2 12589:12604" x14ac:dyDescent="0.3">
      <c r="B12600" s="16301"/>
      <c r="RPL12600" s="12524"/>
    </row>
    <row r="12601" spans="2:2 12589:12604" x14ac:dyDescent="0.3">
      <c r="B12601" s="16301"/>
      <c r="RPM12601" s="12525"/>
    </row>
    <row r="12602" spans="2:2 12589:12604" x14ac:dyDescent="0.3">
      <c r="B12602" s="16301"/>
      <c r="RPN12602" s="12526"/>
    </row>
    <row r="12603" spans="2:2 12589:12604" x14ac:dyDescent="0.3">
      <c r="B12603" s="16301"/>
      <c r="RPO12603" s="12527"/>
    </row>
    <row r="12604" spans="2:2 12589:12604" x14ac:dyDescent="0.3">
      <c r="B12604" s="16301"/>
      <c r="RPP12604" s="12528"/>
    </row>
    <row r="12605" spans="2:2 12589:12604" x14ac:dyDescent="0.3">
      <c r="B12605" s="16301"/>
      <c r="RPQ12605" s="12529"/>
    </row>
    <row r="12606" spans="2:2 12589:12604" x14ac:dyDescent="0.3">
      <c r="B12606" s="16301"/>
      <c r="RPR12606" s="12530"/>
    </row>
    <row r="12607" spans="2:2 12589:12604" x14ac:dyDescent="0.3">
      <c r="B12607" s="16301"/>
      <c r="RPS12607" s="12531"/>
    </row>
    <row r="12608" spans="2:2 12589:12604" x14ac:dyDescent="0.3">
      <c r="B12608" s="16301"/>
      <c r="RPT12608" s="12532"/>
    </row>
    <row r="12609" spans="2:2 12605:12620" x14ac:dyDescent="0.3">
      <c r="B12609" s="16301"/>
      <c r="RPU12609" s="12533"/>
    </row>
    <row r="12610" spans="2:2 12605:12620" x14ac:dyDescent="0.3">
      <c r="B12610" s="16301"/>
      <c r="RPV12610" s="12534"/>
    </row>
    <row r="12611" spans="2:2 12605:12620" x14ac:dyDescent="0.3">
      <c r="B12611" s="16301"/>
      <c r="RPW12611" s="12535"/>
    </row>
    <row r="12612" spans="2:2 12605:12620" x14ac:dyDescent="0.3">
      <c r="B12612" s="16301"/>
      <c r="RPX12612" s="12536"/>
    </row>
    <row r="12613" spans="2:2 12605:12620" x14ac:dyDescent="0.3">
      <c r="B12613" s="16301"/>
      <c r="RPY12613" s="12537"/>
    </row>
    <row r="12614" spans="2:2 12605:12620" x14ac:dyDescent="0.3">
      <c r="B12614" s="16301"/>
      <c r="RPZ12614" s="12538"/>
    </row>
    <row r="12615" spans="2:2 12605:12620" x14ac:dyDescent="0.3">
      <c r="B12615" s="16301"/>
      <c r="RQA12615" s="12539"/>
    </row>
    <row r="12616" spans="2:2 12605:12620" x14ac:dyDescent="0.3">
      <c r="B12616" s="16301"/>
      <c r="RQB12616" s="12540"/>
    </row>
    <row r="12617" spans="2:2 12605:12620" x14ac:dyDescent="0.3">
      <c r="B12617" s="16301"/>
      <c r="RQC12617" s="12541"/>
    </row>
    <row r="12618" spans="2:2 12605:12620" x14ac:dyDescent="0.3">
      <c r="B12618" s="16301"/>
      <c r="RQD12618" s="12542"/>
    </row>
    <row r="12619" spans="2:2 12605:12620" x14ac:dyDescent="0.3">
      <c r="B12619" s="16301"/>
      <c r="RQE12619" s="12543"/>
    </row>
    <row r="12620" spans="2:2 12605:12620" x14ac:dyDescent="0.3">
      <c r="B12620" s="16301"/>
      <c r="RQF12620" s="12544"/>
    </row>
    <row r="12621" spans="2:2 12605:12620" x14ac:dyDescent="0.3">
      <c r="B12621" s="16301"/>
      <c r="RQG12621" s="12545"/>
    </row>
    <row r="12622" spans="2:2 12605:12620" x14ac:dyDescent="0.3">
      <c r="B12622" s="16301"/>
      <c r="RQH12622" s="12546"/>
    </row>
    <row r="12623" spans="2:2 12605:12620" x14ac:dyDescent="0.3">
      <c r="B12623" s="16301"/>
      <c r="RQI12623" s="12547"/>
    </row>
    <row r="12624" spans="2:2 12605:12620" x14ac:dyDescent="0.3">
      <c r="B12624" s="16301"/>
      <c r="RQJ12624" s="12548"/>
    </row>
    <row r="12625" spans="2:2 12621:12636" x14ac:dyDescent="0.3">
      <c r="B12625" s="16301"/>
      <c r="RQK12625" s="12549"/>
    </row>
    <row r="12626" spans="2:2 12621:12636" x14ac:dyDescent="0.3">
      <c r="B12626" s="16301"/>
      <c r="RQL12626" s="12550"/>
    </row>
    <row r="12627" spans="2:2 12621:12636" x14ac:dyDescent="0.3">
      <c r="B12627" s="16301"/>
      <c r="RQM12627" s="12551"/>
    </row>
    <row r="12628" spans="2:2 12621:12636" x14ac:dyDescent="0.3">
      <c r="B12628" s="16301"/>
      <c r="RQN12628" s="12552"/>
    </row>
    <row r="12629" spans="2:2 12621:12636" x14ac:dyDescent="0.3">
      <c r="B12629" s="16301"/>
      <c r="RQO12629" s="12553"/>
    </row>
    <row r="12630" spans="2:2 12621:12636" x14ac:dyDescent="0.3">
      <c r="B12630" s="16301"/>
      <c r="RQP12630" s="12554"/>
    </row>
    <row r="12631" spans="2:2 12621:12636" x14ac:dyDescent="0.3">
      <c r="B12631" s="16301"/>
      <c r="RQQ12631" s="12555"/>
    </row>
    <row r="12632" spans="2:2 12621:12636" x14ac:dyDescent="0.3">
      <c r="B12632" s="16301"/>
      <c r="RQR12632" s="12556"/>
    </row>
    <row r="12633" spans="2:2 12621:12636" x14ac:dyDescent="0.3">
      <c r="B12633" s="16301"/>
      <c r="RQS12633" s="12557"/>
    </row>
    <row r="12634" spans="2:2 12621:12636" x14ac:dyDescent="0.3">
      <c r="B12634" s="16301"/>
      <c r="RQT12634" s="12558"/>
    </row>
    <row r="12635" spans="2:2 12621:12636" x14ac:dyDescent="0.3">
      <c r="B12635" s="16301"/>
      <c r="RQU12635" s="12559"/>
    </row>
    <row r="12636" spans="2:2 12621:12636" x14ac:dyDescent="0.3">
      <c r="B12636" s="16301"/>
      <c r="RQV12636" s="12560"/>
    </row>
    <row r="12637" spans="2:2 12621:12636" x14ac:dyDescent="0.3">
      <c r="B12637" s="16301"/>
      <c r="RQW12637" s="12561"/>
    </row>
    <row r="12638" spans="2:2 12621:12636" x14ac:dyDescent="0.3">
      <c r="B12638" s="16301"/>
      <c r="RQX12638" s="12562"/>
    </row>
    <row r="12639" spans="2:2 12621:12636" x14ac:dyDescent="0.3">
      <c r="B12639" s="16301"/>
      <c r="RQY12639" s="12563"/>
    </row>
    <row r="12640" spans="2:2 12621:12636" x14ac:dyDescent="0.3">
      <c r="B12640" s="16301"/>
      <c r="RQZ12640" s="12564"/>
    </row>
    <row r="12641" spans="2:2 12637:12652" x14ac:dyDescent="0.3">
      <c r="B12641" s="16301"/>
      <c r="RRA12641" s="12565"/>
    </row>
    <row r="12642" spans="2:2 12637:12652" x14ac:dyDescent="0.3">
      <c r="B12642" s="16301"/>
      <c r="RRB12642" s="12566"/>
    </row>
    <row r="12643" spans="2:2 12637:12652" x14ac:dyDescent="0.3">
      <c r="B12643" s="16301"/>
      <c r="RRC12643" s="12567"/>
    </row>
    <row r="12644" spans="2:2 12637:12652" x14ac:dyDescent="0.3">
      <c r="B12644" s="16301"/>
      <c r="RRD12644" s="12568"/>
    </row>
    <row r="12645" spans="2:2 12637:12652" x14ac:dyDescent="0.3">
      <c r="B12645" s="16301"/>
      <c r="RRE12645" s="12569"/>
    </row>
    <row r="12646" spans="2:2 12637:12652" x14ac:dyDescent="0.3">
      <c r="B12646" s="16301"/>
      <c r="RRF12646" s="12570"/>
    </row>
    <row r="12647" spans="2:2 12637:12652" x14ac:dyDescent="0.3">
      <c r="B12647" s="16301"/>
      <c r="RRG12647" s="12571"/>
    </row>
    <row r="12648" spans="2:2 12637:12652" x14ac:dyDescent="0.3">
      <c r="B12648" s="16301"/>
      <c r="RRH12648" s="12572"/>
    </row>
    <row r="12649" spans="2:2 12637:12652" x14ac:dyDescent="0.3">
      <c r="B12649" s="16301"/>
      <c r="RRI12649" s="12573"/>
    </row>
    <row r="12650" spans="2:2 12637:12652" x14ac:dyDescent="0.3">
      <c r="B12650" s="16301"/>
      <c r="RRJ12650" s="12574"/>
    </row>
    <row r="12651" spans="2:2 12637:12652" x14ac:dyDescent="0.3">
      <c r="B12651" s="16301"/>
      <c r="RRK12651" s="12575"/>
    </row>
    <row r="12652" spans="2:2 12637:12652" x14ac:dyDescent="0.3">
      <c r="B12652" s="16301"/>
      <c r="RRL12652" s="12576"/>
    </row>
    <row r="12653" spans="2:2 12637:12652" x14ac:dyDescent="0.3">
      <c r="B12653" s="16301"/>
      <c r="RRM12653" s="12577"/>
    </row>
    <row r="12654" spans="2:2 12637:12652" x14ac:dyDescent="0.3">
      <c r="B12654" s="16301"/>
      <c r="RRN12654" s="12578"/>
    </row>
    <row r="12655" spans="2:2 12637:12652" x14ac:dyDescent="0.3">
      <c r="B12655" s="16301"/>
      <c r="RRO12655" s="12579"/>
    </row>
    <row r="12656" spans="2:2 12637:12652" x14ac:dyDescent="0.3">
      <c r="B12656" s="16301"/>
      <c r="RRP12656" s="12580"/>
    </row>
    <row r="12657" spans="2:2 12653:12668" x14ac:dyDescent="0.3">
      <c r="B12657" s="16301"/>
      <c r="RRQ12657" s="12581"/>
    </row>
    <row r="12658" spans="2:2 12653:12668" x14ac:dyDescent="0.3">
      <c r="B12658" s="16301"/>
      <c r="RRR12658" s="12582"/>
    </row>
    <row r="12659" spans="2:2 12653:12668" x14ac:dyDescent="0.3">
      <c r="B12659" s="16301"/>
      <c r="RRS12659" s="12583"/>
    </row>
    <row r="12660" spans="2:2 12653:12668" x14ac:dyDescent="0.3">
      <c r="B12660" s="16301"/>
      <c r="RRT12660" s="12584"/>
    </row>
    <row r="12661" spans="2:2 12653:12668" x14ac:dyDescent="0.3">
      <c r="B12661" s="16301"/>
      <c r="RRU12661" s="12585"/>
    </row>
    <row r="12662" spans="2:2 12653:12668" x14ac:dyDescent="0.3">
      <c r="B12662" s="16301"/>
      <c r="RRV12662" s="12586"/>
    </row>
    <row r="12663" spans="2:2 12653:12668" x14ac:dyDescent="0.3">
      <c r="B12663" s="16301"/>
      <c r="RRW12663" s="12587"/>
    </row>
    <row r="12664" spans="2:2 12653:12668" x14ac:dyDescent="0.3">
      <c r="B12664" s="16301"/>
      <c r="RRX12664" s="12588"/>
    </row>
    <row r="12665" spans="2:2 12653:12668" x14ac:dyDescent="0.3">
      <c r="B12665" s="16301"/>
      <c r="RRY12665" s="12589"/>
    </row>
    <row r="12666" spans="2:2 12653:12668" x14ac:dyDescent="0.3">
      <c r="B12666" s="16301"/>
      <c r="RRZ12666" s="12590"/>
    </row>
    <row r="12667" spans="2:2 12653:12668" x14ac:dyDescent="0.3">
      <c r="B12667" s="16301"/>
      <c r="RSA12667" s="12591"/>
    </row>
    <row r="12668" spans="2:2 12653:12668" x14ac:dyDescent="0.3">
      <c r="B12668" s="16301"/>
      <c r="RSB12668" s="12592"/>
    </row>
    <row r="12669" spans="2:2 12653:12668" x14ac:dyDescent="0.3">
      <c r="B12669" s="16301"/>
      <c r="RSC12669" s="12593"/>
    </row>
    <row r="12670" spans="2:2 12653:12668" x14ac:dyDescent="0.3">
      <c r="B12670" s="16301"/>
      <c r="RSD12670" s="12594"/>
    </row>
    <row r="12671" spans="2:2 12653:12668" x14ac:dyDescent="0.3">
      <c r="B12671" s="16301"/>
      <c r="RSE12671" s="12595"/>
    </row>
    <row r="12672" spans="2:2 12653:12668" x14ac:dyDescent="0.3">
      <c r="B12672" s="16301"/>
      <c r="RSF12672" s="12596"/>
    </row>
    <row r="12673" spans="2:2 12669:12684" x14ac:dyDescent="0.3">
      <c r="B12673" s="16301"/>
      <c r="RSG12673" s="12597"/>
    </row>
    <row r="12674" spans="2:2 12669:12684" x14ac:dyDescent="0.3">
      <c r="B12674" s="16301"/>
      <c r="RSH12674" s="12598"/>
    </row>
    <row r="12675" spans="2:2 12669:12684" x14ac:dyDescent="0.3">
      <c r="B12675" s="16301"/>
      <c r="RSI12675" s="12599"/>
    </row>
    <row r="12676" spans="2:2 12669:12684" x14ac:dyDescent="0.3">
      <c r="B12676" s="16301"/>
      <c r="RSJ12676" s="12600"/>
    </row>
    <row r="12677" spans="2:2 12669:12684" x14ac:dyDescent="0.3">
      <c r="B12677" s="16301"/>
      <c r="RSK12677" s="12601"/>
    </row>
    <row r="12678" spans="2:2 12669:12684" x14ac:dyDescent="0.3">
      <c r="B12678" s="16301"/>
      <c r="RSL12678" s="12602"/>
    </row>
    <row r="12679" spans="2:2 12669:12684" x14ac:dyDescent="0.3">
      <c r="B12679" s="16301"/>
      <c r="RSM12679" s="12603"/>
    </row>
    <row r="12680" spans="2:2 12669:12684" x14ac:dyDescent="0.3">
      <c r="B12680" s="16301"/>
      <c r="RSN12680" s="12604"/>
    </row>
    <row r="12681" spans="2:2 12669:12684" x14ac:dyDescent="0.3">
      <c r="B12681" s="16301"/>
      <c r="RSO12681" s="12605"/>
    </row>
    <row r="12682" spans="2:2 12669:12684" x14ac:dyDescent="0.3">
      <c r="B12682" s="16301"/>
      <c r="RSP12682" s="12606"/>
    </row>
    <row r="12683" spans="2:2 12669:12684" x14ac:dyDescent="0.3">
      <c r="B12683" s="16301"/>
      <c r="RSQ12683" s="12607"/>
    </row>
    <row r="12684" spans="2:2 12669:12684" x14ac:dyDescent="0.3">
      <c r="B12684" s="16301"/>
      <c r="RSR12684" s="12608"/>
    </row>
    <row r="12685" spans="2:2 12669:12684" x14ac:dyDescent="0.3">
      <c r="B12685" s="16301"/>
      <c r="RSS12685" s="12609"/>
    </row>
    <row r="12686" spans="2:2 12669:12684" x14ac:dyDescent="0.3">
      <c r="B12686" s="16301"/>
      <c r="RST12686" s="12610"/>
    </row>
    <row r="12687" spans="2:2 12669:12684" x14ac:dyDescent="0.3">
      <c r="B12687" s="16301"/>
      <c r="RSU12687" s="12611"/>
    </row>
    <row r="12688" spans="2:2 12669:12684" x14ac:dyDescent="0.3">
      <c r="B12688" s="16301"/>
      <c r="RSV12688" s="12612"/>
    </row>
    <row r="12689" spans="2:2 12685:12700" x14ac:dyDescent="0.3">
      <c r="B12689" s="16301"/>
      <c r="RSW12689" s="12613"/>
    </row>
    <row r="12690" spans="2:2 12685:12700" x14ac:dyDescent="0.3">
      <c r="B12690" s="16301"/>
      <c r="RSX12690" s="12614"/>
    </row>
    <row r="12691" spans="2:2 12685:12700" x14ac:dyDescent="0.3">
      <c r="B12691" s="16301"/>
      <c r="RSY12691" s="12615"/>
    </row>
    <row r="12692" spans="2:2 12685:12700" x14ac:dyDescent="0.3">
      <c r="B12692" s="16301"/>
      <c r="RSZ12692" s="12616"/>
    </row>
    <row r="12693" spans="2:2 12685:12700" x14ac:dyDescent="0.3">
      <c r="B12693" s="16301"/>
      <c r="RTA12693" s="12617"/>
    </row>
    <row r="12694" spans="2:2 12685:12700" x14ac:dyDescent="0.3">
      <c r="B12694" s="16301"/>
      <c r="RTB12694" s="12618"/>
    </row>
    <row r="12695" spans="2:2 12685:12700" x14ac:dyDescent="0.3">
      <c r="B12695" s="16301"/>
      <c r="RTC12695" s="12619"/>
    </row>
    <row r="12696" spans="2:2 12685:12700" x14ac:dyDescent="0.3">
      <c r="B12696" s="16301"/>
      <c r="RTD12696" s="12620"/>
    </row>
    <row r="12697" spans="2:2 12685:12700" x14ac:dyDescent="0.3">
      <c r="B12697" s="16301"/>
      <c r="RTE12697" s="12621"/>
    </row>
    <row r="12698" spans="2:2 12685:12700" x14ac:dyDescent="0.3">
      <c r="B12698" s="16301"/>
      <c r="RTF12698" s="12622"/>
    </row>
    <row r="12699" spans="2:2 12685:12700" x14ac:dyDescent="0.3">
      <c r="B12699" s="16301"/>
      <c r="RTG12699" s="12623"/>
    </row>
    <row r="12700" spans="2:2 12685:12700" x14ac:dyDescent="0.3">
      <c r="B12700" s="16301"/>
      <c r="RTH12700" s="12624"/>
    </row>
    <row r="12701" spans="2:2 12685:12700" x14ac:dyDescent="0.3">
      <c r="B12701" s="16301"/>
      <c r="RTI12701" s="12625"/>
    </row>
    <row r="12702" spans="2:2 12685:12700" x14ac:dyDescent="0.3">
      <c r="B12702" s="16301"/>
      <c r="RTJ12702" s="12626"/>
    </row>
    <row r="12703" spans="2:2 12685:12700" x14ac:dyDescent="0.3">
      <c r="B12703" s="16301"/>
      <c r="RTK12703" s="12627"/>
    </row>
    <row r="12704" spans="2:2 12685:12700" x14ac:dyDescent="0.3">
      <c r="B12704" s="16301"/>
      <c r="RTL12704" s="12628"/>
    </row>
    <row r="12705" spans="2:2 12701:12716" x14ac:dyDescent="0.3">
      <c r="B12705" s="16301"/>
      <c r="RTM12705" s="12629"/>
    </row>
    <row r="12706" spans="2:2 12701:12716" x14ac:dyDescent="0.3">
      <c r="B12706" s="16301"/>
      <c r="RTN12706" s="12630"/>
    </row>
    <row r="12707" spans="2:2 12701:12716" x14ac:dyDescent="0.3">
      <c r="B12707" s="16301"/>
      <c r="RTO12707" s="12631"/>
    </row>
    <row r="12708" spans="2:2 12701:12716" x14ac:dyDescent="0.3">
      <c r="B12708" s="16301"/>
      <c r="RTP12708" s="12632"/>
    </row>
    <row r="12709" spans="2:2 12701:12716" x14ac:dyDescent="0.3">
      <c r="B12709" s="16301"/>
      <c r="RTQ12709" s="12633"/>
    </row>
    <row r="12710" spans="2:2 12701:12716" x14ac:dyDescent="0.3">
      <c r="B12710" s="16301"/>
      <c r="RTR12710" s="12634"/>
    </row>
    <row r="12711" spans="2:2 12701:12716" x14ac:dyDescent="0.3">
      <c r="B12711" s="16301"/>
      <c r="RTS12711" s="12635"/>
    </row>
    <row r="12712" spans="2:2 12701:12716" x14ac:dyDescent="0.3">
      <c r="B12712" s="16301"/>
      <c r="RTT12712" s="12636"/>
    </row>
    <row r="12713" spans="2:2 12701:12716" x14ac:dyDescent="0.3">
      <c r="B12713" s="16301"/>
      <c r="RTU12713" s="12637"/>
    </row>
    <row r="12714" spans="2:2 12701:12716" x14ac:dyDescent="0.3">
      <c r="B12714" s="16301"/>
      <c r="RTV12714" s="12638"/>
    </row>
    <row r="12715" spans="2:2 12701:12716" x14ac:dyDescent="0.3">
      <c r="B12715" s="16301"/>
      <c r="RTW12715" s="12639"/>
    </row>
    <row r="12716" spans="2:2 12701:12716" x14ac:dyDescent="0.3">
      <c r="B12716" s="16301"/>
      <c r="RTX12716" s="12640"/>
    </row>
    <row r="12717" spans="2:2 12701:12716" x14ac:dyDescent="0.3">
      <c r="B12717" s="16301"/>
      <c r="RTY12717" s="12641"/>
    </row>
    <row r="12718" spans="2:2 12701:12716" x14ac:dyDescent="0.3">
      <c r="B12718" s="16301"/>
      <c r="RTZ12718" s="12642"/>
    </row>
    <row r="12719" spans="2:2 12701:12716" x14ac:dyDescent="0.3">
      <c r="B12719" s="16301"/>
      <c r="RUA12719" s="12643"/>
    </row>
    <row r="12720" spans="2:2 12701:12716" x14ac:dyDescent="0.3">
      <c r="B12720" s="16301"/>
      <c r="RUB12720" s="12644"/>
    </row>
    <row r="12721" spans="2:2 12717:12732" x14ac:dyDescent="0.3">
      <c r="B12721" s="16301"/>
      <c r="RUC12721" s="12645"/>
    </row>
    <row r="12722" spans="2:2 12717:12732" x14ac:dyDescent="0.3">
      <c r="B12722" s="16301"/>
      <c r="RUD12722" s="12646"/>
    </row>
    <row r="12723" spans="2:2 12717:12732" x14ac:dyDescent="0.3">
      <c r="B12723" s="16301"/>
      <c r="RUE12723" s="12647"/>
    </row>
    <row r="12724" spans="2:2 12717:12732" x14ac:dyDescent="0.3">
      <c r="B12724" s="16301"/>
      <c r="RUF12724" s="12648"/>
    </row>
    <row r="12725" spans="2:2 12717:12732" x14ac:dyDescent="0.3">
      <c r="B12725" s="16301"/>
      <c r="RUG12725" s="12649"/>
    </row>
    <row r="12726" spans="2:2 12717:12732" x14ac:dyDescent="0.3">
      <c r="B12726" s="16301"/>
      <c r="RUH12726" s="12650"/>
    </row>
    <row r="12727" spans="2:2 12717:12732" x14ac:dyDescent="0.3">
      <c r="B12727" s="16301"/>
      <c r="RUI12727" s="12651"/>
    </row>
    <row r="12728" spans="2:2 12717:12732" x14ac:dyDescent="0.3">
      <c r="B12728" s="16301"/>
      <c r="RUJ12728" s="12652"/>
    </row>
    <row r="12729" spans="2:2 12717:12732" x14ac:dyDescent="0.3">
      <c r="B12729" s="16301"/>
      <c r="RUK12729" s="12653"/>
    </row>
    <row r="12730" spans="2:2 12717:12732" x14ac:dyDescent="0.3">
      <c r="B12730" s="16301"/>
      <c r="RUL12730" s="12654"/>
    </row>
    <row r="12731" spans="2:2 12717:12732" x14ac:dyDescent="0.3">
      <c r="B12731" s="16301"/>
      <c r="RUM12731" s="12655"/>
    </row>
    <row r="12732" spans="2:2 12717:12732" x14ac:dyDescent="0.3">
      <c r="B12732" s="16301"/>
      <c r="RUN12732" s="12656"/>
    </row>
    <row r="12733" spans="2:2 12717:12732" x14ac:dyDescent="0.3">
      <c r="B12733" s="16301"/>
      <c r="RUO12733" s="12657"/>
    </row>
    <row r="12734" spans="2:2 12717:12732" x14ac:dyDescent="0.3">
      <c r="B12734" s="16301"/>
      <c r="RUP12734" s="12658"/>
    </row>
    <row r="12735" spans="2:2 12717:12732" x14ac:dyDescent="0.3">
      <c r="B12735" s="16301"/>
      <c r="RUQ12735" s="12659"/>
    </row>
    <row r="12736" spans="2:2 12717:12732" x14ac:dyDescent="0.3">
      <c r="B12736" s="16301"/>
      <c r="RUR12736" s="12660"/>
    </row>
    <row r="12737" spans="2:2 12733:12748" x14ac:dyDescent="0.3">
      <c r="B12737" s="16301"/>
      <c r="RUS12737" s="12661"/>
    </row>
    <row r="12738" spans="2:2 12733:12748" x14ac:dyDescent="0.3">
      <c r="B12738" s="16301"/>
      <c r="RUT12738" s="12662"/>
    </row>
    <row r="12739" spans="2:2 12733:12748" x14ac:dyDescent="0.3">
      <c r="B12739" s="16301"/>
      <c r="RUU12739" s="12663"/>
    </row>
    <row r="12740" spans="2:2 12733:12748" x14ac:dyDescent="0.3">
      <c r="B12740" s="16301"/>
      <c r="RUV12740" s="12664"/>
    </row>
    <row r="12741" spans="2:2 12733:12748" x14ac:dyDescent="0.3">
      <c r="B12741" s="16301"/>
      <c r="RUW12741" s="12665"/>
    </row>
    <row r="12742" spans="2:2 12733:12748" x14ac:dyDescent="0.3">
      <c r="B12742" s="16301"/>
      <c r="RUX12742" s="12666"/>
    </row>
    <row r="12743" spans="2:2 12733:12748" x14ac:dyDescent="0.3">
      <c r="B12743" s="16301"/>
      <c r="RUY12743" s="12667"/>
    </row>
    <row r="12744" spans="2:2 12733:12748" x14ac:dyDescent="0.3">
      <c r="B12744" s="16301"/>
      <c r="RUZ12744" s="12668"/>
    </row>
    <row r="12745" spans="2:2 12733:12748" x14ac:dyDescent="0.3">
      <c r="B12745" s="16301"/>
      <c r="RVA12745" s="12669"/>
    </row>
    <row r="12746" spans="2:2 12733:12748" x14ac:dyDescent="0.3">
      <c r="B12746" s="16301"/>
      <c r="RVB12746" s="12670"/>
    </row>
    <row r="12747" spans="2:2 12733:12748" x14ac:dyDescent="0.3">
      <c r="B12747" s="16301"/>
      <c r="RVC12747" s="12671"/>
    </row>
    <row r="12748" spans="2:2 12733:12748" x14ac:dyDescent="0.3">
      <c r="B12748" s="16301"/>
      <c r="RVD12748" s="12672"/>
    </row>
    <row r="12749" spans="2:2 12733:12748" x14ac:dyDescent="0.3">
      <c r="B12749" s="16301"/>
      <c r="RVE12749" s="12673"/>
    </row>
    <row r="12750" spans="2:2 12733:12748" x14ac:dyDescent="0.3">
      <c r="B12750" s="16301"/>
      <c r="RVF12750" s="12674"/>
    </row>
    <row r="12751" spans="2:2 12733:12748" x14ac:dyDescent="0.3">
      <c r="B12751" s="16301"/>
      <c r="RVG12751" s="12675"/>
    </row>
    <row r="12752" spans="2:2 12733:12748" x14ac:dyDescent="0.3">
      <c r="B12752" s="16301"/>
      <c r="RVH12752" s="12676"/>
    </row>
    <row r="12753" spans="2:2 12749:12764" x14ac:dyDescent="0.3">
      <c r="B12753" s="16301"/>
      <c r="RVI12753" s="12677"/>
    </row>
    <row r="12754" spans="2:2 12749:12764" x14ac:dyDescent="0.3">
      <c r="B12754" s="16301"/>
      <c r="RVJ12754" s="12678"/>
    </row>
    <row r="12755" spans="2:2 12749:12764" x14ac:dyDescent="0.3">
      <c r="B12755" s="16301"/>
      <c r="RVK12755" s="12679"/>
    </row>
    <row r="12756" spans="2:2 12749:12764" x14ac:dyDescent="0.3">
      <c r="B12756" s="16301"/>
      <c r="RVL12756" s="12680"/>
    </row>
    <row r="12757" spans="2:2 12749:12764" x14ac:dyDescent="0.3">
      <c r="B12757" s="16301"/>
      <c r="RVM12757" s="12681"/>
    </row>
    <row r="12758" spans="2:2 12749:12764" x14ac:dyDescent="0.3">
      <c r="B12758" s="16301"/>
      <c r="RVN12758" s="12682"/>
    </row>
    <row r="12759" spans="2:2 12749:12764" x14ac:dyDescent="0.3">
      <c r="B12759" s="16301"/>
      <c r="RVO12759" s="12683"/>
    </row>
    <row r="12760" spans="2:2 12749:12764" x14ac:dyDescent="0.3">
      <c r="B12760" s="16301"/>
      <c r="RVP12760" s="12684"/>
    </row>
    <row r="12761" spans="2:2 12749:12764" x14ac:dyDescent="0.3">
      <c r="B12761" s="16301"/>
      <c r="RVQ12761" s="12685"/>
    </row>
    <row r="12762" spans="2:2 12749:12764" x14ac:dyDescent="0.3">
      <c r="B12762" s="16301"/>
      <c r="RVR12762" s="12686"/>
    </row>
    <row r="12763" spans="2:2 12749:12764" x14ac:dyDescent="0.3">
      <c r="B12763" s="16301"/>
      <c r="RVS12763" s="12687"/>
    </row>
    <row r="12764" spans="2:2 12749:12764" x14ac:dyDescent="0.3">
      <c r="B12764" s="16301"/>
      <c r="RVT12764" s="12688"/>
    </row>
    <row r="12765" spans="2:2 12749:12764" x14ac:dyDescent="0.3">
      <c r="B12765" s="16301"/>
      <c r="RVU12765" s="12689"/>
    </row>
    <row r="12766" spans="2:2 12749:12764" x14ac:dyDescent="0.3">
      <c r="B12766" s="16301"/>
      <c r="RVV12766" s="12690"/>
    </row>
    <row r="12767" spans="2:2 12749:12764" x14ac:dyDescent="0.3">
      <c r="B12767" s="16301"/>
      <c r="RVW12767" s="12691"/>
    </row>
    <row r="12768" spans="2:2 12749:12764" x14ac:dyDescent="0.3">
      <c r="B12768" s="16301"/>
      <c r="RVX12768" s="12692"/>
    </row>
    <row r="12769" spans="2:2 12765:12780" x14ac:dyDescent="0.3">
      <c r="B12769" s="16301"/>
      <c r="RVY12769" s="12693"/>
    </row>
    <row r="12770" spans="2:2 12765:12780" x14ac:dyDescent="0.3">
      <c r="B12770" s="16301"/>
      <c r="RVZ12770" s="12694"/>
    </row>
    <row r="12771" spans="2:2 12765:12780" x14ac:dyDescent="0.3">
      <c r="B12771" s="16301"/>
      <c r="RWA12771" s="12695"/>
    </row>
    <row r="12772" spans="2:2 12765:12780" x14ac:dyDescent="0.3">
      <c r="B12772" s="16301"/>
      <c r="RWB12772" s="12696"/>
    </row>
    <row r="12773" spans="2:2 12765:12780" x14ac:dyDescent="0.3">
      <c r="B12773" s="16301"/>
      <c r="RWC12773" s="12697"/>
    </row>
    <row r="12774" spans="2:2 12765:12780" x14ac:dyDescent="0.3">
      <c r="B12774" s="16301"/>
      <c r="RWD12774" s="12698"/>
    </row>
    <row r="12775" spans="2:2 12765:12780" x14ac:dyDescent="0.3">
      <c r="B12775" s="16301"/>
      <c r="RWE12775" s="12699"/>
    </row>
    <row r="12776" spans="2:2 12765:12780" x14ac:dyDescent="0.3">
      <c r="B12776" s="16301"/>
      <c r="RWF12776" s="12700"/>
    </row>
    <row r="12777" spans="2:2 12765:12780" x14ac:dyDescent="0.3">
      <c r="B12777" s="16301"/>
      <c r="RWG12777" s="12701"/>
    </row>
    <row r="12778" spans="2:2 12765:12780" x14ac:dyDescent="0.3">
      <c r="B12778" s="16301"/>
      <c r="RWH12778" s="12702"/>
    </row>
    <row r="12779" spans="2:2 12765:12780" x14ac:dyDescent="0.3">
      <c r="B12779" s="16301"/>
      <c r="RWI12779" s="12703"/>
    </row>
    <row r="12780" spans="2:2 12765:12780" x14ac:dyDescent="0.3">
      <c r="B12780" s="16301"/>
      <c r="RWJ12780" s="12704"/>
    </row>
    <row r="12781" spans="2:2 12765:12780" x14ac:dyDescent="0.3">
      <c r="B12781" s="16301"/>
      <c r="RWK12781" s="12705"/>
    </row>
    <row r="12782" spans="2:2 12765:12780" x14ac:dyDescent="0.3">
      <c r="B12782" s="16301"/>
      <c r="RWL12782" s="12706"/>
    </row>
    <row r="12783" spans="2:2 12765:12780" x14ac:dyDescent="0.3">
      <c r="B12783" s="16301"/>
      <c r="RWM12783" s="12707"/>
    </row>
    <row r="12784" spans="2:2 12765:12780" x14ac:dyDescent="0.3">
      <c r="B12784" s="16301"/>
      <c r="RWN12784" s="12708"/>
    </row>
    <row r="12785" spans="2:2 12781:12796" x14ac:dyDescent="0.3">
      <c r="B12785" s="16301"/>
      <c r="RWO12785" s="12709"/>
    </row>
    <row r="12786" spans="2:2 12781:12796" x14ac:dyDescent="0.3">
      <c r="B12786" s="16301"/>
      <c r="RWP12786" s="12710"/>
    </row>
    <row r="12787" spans="2:2 12781:12796" x14ac:dyDescent="0.3">
      <c r="B12787" s="16301"/>
      <c r="RWQ12787" s="12711"/>
    </row>
    <row r="12788" spans="2:2 12781:12796" x14ac:dyDescent="0.3">
      <c r="B12788" s="16301"/>
      <c r="RWR12788" s="12712"/>
    </row>
    <row r="12789" spans="2:2 12781:12796" x14ac:dyDescent="0.3">
      <c r="B12789" s="16301"/>
      <c r="RWS12789" s="12713"/>
    </row>
    <row r="12790" spans="2:2 12781:12796" x14ac:dyDescent="0.3">
      <c r="B12790" s="16301"/>
      <c r="RWT12790" s="12714"/>
    </row>
    <row r="12791" spans="2:2 12781:12796" x14ac:dyDescent="0.3">
      <c r="B12791" s="16301"/>
      <c r="RWU12791" s="12715"/>
    </row>
    <row r="12792" spans="2:2 12781:12796" x14ac:dyDescent="0.3">
      <c r="B12792" s="16301"/>
      <c r="RWV12792" s="12716"/>
    </row>
    <row r="12793" spans="2:2 12781:12796" x14ac:dyDescent="0.3">
      <c r="B12793" s="16301"/>
      <c r="RWW12793" s="12717"/>
    </row>
    <row r="12794" spans="2:2 12781:12796" x14ac:dyDescent="0.3">
      <c r="B12794" s="16301"/>
      <c r="RWX12794" s="12718"/>
    </row>
    <row r="12795" spans="2:2 12781:12796" x14ac:dyDescent="0.3">
      <c r="B12795" s="16301"/>
      <c r="RWY12795" s="12719"/>
    </row>
    <row r="12796" spans="2:2 12781:12796" x14ac:dyDescent="0.3">
      <c r="B12796" s="16301"/>
      <c r="RWZ12796" s="12720"/>
    </row>
    <row r="12797" spans="2:2 12781:12796" x14ac:dyDescent="0.3">
      <c r="B12797" s="16301"/>
      <c r="RXA12797" s="12721"/>
    </row>
    <row r="12798" spans="2:2 12781:12796" x14ac:dyDescent="0.3">
      <c r="B12798" s="16301"/>
      <c r="RXB12798" s="12722"/>
    </row>
    <row r="12799" spans="2:2 12781:12796" x14ac:dyDescent="0.3">
      <c r="B12799" s="16301"/>
      <c r="RXC12799" s="12723"/>
    </row>
    <row r="12800" spans="2:2 12781:12796" x14ac:dyDescent="0.3">
      <c r="B12800" s="16301"/>
      <c r="RXD12800" s="12724"/>
    </row>
    <row r="12801" spans="2:2 12797:12812" x14ac:dyDescent="0.3">
      <c r="B12801" s="16301"/>
      <c r="RXE12801" s="12725"/>
    </row>
    <row r="12802" spans="2:2 12797:12812" x14ac:dyDescent="0.3">
      <c r="B12802" s="16301"/>
      <c r="RXF12802" s="12726"/>
    </row>
    <row r="12803" spans="2:2 12797:12812" x14ac:dyDescent="0.3">
      <c r="B12803" s="16301"/>
      <c r="RXG12803" s="12727"/>
    </row>
    <row r="12804" spans="2:2 12797:12812" x14ac:dyDescent="0.3">
      <c r="B12804" s="16301"/>
      <c r="RXH12804" s="12728"/>
    </row>
    <row r="12805" spans="2:2 12797:12812" x14ac:dyDescent="0.3">
      <c r="B12805" s="16301"/>
      <c r="RXI12805" s="12729"/>
    </row>
    <row r="12806" spans="2:2 12797:12812" x14ac:dyDescent="0.3">
      <c r="B12806" s="16301"/>
      <c r="RXJ12806" s="12730"/>
    </row>
    <row r="12807" spans="2:2 12797:12812" x14ac:dyDescent="0.3">
      <c r="B12807" s="16301"/>
      <c r="RXK12807" s="12731"/>
    </row>
    <row r="12808" spans="2:2 12797:12812" x14ac:dyDescent="0.3">
      <c r="B12808" s="16301"/>
      <c r="RXL12808" s="12732"/>
    </row>
    <row r="12809" spans="2:2 12797:12812" x14ac:dyDescent="0.3">
      <c r="B12809" s="16301"/>
      <c r="RXM12809" s="12733"/>
    </row>
    <row r="12810" spans="2:2 12797:12812" x14ac:dyDescent="0.3">
      <c r="B12810" s="16301"/>
      <c r="RXN12810" s="12734"/>
    </row>
    <row r="12811" spans="2:2 12797:12812" x14ac:dyDescent="0.3">
      <c r="B12811" s="16301"/>
      <c r="RXO12811" s="12735"/>
    </row>
    <row r="12812" spans="2:2 12797:12812" x14ac:dyDescent="0.3">
      <c r="B12812" s="16301"/>
      <c r="RXP12812" s="12736"/>
    </row>
    <row r="12813" spans="2:2 12797:12812" x14ac:dyDescent="0.3">
      <c r="B12813" s="16301"/>
      <c r="RXQ12813" s="12737"/>
    </row>
    <row r="12814" spans="2:2 12797:12812" x14ac:dyDescent="0.3">
      <c r="B12814" s="16301"/>
      <c r="RXR12814" s="12738"/>
    </row>
    <row r="12815" spans="2:2 12797:12812" x14ac:dyDescent="0.3">
      <c r="B12815" s="16301"/>
      <c r="RXS12815" s="12739"/>
    </row>
    <row r="12816" spans="2:2 12797:12812" x14ac:dyDescent="0.3">
      <c r="B12816" s="16301"/>
      <c r="RXT12816" s="12740"/>
    </row>
    <row r="12817" spans="2:2 12813:12828" x14ac:dyDescent="0.3">
      <c r="B12817" s="16301"/>
      <c r="RXU12817" s="12741"/>
    </row>
    <row r="12818" spans="2:2 12813:12828" x14ac:dyDescent="0.3">
      <c r="B12818" s="16301"/>
      <c r="RXV12818" s="12742"/>
    </row>
    <row r="12819" spans="2:2 12813:12828" x14ac:dyDescent="0.3">
      <c r="B12819" s="16301"/>
      <c r="RXW12819" s="12743"/>
    </row>
    <row r="12820" spans="2:2 12813:12828" x14ac:dyDescent="0.3">
      <c r="B12820" s="16301"/>
      <c r="RXX12820" s="12744"/>
    </row>
    <row r="12821" spans="2:2 12813:12828" x14ac:dyDescent="0.3">
      <c r="B12821" s="16301"/>
      <c r="RXY12821" s="12745"/>
    </row>
    <row r="12822" spans="2:2 12813:12828" x14ac:dyDescent="0.3">
      <c r="B12822" s="16301"/>
      <c r="RXZ12822" s="12746"/>
    </row>
    <row r="12823" spans="2:2 12813:12828" x14ac:dyDescent="0.3">
      <c r="B12823" s="16301"/>
      <c r="RYA12823" s="12747"/>
    </row>
    <row r="12824" spans="2:2 12813:12828" x14ac:dyDescent="0.3">
      <c r="B12824" s="16301"/>
      <c r="RYB12824" s="12748"/>
    </row>
    <row r="12825" spans="2:2 12813:12828" x14ac:dyDescent="0.3">
      <c r="B12825" s="16301"/>
      <c r="RYC12825" s="12749"/>
    </row>
    <row r="12826" spans="2:2 12813:12828" x14ac:dyDescent="0.3">
      <c r="B12826" s="16301"/>
      <c r="RYD12826" s="12750"/>
    </row>
    <row r="12827" spans="2:2 12813:12828" x14ac:dyDescent="0.3">
      <c r="B12827" s="16301"/>
      <c r="RYE12827" s="12751"/>
    </row>
    <row r="12828" spans="2:2 12813:12828" x14ac:dyDescent="0.3">
      <c r="B12828" s="16301"/>
      <c r="RYF12828" s="12752"/>
    </row>
    <row r="12829" spans="2:2 12813:12828" x14ac:dyDescent="0.3">
      <c r="B12829" s="16301"/>
      <c r="RYG12829" s="12753"/>
    </row>
    <row r="12830" spans="2:2 12813:12828" x14ac:dyDescent="0.3">
      <c r="B12830" s="16301"/>
      <c r="RYH12830" s="12754"/>
    </row>
    <row r="12831" spans="2:2 12813:12828" x14ac:dyDescent="0.3">
      <c r="B12831" s="16301"/>
      <c r="RYI12831" s="12755"/>
    </row>
    <row r="12832" spans="2:2 12813:12828" x14ac:dyDescent="0.3">
      <c r="B12832" s="16301"/>
      <c r="RYJ12832" s="12756"/>
    </row>
    <row r="12833" spans="2:2 12829:12844" x14ac:dyDescent="0.3">
      <c r="B12833" s="16301"/>
      <c r="RYK12833" s="12757"/>
    </row>
    <row r="12834" spans="2:2 12829:12844" x14ac:dyDescent="0.3">
      <c r="B12834" s="16301"/>
      <c r="RYL12834" s="12758"/>
    </row>
    <row r="12835" spans="2:2 12829:12844" x14ac:dyDescent="0.3">
      <c r="B12835" s="16301"/>
      <c r="RYM12835" s="12759"/>
    </row>
    <row r="12836" spans="2:2 12829:12844" x14ac:dyDescent="0.3">
      <c r="B12836" s="16301"/>
      <c r="RYN12836" s="12760"/>
    </row>
    <row r="12837" spans="2:2 12829:12844" x14ac:dyDescent="0.3">
      <c r="B12837" s="16301"/>
      <c r="RYO12837" s="12761"/>
    </row>
    <row r="12838" spans="2:2 12829:12844" x14ac:dyDescent="0.3">
      <c r="B12838" s="16301"/>
      <c r="RYP12838" s="12762"/>
    </row>
    <row r="12839" spans="2:2 12829:12844" x14ac:dyDescent="0.3">
      <c r="B12839" s="16301"/>
      <c r="RYQ12839" s="12763"/>
    </row>
    <row r="12840" spans="2:2 12829:12844" x14ac:dyDescent="0.3">
      <c r="B12840" s="16301"/>
      <c r="RYR12840" s="12764"/>
    </row>
    <row r="12841" spans="2:2 12829:12844" x14ac:dyDescent="0.3">
      <c r="B12841" s="16301"/>
      <c r="RYS12841" s="12765"/>
    </row>
    <row r="12842" spans="2:2 12829:12844" x14ac:dyDescent="0.3">
      <c r="B12842" s="16301"/>
      <c r="RYT12842" s="12766"/>
    </row>
    <row r="12843" spans="2:2 12829:12844" x14ac:dyDescent="0.3">
      <c r="B12843" s="16301"/>
      <c r="RYU12843" s="12767"/>
    </row>
    <row r="12844" spans="2:2 12829:12844" x14ac:dyDescent="0.3">
      <c r="B12844" s="16301"/>
      <c r="RYV12844" s="12768"/>
    </row>
    <row r="12845" spans="2:2 12829:12844" x14ac:dyDescent="0.3">
      <c r="B12845" s="16301"/>
      <c r="RYW12845" s="12769"/>
    </row>
    <row r="12846" spans="2:2 12829:12844" x14ac:dyDescent="0.3">
      <c r="B12846" s="16301"/>
      <c r="RYX12846" s="12770"/>
    </row>
    <row r="12847" spans="2:2 12829:12844" x14ac:dyDescent="0.3">
      <c r="B12847" s="16301"/>
      <c r="RYY12847" s="12771"/>
    </row>
    <row r="12848" spans="2:2 12829:12844" x14ac:dyDescent="0.3">
      <c r="B12848" s="16301"/>
      <c r="RYZ12848" s="12772"/>
    </row>
    <row r="12849" spans="2:2 12845:12860" x14ac:dyDescent="0.3">
      <c r="B12849" s="16301"/>
      <c r="RZA12849" s="12773"/>
    </row>
    <row r="12850" spans="2:2 12845:12860" x14ac:dyDescent="0.3">
      <c r="B12850" s="16301"/>
      <c r="RZB12850" s="12774"/>
    </row>
    <row r="12851" spans="2:2 12845:12860" x14ac:dyDescent="0.3">
      <c r="B12851" s="16301"/>
      <c r="RZC12851" s="12775"/>
    </row>
    <row r="12852" spans="2:2 12845:12860" x14ac:dyDescent="0.3">
      <c r="B12852" s="16301"/>
      <c r="RZD12852" s="12776"/>
    </row>
    <row r="12853" spans="2:2 12845:12860" x14ac:dyDescent="0.3">
      <c r="B12853" s="16301"/>
      <c r="RZE12853" s="12777"/>
    </row>
    <row r="12854" spans="2:2 12845:12860" x14ac:dyDescent="0.3">
      <c r="B12854" s="16301"/>
      <c r="RZF12854" s="12778"/>
    </row>
    <row r="12855" spans="2:2 12845:12860" x14ac:dyDescent="0.3">
      <c r="B12855" s="16301"/>
      <c r="RZG12855" s="12779"/>
    </row>
    <row r="12856" spans="2:2 12845:12860" x14ac:dyDescent="0.3">
      <c r="B12856" s="16301"/>
      <c r="RZH12856" s="12779"/>
    </row>
    <row r="12857" spans="2:2 12845:12860" x14ac:dyDescent="0.3">
      <c r="B12857" s="16301"/>
      <c r="RZI12857" s="12780"/>
    </row>
    <row r="12858" spans="2:2 12845:12860" x14ac:dyDescent="0.3">
      <c r="B12858" s="16301"/>
      <c r="RZJ12858" s="12781"/>
    </row>
    <row r="12859" spans="2:2 12845:12860" x14ac:dyDescent="0.3">
      <c r="B12859" s="16301"/>
      <c r="RZK12859" s="12782"/>
    </row>
    <row r="12860" spans="2:2 12845:12860" x14ac:dyDescent="0.3">
      <c r="B12860" s="16301"/>
      <c r="RZL12860" s="12783"/>
    </row>
    <row r="12861" spans="2:2 12845:12860" x14ac:dyDescent="0.3">
      <c r="B12861" s="16301"/>
      <c r="RZM12861" s="12784"/>
    </row>
    <row r="12862" spans="2:2 12845:12860" x14ac:dyDescent="0.3">
      <c r="B12862" s="16301"/>
      <c r="RZN12862" s="12785"/>
    </row>
    <row r="12863" spans="2:2 12845:12860" x14ac:dyDescent="0.3">
      <c r="B12863" s="16301"/>
      <c r="RZO12863" s="12786"/>
    </row>
    <row r="12864" spans="2:2 12845:12860" x14ac:dyDescent="0.3">
      <c r="B12864" s="16301"/>
      <c r="RZP12864" s="12787"/>
    </row>
    <row r="12865" spans="2:2 12861:12876" x14ac:dyDescent="0.3">
      <c r="B12865" s="16301"/>
      <c r="RZQ12865" s="12788"/>
    </row>
    <row r="12866" spans="2:2 12861:12876" x14ac:dyDescent="0.3">
      <c r="B12866" s="16301"/>
      <c r="RZR12866" s="12789"/>
    </row>
    <row r="12867" spans="2:2 12861:12876" x14ac:dyDescent="0.3">
      <c r="B12867" s="16301"/>
      <c r="RZS12867" s="12790"/>
    </row>
    <row r="12868" spans="2:2 12861:12876" x14ac:dyDescent="0.3">
      <c r="B12868" s="16301"/>
      <c r="RZT12868" s="12791"/>
    </row>
    <row r="12869" spans="2:2 12861:12876" x14ac:dyDescent="0.3">
      <c r="B12869" s="16301"/>
      <c r="RZU12869" s="12792"/>
    </row>
    <row r="12870" spans="2:2 12861:12876" x14ac:dyDescent="0.3">
      <c r="B12870" s="16301"/>
      <c r="RZV12870" s="12793"/>
    </row>
    <row r="12871" spans="2:2 12861:12876" x14ac:dyDescent="0.3">
      <c r="B12871" s="16301"/>
      <c r="RZW12871" s="12794"/>
    </row>
    <row r="12872" spans="2:2 12861:12876" x14ac:dyDescent="0.3">
      <c r="B12872" s="16301"/>
      <c r="RZX12872" s="12795"/>
    </row>
    <row r="12873" spans="2:2 12861:12876" x14ac:dyDescent="0.3">
      <c r="B12873" s="16301"/>
      <c r="RZY12873" s="12796"/>
    </row>
    <row r="12874" spans="2:2 12861:12876" x14ac:dyDescent="0.3">
      <c r="B12874" s="16301"/>
      <c r="RZZ12874" s="12797"/>
    </row>
    <row r="12875" spans="2:2 12861:12876" x14ac:dyDescent="0.3">
      <c r="B12875" s="16301"/>
      <c r="SAA12875" s="12798"/>
    </row>
    <row r="12876" spans="2:2 12861:12876" x14ac:dyDescent="0.3">
      <c r="B12876" s="16301"/>
      <c r="SAB12876" s="12799"/>
    </row>
    <row r="12877" spans="2:2 12861:12876" x14ac:dyDescent="0.3">
      <c r="B12877" s="16301"/>
      <c r="SAC12877" s="12800"/>
    </row>
    <row r="12878" spans="2:2 12861:12876" x14ac:dyDescent="0.3">
      <c r="B12878" s="16301"/>
      <c r="SAD12878" s="12801"/>
    </row>
    <row r="12879" spans="2:2 12861:12876" x14ac:dyDescent="0.3">
      <c r="B12879" s="16301"/>
      <c r="SAE12879" s="12802"/>
    </row>
    <row r="12880" spans="2:2 12861:12876" x14ac:dyDescent="0.3">
      <c r="B12880" s="16301"/>
      <c r="SAF12880" s="12803"/>
    </row>
    <row r="12881" spans="2:2 12877:12892" x14ac:dyDescent="0.3">
      <c r="B12881" s="16301"/>
      <c r="SAG12881" s="12804"/>
    </row>
    <row r="12882" spans="2:2 12877:12892" x14ac:dyDescent="0.3">
      <c r="B12882" s="16301"/>
      <c r="SAH12882" s="12805"/>
    </row>
    <row r="12883" spans="2:2 12877:12892" x14ac:dyDescent="0.3">
      <c r="B12883" s="16301"/>
      <c r="SAI12883" s="12806"/>
    </row>
    <row r="12884" spans="2:2 12877:12892" x14ac:dyDescent="0.3">
      <c r="B12884" s="16301"/>
      <c r="SAJ12884" s="12807"/>
    </row>
    <row r="12885" spans="2:2 12877:12892" x14ac:dyDescent="0.3">
      <c r="B12885" s="16301"/>
      <c r="SAK12885" s="12808"/>
    </row>
    <row r="12886" spans="2:2 12877:12892" x14ac:dyDescent="0.3">
      <c r="B12886" s="16301"/>
      <c r="SAL12886" s="12809"/>
    </row>
    <row r="12887" spans="2:2 12877:12892" x14ac:dyDescent="0.3">
      <c r="B12887" s="16301"/>
      <c r="SAM12887" s="12810"/>
    </row>
    <row r="12888" spans="2:2 12877:12892" x14ac:dyDescent="0.3">
      <c r="B12888" s="16301"/>
      <c r="SAN12888" s="12811"/>
    </row>
    <row r="12889" spans="2:2 12877:12892" x14ac:dyDescent="0.3">
      <c r="B12889" s="16301"/>
      <c r="SAO12889" s="12812"/>
    </row>
    <row r="12890" spans="2:2 12877:12892" x14ac:dyDescent="0.3">
      <c r="B12890" s="16301"/>
      <c r="SAP12890" s="12813"/>
    </row>
    <row r="12891" spans="2:2 12877:12892" x14ac:dyDescent="0.3">
      <c r="B12891" s="16301"/>
      <c r="SAQ12891" s="12814"/>
    </row>
    <row r="12892" spans="2:2 12877:12892" x14ac:dyDescent="0.3">
      <c r="B12892" s="16301"/>
      <c r="SAR12892" s="12815"/>
    </row>
    <row r="12893" spans="2:2 12877:12892" x14ac:dyDescent="0.3">
      <c r="B12893" s="16301"/>
      <c r="SAS12893" s="12816"/>
    </row>
    <row r="12894" spans="2:2 12877:12892" x14ac:dyDescent="0.3">
      <c r="B12894" s="16301"/>
      <c r="SAT12894" s="12817"/>
    </row>
    <row r="12895" spans="2:2 12877:12892" x14ac:dyDescent="0.3">
      <c r="B12895" s="16301"/>
      <c r="SAU12895" s="12818"/>
    </row>
    <row r="12896" spans="2:2 12877:12892" x14ac:dyDescent="0.3">
      <c r="B12896" s="16301"/>
      <c r="SAV12896" s="12819"/>
    </row>
    <row r="12897" spans="2:2 12893:12908" x14ac:dyDescent="0.3">
      <c r="B12897" s="16301"/>
      <c r="SAW12897" s="12820"/>
    </row>
    <row r="12898" spans="2:2 12893:12908" x14ac:dyDescent="0.3">
      <c r="B12898" s="16301"/>
      <c r="SAX12898" s="12821"/>
    </row>
    <row r="12899" spans="2:2 12893:12908" x14ac:dyDescent="0.3">
      <c r="B12899" s="16301"/>
      <c r="SAY12899" s="12822"/>
    </row>
    <row r="12900" spans="2:2 12893:12908" x14ac:dyDescent="0.3">
      <c r="B12900" s="16301"/>
      <c r="SAZ12900" s="12823"/>
    </row>
    <row r="12901" spans="2:2 12893:12908" x14ac:dyDescent="0.3">
      <c r="B12901" s="16301"/>
      <c r="SBA12901" s="12824"/>
    </row>
    <row r="12902" spans="2:2 12893:12908" x14ac:dyDescent="0.3">
      <c r="B12902" s="16301"/>
      <c r="SBB12902" s="12825"/>
    </row>
    <row r="12903" spans="2:2 12893:12908" x14ac:dyDescent="0.3">
      <c r="B12903" s="16301"/>
      <c r="SBC12903" s="12826"/>
    </row>
    <row r="12904" spans="2:2 12893:12908" x14ac:dyDescent="0.3">
      <c r="B12904" s="16301"/>
      <c r="SBD12904" s="12827"/>
    </row>
    <row r="12905" spans="2:2 12893:12908" x14ac:dyDescent="0.3">
      <c r="B12905" s="16301"/>
      <c r="SBE12905" s="12828"/>
    </row>
    <row r="12906" spans="2:2 12893:12908" x14ac:dyDescent="0.3">
      <c r="B12906" s="16301"/>
      <c r="SBF12906" s="12829"/>
    </row>
    <row r="12907" spans="2:2 12893:12908" x14ac:dyDescent="0.3">
      <c r="B12907" s="16301"/>
      <c r="SBG12907" s="12830"/>
    </row>
    <row r="12908" spans="2:2 12893:12908" x14ac:dyDescent="0.3">
      <c r="B12908" s="16301"/>
      <c r="SBH12908" s="12831"/>
    </row>
    <row r="12909" spans="2:2 12893:12908" x14ac:dyDescent="0.3">
      <c r="B12909" s="16301"/>
      <c r="SBI12909" s="12832"/>
    </row>
    <row r="12910" spans="2:2 12893:12908" x14ac:dyDescent="0.3">
      <c r="B12910" s="16301"/>
      <c r="SBJ12910" s="12833"/>
    </row>
    <row r="12911" spans="2:2 12893:12908" x14ac:dyDescent="0.3">
      <c r="B12911" s="16301"/>
      <c r="SBK12911" s="12834"/>
    </row>
    <row r="12912" spans="2:2 12893:12908" x14ac:dyDescent="0.3">
      <c r="B12912" s="16301"/>
      <c r="SBL12912" s="12835"/>
    </row>
    <row r="12913" spans="2:2 12909:12924" x14ac:dyDescent="0.3">
      <c r="B12913" s="16301"/>
      <c r="SBM12913" s="12836"/>
    </row>
    <row r="12914" spans="2:2 12909:12924" x14ac:dyDescent="0.3">
      <c r="B12914" s="16301"/>
      <c r="SBN12914" s="12837"/>
    </row>
    <row r="12915" spans="2:2 12909:12924" x14ac:dyDescent="0.3">
      <c r="B12915" s="16301"/>
      <c r="SBO12915" s="12838"/>
    </row>
    <row r="12916" spans="2:2 12909:12924" x14ac:dyDescent="0.3">
      <c r="B12916" s="16301"/>
      <c r="SBP12916" s="12839"/>
    </row>
    <row r="12917" spans="2:2 12909:12924" x14ac:dyDescent="0.3">
      <c r="B12917" s="16301"/>
      <c r="SBQ12917" s="12840"/>
    </row>
    <row r="12918" spans="2:2 12909:12924" x14ac:dyDescent="0.3">
      <c r="B12918" s="16301"/>
      <c r="SBR12918" s="12841"/>
    </row>
    <row r="12919" spans="2:2 12909:12924" x14ac:dyDescent="0.3">
      <c r="B12919" s="16301"/>
      <c r="SBS12919" s="12842"/>
    </row>
    <row r="12920" spans="2:2 12909:12924" x14ac:dyDescent="0.3">
      <c r="B12920" s="16301"/>
      <c r="SBT12920" s="12843"/>
    </row>
    <row r="12921" spans="2:2 12909:12924" x14ac:dyDescent="0.3">
      <c r="B12921" s="16301"/>
      <c r="SBU12921" s="12844"/>
    </row>
    <row r="12922" spans="2:2 12909:12924" x14ac:dyDescent="0.3">
      <c r="B12922" s="16301"/>
      <c r="SBV12922" s="12845"/>
    </row>
    <row r="12923" spans="2:2 12909:12924" x14ac:dyDescent="0.3">
      <c r="B12923" s="16301"/>
      <c r="SBW12923" s="12846"/>
    </row>
    <row r="12924" spans="2:2 12909:12924" x14ac:dyDescent="0.3">
      <c r="B12924" s="16301"/>
      <c r="SBX12924" s="12847"/>
    </row>
    <row r="12925" spans="2:2 12909:12924" x14ac:dyDescent="0.3">
      <c r="B12925" s="16301"/>
      <c r="SBY12925" s="12848"/>
    </row>
    <row r="12926" spans="2:2 12909:12924" x14ac:dyDescent="0.3">
      <c r="B12926" s="16301"/>
      <c r="SBZ12926" s="12849"/>
    </row>
    <row r="12927" spans="2:2 12909:12924" x14ac:dyDescent="0.3">
      <c r="B12927" s="16301"/>
      <c r="SCA12927" s="12850"/>
    </row>
    <row r="12928" spans="2:2 12909:12924" x14ac:dyDescent="0.3">
      <c r="B12928" s="16301"/>
      <c r="SCB12928" s="12851"/>
    </row>
    <row r="12929" spans="2:2 12925:12940" x14ac:dyDescent="0.3">
      <c r="B12929" s="16301"/>
      <c r="SCC12929" s="12852"/>
    </row>
    <row r="12930" spans="2:2 12925:12940" x14ac:dyDescent="0.3">
      <c r="B12930" s="16301"/>
      <c r="SCD12930" s="12853"/>
    </row>
    <row r="12931" spans="2:2 12925:12940" x14ac:dyDescent="0.3">
      <c r="B12931" s="16301"/>
      <c r="SCE12931" s="12854"/>
    </row>
    <row r="12932" spans="2:2 12925:12940" x14ac:dyDescent="0.3">
      <c r="B12932" s="16301"/>
      <c r="SCF12932" s="12855"/>
    </row>
    <row r="12933" spans="2:2 12925:12940" x14ac:dyDescent="0.3">
      <c r="B12933" s="16301"/>
      <c r="SCG12933" s="12856"/>
    </row>
    <row r="12934" spans="2:2 12925:12940" x14ac:dyDescent="0.3">
      <c r="B12934" s="16301"/>
      <c r="SCH12934" s="12857"/>
    </row>
    <row r="12935" spans="2:2 12925:12940" x14ac:dyDescent="0.3">
      <c r="B12935" s="16301"/>
      <c r="SCI12935" s="12858"/>
    </row>
    <row r="12936" spans="2:2 12925:12940" x14ac:dyDescent="0.3">
      <c r="B12936" s="16301"/>
      <c r="SCJ12936" s="12859"/>
    </row>
    <row r="12937" spans="2:2 12925:12940" x14ac:dyDescent="0.3">
      <c r="B12937" s="16301"/>
      <c r="SCK12937" s="12860"/>
    </row>
    <row r="12938" spans="2:2 12925:12940" x14ac:dyDescent="0.3">
      <c r="B12938" s="16301"/>
      <c r="SCL12938" s="12861"/>
    </row>
    <row r="12939" spans="2:2 12925:12940" x14ac:dyDescent="0.3">
      <c r="B12939" s="16301"/>
      <c r="SCM12939" s="12862"/>
    </row>
    <row r="12940" spans="2:2 12925:12940" x14ac:dyDescent="0.3">
      <c r="B12940" s="16301"/>
      <c r="SCN12940" s="12863"/>
    </row>
    <row r="12941" spans="2:2 12925:12940" x14ac:dyDescent="0.3">
      <c r="B12941" s="16301"/>
      <c r="SCO12941" s="12864"/>
    </row>
    <row r="12942" spans="2:2 12925:12940" x14ac:dyDescent="0.3">
      <c r="B12942" s="16301"/>
      <c r="SCP12942" s="12865"/>
    </row>
    <row r="12943" spans="2:2 12925:12940" x14ac:dyDescent="0.3">
      <c r="B12943" s="16301"/>
      <c r="SCQ12943" s="12866"/>
    </row>
    <row r="12944" spans="2:2 12925:12940" x14ac:dyDescent="0.3">
      <c r="B12944" s="16301"/>
      <c r="SCR12944" s="12867"/>
    </row>
    <row r="12945" spans="2:2 12941:12956" x14ac:dyDescent="0.3">
      <c r="B12945" s="16301"/>
      <c r="SCS12945" s="12868"/>
    </row>
    <row r="12946" spans="2:2 12941:12956" x14ac:dyDescent="0.3">
      <c r="B12946" s="16301"/>
      <c r="SCT12946" s="12869"/>
    </row>
    <row r="12947" spans="2:2 12941:12956" x14ac:dyDescent="0.3">
      <c r="B12947" s="16301"/>
      <c r="SCU12947" s="12870"/>
    </row>
    <row r="12948" spans="2:2 12941:12956" x14ac:dyDescent="0.3">
      <c r="B12948" s="16301"/>
      <c r="SCV12948" s="12871"/>
    </row>
    <row r="12949" spans="2:2 12941:12956" x14ac:dyDescent="0.3">
      <c r="B12949" s="16301"/>
      <c r="SCW12949" s="12872"/>
    </row>
    <row r="12950" spans="2:2 12941:12956" x14ac:dyDescent="0.3">
      <c r="B12950" s="16301"/>
      <c r="SCX12950" s="12873"/>
    </row>
    <row r="12951" spans="2:2 12941:12956" x14ac:dyDescent="0.3">
      <c r="B12951" s="16301"/>
      <c r="SCY12951" s="12874"/>
    </row>
    <row r="12952" spans="2:2 12941:12956" x14ac:dyDescent="0.3">
      <c r="B12952" s="16301"/>
      <c r="SCZ12952" s="12875"/>
    </row>
    <row r="12953" spans="2:2 12941:12956" x14ac:dyDescent="0.3">
      <c r="B12953" s="16301"/>
      <c r="SDA12953" s="12876"/>
    </row>
    <row r="12954" spans="2:2 12941:12956" x14ac:dyDescent="0.3">
      <c r="B12954" s="16301"/>
      <c r="SDB12954" s="12877"/>
    </row>
    <row r="12955" spans="2:2 12941:12956" x14ac:dyDescent="0.3">
      <c r="B12955" s="16301"/>
      <c r="SDC12955" s="12878"/>
    </row>
    <row r="12956" spans="2:2 12941:12956" x14ac:dyDescent="0.3">
      <c r="B12956" s="16301"/>
      <c r="SDD12956" s="12879"/>
    </row>
    <row r="12957" spans="2:2 12941:12956" x14ac:dyDescent="0.3">
      <c r="B12957" s="16301"/>
      <c r="SDE12957" s="12880"/>
    </row>
    <row r="12958" spans="2:2 12941:12956" x14ac:dyDescent="0.3">
      <c r="B12958" s="16301"/>
      <c r="SDF12958" s="12881"/>
    </row>
    <row r="12959" spans="2:2 12941:12956" x14ac:dyDescent="0.3">
      <c r="B12959" s="16301"/>
      <c r="SDG12959" s="12882"/>
    </row>
    <row r="12960" spans="2:2 12941:12956" x14ac:dyDescent="0.3">
      <c r="B12960" s="16301"/>
      <c r="SDH12960" s="12883"/>
    </row>
    <row r="12961" spans="2:2 12957:12972" x14ac:dyDescent="0.3">
      <c r="B12961" s="16301"/>
      <c r="SDI12961" s="12884"/>
    </row>
    <row r="12962" spans="2:2 12957:12972" x14ac:dyDescent="0.3">
      <c r="B12962" s="16301"/>
      <c r="SDJ12962" s="12885"/>
    </row>
    <row r="12963" spans="2:2 12957:12972" x14ac:dyDescent="0.3">
      <c r="B12963" s="16301"/>
      <c r="SDK12963" s="12886"/>
    </row>
    <row r="12964" spans="2:2 12957:12972" x14ac:dyDescent="0.3">
      <c r="B12964" s="16301"/>
      <c r="SDL12964" s="12887"/>
    </row>
    <row r="12965" spans="2:2 12957:12972" x14ac:dyDescent="0.3">
      <c r="B12965" s="16301"/>
      <c r="SDM12965" s="12888"/>
    </row>
    <row r="12966" spans="2:2 12957:12972" x14ac:dyDescent="0.3">
      <c r="B12966" s="16301"/>
      <c r="SDN12966" s="12889"/>
    </row>
    <row r="12967" spans="2:2 12957:12972" x14ac:dyDescent="0.3">
      <c r="B12967" s="16301"/>
      <c r="SDO12967" s="12890"/>
    </row>
    <row r="12968" spans="2:2 12957:12972" x14ac:dyDescent="0.3">
      <c r="B12968" s="16301"/>
      <c r="SDP12968" s="12891"/>
    </row>
    <row r="12969" spans="2:2 12957:12972" x14ac:dyDescent="0.3">
      <c r="B12969" s="16301"/>
      <c r="SDQ12969" s="12892"/>
    </row>
    <row r="12970" spans="2:2 12957:12972" x14ac:dyDescent="0.3">
      <c r="B12970" s="16301"/>
      <c r="SDR12970" s="12893"/>
    </row>
    <row r="12971" spans="2:2 12957:12972" x14ac:dyDescent="0.3">
      <c r="B12971" s="16301"/>
      <c r="SDS12971" s="12894"/>
    </row>
    <row r="12972" spans="2:2 12957:12972" x14ac:dyDescent="0.3">
      <c r="B12972" s="16301"/>
      <c r="SDT12972" s="12895"/>
    </row>
    <row r="12973" spans="2:2 12957:12972" x14ac:dyDescent="0.3">
      <c r="B12973" s="16301"/>
      <c r="SDU12973" s="12896"/>
    </row>
    <row r="12974" spans="2:2 12957:12972" x14ac:dyDescent="0.3">
      <c r="B12974" s="16301"/>
      <c r="SDV12974" s="12897"/>
    </row>
    <row r="12975" spans="2:2 12957:12972" x14ac:dyDescent="0.3">
      <c r="B12975" s="16301"/>
      <c r="SDW12975" s="12898"/>
    </row>
    <row r="12976" spans="2:2 12957:12972" x14ac:dyDescent="0.3">
      <c r="B12976" s="16301"/>
      <c r="SDX12976" s="12899"/>
    </row>
    <row r="12977" spans="2:2 12973:12988" x14ac:dyDescent="0.3">
      <c r="B12977" s="16301"/>
      <c r="SDY12977" s="12900"/>
    </row>
    <row r="12978" spans="2:2 12973:12988" x14ac:dyDescent="0.3">
      <c r="B12978" s="16301"/>
      <c r="SDZ12978" s="12901"/>
    </row>
    <row r="12979" spans="2:2 12973:12988" x14ac:dyDescent="0.3">
      <c r="B12979" s="16301"/>
      <c r="SEA12979" s="12902"/>
    </row>
    <row r="12980" spans="2:2 12973:12988" x14ac:dyDescent="0.3">
      <c r="B12980" s="16301"/>
      <c r="SEB12980" s="12903"/>
    </row>
    <row r="12981" spans="2:2 12973:12988" x14ac:dyDescent="0.3">
      <c r="B12981" s="16301"/>
      <c r="SEC12981" s="12904"/>
    </row>
    <row r="12982" spans="2:2 12973:12988" x14ac:dyDescent="0.3">
      <c r="B12982" s="16301"/>
      <c r="SED12982" s="12905"/>
    </row>
    <row r="12983" spans="2:2 12973:12988" x14ac:dyDescent="0.3">
      <c r="B12983" s="16301"/>
      <c r="SEE12983" s="12906"/>
    </row>
    <row r="12984" spans="2:2 12973:12988" x14ac:dyDescent="0.3">
      <c r="B12984" s="16301"/>
      <c r="SEF12984" s="12907"/>
    </row>
    <row r="12985" spans="2:2 12973:12988" x14ac:dyDescent="0.3">
      <c r="B12985" s="16301"/>
      <c r="SEG12985" s="12908"/>
    </row>
    <row r="12986" spans="2:2 12973:12988" x14ac:dyDescent="0.3">
      <c r="B12986" s="16301"/>
      <c r="SEH12986" s="12909"/>
    </row>
    <row r="12987" spans="2:2 12973:12988" x14ac:dyDescent="0.3">
      <c r="B12987" s="16301"/>
      <c r="SEI12987" s="12910"/>
    </row>
    <row r="12988" spans="2:2 12973:12988" x14ac:dyDescent="0.3">
      <c r="B12988" s="16301"/>
      <c r="SEJ12988" s="12911"/>
    </row>
    <row r="12989" spans="2:2 12973:12988" x14ac:dyDescent="0.3">
      <c r="B12989" s="16301"/>
      <c r="SEK12989" s="12912"/>
    </row>
    <row r="12990" spans="2:2 12973:12988" x14ac:dyDescent="0.3">
      <c r="B12990" s="16301"/>
      <c r="SEL12990" s="12913"/>
    </row>
    <row r="12991" spans="2:2 12973:12988" x14ac:dyDescent="0.3">
      <c r="B12991" s="16301"/>
      <c r="SEM12991" s="12914"/>
    </row>
    <row r="12992" spans="2:2 12973:12988" x14ac:dyDescent="0.3">
      <c r="B12992" s="16301"/>
      <c r="SEN12992" s="12915"/>
    </row>
    <row r="12993" spans="2:2 12989:13004" x14ac:dyDescent="0.3">
      <c r="B12993" s="16301"/>
      <c r="SEO12993" s="12916"/>
    </row>
    <row r="12994" spans="2:2 12989:13004" x14ac:dyDescent="0.3">
      <c r="B12994" s="16301"/>
      <c r="SEP12994" s="12917"/>
    </row>
    <row r="12995" spans="2:2 12989:13004" x14ac:dyDescent="0.3">
      <c r="B12995" s="16301"/>
      <c r="SEQ12995" s="12918"/>
    </row>
    <row r="12996" spans="2:2 12989:13004" x14ac:dyDescent="0.3">
      <c r="B12996" s="16301"/>
      <c r="SER12996" s="12919"/>
    </row>
    <row r="12997" spans="2:2 12989:13004" x14ac:dyDescent="0.3">
      <c r="B12997" s="16301"/>
      <c r="SES12997" s="12920"/>
    </row>
    <row r="12998" spans="2:2 12989:13004" x14ac:dyDescent="0.3">
      <c r="B12998" s="16301"/>
      <c r="SET12998" s="12921"/>
    </row>
    <row r="12999" spans="2:2 12989:13004" x14ac:dyDescent="0.3">
      <c r="B12999" s="16301"/>
      <c r="SEU12999" s="12922"/>
    </row>
    <row r="13000" spans="2:2 12989:13004" x14ac:dyDescent="0.3">
      <c r="B13000" s="16301"/>
      <c r="SEV13000" s="12923"/>
    </row>
    <row r="13001" spans="2:2 12989:13004" x14ac:dyDescent="0.3">
      <c r="B13001" s="16301"/>
      <c r="SEW13001" s="12924"/>
    </row>
    <row r="13002" spans="2:2 12989:13004" x14ac:dyDescent="0.3">
      <c r="B13002" s="16301"/>
      <c r="SEX13002" s="12925"/>
    </row>
    <row r="13003" spans="2:2 12989:13004" x14ac:dyDescent="0.3">
      <c r="B13003" s="16301"/>
      <c r="SEY13003" s="12926"/>
    </row>
    <row r="13004" spans="2:2 12989:13004" x14ac:dyDescent="0.3">
      <c r="B13004" s="16301"/>
      <c r="SEZ13004" s="12927"/>
    </row>
    <row r="13005" spans="2:2 12989:13004" x14ac:dyDescent="0.3">
      <c r="B13005" s="16301"/>
      <c r="SFA13005" s="12928"/>
    </row>
    <row r="13006" spans="2:2 12989:13004" x14ac:dyDescent="0.3">
      <c r="B13006" s="16301"/>
      <c r="SFB13006" s="12929"/>
    </row>
    <row r="13007" spans="2:2 12989:13004" x14ac:dyDescent="0.3">
      <c r="B13007" s="16301"/>
      <c r="SFC13007" s="12930"/>
    </row>
    <row r="13008" spans="2:2 12989:13004" x14ac:dyDescent="0.3">
      <c r="B13008" s="16301"/>
      <c r="SFD13008" s="12931"/>
    </row>
    <row r="13009" spans="2:2 13005:13020" x14ac:dyDescent="0.3">
      <c r="B13009" s="16301"/>
      <c r="SFE13009" s="12932"/>
    </row>
    <row r="13010" spans="2:2 13005:13020" x14ac:dyDescent="0.3">
      <c r="B13010" s="16301"/>
      <c r="SFF13010" s="12933"/>
    </row>
    <row r="13011" spans="2:2 13005:13020" x14ac:dyDescent="0.3">
      <c r="B13011" s="16301"/>
      <c r="SFG13011" s="12934"/>
    </row>
    <row r="13012" spans="2:2 13005:13020" x14ac:dyDescent="0.3">
      <c r="B13012" s="16301"/>
      <c r="SFH13012" s="12935"/>
    </row>
    <row r="13013" spans="2:2 13005:13020" x14ac:dyDescent="0.3">
      <c r="B13013" s="16301"/>
      <c r="SFI13013" s="12936"/>
    </row>
    <row r="13014" spans="2:2 13005:13020" x14ac:dyDescent="0.3">
      <c r="B13014" s="16301"/>
      <c r="SFJ13014" s="12937"/>
    </row>
    <row r="13015" spans="2:2 13005:13020" x14ac:dyDescent="0.3">
      <c r="B13015" s="16301"/>
      <c r="SFK13015" s="12938"/>
    </row>
    <row r="13016" spans="2:2 13005:13020" x14ac:dyDescent="0.3">
      <c r="B13016" s="16301"/>
      <c r="SFL13016" s="12939"/>
    </row>
    <row r="13017" spans="2:2 13005:13020" x14ac:dyDescent="0.3">
      <c r="B13017" s="16301"/>
      <c r="SFM13017" s="12940"/>
    </row>
    <row r="13018" spans="2:2 13005:13020" x14ac:dyDescent="0.3">
      <c r="B13018" s="16301"/>
      <c r="SFN13018" s="12941"/>
    </row>
    <row r="13019" spans="2:2 13005:13020" x14ac:dyDescent="0.3">
      <c r="B13019" s="16301"/>
      <c r="SFO13019" s="12942"/>
    </row>
    <row r="13020" spans="2:2 13005:13020" x14ac:dyDescent="0.3">
      <c r="B13020" s="16301"/>
      <c r="SFP13020" s="12943"/>
    </row>
    <row r="13021" spans="2:2 13005:13020" x14ac:dyDescent="0.3">
      <c r="B13021" s="16301"/>
      <c r="SFQ13021" s="12944"/>
    </row>
    <row r="13022" spans="2:2 13005:13020" x14ac:dyDescent="0.3">
      <c r="B13022" s="16301"/>
      <c r="SFR13022" s="12945"/>
    </row>
    <row r="13023" spans="2:2 13005:13020" x14ac:dyDescent="0.3">
      <c r="B13023" s="16301"/>
      <c r="SFS13023" s="12946"/>
    </row>
    <row r="13024" spans="2:2 13005:13020" x14ac:dyDescent="0.3">
      <c r="B13024" s="16301"/>
      <c r="SFT13024" s="12947"/>
    </row>
    <row r="13025" spans="2:2 13021:13036" x14ac:dyDescent="0.3">
      <c r="B13025" s="16301"/>
      <c r="SFU13025" s="12948"/>
    </row>
    <row r="13026" spans="2:2 13021:13036" x14ac:dyDescent="0.3">
      <c r="B13026" s="16301"/>
      <c r="SFV13026" s="12949"/>
    </row>
    <row r="13027" spans="2:2 13021:13036" x14ac:dyDescent="0.3">
      <c r="B13027" s="16301"/>
      <c r="SFW13027" s="12950"/>
    </row>
    <row r="13028" spans="2:2 13021:13036" x14ac:dyDescent="0.3">
      <c r="B13028" s="16301"/>
      <c r="SFX13028" s="12951"/>
    </row>
    <row r="13029" spans="2:2 13021:13036" x14ac:dyDescent="0.3">
      <c r="B13029" s="16301"/>
      <c r="SFY13029" s="12952"/>
    </row>
    <row r="13030" spans="2:2 13021:13036" x14ac:dyDescent="0.3">
      <c r="B13030" s="16301"/>
      <c r="SFZ13030" s="12953"/>
    </row>
    <row r="13031" spans="2:2 13021:13036" x14ac:dyDescent="0.3">
      <c r="B13031" s="16301"/>
      <c r="SGA13031" s="12954"/>
    </row>
    <row r="13032" spans="2:2 13021:13036" x14ac:dyDescent="0.3">
      <c r="B13032" s="16301"/>
      <c r="SGB13032" s="12955"/>
    </row>
    <row r="13033" spans="2:2 13021:13036" x14ac:dyDescent="0.3">
      <c r="B13033" s="16301"/>
      <c r="SGC13033" s="12956"/>
    </row>
    <row r="13034" spans="2:2 13021:13036" x14ac:dyDescent="0.3">
      <c r="B13034" s="16301"/>
      <c r="SGD13034" s="12957"/>
    </row>
    <row r="13035" spans="2:2 13021:13036" x14ac:dyDescent="0.3">
      <c r="B13035" s="16301"/>
      <c r="SGE13035" s="12958"/>
    </row>
    <row r="13036" spans="2:2 13021:13036" x14ac:dyDescent="0.3">
      <c r="B13036" s="16301"/>
      <c r="SGF13036" s="12959"/>
    </row>
    <row r="13037" spans="2:2 13021:13036" x14ac:dyDescent="0.3">
      <c r="B13037" s="16301"/>
      <c r="SGG13037" s="12960"/>
    </row>
    <row r="13038" spans="2:2 13021:13036" x14ac:dyDescent="0.3">
      <c r="B13038" s="16301"/>
      <c r="SGH13038" s="12961"/>
    </row>
    <row r="13039" spans="2:2 13021:13036" x14ac:dyDescent="0.3">
      <c r="B13039" s="16301"/>
      <c r="SGI13039" s="12962"/>
    </row>
    <row r="13040" spans="2:2 13021:13036" x14ac:dyDescent="0.3">
      <c r="B13040" s="16301"/>
      <c r="SGJ13040" s="12963"/>
    </row>
    <row r="13041" spans="2:2 13037:13052" x14ac:dyDescent="0.3">
      <c r="B13041" s="16301"/>
      <c r="SGK13041" s="12964"/>
    </row>
    <row r="13042" spans="2:2 13037:13052" x14ac:dyDescent="0.3">
      <c r="B13042" s="16301"/>
      <c r="SGL13042" s="12965"/>
    </row>
    <row r="13043" spans="2:2 13037:13052" x14ac:dyDescent="0.3">
      <c r="B13043" s="16301"/>
      <c r="SGM13043" s="12966"/>
    </row>
    <row r="13044" spans="2:2 13037:13052" x14ac:dyDescent="0.3">
      <c r="B13044" s="16301"/>
      <c r="SGN13044" s="12967"/>
    </row>
    <row r="13045" spans="2:2 13037:13052" x14ac:dyDescent="0.3">
      <c r="B13045" s="16301"/>
      <c r="SGO13045" s="12968"/>
    </row>
    <row r="13046" spans="2:2 13037:13052" x14ac:dyDescent="0.3">
      <c r="B13046" s="16301"/>
      <c r="SGP13046" s="12969"/>
    </row>
    <row r="13047" spans="2:2 13037:13052" x14ac:dyDescent="0.3">
      <c r="B13047" s="16301"/>
      <c r="SGQ13047" s="12970"/>
    </row>
    <row r="13048" spans="2:2 13037:13052" x14ac:dyDescent="0.3">
      <c r="B13048" s="16301"/>
      <c r="SGR13048" s="12971"/>
    </row>
    <row r="13049" spans="2:2 13037:13052" x14ac:dyDescent="0.3">
      <c r="B13049" s="16301"/>
      <c r="SGS13049" s="12972"/>
    </row>
    <row r="13050" spans="2:2 13037:13052" x14ac:dyDescent="0.3">
      <c r="B13050" s="16301"/>
      <c r="SGT13050" s="12973"/>
    </row>
    <row r="13051" spans="2:2 13037:13052" x14ac:dyDescent="0.3">
      <c r="B13051" s="16301"/>
      <c r="SGU13051" s="12974"/>
    </row>
    <row r="13052" spans="2:2 13037:13052" x14ac:dyDescent="0.3">
      <c r="B13052" s="16301"/>
      <c r="SGV13052" s="12975"/>
    </row>
    <row r="13053" spans="2:2 13037:13052" x14ac:dyDescent="0.3">
      <c r="B13053" s="16301"/>
      <c r="SGW13053" s="12976"/>
    </row>
    <row r="13054" spans="2:2 13037:13052" x14ac:dyDescent="0.3">
      <c r="B13054" s="16301"/>
      <c r="SGX13054" s="12977"/>
    </row>
    <row r="13055" spans="2:2 13037:13052" x14ac:dyDescent="0.3">
      <c r="B13055" s="16301"/>
      <c r="SGY13055" s="12978"/>
    </row>
    <row r="13056" spans="2:2 13037:13052" x14ac:dyDescent="0.3">
      <c r="B13056" s="16301"/>
      <c r="SGZ13056" s="12979"/>
    </row>
    <row r="13057" spans="2:2 13053:13068" x14ac:dyDescent="0.3">
      <c r="B13057" s="16301"/>
      <c r="SHA13057" s="12980"/>
    </row>
    <row r="13058" spans="2:2 13053:13068" x14ac:dyDescent="0.3">
      <c r="B13058" s="16301"/>
      <c r="SHB13058" s="12981"/>
    </row>
    <row r="13059" spans="2:2 13053:13068" x14ac:dyDescent="0.3">
      <c r="B13059" s="16301"/>
      <c r="SHC13059" s="12982"/>
    </row>
    <row r="13060" spans="2:2 13053:13068" x14ac:dyDescent="0.3">
      <c r="B13060" s="16301"/>
      <c r="SHD13060" s="12983"/>
    </row>
    <row r="13061" spans="2:2 13053:13068" x14ac:dyDescent="0.3">
      <c r="B13061" s="16301"/>
      <c r="SHE13061" s="12984"/>
    </row>
    <row r="13062" spans="2:2 13053:13068" x14ac:dyDescent="0.3">
      <c r="B13062" s="16301"/>
      <c r="SHF13062" s="12985"/>
    </row>
    <row r="13063" spans="2:2 13053:13068" x14ac:dyDescent="0.3">
      <c r="B13063" s="16301"/>
      <c r="SHG13063" s="12986"/>
    </row>
    <row r="13064" spans="2:2 13053:13068" x14ac:dyDescent="0.3">
      <c r="B13064" s="16301"/>
      <c r="SHH13064" s="12987"/>
    </row>
    <row r="13065" spans="2:2 13053:13068" x14ac:dyDescent="0.3">
      <c r="B13065" s="16301"/>
      <c r="SHI13065" s="12988"/>
    </row>
    <row r="13066" spans="2:2 13053:13068" x14ac:dyDescent="0.3">
      <c r="B13066" s="16301"/>
      <c r="SHJ13066" s="12989"/>
    </row>
    <row r="13067" spans="2:2 13053:13068" x14ac:dyDescent="0.3">
      <c r="B13067" s="16301"/>
      <c r="SHK13067" s="12990"/>
    </row>
    <row r="13068" spans="2:2 13053:13068" x14ac:dyDescent="0.3">
      <c r="B13068" s="16301"/>
      <c r="SHL13068" s="12991"/>
    </row>
    <row r="13069" spans="2:2 13053:13068" x14ac:dyDescent="0.3">
      <c r="B13069" s="16301"/>
      <c r="SHM13069" s="12992"/>
    </row>
    <row r="13070" spans="2:2 13053:13068" x14ac:dyDescent="0.3">
      <c r="B13070" s="16301"/>
      <c r="SHN13070" s="12993"/>
    </row>
    <row r="13071" spans="2:2 13053:13068" x14ac:dyDescent="0.3">
      <c r="B13071" s="16301"/>
      <c r="SHO13071" s="12994"/>
    </row>
    <row r="13072" spans="2:2 13053:13068" x14ac:dyDescent="0.3">
      <c r="B13072" s="16301"/>
      <c r="SHP13072" s="12995"/>
    </row>
    <row r="13073" spans="2:2 13069:13084" x14ac:dyDescent="0.3">
      <c r="B13073" s="16301"/>
      <c r="SHQ13073" s="12996"/>
    </row>
    <row r="13074" spans="2:2 13069:13084" x14ac:dyDescent="0.3">
      <c r="B13074" s="16301"/>
      <c r="SHR13074" s="12997"/>
    </row>
    <row r="13075" spans="2:2 13069:13084" x14ac:dyDescent="0.3">
      <c r="B13075" s="16301"/>
      <c r="SHS13075" s="12998"/>
    </row>
    <row r="13076" spans="2:2 13069:13084" x14ac:dyDescent="0.3">
      <c r="B13076" s="16301"/>
      <c r="SHT13076" s="12999"/>
    </row>
    <row r="13077" spans="2:2 13069:13084" x14ac:dyDescent="0.3">
      <c r="B13077" s="16301"/>
      <c r="SHU13077" s="13000"/>
    </row>
    <row r="13078" spans="2:2 13069:13084" x14ac:dyDescent="0.3">
      <c r="B13078" s="16301"/>
      <c r="SHV13078" s="13001"/>
    </row>
    <row r="13079" spans="2:2 13069:13084" x14ac:dyDescent="0.3">
      <c r="B13079" s="16301"/>
      <c r="SHW13079" s="13002"/>
    </row>
    <row r="13080" spans="2:2 13069:13084" x14ac:dyDescent="0.3">
      <c r="B13080" s="16301"/>
      <c r="SHX13080" s="13003"/>
    </row>
    <row r="13081" spans="2:2 13069:13084" x14ac:dyDescent="0.3">
      <c r="B13081" s="16301"/>
      <c r="SHY13081" s="13004"/>
    </row>
    <row r="13082" spans="2:2 13069:13084" x14ac:dyDescent="0.3">
      <c r="B13082" s="16301"/>
      <c r="SHZ13082" s="13005"/>
    </row>
    <row r="13083" spans="2:2 13069:13084" x14ac:dyDescent="0.3">
      <c r="B13083" s="16301"/>
      <c r="SIA13083" s="13006"/>
    </row>
    <row r="13084" spans="2:2 13069:13084" x14ac:dyDescent="0.3">
      <c r="B13084" s="16301"/>
      <c r="SIB13084" s="13007"/>
    </row>
    <row r="13085" spans="2:2 13069:13084" x14ac:dyDescent="0.3">
      <c r="B13085" s="16301"/>
      <c r="SIC13085" s="13008"/>
    </row>
    <row r="13086" spans="2:2 13069:13084" x14ac:dyDescent="0.3">
      <c r="B13086" s="16301"/>
      <c r="SID13086" s="13009"/>
    </row>
    <row r="13087" spans="2:2 13069:13084" x14ac:dyDescent="0.3">
      <c r="B13087" s="16301"/>
      <c r="SIE13087" s="13010"/>
    </row>
    <row r="13088" spans="2:2 13069:13084" x14ac:dyDescent="0.3">
      <c r="B13088" s="16301"/>
      <c r="SIF13088" s="13011"/>
    </row>
    <row r="13089" spans="2:2 13085:13100" x14ac:dyDescent="0.3">
      <c r="B13089" s="16301"/>
      <c r="SIG13089" s="13012"/>
    </row>
    <row r="13090" spans="2:2 13085:13100" x14ac:dyDescent="0.3">
      <c r="B13090" s="16301"/>
      <c r="SIH13090" s="13013"/>
    </row>
    <row r="13091" spans="2:2 13085:13100" x14ac:dyDescent="0.3">
      <c r="B13091" s="16301"/>
      <c r="SII13091" s="13014"/>
    </row>
    <row r="13092" spans="2:2 13085:13100" x14ac:dyDescent="0.3">
      <c r="B13092" s="16301"/>
      <c r="SIJ13092" s="13015"/>
    </row>
    <row r="13093" spans="2:2 13085:13100" x14ac:dyDescent="0.3">
      <c r="B13093" s="16301"/>
      <c r="SIK13093" s="13016"/>
    </row>
    <row r="13094" spans="2:2 13085:13100" x14ac:dyDescent="0.3">
      <c r="B13094" s="16301"/>
      <c r="SIL13094" s="13017"/>
    </row>
    <row r="13095" spans="2:2 13085:13100" x14ac:dyDescent="0.3">
      <c r="B13095" s="16301"/>
      <c r="SIM13095" s="13018"/>
    </row>
    <row r="13096" spans="2:2 13085:13100" x14ac:dyDescent="0.3">
      <c r="B13096" s="16301"/>
      <c r="SIN13096" s="13019"/>
    </row>
    <row r="13097" spans="2:2 13085:13100" x14ac:dyDescent="0.3">
      <c r="B13097" s="16301"/>
      <c r="SIO13097" s="13020"/>
    </row>
    <row r="13098" spans="2:2 13085:13100" x14ac:dyDescent="0.3">
      <c r="B13098" s="16301"/>
      <c r="SIP13098" s="13021"/>
    </row>
    <row r="13099" spans="2:2 13085:13100" x14ac:dyDescent="0.3">
      <c r="B13099" s="16301"/>
      <c r="SIQ13099" s="13022"/>
    </row>
    <row r="13100" spans="2:2 13085:13100" x14ac:dyDescent="0.3">
      <c r="B13100" s="16301"/>
      <c r="SIR13100" s="13023"/>
    </row>
    <row r="13101" spans="2:2 13085:13100" x14ac:dyDescent="0.3">
      <c r="B13101" s="16301"/>
      <c r="SIS13101" s="13024"/>
    </row>
    <row r="13102" spans="2:2 13085:13100" x14ac:dyDescent="0.3">
      <c r="B13102" s="16301"/>
      <c r="SIT13102" s="13025"/>
    </row>
    <row r="13103" spans="2:2 13085:13100" x14ac:dyDescent="0.3">
      <c r="B13103" s="16301"/>
      <c r="SIU13103" s="13026"/>
    </row>
    <row r="13104" spans="2:2 13085:13100" x14ac:dyDescent="0.3">
      <c r="B13104" s="16301"/>
      <c r="SIV13104" s="13027"/>
    </row>
    <row r="13105" spans="2:2 13101:13116" x14ac:dyDescent="0.3">
      <c r="B13105" s="16301"/>
      <c r="SIW13105" s="13028"/>
    </row>
    <row r="13106" spans="2:2 13101:13116" x14ac:dyDescent="0.3">
      <c r="B13106" s="16301"/>
      <c r="SIX13106" s="13029"/>
    </row>
    <row r="13107" spans="2:2 13101:13116" x14ac:dyDescent="0.3">
      <c r="B13107" s="16301"/>
      <c r="SIY13107" s="13030"/>
    </row>
    <row r="13108" spans="2:2 13101:13116" x14ac:dyDescent="0.3">
      <c r="B13108" s="16301"/>
      <c r="SIZ13108" s="13031"/>
    </row>
    <row r="13109" spans="2:2 13101:13116" x14ac:dyDescent="0.3">
      <c r="B13109" s="16301"/>
      <c r="SJA13109" s="13032"/>
    </row>
    <row r="13110" spans="2:2 13101:13116" x14ac:dyDescent="0.3">
      <c r="B13110" s="16301"/>
      <c r="SJB13110" s="13033"/>
    </row>
    <row r="13111" spans="2:2 13101:13116" x14ac:dyDescent="0.3">
      <c r="B13111" s="16301"/>
      <c r="SJC13111" s="13034"/>
    </row>
    <row r="13112" spans="2:2 13101:13116" x14ac:dyDescent="0.3">
      <c r="B13112" s="16301"/>
      <c r="SJD13112" s="13035"/>
    </row>
    <row r="13113" spans="2:2 13101:13116" x14ac:dyDescent="0.3">
      <c r="B13113" s="16301"/>
      <c r="SJE13113" s="13035"/>
    </row>
    <row r="13114" spans="2:2 13101:13116" x14ac:dyDescent="0.3">
      <c r="B13114" s="16301"/>
      <c r="SJF13114" s="13036"/>
    </row>
    <row r="13115" spans="2:2 13101:13116" x14ac:dyDescent="0.3">
      <c r="B13115" s="16301"/>
      <c r="SJG13115" s="13037"/>
    </row>
    <row r="13116" spans="2:2 13101:13116" x14ac:dyDescent="0.3">
      <c r="B13116" s="16301"/>
      <c r="SJH13116" s="13038"/>
    </row>
    <row r="13117" spans="2:2 13101:13116" x14ac:dyDescent="0.3">
      <c r="B13117" s="16301"/>
      <c r="SJI13117" s="13039"/>
    </row>
    <row r="13118" spans="2:2 13101:13116" x14ac:dyDescent="0.3">
      <c r="B13118" s="16301"/>
      <c r="SJJ13118" s="13040"/>
    </row>
    <row r="13119" spans="2:2 13101:13116" x14ac:dyDescent="0.3">
      <c r="B13119" s="16301"/>
      <c r="SJK13119" s="13041"/>
    </row>
    <row r="13120" spans="2:2 13101:13116" x14ac:dyDescent="0.3">
      <c r="B13120" s="16301"/>
      <c r="SJL13120" s="13042"/>
    </row>
    <row r="13121" spans="2:2 13117:13132" x14ac:dyDescent="0.3">
      <c r="B13121" s="16301"/>
      <c r="SJM13121" s="13043"/>
    </row>
    <row r="13122" spans="2:2 13117:13132" x14ac:dyDescent="0.3">
      <c r="B13122" s="16301"/>
      <c r="SJN13122" s="13044"/>
    </row>
    <row r="13123" spans="2:2 13117:13132" x14ac:dyDescent="0.3">
      <c r="B13123" s="16301"/>
      <c r="SJO13123" s="13045"/>
    </row>
    <row r="13124" spans="2:2 13117:13132" x14ac:dyDescent="0.3">
      <c r="B13124" s="16301"/>
      <c r="SJP13124" s="13046"/>
    </row>
    <row r="13125" spans="2:2 13117:13132" x14ac:dyDescent="0.3">
      <c r="B13125" s="16301"/>
      <c r="SJQ13125" s="13047"/>
    </row>
    <row r="13126" spans="2:2 13117:13132" x14ac:dyDescent="0.3">
      <c r="B13126" s="16301"/>
      <c r="SJR13126" s="13048"/>
    </row>
    <row r="13127" spans="2:2 13117:13132" x14ac:dyDescent="0.3">
      <c r="B13127" s="16301"/>
      <c r="SJS13127" s="13049"/>
    </row>
    <row r="13128" spans="2:2 13117:13132" x14ac:dyDescent="0.3">
      <c r="B13128" s="16301"/>
      <c r="SJT13128" s="13050"/>
    </row>
    <row r="13129" spans="2:2 13117:13132" x14ac:dyDescent="0.3">
      <c r="B13129" s="16301"/>
      <c r="SJU13129" s="13051"/>
    </row>
    <row r="13130" spans="2:2 13117:13132" x14ac:dyDescent="0.3">
      <c r="B13130" s="16301"/>
      <c r="SJV13130" s="13052"/>
    </row>
    <row r="13131" spans="2:2 13117:13132" x14ac:dyDescent="0.3">
      <c r="B13131" s="16301"/>
      <c r="SJW13131" s="13053"/>
    </row>
    <row r="13132" spans="2:2 13117:13132" x14ac:dyDescent="0.3">
      <c r="B13132" s="16301"/>
      <c r="SJX13132" s="13054"/>
    </row>
    <row r="13133" spans="2:2 13117:13132" x14ac:dyDescent="0.3">
      <c r="B13133" s="16301"/>
      <c r="SJY13133" s="13055"/>
    </row>
    <row r="13134" spans="2:2 13117:13132" x14ac:dyDescent="0.3">
      <c r="B13134" s="16301"/>
      <c r="SJZ13134" s="13056"/>
    </row>
    <row r="13135" spans="2:2 13117:13132" x14ac:dyDescent="0.3">
      <c r="B13135" s="16301"/>
      <c r="SKA13135" s="13057"/>
    </row>
    <row r="13136" spans="2:2 13117:13132" x14ac:dyDescent="0.3">
      <c r="B13136" s="16301"/>
      <c r="SKB13136" s="13058"/>
    </row>
    <row r="13137" spans="2:2 13133:13148" x14ac:dyDescent="0.3">
      <c r="B13137" s="16301"/>
      <c r="SKC13137" s="13059"/>
    </row>
    <row r="13138" spans="2:2 13133:13148" x14ac:dyDescent="0.3">
      <c r="B13138" s="16301"/>
      <c r="SKD13138" s="13060"/>
    </row>
    <row r="13139" spans="2:2 13133:13148" x14ac:dyDescent="0.3">
      <c r="B13139" s="16301"/>
      <c r="SKE13139" s="13061"/>
    </row>
    <row r="13140" spans="2:2 13133:13148" x14ac:dyDescent="0.3">
      <c r="B13140" s="16301"/>
      <c r="SKF13140" s="13062"/>
    </row>
    <row r="13141" spans="2:2 13133:13148" x14ac:dyDescent="0.3">
      <c r="B13141" s="16301"/>
      <c r="SKG13141" s="13063"/>
    </row>
    <row r="13142" spans="2:2 13133:13148" x14ac:dyDescent="0.3">
      <c r="B13142" s="16301"/>
      <c r="SKH13142" s="13064"/>
    </row>
    <row r="13143" spans="2:2 13133:13148" x14ac:dyDescent="0.3">
      <c r="B13143" s="16301"/>
      <c r="SKI13143" s="13065"/>
    </row>
    <row r="13144" spans="2:2 13133:13148" x14ac:dyDescent="0.3">
      <c r="B13144" s="16301"/>
      <c r="SKJ13144" s="13066"/>
    </row>
    <row r="13145" spans="2:2 13133:13148" x14ac:dyDescent="0.3">
      <c r="B13145" s="16301"/>
      <c r="SKK13145" s="13067"/>
    </row>
    <row r="13146" spans="2:2 13133:13148" x14ac:dyDescent="0.3">
      <c r="B13146" s="16301"/>
      <c r="SKL13146" s="13068"/>
    </row>
    <row r="13147" spans="2:2 13133:13148" x14ac:dyDescent="0.3">
      <c r="B13147" s="16301"/>
      <c r="SKM13147" s="13069"/>
    </row>
    <row r="13148" spans="2:2 13133:13148" x14ac:dyDescent="0.3">
      <c r="B13148" s="16301"/>
      <c r="SKN13148" s="13070"/>
    </row>
    <row r="13149" spans="2:2 13133:13148" x14ac:dyDescent="0.3">
      <c r="B13149" s="16301"/>
      <c r="SKO13149" s="13071"/>
    </row>
    <row r="13150" spans="2:2 13133:13148" x14ac:dyDescent="0.3">
      <c r="B13150" s="16301"/>
      <c r="SKP13150" s="13072"/>
    </row>
    <row r="13151" spans="2:2 13133:13148" x14ac:dyDescent="0.3">
      <c r="B13151" s="16301"/>
      <c r="SKQ13151" s="13073"/>
    </row>
    <row r="13152" spans="2:2 13133:13148" x14ac:dyDescent="0.3">
      <c r="B13152" s="16301"/>
      <c r="SKR13152" s="13074"/>
    </row>
    <row r="13153" spans="2:2 13149:13164" x14ac:dyDescent="0.3">
      <c r="B13153" s="16301"/>
      <c r="SKS13153" s="13075"/>
    </row>
    <row r="13154" spans="2:2 13149:13164" x14ac:dyDescent="0.3">
      <c r="B13154" s="16301"/>
      <c r="SKT13154" s="13076"/>
    </row>
    <row r="13155" spans="2:2 13149:13164" x14ac:dyDescent="0.3">
      <c r="B13155" s="16301"/>
      <c r="SKU13155" s="13077"/>
    </row>
    <row r="13156" spans="2:2 13149:13164" x14ac:dyDescent="0.3">
      <c r="B13156" s="16301"/>
      <c r="SKV13156" s="13078"/>
    </row>
    <row r="13157" spans="2:2 13149:13164" x14ac:dyDescent="0.3">
      <c r="B13157" s="16301"/>
      <c r="SKW13157" s="13079"/>
    </row>
    <row r="13158" spans="2:2 13149:13164" x14ac:dyDescent="0.3">
      <c r="B13158" s="16301"/>
      <c r="SKX13158" s="13080"/>
    </row>
    <row r="13159" spans="2:2 13149:13164" x14ac:dyDescent="0.3">
      <c r="B13159" s="16301"/>
      <c r="SKY13159" s="13081"/>
    </row>
    <row r="13160" spans="2:2 13149:13164" x14ac:dyDescent="0.3">
      <c r="B13160" s="16301"/>
      <c r="SKZ13160" s="13082"/>
    </row>
    <row r="13161" spans="2:2 13149:13164" x14ac:dyDescent="0.3">
      <c r="B13161" s="16301"/>
      <c r="SLA13161" s="13083"/>
    </row>
    <row r="13162" spans="2:2 13149:13164" x14ac:dyDescent="0.3">
      <c r="B13162" s="16301"/>
      <c r="SLB13162" s="13084"/>
    </row>
    <row r="13163" spans="2:2 13149:13164" x14ac:dyDescent="0.3">
      <c r="B13163" s="16301"/>
      <c r="SLC13163" s="13085"/>
    </row>
    <row r="13164" spans="2:2 13149:13164" x14ac:dyDescent="0.3">
      <c r="B13164" s="16301"/>
      <c r="SLD13164" s="13086"/>
    </row>
    <row r="13165" spans="2:2 13149:13164" x14ac:dyDescent="0.3">
      <c r="B13165" s="16301"/>
      <c r="SLE13165" s="13087"/>
    </row>
    <row r="13166" spans="2:2 13149:13164" x14ac:dyDescent="0.3">
      <c r="B13166" s="16301"/>
      <c r="SLF13166" s="13088"/>
    </row>
    <row r="13167" spans="2:2 13149:13164" x14ac:dyDescent="0.3">
      <c r="B13167" s="16301"/>
      <c r="SLG13167" s="13089"/>
    </row>
    <row r="13168" spans="2:2 13149:13164" x14ac:dyDescent="0.3">
      <c r="B13168" s="16301"/>
      <c r="SLH13168" s="13090"/>
    </row>
    <row r="13169" spans="2:2 13165:13180" x14ac:dyDescent="0.3">
      <c r="B13169" s="16301"/>
      <c r="SLI13169" s="13091"/>
    </row>
    <row r="13170" spans="2:2 13165:13180" x14ac:dyDescent="0.3">
      <c r="B13170" s="16301"/>
      <c r="SLJ13170" s="13092"/>
    </row>
    <row r="13171" spans="2:2 13165:13180" x14ac:dyDescent="0.3">
      <c r="B13171" s="16301"/>
      <c r="SLK13171" s="13093"/>
    </row>
    <row r="13172" spans="2:2 13165:13180" x14ac:dyDescent="0.3">
      <c r="B13172" s="16301"/>
      <c r="SLL13172" s="13094"/>
    </row>
    <row r="13173" spans="2:2 13165:13180" x14ac:dyDescent="0.3">
      <c r="B13173" s="16301"/>
      <c r="SLM13173" s="13095"/>
    </row>
    <row r="13174" spans="2:2 13165:13180" x14ac:dyDescent="0.3">
      <c r="B13174" s="16301"/>
      <c r="SLN13174" s="13096"/>
    </row>
    <row r="13175" spans="2:2 13165:13180" x14ac:dyDescent="0.3">
      <c r="B13175" s="16301"/>
      <c r="SLO13175" s="13097"/>
    </row>
    <row r="13176" spans="2:2 13165:13180" x14ac:dyDescent="0.3">
      <c r="B13176" s="16301"/>
      <c r="SLP13176" s="13098"/>
    </row>
    <row r="13177" spans="2:2 13165:13180" x14ac:dyDescent="0.3">
      <c r="B13177" s="16301"/>
      <c r="SLQ13177" s="13099"/>
    </row>
    <row r="13178" spans="2:2 13165:13180" x14ac:dyDescent="0.3">
      <c r="B13178" s="16301"/>
      <c r="SLR13178" s="13100"/>
    </row>
    <row r="13179" spans="2:2 13165:13180" x14ac:dyDescent="0.3">
      <c r="B13179" s="16301"/>
      <c r="SLS13179" s="13101"/>
    </row>
    <row r="13180" spans="2:2 13165:13180" x14ac:dyDescent="0.3">
      <c r="B13180" s="16301"/>
      <c r="SLT13180" s="13102"/>
    </row>
    <row r="13181" spans="2:2 13165:13180" x14ac:dyDescent="0.3">
      <c r="B13181" s="16301"/>
      <c r="SLU13181" s="13103"/>
    </row>
    <row r="13182" spans="2:2 13165:13180" x14ac:dyDescent="0.3">
      <c r="B13182" s="16301"/>
      <c r="SLV13182" s="13104"/>
    </row>
    <row r="13183" spans="2:2 13165:13180" x14ac:dyDescent="0.3">
      <c r="B13183" s="16301"/>
      <c r="SLW13183" s="13105"/>
    </row>
    <row r="13184" spans="2:2 13165:13180" x14ac:dyDescent="0.3">
      <c r="B13184" s="16301"/>
      <c r="SLX13184" s="13106"/>
    </row>
    <row r="13185" spans="2:2 13181:13196" x14ac:dyDescent="0.3">
      <c r="B13185" s="16301"/>
      <c r="SLY13185" s="13107"/>
    </row>
    <row r="13186" spans="2:2 13181:13196" x14ac:dyDescent="0.3">
      <c r="B13186" s="16301"/>
      <c r="SLZ13186" s="13108"/>
    </row>
    <row r="13187" spans="2:2 13181:13196" x14ac:dyDescent="0.3">
      <c r="B13187" s="16301"/>
      <c r="SMA13187" s="13109"/>
    </row>
    <row r="13188" spans="2:2 13181:13196" x14ac:dyDescent="0.3">
      <c r="B13188" s="16301"/>
      <c r="SMB13188" s="13110"/>
    </row>
    <row r="13189" spans="2:2 13181:13196" x14ac:dyDescent="0.3">
      <c r="B13189" s="16301"/>
      <c r="SMC13189" s="13111"/>
    </row>
    <row r="13190" spans="2:2 13181:13196" x14ac:dyDescent="0.3">
      <c r="B13190" s="16301"/>
      <c r="SMD13190" s="13112"/>
    </row>
    <row r="13191" spans="2:2 13181:13196" x14ac:dyDescent="0.3">
      <c r="B13191" s="16301"/>
      <c r="SME13191" s="13113"/>
    </row>
    <row r="13192" spans="2:2 13181:13196" x14ac:dyDescent="0.3">
      <c r="B13192" s="16301"/>
      <c r="SMF13192" s="13114"/>
    </row>
    <row r="13193" spans="2:2 13181:13196" x14ac:dyDescent="0.3">
      <c r="B13193" s="16301"/>
      <c r="SMG13193" s="13115"/>
    </row>
    <row r="13194" spans="2:2 13181:13196" x14ac:dyDescent="0.3">
      <c r="B13194" s="16301"/>
      <c r="SMH13194" s="13116"/>
    </row>
    <row r="13195" spans="2:2 13181:13196" x14ac:dyDescent="0.3">
      <c r="B13195" s="16301"/>
      <c r="SMI13195" s="13117"/>
    </row>
    <row r="13196" spans="2:2 13181:13196" x14ac:dyDescent="0.3">
      <c r="B13196" s="16301"/>
      <c r="SMJ13196" s="13118"/>
    </row>
    <row r="13197" spans="2:2 13181:13196" x14ac:dyDescent="0.3">
      <c r="B13197" s="16301"/>
      <c r="SMK13197" s="13119"/>
    </row>
    <row r="13198" spans="2:2 13181:13196" x14ac:dyDescent="0.3">
      <c r="B13198" s="16301"/>
      <c r="SML13198" s="13120"/>
    </row>
    <row r="13199" spans="2:2 13181:13196" x14ac:dyDescent="0.3">
      <c r="B13199" s="16301"/>
      <c r="SMM13199" s="13121"/>
    </row>
    <row r="13200" spans="2:2 13181:13196" x14ac:dyDescent="0.3">
      <c r="B13200" s="16301"/>
      <c r="SMN13200" s="13122"/>
    </row>
    <row r="13201" spans="2:2 13197:13212" x14ac:dyDescent="0.3">
      <c r="B13201" s="16301"/>
      <c r="SMO13201" s="13123"/>
    </row>
    <row r="13202" spans="2:2 13197:13212" x14ac:dyDescent="0.3">
      <c r="B13202" s="16301"/>
      <c r="SMP13202" s="13124"/>
    </row>
    <row r="13203" spans="2:2 13197:13212" x14ac:dyDescent="0.3">
      <c r="B13203" s="16301"/>
      <c r="SMQ13203" s="13125"/>
    </row>
    <row r="13204" spans="2:2 13197:13212" x14ac:dyDescent="0.3">
      <c r="B13204" s="16301"/>
      <c r="SMR13204" s="13126"/>
    </row>
    <row r="13205" spans="2:2 13197:13212" x14ac:dyDescent="0.3">
      <c r="B13205" s="16301"/>
      <c r="SMS13205" s="13127"/>
    </row>
    <row r="13206" spans="2:2 13197:13212" x14ac:dyDescent="0.3">
      <c r="B13206" s="16301"/>
      <c r="SMT13206" s="13128"/>
    </row>
    <row r="13207" spans="2:2 13197:13212" x14ac:dyDescent="0.3">
      <c r="B13207" s="16301"/>
      <c r="SMU13207" s="13129"/>
    </row>
    <row r="13208" spans="2:2 13197:13212" x14ac:dyDescent="0.3">
      <c r="B13208" s="16301"/>
      <c r="SMV13208" s="13130"/>
    </row>
    <row r="13209" spans="2:2 13197:13212" x14ac:dyDescent="0.3">
      <c r="B13209" s="16301"/>
      <c r="SMW13209" s="13131"/>
    </row>
    <row r="13210" spans="2:2 13197:13212" x14ac:dyDescent="0.3">
      <c r="B13210" s="16301"/>
      <c r="SMX13210" s="13132"/>
    </row>
    <row r="13211" spans="2:2 13197:13212" x14ac:dyDescent="0.3">
      <c r="B13211" s="16301"/>
      <c r="SMY13211" s="13133"/>
    </row>
    <row r="13212" spans="2:2 13197:13212" x14ac:dyDescent="0.3">
      <c r="B13212" s="16301"/>
      <c r="SMZ13212" s="13134"/>
    </row>
    <row r="13213" spans="2:2 13197:13212" x14ac:dyDescent="0.3">
      <c r="B13213" s="16301"/>
      <c r="SNA13213" s="13135"/>
    </row>
    <row r="13214" spans="2:2 13197:13212" x14ac:dyDescent="0.3">
      <c r="B13214" s="16301"/>
      <c r="SNB13214" s="13136"/>
    </row>
    <row r="13215" spans="2:2 13197:13212" x14ac:dyDescent="0.3">
      <c r="B13215" s="16301"/>
      <c r="SNC13215" s="13137"/>
    </row>
    <row r="13216" spans="2:2 13197:13212" x14ac:dyDescent="0.3">
      <c r="B13216" s="16301"/>
      <c r="SND13216" s="13138"/>
    </row>
    <row r="13217" spans="2:2 13213:13228" x14ac:dyDescent="0.3">
      <c r="B13217" s="16301"/>
      <c r="SNE13217" s="13139"/>
    </row>
    <row r="13218" spans="2:2 13213:13228" x14ac:dyDescent="0.3">
      <c r="B13218" s="16301"/>
      <c r="SNF13218" s="13140"/>
    </row>
    <row r="13219" spans="2:2 13213:13228" x14ac:dyDescent="0.3">
      <c r="B13219" s="16301"/>
      <c r="SNG13219" s="13141"/>
    </row>
    <row r="13220" spans="2:2 13213:13228" x14ac:dyDescent="0.3">
      <c r="B13220" s="16301"/>
      <c r="SNH13220" s="13142"/>
    </row>
    <row r="13221" spans="2:2 13213:13228" x14ac:dyDescent="0.3">
      <c r="B13221" s="16301"/>
      <c r="SNI13221" s="13143"/>
    </row>
    <row r="13222" spans="2:2 13213:13228" x14ac:dyDescent="0.3">
      <c r="B13222" s="16301"/>
      <c r="SNJ13222" s="13144"/>
    </row>
    <row r="13223" spans="2:2 13213:13228" x14ac:dyDescent="0.3">
      <c r="B13223" s="16301"/>
      <c r="SNK13223" s="13145"/>
    </row>
    <row r="13224" spans="2:2 13213:13228" x14ac:dyDescent="0.3">
      <c r="B13224" s="16301"/>
      <c r="SNL13224" s="13146"/>
    </row>
    <row r="13225" spans="2:2 13213:13228" x14ac:dyDescent="0.3">
      <c r="B13225" s="16301"/>
      <c r="SNM13225" s="13147"/>
    </row>
    <row r="13226" spans="2:2 13213:13228" x14ac:dyDescent="0.3">
      <c r="B13226" s="16301"/>
      <c r="SNN13226" s="13148"/>
    </row>
    <row r="13227" spans="2:2 13213:13228" x14ac:dyDescent="0.3">
      <c r="B13227" s="16301"/>
      <c r="SNO13227" s="13149"/>
    </row>
    <row r="13228" spans="2:2 13213:13228" x14ac:dyDescent="0.3">
      <c r="B13228" s="16301"/>
      <c r="SNP13228" s="13150"/>
    </row>
    <row r="13229" spans="2:2 13213:13228" x14ac:dyDescent="0.3">
      <c r="B13229" s="16301"/>
      <c r="SNQ13229" s="13151"/>
    </row>
    <row r="13230" spans="2:2 13213:13228" x14ac:dyDescent="0.3">
      <c r="B13230" s="16301"/>
      <c r="SNR13230" s="13152"/>
    </row>
    <row r="13231" spans="2:2 13213:13228" x14ac:dyDescent="0.3">
      <c r="B13231" s="16301"/>
      <c r="SNS13231" s="13153"/>
    </row>
    <row r="13232" spans="2:2 13213:13228" x14ac:dyDescent="0.3">
      <c r="B13232" s="16301"/>
      <c r="SNT13232" s="13154"/>
    </row>
    <row r="13233" spans="2:2 13229:13244" x14ac:dyDescent="0.3">
      <c r="B13233" s="16301"/>
      <c r="SNU13233" s="13155"/>
    </row>
    <row r="13234" spans="2:2 13229:13244" x14ac:dyDescent="0.3">
      <c r="B13234" s="16301"/>
      <c r="SNV13234" s="13156"/>
    </row>
    <row r="13235" spans="2:2 13229:13244" x14ac:dyDescent="0.3">
      <c r="B13235" s="16301"/>
      <c r="SNW13235" s="13157"/>
    </row>
    <row r="13236" spans="2:2 13229:13244" x14ac:dyDescent="0.3">
      <c r="B13236" s="16301"/>
      <c r="SNX13236" s="13158"/>
    </row>
    <row r="13237" spans="2:2 13229:13244" x14ac:dyDescent="0.3">
      <c r="B13237" s="16301"/>
      <c r="SNY13237" s="13159"/>
    </row>
    <row r="13238" spans="2:2 13229:13244" x14ac:dyDescent="0.3">
      <c r="B13238" s="16301"/>
      <c r="SNZ13238" s="13160"/>
    </row>
    <row r="13239" spans="2:2 13229:13244" x14ac:dyDescent="0.3">
      <c r="B13239" s="16301"/>
      <c r="SOA13239" s="13161"/>
    </row>
    <row r="13240" spans="2:2 13229:13244" x14ac:dyDescent="0.3">
      <c r="B13240" s="16301"/>
      <c r="SOB13240" s="13162"/>
    </row>
    <row r="13241" spans="2:2 13229:13244" x14ac:dyDescent="0.3">
      <c r="B13241" s="16301"/>
      <c r="SOC13241" s="13163"/>
    </row>
    <row r="13242" spans="2:2 13229:13244" x14ac:dyDescent="0.3">
      <c r="B13242" s="16301"/>
      <c r="SOD13242" s="13164"/>
    </row>
    <row r="13243" spans="2:2 13229:13244" x14ac:dyDescent="0.3">
      <c r="B13243" s="16301"/>
      <c r="SOE13243" s="13165"/>
    </row>
    <row r="13244" spans="2:2 13229:13244" x14ac:dyDescent="0.3">
      <c r="B13244" s="16301"/>
      <c r="SOF13244" s="13166"/>
    </row>
    <row r="13245" spans="2:2 13229:13244" x14ac:dyDescent="0.3">
      <c r="B13245" s="16301"/>
      <c r="SOG13245" s="13167"/>
    </row>
    <row r="13246" spans="2:2 13229:13244" x14ac:dyDescent="0.3">
      <c r="B13246" s="16301"/>
      <c r="SOH13246" s="13168"/>
    </row>
    <row r="13247" spans="2:2 13229:13244" x14ac:dyDescent="0.3">
      <c r="B13247" s="16301"/>
      <c r="SOI13247" s="13169"/>
    </row>
    <row r="13248" spans="2:2 13229:13244" x14ac:dyDescent="0.3">
      <c r="B13248" s="16301"/>
      <c r="SOJ13248" s="13170"/>
    </row>
    <row r="13249" spans="2:2 13245:13260" x14ac:dyDescent="0.3">
      <c r="B13249" s="16301"/>
      <c r="SOK13249" s="13171"/>
    </row>
    <row r="13250" spans="2:2 13245:13260" x14ac:dyDescent="0.3">
      <c r="B13250" s="16301"/>
      <c r="SOL13250" s="13172"/>
    </row>
    <row r="13251" spans="2:2 13245:13260" x14ac:dyDescent="0.3">
      <c r="B13251" s="16301"/>
      <c r="SOM13251" s="13173"/>
    </row>
    <row r="13252" spans="2:2 13245:13260" x14ac:dyDescent="0.3">
      <c r="B13252" s="16301"/>
      <c r="SON13252" s="13174"/>
    </row>
    <row r="13253" spans="2:2 13245:13260" x14ac:dyDescent="0.3">
      <c r="B13253" s="16301"/>
      <c r="SOO13253" s="13175"/>
    </row>
    <row r="13254" spans="2:2 13245:13260" x14ac:dyDescent="0.3">
      <c r="B13254" s="16301"/>
      <c r="SOP13254" s="13176"/>
    </row>
    <row r="13255" spans="2:2 13245:13260" x14ac:dyDescent="0.3">
      <c r="B13255" s="16301"/>
      <c r="SOQ13255" s="13177"/>
    </row>
    <row r="13256" spans="2:2 13245:13260" x14ac:dyDescent="0.3">
      <c r="B13256" s="16301"/>
      <c r="SOR13256" s="13178"/>
    </row>
    <row r="13257" spans="2:2 13245:13260" x14ac:dyDescent="0.3">
      <c r="B13257" s="16301"/>
      <c r="SOS13257" s="13179"/>
    </row>
    <row r="13258" spans="2:2 13245:13260" x14ac:dyDescent="0.3">
      <c r="B13258" s="16301"/>
      <c r="SOT13258" s="13180"/>
    </row>
    <row r="13259" spans="2:2 13245:13260" x14ac:dyDescent="0.3">
      <c r="B13259" s="16301"/>
      <c r="SOU13259" s="13181"/>
    </row>
    <row r="13260" spans="2:2 13245:13260" x14ac:dyDescent="0.3">
      <c r="B13260" s="16301"/>
      <c r="SOV13260" s="13182"/>
    </row>
    <row r="13261" spans="2:2 13245:13260" x14ac:dyDescent="0.3">
      <c r="B13261" s="16301"/>
      <c r="SOW13261" s="13183"/>
    </row>
    <row r="13262" spans="2:2 13245:13260" x14ac:dyDescent="0.3">
      <c r="B13262" s="16301"/>
      <c r="SOX13262" s="13184"/>
    </row>
    <row r="13263" spans="2:2 13245:13260" x14ac:dyDescent="0.3">
      <c r="B13263" s="16301"/>
      <c r="SOY13263" s="13185"/>
    </row>
    <row r="13264" spans="2:2 13245:13260" x14ac:dyDescent="0.3">
      <c r="B13264" s="16301"/>
      <c r="SOZ13264" s="13186"/>
    </row>
    <row r="13265" spans="2:2 13261:13276" x14ac:dyDescent="0.3">
      <c r="B13265" s="16301"/>
      <c r="SPA13265" s="13187"/>
    </row>
    <row r="13266" spans="2:2 13261:13276" x14ac:dyDescent="0.3">
      <c r="B13266" s="16301"/>
      <c r="SPB13266" s="13188"/>
    </row>
    <row r="13267" spans="2:2 13261:13276" x14ac:dyDescent="0.3">
      <c r="B13267" s="16301"/>
      <c r="SPC13267" s="13189"/>
    </row>
    <row r="13268" spans="2:2 13261:13276" x14ac:dyDescent="0.3">
      <c r="B13268" s="16301"/>
      <c r="SPD13268" s="13190"/>
    </row>
    <row r="13269" spans="2:2 13261:13276" x14ac:dyDescent="0.3">
      <c r="B13269" s="16301"/>
      <c r="SPE13269" s="13191"/>
    </row>
    <row r="13270" spans="2:2 13261:13276" x14ac:dyDescent="0.3">
      <c r="B13270" s="16301"/>
      <c r="SPF13270" s="13192"/>
    </row>
    <row r="13271" spans="2:2 13261:13276" x14ac:dyDescent="0.3">
      <c r="B13271" s="16301"/>
      <c r="SPG13271" s="13193"/>
    </row>
    <row r="13272" spans="2:2 13261:13276" x14ac:dyDescent="0.3">
      <c r="B13272" s="16301"/>
      <c r="SPH13272" s="13194"/>
    </row>
    <row r="13273" spans="2:2 13261:13276" x14ac:dyDescent="0.3">
      <c r="B13273" s="16301"/>
      <c r="SPI13273" s="13195"/>
    </row>
    <row r="13274" spans="2:2 13261:13276" x14ac:dyDescent="0.3">
      <c r="B13274" s="16301"/>
      <c r="SPJ13274" s="13196"/>
    </row>
    <row r="13275" spans="2:2 13261:13276" x14ac:dyDescent="0.3">
      <c r="B13275" s="16301"/>
      <c r="SPK13275" s="13197"/>
    </row>
    <row r="13276" spans="2:2 13261:13276" x14ac:dyDescent="0.3">
      <c r="B13276" s="16301"/>
      <c r="SPL13276" s="13198"/>
    </row>
    <row r="13277" spans="2:2 13261:13276" x14ac:dyDescent="0.3">
      <c r="B13277" s="16301"/>
      <c r="SPM13277" s="13199"/>
    </row>
    <row r="13278" spans="2:2 13261:13276" x14ac:dyDescent="0.3">
      <c r="B13278" s="16301"/>
      <c r="SPN13278" s="13200"/>
    </row>
    <row r="13279" spans="2:2 13261:13276" x14ac:dyDescent="0.3">
      <c r="B13279" s="16301"/>
      <c r="SPO13279" s="13201"/>
    </row>
    <row r="13280" spans="2:2 13261:13276" x14ac:dyDescent="0.3">
      <c r="B13280" s="16301"/>
      <c r="SPP13280" s="13202"/>
    </row>
    <row r="13281" spans="2:2 13277:13292" x14ac:dyDescent="0.3">
      <c r="B13281" s="16301"/>
      <c r="SPQ13281" s="13203"/>
    </row>
    <row r="13282" spans="2:2 13277:13292" x14ac:dyDescent="0.3">
      <c r="B13282" s="16301"/>
      <c r="SPR13282" s="13204"/>
    </row>
    <row r="13283" spans="2:2 13277:13292" x14ac:dyDescent="0.3">
      <c r="B13283" s="16301"/>
      <c r="SPS13283" s="13205"/>
    </row>
    <row r="13284" spans="2:2 13277:13292" x14ac:dyDescent="0.3">
      <c r="B13284" s="16301"/>
      <c r="SPT13284" s="13206"/>
    </row>
    <row r="13285" spans="2:2 13277:13292" x14ac:dyDescent="0.3">
      <c r="B13285" s="16301"/>
      <c r="SPU13285" s="13207"/>
    </row>
    <row r="13286" spans="2:2 13277:13292" x14ac:dyDescent="0.3">
      <c r="B13286" s="16301"/>
      <c r="SPV13286" s="13208"/>
    </row>
    <row r="13287" spans="2:2 13277:13292" x14ac:dyDescent="0.3">
      <c r="B13287" s="16301"/>
      <c r="SPW13287" s="13209"/>
    </row>
    <row r="13288" spans="2:2 13277:13292" x14ac:dyDescent="0.3">
      <c r="B13288" s="16301"/>
      <c r="SPX13288" s="13210"/>
    </row>
    <row r="13289" spans="2:2 13277:13292" x14ac:dyDescent="0.3">
      <c r="B13289" s="16301"/>
      <c r="SPY13289" s="13211"/>
    </row>
    <row r="13290" spans="2:2 13277:13292" x14ac:dyDescent="0.3">
      <c r="B13290" s="16301"/>
      <c r="SPZ13290" s="13212"/>
    </row>
    <row r="13291" spans="2:2 13277:13292" x14ac:dyDescent="0.3">
      <c r="B13291" s="16301"/>
      <c r="SQA13291" s="13213"/>
    </row>
    <row r="13292" spans="2:2 13277:13292" x14ac:dyDescent="0.3">
      <c r="B13292" s="16301"/>
      <c r="SQB13292" s="13214"/>
    </row>
    <row r="13293" spans="2:2 13277:13292" x14ac:dyDescent="0.3">
      <c r="B13293" s="16301"/>
      <c r="SQC13293" s="13215"/>
    </row>
    <row r="13294" spans="2:2 13277:13292" x14ac:dyDescent="0.3">
      <c r="B13294" s="16301"/>
      <c r="SQD13294" s="13216"/>
    </row>
    <row r="13295" spans="2:2 13277:13292" x14ac:dyDescent="0.3">
      <c r="B13295" s="16301"/>
      <c r="SQE13295" s="13217"/>
    </row>
    <row r="13296" spans="2:2 13277:13292" x14ac:dyDescent="0.3">
      <c r="B13296" s="16301"/>
      <c r="SQF13296" s="13218"/>
    </row>
    <row r="13297" spans="2:2 13293:13308" x14ac:dyDescent="0.3">
      <c r="B13297" s="16301"/>
      <c r="SQG13297" s="13219"/>
    </row>
    <row r="13298" spans="2:2 13293:13308" x14ac:dyDescent="0.3">
      <c r="B13298" s="16301"/>
      <c r="SQH13298" s="13220"/>
    </row>
    <row r="13299" spans="2:2 13293:13308" x14ac:dyDescent="0.3">
      <c r="B13299" s="16301"/>
      <c r="SQI13299" s="13221"/>
    </row>
    <row r="13300" spans="2:2 13293:13308" x14ac:dyDescent="0.3">
      <c r="B13300" s="16301"/>
      <c r="SQJ13300" s="13222"/>
    </row>
    <row r="13301" spans="2:2 13293:13308" x14ac:dyDescent="0.3">
      <c r="B13301" s="16301"/>
      <c r="SQK13301" s="13223"/>
    </row>
    <row r="13302" spans="2:2 13293:13308" x14ac:dyDescent="0.3">
      <c r="B13302" s="16301"/>
      <c r="SQL13302" s="13224"/>
    </row>
    <row r="13303" spans="2:2 13293:13308" x14ac:dyDescent="0.3">
      <c r="B13303" s="16301"/>
      <c r="SQM13303" s="13225"/>
    </row>
    <row r="13304" spans="2:2 13293:13308" x14ac:dyDescent="0.3">
      <c r="B13304" s="16301"/>
      <c r="SQN13304" s="13226"/>
    </row>
    <row r="13305" spans="2:2 13293:13308" x14ac:dyDescent="0.3">
      <c r="B13305" s="16301"/>
      <c r="SQO13305" s="13227"/>
    </row>
    <row r="13306" spans="2:2 13293:13308" x14ac:dyDescent="0.3">
      <c r="B13306" s="16301"/>
      <c r="SQP13306" s="13228"/>
    </row>
    <row r="13307" spans="2:2 13293:13308" x14ac:dyDescent="0.3">
      <c r="B13307" s="16301"/>
      <c r="SQQ13307" s="13229"/>
    </row>
    <row r="13308" spans="2:2 13293:13308" x14ac:dyDescent="0.3">
      <c r="B13308" s="16301"/>
      <c r="SQR13308" s="13230"/>
    </row>
    <row r="13309" spans="2:2 13293:13308" x14ac:dyDescent="0.3">
      <c r="B13309" s="16301"/>
      <c r="SQS13309" s="13231"/>
    </row>
    <row r="13310" spans="2:2 13293:13308" x14ac:dyDescent="0.3">
      <c r="B13310" s="16301"/>
      <c r="SQT13310" s="13232"/>
    </row>
    <row r="13311" spans="2:2 13293:13308" x14ac:dyDescent="0.3">
      <c r="B13311" s="16301"/>
      <c r="SQU13311" s="13233"/>
    </row>
    <row r="13312" spans="2:2 13293:13308" x14ac:dyDescent="0.3">
      <c r="B13312" s="16301"/>
      <c r="SQV13312" s="13234"/>
    </row>
    <row r="13313" spans="2:2 13309:13324" x14ac:dyDescent="0.3">
      <c r="B13313" s="16301"/>
      <c r="SQW13313" s="13235"/>
    </row>
    <row r="13314" spans="2:2 13309:13324" x14ac:dyDescent="0.3">
      <c r="B13314" s="16301"/>
      <c r="SQX13314" s="13236"/>
    </row>
    <row r="13315" spans="2:2 13309:13324" x14ac:dyDescent="0.3">
      <c r="B13315" s="16301"/>
      <c r="SQY13315" s="13237"/>
    </row>
    <row r="13316" spans="2:2 13309:13324" x14ac:dyDescent="0.3">
      <c r="B13316" s="16301"/>
      <c r="SQZ13316" s="13238"/>
    </row>
    <row r="13317" spans="2:2 13309:13324" x14ac:dyDescent="0.3">
      <c r="B13317" s="16301"/>
      <c r="SRA13317" s="13239"/>
    </row>
    <row r="13318" spans="2:2 13309:13324" x14ac:dyDescent="0.3">
      <c r="B13318" s="16301"/>
      <c r="SRB13318" s="13240"/>
    </row>
    <row r="13319" spans="2:2 13309:13324" x14ac:dyDescent="0.3">
      <c r="B13319" s="16301"/>
      <c r="SRC13319" s="13241"/>
    </row>
    <row r="13320" spans="2:2 13309:13324" x14ac:dyDescent="0.3">
      <c r="B13320" s="16301"/>
      <c r="SRD13320" s="13242"/>
    </row>
    <row r="13321" spans="2:2 13309:13324" x14ac:dyDescent="0.3">
      <c r="B13321" s="16301"/>
      <c r="SRE13321" s="13243"/>
    </row>
    <row r="13322" spans="2:2 13309:13324" x14ac:dyDescent="0.3">
      <c r="B13322" s="16301"/>
      <c r="SRF13322" s="13244"/>
    </row>
    <row r="13323" spans="2:2 13309:13324" x14ac:dyDescent="0.3">
      <c r="B13323" s="16301"/>
      <c r="SRG13323" s="13245"/>
    </row>
    <row r="13324" spans="2:2 13309:13324" x14ac:dyDescent="0.3">
      <c r="B13324" s="16301"/>
      <c r="SRH13324" s="13246"/>
    </row>
    <row r="13325" spans="2:2 13309:13324" x14ac:dyDescent="0.3">
      <c r="B13325" s="16301"/>
      <c r="SRI13325" s="13247"/>
    </row>
    <row r="13326" spans="2:2 13309:13324" x14ac:dyDescent="0.3">
      <c r="B13326" s="16301"/>
      <c r="SRJ13326" s="13248"/>
    </row>
    <row r="13327" spans="2:2 13309:13324" x14ac:dyDescent="0.3">
      <c r="B13327" s="16301"/>
      <c r="SRK13327" s="13249"/>
    </row>
    <row r="13328" spans="2:2 13309:13324" x14ac:dyDescent="0.3">
      <c r="B13328" s="16301"/>
      <c r="SRL13328" s="13250"/>
    </row>
    <row r="13329" spans="2:2 13325:13340" x14ac:dyDescent="0.3">
      <c r="B13329" s="16301"/>
      <c r="SRM13329" s="13251"/>
    </row>
    <row r="13330" spans="2:2 13325:13340" x14ac:dyDescent="0.3">
      <c r="B13330" s="16301"/>
      <c r="SRN13330" s="13252"/>
    </row>
    <row r="13331" spans="2:2 13325:13340" x14ac:dyDescent="0.3">
      <c r="B13331" s="16301"/>
      <c r="SRO13331" s="13253"/>
    </row>
    <row r="13332" spans="2:2 13325:13340" x14ac:dyDescent="0.3">
      <c r="B13332" s="16301"/>
      <c r="SRP13332" s="13254"/>
    </row>
    <row r="13333" spans="2:2 13325:13340" x14ac:dyDescent="0.3">
      <c r="B13333" s="16301"/>
      <c r="SRQ13333" s="13255"/>
    </row>
    <row r="13334" spans="2:2 13325:13340" x14ac:dyDescent="0.3">
      <c r="B13334" s="16301"/>
      <c r="SRR13334" s="13256"/>
    </row>
    <row r="13335" spans="2:2 13325:13340" x14ac:dyDescent="0.3">
      <c r="B13335" s="16301"/>
      <c r="SRS13335" s="13257"/>
    </row>
    <row r="13336" spans="2:2 13325:13340" x14ac:dyDescent="0.3">
      <c r="B13336" s="16301"/>
      <c r="SRT13336" s="13258"/>
    </row>
    <row r="13337" spans="2:2 13325:13340" x14ac:dyDescent="0.3">
      <c r="B13337" s="16301"/>
      <c r="SRU13337" s="13259"/>
    </row>
    <row r="13338" spans="2:2 13325:13340" x14ac:dyDescent="0.3">
      <c r="B13338" s="16301"/>
      <c r="SRV13338" s="13260"/>
    </row>
    <row r="13339" spans="2:2 13325:13340" x14ac:dyDescent="0.3">
      <c r="B13339" s="16301"/>
      <c r="SRW13339" s="13261"/>
    </row>
    <row r="13340" spans="2:2 13325:13340" x14ac:dyDescent="0.3">
      <c r="B13340" s="16301"/>
      <c r="SRX13340" s="13262"/>
    </row>
    <row r="13341" spans="2:2 13325:13340" x14ac:dyDescent="0.3">
      <c r="B13341" s="16301"/>
      <c r="SRY13341" s="13263"/>
    </row>
    <row r="13342" spans="2:2 13325:13340" x14ac:dyDescent="0.3">
      <c r="B13342" s="16301"/>
      <c r="SRZ13342" s="13264"/>
    </row>
    <row r="13343" spans="2:2 13325:13340" x14ac:dyDescent="0.3">
      <c r="B13343" s="16301"/>
      <c r="SSA13343" s="13265"/>
    </row>
    <row r="13344" spans="2:2 13325:13340" x14ac:dyDescent="0.3">
      <c r="B13344" s="16301"/>
      <c r="SSB13344" s="13266"/>
    </row>
    <row r="13345" spans="2:2 13341:13356" x14ac:dyDescent="0.3">
      <c r="B13345" s="16301"/>
      <c r="SSC13345" s="13267"/>
    </row>
    <row r="13346" spans="2:2 13341:13356" x14ac:dyDescent="0.3">
      <c r="B13346" s="16301"/>
      <c r="SSD13346" s="13268"/>
    </row>
    <row r="13347" spans="2:2 13341:13356" x14ac:dyDescent="0.3">
      <c r="B13347" s="16301"/>
      <c r="SSE13347" s="13269"/>
    </row>
    <row r="13348" spans="2:2 13341:13356" x14ac:dyDescent="0.3">
      <c r="B13348" s="16301"/>
      <c r="SSF13348" s="13270"/>
    </row>
    <row r="13349" spans="2:2 13341:13356" x14ac:dyDescent="0.3">
      <c r="B13349" s="16301"/>
      <c r="SSG13349" s="13271"/>
    </row>
    <row r="13350" spans="2:2 13341:13356" x14ac:dyDescent="0.3">
      <c r="B13350" s="16301"/>
      <c r="SSH13350" s="13272"/>
    </row>
    <row r="13351" spans="2:2 13341:13356" x14ac:dyDescent="0.3">
      <c r="B13351" s="16301"/>
      <c r="SSI13351" s="13273"/>
    </row>
    <row r="13352" spans="2:2 13341:13356" x14ac:dyDescent="0.3">
      <c r="B13352" s="16301"/>
      <c r="SSJ13352" s="13274"/>
    </row>
    <row r="13353" spans="2:2 13341:13356" x14ac:dyDescent="0.3">
      <c r="B13353" s="16301"/>
      <c r="SSK13353" s="13275"/>
    </row>
    <row r="13354" spans="2:2 13341:13356" x14ac:dyDescent="0.3">
      <c r="B13354" s="16301"/>
      <c r="SSL13354" s="13276"/>
    </row>
    <row r="13355" spans="2:2 13341:13356" x14ac:dyDescent="0.3">
      <c r="B13355" s="16301"/>
      <c r="SSM13355" s="13277"/>
    </row>
    <row r="13356" spans="2:2 13341:13356" x14ac:dyDescent="0.3">
      <c r="B13356" s="16301"/>
      <c r="SSN13356" s="13278"/>
    </row>
    <row r="13357" spans="2:2 13341:13356" x14ac:dyDescent="0.3">
      <c r="B13357" s="16301"/>
      <c r="SSO13357" s="13279"/>
    </row>
    <row r="13358" spans="2:2 13341:13356" x14ac:dyDescent="0.3">
      <c r="B13358" s="16301"/>
      <c r="SSP13358" s="13280"/>
    </row>
    <row r="13359" spans="2:2 13341:13356" x14ac:dyDescent="0.3">
      <c r="B13359" s="16301"/>
      <c r="SSQ13359" s="13281"/>
    </row>
    <row r="13360" spans="2:2 13341:13356" x14ac:dyDescent="0.3">
      <c r="B13360" s="16301"/>
      <c r="SSR13360" s="13282"/>
    </row>
    <row r="13361" spans="2:2 13357:13372" x14ac:dyDescent="0.3">
      <c r="B13361" s="16301"/>
      <c r="SSS13361" s="13283"/>
    </row>
    <row r="13362" spans="2:2 13357:13372" x14ac:dyDescent="0.3">
      <c r="B13362" s="16301"/>
      <c r="SST13362" s="13284"/>
    </row>
    <row r="13363" spans="2:2 13357:13372" x14ac:dyDescent="0.3">
      <c r="B13363" s="16301"/>
      <c r="SSU13363" s="13285"/>
    </row>
    <row r="13364" spans="2:2 13357:13372" x14ac:dyDescent="0.3">
      <c r="B13364" s="16301"/>
      <c r="SSV13364" s="13286"/>
    </row>
    <row r="13365" spans="2:2 13357:13372" x14ac:dyDescent="0.3">
      <c r="B13365" s="16301"/>
      <c r="SSW13365" s="13287"/>
    </row>
    <row r="13366" spans="2:2 13357:13372" x14ac:dyDescent="0.3">
      <c r="B13366" s="16301"/>
      <c r="SSX13366" s="13288"/>
    </row>
    <row r="13367" spans="2:2 13357:13372" x14ac:dyDescent="0.3">
      <c r="B13367" s="16301"/>
      <c r="SSY13367" s="13289"/>
    </row>
    <row r="13368" spans="2:2 13357:13372" x14ac:dyDescent="0.3">
      <c r="B13368" s="16301"/>
      <c r="SSZ13368" s="13290"/>
    </row>
    <row r="13369" spans="2:2 13357:13372" x14ac:dyDescent="0.3">
      <c r="B13369" s="16301"/>
      <c r="STA13369" s="13291"/>
    </row>
    <row r="13370" spans="2:2 13357:13372" x14ac:dyDescent="0.3">
      <c r="B13370" s="16301"/>
      <c r="STB13370" s="13291"/>
    </row>
    <row r="13371" spans="2:2 13357:13372" x14ac:dyDescent="0.3">
      <c r="B13371" s="16301"/>
      <c r="STC13371" s="13292"/>
    </row>
    <row r="13372" spans="2:2 13357:13372" x14ac:dyDescent="0.3">
      <c r="B13372" s="16301"/>
      <c r="STD13372" s="13293"/>
    </row>
    <row r="13373" spans="2:2 13357:13372" x14ac:dyDescent="0.3">
      <c r="B13373" s="16301"/>
      <c r="STE13373" s="13294"/>
    </row>
    <row r="13374" spans="2:2 13357:13372" x14ac:dyDescent="0.3">
      <c r="B13374" s="16301"/>
      <c r="STF13374" s="13295"/>
    </row>
    <row r="13375" spans="2:2 13357:13372" x14ac:dyDescent="0.3">
      <c r="B13375" s="16301"/>
      <c r="STG13375" s="13296"/>
    </row>
    <row r="13376" spans="2:2 13357:13372" x14ac:dyDescent="0.3">
      <c r="B13376" s="16301"/>
      <c r="STH13376" s="13297"/>
    </row>
    <row r="13377" spans="2:2 13373:13388" x14ac:dyDescent="0.3">
      <c r="B13377" s="16301"/>
      <c r="STI13377" s="13298"/>
    </row>
    <row r="13378" spans="2:2 13373:13388" x14ac:dyDescent="0.3">
      <c r="B13378" s="16301"/>
      <c r="STJ13378" s="13299"/>
    </row>
    <row r="13379" spans="2:2 13373:13388" x14ac:dyDescent="0.3">
      <c r="B13379" s="16301"/>
      <c r="STK13379" s="13300"/>
    </row>
    <row r="13380" spans="2:2 13373:13388" x14ac:dyDescent="0.3">
      <c r="B13380" s="16301"/>
      <c r="STL13380" s="13301"/>
    </row>
    <row r="13381" spans="2:2 13373:13388" x14ac:dyDescent="0.3">
      <c r="B13381" s="16301"/>
      <c r="STM13381" s="13302"/>
    </row>
    <row r="13382" spans="2:2 13373:13388" x14ac:dyDescent="0.3">
      <c r="B13382" s="16301"/>
      <c r="STN13382" s="13303"/>
    </row>
    <row r="13383" spans="2:2 13373:13388" x14ac:dyDescent="0.3">
      <c r="B13383" s="16301"/>
      <c r="STO13383" s="13304"/>
    </row>
    <row r="13384" spans="2:2 13373:13388" x14ac:dyDescent="0.3">
      <c r="B13384" s="16301"/>
      <c r="STP13384" s="13305"/>
    </row>
    <row r="13385" spans="2:2 13373:13388" x14ac:dyDescent="0.3">
      <c r="B13385" s="16301"/>
      <c r="STQ13385" s="13306"/>
    </row>
    <row r="13386" spans="2:2 13373:13388" x14ac:dyDescent="0.3">
      <c r="B13386" s="16301"/>
      <c r="STR13386" s="13307"/>
    </row>
    <row r="13387" spans="2:2 13373:13388" x14ac:dyDescent="0.3">
      <c r="B13387" s="16301"/>
      <c r="STS13387" s="13308"/>
    </row>
    <row r="13388" spans="2:2 13373:13388" x14ac:dyDescent="0.3">
      <c r="B13388" s="16301"/>
      <c r="STT13388" s="13309"/>
    </row>
    <row r="13389" spans="2:2 13373:13388" x14ac:dyDescent="0.3">
      <c r="B13389" s="16301"/>
      <c r="STU13389" s="13310"/>
    </row>
    <row r="13390" spans="2:2 13373:13388" x14ac:dyDescent="0.3">
      <c r="B13390" s="16301"/>
      <c r="STV13390" s="13311"/>
    </row>
    <row r="13391" spans="2:2 13373:13388" x14ac:dyDescent="0.3">
      <c r="B13391" s="16301"/>
      <c r="STW13391" s="13312"/>
    </row>
    <row r="13392" spans="2:2 13373:13388" x14ac:dyDescent="0.3">
      <c r="B13392" s="16301"/>
      <c r="STX13392" s="13313"/>
    </row>
    <row r="13393" spans="2:2 13389:13404" x14ac:dyDescent="0.3">
      <c r="B13393" s="16301"/>
      <c r="STY13393" s="13314"/>
    </row>
    <row r="13394" spans="2:2 13389:13404" x14ac:dyDescent="0.3">
      <c r="B13394" s="16301"/>
      <c r="STZ13394" s="13315"/>
    </row>
    <row r="13395" spans="2:2 13389:13404" x14ac:dyDescent="0.3">
      <c r="B13395" s="16301"/>
      <c r="SUA13395" s="13316"/>
    </row>
    <row r="13396" spans="2:2 13389:13404" x14ac:dyDescent="0.3">
      <c r="B13396" s="16301"/>
      <c r="SUB13396" s="13317"/>
    </row>
    <row r="13397" spans="2:2 13389:13404" x14ac:dyDescent="0.3">
      <c r="B13397" s="16301"/>
      <c r="SUC13397" s="13318"/>
    </row>
    <row r="13398" spans="2:2 13389:13404" x14ac:dyDescent="0.3">
      <c r="B13398" s="16301"/>
      <c r="SUD13398" s="13319"/>
    </row>
    <row r="13399" spans="2:2 13389:13404" x14ac:dyDescent="0.3">
      <c r="B13399" s="16301"/>
      <c r="SUE13399" s="13320"/>
    </row>
    <row r="13400" spans="2:2 13389:13404" x14ac:dyDescent="0.3">
      <c r="B13400" s="16301"/>
      <c r="SUF13400" s="13321"/>
    </row>
    <row r="13401" spans="2:2 13389:13404" x14ac:dyDescent="0.3">
      <c r="B13401" s="16301"/>
      <c r="SUG13401" s="13322"/>
    </row>
    <row r="13402" spans="2:2 13389:13404" x14ac:dyDescent="0.3">
      <c r="B13402" s="16301"/>
      <c r="SUH13402" s="13323"/>
    </row>
    <row r="13403" spans="2:2 13389:13404" x14ac:dyDescent="0.3">
      <c r="B13403" s="16301"/>
      <c r="SUI13403" s="13324"/>
    </row>
    <row r="13404" spans="2:2 13389:13404" x14ac:dyDescent="0.3">
      <c r="B13404" s="16301"/>
      <c r="SUJ13404" s="13325"/>
    </row>
    <row r="13405" spans="2:2 13389:13404" x14ac:dyDescent="0.3">
      <c r="B13405" s="16301"/>
      <c r="SUK13405" s="13326"/>
    </row>
    <row r="13406" spans="2:2 13389:13404" x14ac:dyDescent="0.3">
      <c r="B13406" s="16301"/>
      <c r="SUL13406" s="13327"/>
    </row>
    <row r="13407" spans="2:2 13389:13404" x14ac:dyDescent="0.3">
      <c r="B13407" s="16301"/>
      <c r="SUM13407" s="13328"/>
    </row>
    <row r="13408" spans="2:2 13389:13404" x14ac:dyDescent="0.3">
      <c r="B13408" s="16301"/>
      <c r="SUN13408" s="13329"/>
    </row>
    <row r="13409" spans="2:2 13405:13420" x14ac:dyDescent="0.3">
      <c r="B13409" s="16301"/>
      <c r="SUO13409" s="13330"/>
    </row>
    <row r="13410" spans="2:2 13405:13420" x14ac:dyDescent="0.3">
      <c r="B13410" s="16301"/>
      <c r="SUP13410" s="13331"/>
    </row>
    <row r="13411" spans="2:2 13405:13420" x14ac:dyDescent="0.3">
      <c r="B13411" s="16301"/>
      <c r="SUQ13411" s="13332"/>
    </row>
    <row r="13412" spans="2:2 13405:13420" x14ac:dyDescent="0.3">
      <c r="B13412" s="16301"/>
      <c r="SUR13412" s="13333"/>
    </row>
    <row r="13413" spans="2:2 13405:13420" x14ac:dyDescent="0.3">
      <c r="B13413" s="16301"/>
      <c r="SUS13413" s="13334"/>
    </row>
    <row r="13414" spans="2:2 13405:13420" x14ac:dyDescent="0.3">
      <c r="B13414" s="16301"/>
      <c r="SUT13414" s="13335"/>
    </row>
    <row r="13415" spans="2:2 13405:13420" x14ac:dyDescent="0.3">
      <c r="B13415" s="16301"/>
      <c r="SUU13415" s="13336"/>
    </row>
    <row r="13416" spans="2:2 13405:13420" x14ac:dyDescent="0.3">
      <c r="B13416" s="16301"/>
      <c r="SUV13416" s="13337"/>
    </row>
    <row r="13417" spans="2:2 13405:13420" x14ac:dyDescent="0.3">
      <c r="B13417" s="16301"/>
      <c r="SUW13417" s="13338"/>
    </row>
    <row r="13418" spans="2:2 13405:13420" x14ac:dyDescent="0.3">
      <c r="B13418" s="16301"/>
      <c r="SUX13418" s="13339"/>
    </row>
    <row r="13419" spans="2:2 13405:13420" x14ac:dyDescent="0.3">
      <c r="B13419" s="16301"/>
      <c r="SUY13419" s="13340"/>
    </row>
    <row r="13420" spans="2:2 13405:13420" x14ac:dyDescent="0.3">
      <c r="B13420" s="16301"/>
      <c r="SUZ13420" s="13341"/>
    </row>
    <row r="13421" spans="2:2 13405:13420" x14ac:dyDescent="0.3">
      <c r="B13421" s="16301"/>
      <c r="SVA13421" s="13342"/>
    </row>
    <row r="13422" spans="2:2 13405:13420" x14ac:dyDescent="0.3">
      <c r="B13422" s="16301"/>
      <c r="SVB13422" s="13343"/>
    </row>
    <row r="13423" spans="2:2 13405:13420" x14ac:dyDescent="0.3">
      <c r="B13423" s="16301"/>
      <c r="SVC13423" s="13344"/>
    </row>
    <row r="13424" spans="2:2 13405:13420" x14ac:dyDescent="0.3">
      <c r="B13424" s="16301"/>
      <c r="SVD13424" s="13345"/>
    </row>
    <row r="13425" spans="2:2 13421:13436" x14ac:dyDescent="0.3">
      <c r="B13425" s="16301"/>
      <c r="SVE13425" s="13346"/>
    </row>
    <row r="13426" spans="2:2 13421:13436" x14ac:dyDescent="0.3">
      <c r="B13426" s="16301"/>
      <c r="SVF13426" s="13347"/>
    </row>
    <row r="13427" spans="2:2 13421:13436" x14ac:dyDescent="0.3">
      <c r="B13427" s="16301"/>
      <c r="SVG13427" s="13348"/>
    </row>
    <row r="13428" spans="2:2 13421:13436" x14ac:dyDescent="0.3">
      <c r="B13428" s="16301"/>
      <c r="SVH13428" s="13349"/>
    </row>
    <row r="13429" spans="2:2 13421:13436" x14ac:dyDescent="0.3">
      <c r="B13429" s="16301"/>
      <c r="SVI13429" s="13350"/>
    </row>
    <row r="13430" spans="2:2 13421:13436" x14ac:dyDescent="0.3">
      <c r="B13430" s="16301"/>
      <c r="SVJ13430" s="13351"/>
    </row>
    <row r="13431" spans="2:2 13421:13436" x14ac:dyDescent="0.3">
      <c r="B13431" s="16301"/>
      <c r="SVK13431" s="13352"/>
    </row>
    <row r="13432" spans="2:2 13421:13436" x14ac:dyDescent="0.3">
      <c r="B13432" s="16301"/>
      <c r="SVL13432" s="13353"/>
    </row>
    <row r="13433" spans="2:2 13421:13436" x14ac:dyDescent="0.3">
      <c r="B13433" s="16301"/>
      <c r="SVM13433" s="13354"/>
    </row>
    <row r="13434" spans="2:2 13421:13436" x14ac:dyDescent="0.3">
      <c r="B13434" s="16301"/>
      <c r="SVN13434" s="13355"/>
    </row>
    <row r="13435" spans="2:2 13421:13436" x14ac:dyDescent="0.3">
      <c r="B13435" s="16301"/>
      <c r="SVO13435" s="13356"/>
    </row>
    <row r="13436" spans="2:2 13421:13436" x14ac:dyDescent="0.3">
      <c r="B13436" s="16301"/>
      <c r="SVP13436" s="13357"/>
    </row>
    <row r="13437" spans="2:2 13421:13436" x14ac:dyDescent="0.3">
      <c r="B13437" s="16301"/>
      <c r="SVQ13437" s="13358"/>
    </row>
    <row r="13438" spans="2:2 13421:13436" x14ac:dyDescent="0.3">
      <c r="B13438" s="16301"/>
      <c r="SVR13438" s="13359"/>
    </row>
    <row r="13439" spans="2:2 13421:13436" x14ac:dyDescent="0.3">
      <c r="B13439" s="16301"/>
      <c r="SVS13439" s="13360"/>
    </row>
    <row r="13440" spans="2:2 13421:13436" x14ac:dyDescent="0.3">
      <c r="B13440" s="16301"/>
      <c r="SVT13440" s="13361"/>
    </row>
    <row r="13441" spans="2:2 13437:13452" x14ac:dyDescent="0.3">
      <c r="B13441" s="16301"/>
      <c r="SVU13441" s="13362"/>
    </row>
    <row r="13442" spans="2:2 13437:13452" x14ac:dyDescent="0.3">
      <c r="B13442" s="16301"/>
      <c r="SVV13442" s="13363"/>
    </row>
    <row r="13443" spans="2:2 13437:13452" x14ac:dyDescent="0.3">
      <c r="B13443" s="16301"/>
      <c r="SVW13443" s="13364"/>
    </row>
    <row r="13444" spans="2:2 13437:13452" x14ac:dyDescent="0.3">
      <c r="B13444" s="16301"/>
      <c r="SVX13444" s="13365"/>
    </row>
    <row r="13445" spans="2:2 13437:13452" x14ac:dyDescent="0.3">
      <c r="B13445" s="16301"/>
      <c r="SVY13445" s="13366"/>
    </row>
    <row r="13446" spans="2:2 13437:13452" x14ac:dyDescent="0.3">
      <c r="B13446" s="16301"/>
      <c r="SVZ13446" s="13367"/>
    </row>
    <row r="13447" spans="2:2 13437:13452" x14ac:dyDescent="0.3">
      <c r="B13447" s="16301"/>
      <c r="SWA13447" s="13368"/>
    </row>
    <row r="13448" spans="2:2 13437:13452" x14ac:dyDescent="0.3">
      <c r="B13448" s="16301"/>
      <c r="SWB13448" s="13369"/>
    </row>
    <row r="13449" spans="2:2 13437:13452" x14ac:dyDescent="0.3">
      <c r="B13449" s="16301"/>
      <c r="SWC13449" s="13370"/>
    </row>
    <row r="13450" spans="2:2 13437:13452" x14ac:dyDescent="0.3">
      <c r="B13450" s="16301"/>
      <c r="SWD13450" s="13371"/>
    </row>
    <row r="13451" spans="2:2 13437:13452" x14ac:dyDescent="0.3">
      <c r="B13451" s="16301"/>
      <c r="SWE13451" s="13372"/>
    </row>
    <row r="13452" spans="2:2 13437:13452" x14ac:dyDescent="0.3">
      <c r="B13452" s="16301"/>
      <c r="SWF13452" s="13373"/>
    </row>
    <row r="13453" spans="2:2 13437:13452" x14ac:dyDescent="0.3">
      <c r="B13453" s="16301"/>
      <c r="SWG13453" s="13374"/>
    </row>
    <row r="13454" spans="2:2 13437:13452" x14ac:dyDescent="0.3">
      <c r="B13454" s="16301"/>
      <c r="SWH13454" s="13375"/>
    </row>
    <row r="13455" spans="2:2 13437:13452" x14ac:dyDescent="0.3">
      <c r="B13455" s="16301"/>
      <c r="SWI13455" s="13376"/>
    </row>
    <row r="13456" spans="2:2 13437:13452" x14ac:dyDescent="0.3">
      <c r="B13456" s="16301"/>
      <c r="SWJ13456" s="13377"/>
    </row>
    <row r="13457" spans="2:2 13453:13468" x14ac:dyDescent="0.3">
      <c r="B13457" s="16301"/>
      <c r="SWK13457" s="13378"/>
    </row>
    <row r="13458" spans="2:2 13453:13468" x14ac:dyDescent="0.3">
      <c r="B13458" s="16301"/>
      <c r="SWL13458" s="13379"/>
    </row>
    <row r="13459" spans="2:2 13453:13468" x14ac:dyDescent="0.3">
      <c r="B13459" s="16301"/>
      <c r="SWM13459" s="13380"/>
    </row>
    <row r="13460" spans="2:2 13453:13468" x14ac:dyDescent="0.3">
      <c r="B13460" s="16301"/>
      <c r="SWN13460" s="13381"/>
    </row>
    <row r="13461" spans="2:2 13453:13468" x14ac:dyDescent="0.3">
      <c r="B13461" s="16301"/>
      <c r="SWO13461" s="13382"/>
    </row>
    <row r="13462" spans="2:2 13453:13468" x14ac:dyDescent="0.3">
      <c r="B13462" s="16301"/>
      <c r="SWP13462" s="13383"/>
    </row>
    <row r="13463" spans="2:2 13453:13468" x14ac:dyDescent="0.3">
      <c r="B13463" s="16301"/>
      <c r="SWQ13463" s="13384"/>
    </row>
    <row r="13464" spans="2:2 13453:13468" x14ac:dyDescent="0.3">
      <c r="B13464" s="16301"/>
      <c r="SWR13464" s="13385"/>
    </row>
    <row r="13465" spans="2:2 13453:13468" x14ac:dyDescent="0.3">
      <c r="B13465" s="16301"/>
      <c r="SWS13465" s="13386"/>
    </row>
    <row r="13466" spans="2:2 13453:13468" x14ac:dyDescent="0.3">
      <c r="B13466" s="16301"/>
      <c r="SWT13466" s="13387"/>
    </row>
    <row r="13467" spans="2:2 13453:13468" x14ac:dyDescent="0.3">
      <c r="B13467" s="16301"/>
      <c r="SWU13467" s="13388"/>
    </row>
    <row r="13468" spans="2:2 13453:13468" x14ac:dyDescent="0.3">
      <c r="B13468" s="16301"/>
      <c r="SWV13468" s="13389"/>
    </row>
    <row r="13469" spans="2:2 13453:13468" x14ac:dyDescent="0.3">
      <c r="B13469" s="16301"/>
      <c r="SWW13469" s="13390"/>
    </row>
    <row r="13470" spans="2:2 13453:13468" x14ac:dyDescent="0.3">
      <c r="B13470" s="16301"/>
      <c r="SWX13470" s="13391"/>
    </row>
    <row r="13471" spans="2:2 13453:13468" x14ac:dyDescent="0.3">
      <c r="B13471" s="16301"/>
      <c r="SWY13471" s="13392"/>
    </row>
    <row r="13472" spans="2:2 13453:13468" x14ac:dyDescent="0.3">
      <c r="B13472" s="16301"/>
      <c r="SWZ13472" s="13393"/>
    </row>
    <row r="13473" spans="2:2 13469:13484" x14ac:dyDescent="0.3">
      <c r="B13473" s="16301"/>
      <c r="SXA13473" s="13394"/>
    </row>
    <row r="13474" spans="2:2 13469:13484" x14ac:dyDescent="0.3">
      <c r="B13474" s="16301"/>
      <c r="SXB13474" s="13395"/>
    </row>
    <row r="13475" spans="2:2 13469:13484" x14ac:dyDescent="0.3">
      <c r="B13475" s="16301"/>
      <c r="SXC13475" s="13396"/>
    </row>
    <row r="13476" spans="2:2 13469:13484" x14ac:dyDescent="0.3">
      <c r="B13476" s="16301"/>
      <c r="SXD13476" s="13397"/>
    </row>
    <row r="13477" spans="2:2 13469:13484" x14ac:dyDescent="0.3">
      <c r="B13477" s="16301"/>
      <c r="SXE13477" s="13398"/>
    </row>
    <row r="13478" spans="2:2 13469:13484" x14ac:dyDescent="0.3">
      <c r="B13478" s="16301"/>
      <c r="SXF13478" s="13399"/>
    </row>
    <row r="13479" spans="2:2 13469:13484" x14ac:dyDescent="0.3">
      <c r="B13479" s="16301"/>
      <c r="SXG13479" s="13400"/>
    </row>
    <row r="13480" spans="2:2 13469:13484" x14ac:dyDescent="0.3">
      <c r="B13480" s="16301"/>
      <c r="SXH13480" s="13401"/>
    </row>
    <row r="13481" spans="2:2 13469:13484" x14ac:dyDescent="0.3">
      <c r="B13481" s="16301"/>
      <c r="SXI13481" s="13402"/>
    </row>
    <row r="13482" spans="2:2 13469:13484" x14ac:dyDescent="0.3">
      <c r="B13482" s="16301"/>
      <c r="SXJ13482" s="13403"/>
    </row>
    <row r="13483" spans="2:2 13469:13484" x14ac:dyDescent="0.3">
      <c r="B13483" s="16301"/>
      <c r="SXK13483" s="13404"/>
    </row>
    <row r="13484" spans="2:2 13469:13484" x14ac:dyDescent="0.3">
      <c r="B13484" s="16301"/>
      <c r="SXL13484" s="13405"/>
    </row>
    <row r="13485" spans="2:2 13469:13484" x14ac:dyDescent="0.3">
      <c r="B13485" s="16301"/>
      <c r="SXM13485" s="13406"/>
    </row>
    <row r="13486" spans="2:2 13469:13484" x14ac:dyDescent="0.3">
      <c r="B13486" s="16301"/>
      <c r="SXN13486" s="13407"/>
    </row>
    <row r="13487" spans="2:2 13469:13484" x14ac:dyDescent="0.3">
      <c r="B13487" s="16301"/>
      <c r="SXO13487" s="13408"/>
    </row>
    <row r="13488" spans="2:2 13469:13484" x14ac:dyDescent="0.3">
      <c r="B13488" s="16301"/>
      <c r="SXP13488" s="13409"/>
    </row>
    <row r="13489" spans="2:2 13485:13500" x14ac:dyDescent="0.3">
      <c r="B13489" s="16301"/>
      <c r="SXQ13489" s="13410"/>
    </row>
    <row r="13490" spans="2:2 13485:13500" x14ac:dyDescent="0.3">
      <c r="B13490" s="16301"/>
      <c r="SXR13490" s="13411"/>
    </row>
    <row r="13491" spans="2:2 13485:13500" x14ac:dyDescent="0.3">
      <c r="B13491" s="16301"/>
      <c r="SXS13491" s="13412"/>
    </row>
    <row r="13492" spans="2:2 13485:13500" x14ac:dyDescent="0.3">
      <c r="B13492" s="16301"/>
      <c r="SXT13492" s="13413"/>
    </row>
    <row r="13493" spans="2:2 13485:13500" x14ac:dyDescent="0.3">
      <c r="B13493" s="16301"/>
      <c r="SXU13493" s="13414"/>
    </row>
    <row r="13494" spans="2:2 13485:13500" x14ac:dyDescent="0.3">
      <c r="B13494" s="16301"/>
      <c r="SXV13494" s="13415"/>
    </row>
    <row r="13495" spans="2:2 13485:13500" x14ac:dyDescent="0.3">
      <c r="B13495" s="16301"/>
      <c r="SXW13495" s="13416"/>
    </row>
    <row r="13496" spans="2:2 13485:13500" x14ac:dyDescent="0.3">
      <c r="B13496" s="16301"/>
      <c r="SXX13496" s="13417"/>
    </row>
    <row r="13497" spans="2:2 13485:13500" x14ac:dyDescent="0.3">
      <c r="B13497" s="16301"/>
      <c r="SXY13497" s="13418"/>
    </row>
    <row r="13498" spans="2:2 13485:13500" x14ac:dyDescent="0.3">
      <c r="B13498" s="16301"/>
      <c r="SXZ13498" s="13419"/>
    </row>
    <row r="13499" spans="2:2 13485:13500" x14ac:dyDescent="0.3">
      <c r="B13499" s="16301"/>
      <c r="SYA13499" s="13420"/>
    </row>
    <row r="13500" spans="2:2 13485:13500" x14ac:dyDescent="0.3">
      <c r="B13500" s="16301"/>
      <c r="SYB13500" s="13421"/>
    </row>
    <row r="13501" spans="2:2 13485:13500" x14ac:dyDescent="0.3">
      <c r="B13501" s="16301"/>
      <c r="SYC13501" s="13422"/>
    </row>
    <row r="13502" spans="2:2 13485:13500" x14ac:dyDescent="0.3">
      <c r="B13502" s="16301"/>
      <c r="SYD13502" s="13423"/>
    </row>
    <row r="13503" spans="2:2 13485:13500" x14ac:dyDescent="0.3">
      <c r="B13503" s="16301"/>
      <c r="SYE13503" s="13424"/>
    </row>
    <row r="13504" spans="2:2 13485:13500" x14ac:dyDescent="0.3">
      <c r="B13504" s="16301"/>
      <c r="SYF13504" s="13425"/>
    </row>
    <row r="13505" spans="2:2 13501:13516" x14ac:dyDescent="0.3">
      <c r="B13505" s="16301"/>
      <c r="SYG13505" s="13426"/>
    </row>
    <row r="13506" spans="2:2 13501:13516" x14ac:dyDescent="0.3">
      <c r="B13506" s="16301"/>
      <c r="SYH13506" s="13427"/>
    </row>
    <row r="13507" spans="2:2 13501:13516" x14ac:dyDescent="0.3">
      <c r="B13507" s="16301"/>
      <c r="SYI13507" s="13428"/>
    </row>
    <row r="13508" spans="2:2 13501:13516" x14ac:dyDescent="0.3">
      <c r="B13508" s="16301"/>
      <c r="SYJ13508" s="13429"/>
    </row>
    <row r="13509" spans="2:2 13501:13516" x14ac:dyDescent="0.3">
      <c r="B13509" s="16301"/>
      <c r="SYK13509" s="13430"/>
    </row>
    <row r="13510" spans="2:2 13501:13516" x14ac:dyDescent="0.3">
      <c r="B13510" s="16301"/>
      <c r="SYL13510" s="13431"/>
    </row>
    <row r="13511" spans="2:2 13501:13516" x14ac:dyDescent="0.3">
      <c r="B13511" s="16301"/>
      <c r="SYM13511" s="13432"/>
    </row>
    <row r="13512" spans="2:2 13501:13516" x14ac:dyDescent="0.3">
      <c r="B13512" s="16301"/>
      <c r="SYN13512" s="13433"/>
    </row>
    <row r="13513" spans="2:2 13501:13516" x14ac:dyDescent="0.3">
      <c r="B13513" s="16301"/>
      <c r="SYO13513" s="13434"/>
    </row>
    <row r="13514" spans="2:2 13501:13516" x14ac:dyDescent="0.3">
      <c r="B13514" s="16301"/>
      <c r="SYP13514" s="13435"/>
    </row>
    <row r="13515" spans="2:2 13501:13516" x14ac:dyDescent="0.3">
      <c r="B13515" s="16301"/>
      <c r="SYQ13515" s="13436"/>
    </row>
    <row r="13516" spans="2:2 13501:13516" x14ac:dyDescent="0.3">
      <c r="B13516" s="16301"/>
      <c r="SYR13516" s="13437"/>
    </row>
    <row r="13517" spans="2:2 13501:13516" x14ac:dyDescent="0.3">
      <c r="B13517" s="16301"/>
      <c r="SYS13517" s="13438"/>
    </row>
    <row r="13518" spans="2:2 13501:13516" x14ac:dyDescent="0.3">
      <c r="B13518" s="16301"/>
      <c r="SYT13518" s="13439"/>
    </row>
    <row r="13519" spans="2:2 13501:13516" x14ac:dyDescent="0.3">
      <c r="B13519" s="16301"/>
      <c r="SYU13519" s="13440"/>
    </row>
    <row r="13520" spans="2:2 13501:13516" x14ac:dyDescent="0.3">
      <c r="B13520" s="16301"/>
      <c r="SYV13520" s="13441"/>
    </row>
    <row r="13521" spans="2:2 13517:13532" x14ac:dyDescent="0.3">
      <c r="B13521" s="16301"/>
      <c r="SYW13521" s="13442"/>
    </row>
    <row r="13522" spans="2:2 13517:13532" x14ac:dyDescent="0.3">
      <c r="B13522" s="16301"/>
      <c r="SYX13522" s="13443"/>
    </row>
    <row r="13523" spans="2:2 13517:13532" x14ac:dyDescent="0.3">
      <c r="B13523" s="16301"/>
      <c r="SYY13523" s="13444"/>
    </row>
    <row r="13524" spans="2:2 13517:13532" x14ac:dyDescent="0.3">
      <c r="B13524" s="16301"/>
      <c r="SYZ13524" s="13445"/>
    </row>
    <row r="13525" spans="2:2 13517:13532" x14ac:dyDescent="0.3">
      <c r="B13525" s="16301"/>
      <c r="SZA13525" s="13446"/>
    </row>
    <row r="13526" spans="2:2 13517:13532" x14ac:dyDescent="0.3">
      <c r="B13526" s="16301"/>
      <c r="SZB13526" s="13447"/>
    </row>
    <row r="13527" spans="2:2 13517:13532" x14ac:dyDescent="0.3">
      <c r="B13527" s="16301"/>
      <c r="SZC13527" s="13448"/>
    </row>
    <row r="13528" spans="2:2 13517:13532" x14ac:dyDescent="0.3">
      <c r="B13528" s="16301"/>
      <c r="SZD13528" s="13449"/>
    </row>
    <row r="13529" spans="2:2 13517:13532" x14ac:dyDescent="0.3">
      <c r="B13529" s="16301"/>
      <c r="SZE13529" s="13450"/>
    </row>
    <row r="13530" spans="2:2 13517:13532" x14ac:dyDescent="0.3">
      <c r="B13530" s="16301"/>
      <c r="SZF13530" s="13451"/>
    </row>
    <row r="13531" spans="2:2 13517:13532" x14ac:dyDescent="0.3">
      <c r="B13531" s="16301"/>
      <c r="SZG13531" s="13452"/>
    </row>
    <row r="13532" spans="2:2 13517:13532" x14ac:dyDescent="0.3">
      <c r="B13532" s="16301"/>
      <c r="SZH13532" s="13453"/>
    </row>
    <row r="13533" spans="2:2 13517:13532" x14ac:dyDescent="0.3">
      <c r="B13533" s="16301"/>
      <c r="SZI13533" s="13454"/>
    </row>
    <row r="13534" spans="2:2 13517:13532" x14ac:dyDescent="0.3">
      <c r="B13534" s="16301"/>
      <c r="SZJ13534" s="13455"/>
    </row>
    <row r="13535" spans="2:2 13517:13532" x14ac:dyDescent="0.3">
      <c r="B13535" s="16301"/>
      <c r="SZK13535" s="13456"/>
    </row>
    <row r="13536" spans="2:2 13517:13532" x14ac:dyDescent="0.3">
      <c r="B13536" s="16301"/>
      <c r="SZL13536" s="13457"/>
    </row>
    <row r="13537" spans="2:2 13533:13548" x14ac:dyDescent="0.3">
      <c r="B13537" s="16301"/>
      <c r="SZM13537" s="13458"/>
    </row>
    <row r="13538" spans="2:2 13533:13548" x14ac:dyDescent="0.3">
      <c r="B13538" s="16301"/>
      <c r="SZN13538" s="13459"/>
    </row>
    <row r="13539" spans="2:2 13533:13548" x14ac:dyDescent="0.3">
      <c r="B13539" s="16301"/>
      <c r="SZO13539" s="13460"/>
    </row>
    <row r="13540" spans="2:2 13533:13548" x14ac:dyDescent="0.3">
      <c r="B13540" s="16301"/>
      <c r="SZP13540" s="13461"/>
    </row>
    <row r="13541" spans="2:2 13533:13548" x14ac:dyDescent="0.3">
      <c r="B13541" s="16301"/>
      <c r="SZQ13541" s="13462"/>
    </row>
    <row r="13542" spans="2:2 13533:13548" x14ac:dyDescent="0.3">
      <c r="B13542" s="16301"/>
      <c r="SZR13542" s="13463"/>
    </row>
    <row r="13543" spans="2:2 13533:13548" x14ac:dyDescent="0.3">
      <c r="B13543" s="16301"/>
      <c r="SZS13543" s="13464"/>
    </row>
    <row r="13544" spans="2:2 13533:13548" x14ac:dyDescent="0.3">
      <c r="B13544" s="16301"/>
      <c r="SZT13544" s="13465"/>
    </row>
    <row r="13545" spans="2:2 13533:13548" x14ac:dyDescent="0.3">
      <c r="B13545" s="16301"/>
      <c r="SZU13545" s="13466"/>
    </row>
    <row r="13546" spans="2:2 13533:13548" x14ac:dyDescent="0.3">
      <c r="B13546" s="16301"/>
      <c r="SZV13546" s="13467"/>
    </row>
    <row r="13547" spans="2:2 13533:13548" x14ac:dyDescent="0.3">
      <c r="B13547" s="16301"/>
      <c r="SZW13547" s="13468"/>
    </row>
    <row r="13548" spans="2:2 13533:13548" x14ac:dyDescent="0.3">
      <c r="B13548" s="16301"/>
      <c r="SZX13548" s="13469"/>
    </row>
    <row r="13549" spans="2:2 13533:13548" x14ac:dyDescent="0.3">
      <c r="B13549" s="16301"/>
      <c r="SZY13549" s="13470"/>
    </row>
    <row r="13550" spans="2:2 13533:13548" x14ac:dyDescent="0.3">
      <c r="B13550" s="16301"/>
      <c r="SZZ13550" s="13471"/>
    </row>
    <row r="13551" spans="2:2 13533:13548" x14ac:dyDescent="0.3">
      <c r="B13551" s="16301"/>
      <c r="TAA13551" s="13472"/>
    </row>
    <row r="13552" spans="2:2 13533:13548" x14ac:dyDescent="0.3">
      <c r="B13552" s="16301"/>
      <c r="TAB13552" s="13473"/>
    </row>
    <row r="13553" spans="2:2 13549:13564" x14ac:dyDescent="0.3">
      <c r="B13553" s="16301"/>
      <c r="TAC13553" s="13474"/>
    </row>
    <row r="13554" spans="2:2 13549:13564" x14ac:dyDescent="0.3">
      <c r="B13554" s="16301"/>
      <c r="TAD13554" s="13475"/>
    </row>
    <row r="13555" spans="2:2 13549:13564" x14ac:dyDescent="0.3">
      <c r="B13555" s="16301"/>
      <c r="TAE13555" s="13476"/>
    </row>
    <row r="13556" spans="2:2 13549:13564" x14ac:dyDescent="0.3">
      <c r="B13556" s="16301"/>
      <c r="TAF13556" s="13477"/>
    </row>
    <row r="13557" spans="2:2 13549:13564" x14ac:dyDescent="0.3">
      <c r="B13557" s="16301"/>
      <c r="TAG13557" s="13478"/>
    </row>
    <row r="13558" spans="2:2 13549:13564" x14ac:dyDescent="0.3">
      <c r="B13558" s="16301"/>
      <c r="TAH13558" s="13479"/>
    </row>
    <row r="13559" spans="2:2 13549:13564" x14ac:dyDescent="0.3">
      <c r="B13559" s="16301"/>
      <c r="TAI13559" s="13480"/>
    </row>
    <row r="13560" spans="2:2 13549:13564" x14ac:dyDescent="0.3">
      <c r="B13560" s="16301"/>
      <c r="TAJ13560" s="13481"/>
    </row>
    <row r="13561" spans="2:2 13549:13564" x14ac:dyDescent="0.3">
      <c r="B13561" s="16301"/>
      <c r="TAK13561" s="13482"/>
    </row>
    <row r="13562" spans="2:2 13549:13564" x14ac:dyDescent="0.3">
      <c r="B13562" s="16301"/>
      <c r="TAL13562" s="13483"/>
    </row>
    <row r="13563" spans="2:2 13549:13564" x14ac:dyDescent="0.3">
      <c r="B13563" s="16301"/>
      <c r="TAM13563" s="13484"/>
    </row>
    <row r="13564" spans="2:2 13549:13564" x14ac:dyDescent="0.3">
      <c r="B13564" s="16301"/>
      <c r="TAN13564" s="13485"/>
    </row>
    <row r="13565" spans="2:2 13549:13564" x14ac:dyDescent="0.3">
      <c r="B13565" s="16301"/>
      <c r="TAO13565" s="13486"/>
    </row>
    <row r="13566" spans="2:2 13549:13564" x14ac:dyDescent="0.3">
      <c r="B13566" s="16301"/>
      <c r="TAP13566" s="13487"/>
    </row>
    <row r="13567" spans="2:2 13549:13564" x14ac:dyDescent="0.3">
      <c r="B13567" s="16301"/>
      <c r="TAQ13567" s="13488"/>
    </row>
    <row r="13568" spans="2:2 13549:13564" x14ac:dyDescent="0.3">
      <c r="B13568" s="16301"/>
      <c r="TAR13568" s="13489"/>
    </row>
    <row r="13569" spans="2:2 13565:13580" x14ac:dyDescent="0.3">
      <c r="B13569" s="16301"/>
      <c r="TAS13569" s="13490"/>
    </row>
    <row r="13570" spans="2:2 13565:13580" x14ac:dyDescent="0.3">
      <c r="B13570" s="16301"/>
      <c r="TAT13570" s="13491"/>
    </row>
    <row r="13571" spans="2:2 13565:13580" x14ac:dyDescent="0.3">
      <c r="B13571" s="16301"/>
      <c r="TAU13571" s="13492"/>
    </row>
    <row r="13572" spans="2:2 13565:13580" x14ac:dyDescent="0.3">
      <c r="B13572" s="16301"/>
      <c r="TAV13572" s="13493"/>
    </row>
    <row r="13573" spans="2:2 13565:13580" x14ac:dyDescent="0.3">
      <c r="B13573" s="16301"/>
      <c r="TAW13573" s="13494"/>
    </row>
    <row r="13574" spans="2:2 13565:13580" x14ac:dyDescent="0.3">
      <c r="B13574" s="16301"/>
      <c r="TAX13574" s="13495"/>
    </row>
    <row r="13575" spans="2:2 13565:13580" x14ac:dyDescent="0.3">
      <c r="B13575" s="16301"/>
      <c r="TAY13575" s="13496"/>
    </row>
    <row r="13576" spans="2:2 13565:13580" x14ac:dyDescent="0.3">
      <c r="B13576" s="16301"/>
      <c r="TAZ13576" s="13497"/>
    </row>
    <row r="13577" spans="2:2 13565:13580" x14ac:dyDescent="0.3">
      <c r="B13577" s="16301"/>
      <c r="TBA13577" s="13498"/>
    </row>
    <row r="13578" spans="2:2 13565:13580" x14ac:dyDescent="0.3">
      <c r="B13578" s="16301"/>
      <c r="TBB13578" s="13499"/>
    </row>
    <row r="13579" spans="2:2 13565:13580" x14ac:dyDescent="0.3">
      <c r="B13579" s="16301"/>
      <c r="TBC13579" s="13500"/>
    </row>
    <row r="13580" spans="2:2 13565:13580" x14ac:dyDescent="0.3">
      <c r="B13580" s="16301"/>
      <c r="TBD13580" s="13501"/>
    </row>
    <row r="13581" spans="2:2 13565:13580" x14ac:dyDescent="0.3">
      <c r="B13581" s="16301"/>
      <c r="TBE13581" s="13502"/>
    </row>
    <row r="13582" spans="2:2 13565:13580" x14ac:dyDescent="0.3">
      <c r="B13582" s="16301"/>
      <c r="TBF13582" s="13503"/>
    </row>
    <row r="13583" spans="2:2 13565:13580" x14ac:dyDescent="0.3">
      <c r="B13583" s="16301"/>
      <c r="TBG13583" s="13504"/>
    </row>
    <row r="13584" spans="2:2 13565:13580" x14ac:dyDescent="0.3">
      <c r="B13584" s="16301"/>
      <c r="TBH13584" s="13505"/>
    </row>
    <row r="13585" spans="2:2 13581:13596" x14ac:dyDescent="0.3">
      <c r="B13585" s="16301"/>
      <c r="TBI13585" s="13506"/>
    </row>
    <row r="13586" spans="2:2 13581:13596" x14ac:dyDescent="0.3">
      <c r="B13586" s="16301"/>
      <c r="TBJ13586" s="13507"/>
    </row>
    <row r="13587" spans="2:2 13581:13596" x14ac:dyDescent="0.3">
      <c r="B13587" s="16301"/>
      <c r="TBK13587" s="13508"/>
    </row>
    <row r="13588" spans="2:2 13581:13596" x14ac:dyDescent="0.3">
      <c r="B13588" s="16301"/>
      <c r="TBL13588" s="13509"/>
    </row>
    <row r="13589" spans="2:2 13581:13596" x14ac:dyDescent="0.3">
      <c r="B13589" s="16301"/>
      <c r="TBM13589" s="13510"/>
    </row>
    <row r="13590" spans="2:2 13581:13596" x14ac:dyDescent="0.3">
      <c r="B13590" s="16301"/>
      <c r="TBN13590" s="13511"/>
    </row>
    <row r="13591" spans="2:2 13581:13596" x14ac:dyDescent="0.3">
      <c r="B13591" s="16301"/>
      <c r="TBO13591" s="13512"/>
    </row>
    <row r="13592" spans="2:2 13581:13596" x14ac:dyDescent="0.3">
      <c r="B13592" s="16301"/>
      <c r="TBP13592" s="13513"/>
    </row>
    <row r="13593" spans="2:2 13581:13596" x14ac:dyDescent="0.3">
      <c r="B13593" s="16301"/>
      <c r="TBQ13593" s="13514"/>
    </row>
    <row r="13594" spans="2:2 13581:13596" x14ac:dyDescent="0.3">
      <c r="B13594" s="16301"/>
      <c r="TBR13594" s="13515"/>
    </row>
    <row r="13595" spans="2:2 13581:13596" x14ac:dyDescent="0.3">
      <c r="B13595" s="16301"/>
      <c r="TBS13595" s="13516"/>
    </row>
    <row r="13596" spans="2:2 13581:13596" x14ac:dyDescent="0.3">
      <c r="B13596" s="16301"/>
      <c r="TBT13596" s="13517"/>
    </row>
    <row r="13597" spans="2:2 13581:13596" x14ac:dyDescent="0.3">
      <c r="B13597" s="16301"/>
      <c r="TBU13597" s="13518"/>
    </row>
    <row r="13598" spans="2:2 13581:13596" x14ac:dyDescent="0.3">
      <c r="B13598" s="16301"/>
      <c r="TBV13598" s="13519"/>
    </row>
    <row r="13599" spans="2:2 13581:13596" x14ac:dyDescent="0.3">
      <c r="B13599" s="16301"/>
      <c r="TBW13599" s="13520"/>
    </row>
    <row r="13600" spans="2:2 13581:13596" x14ac:dyDescent="0.3">
      <c r="B13600" s="16301"/>
      <c r="TBX13600" s="13521"/>
    </row>
    <row r="13601" spans="2:2 13597:13612" x14ac:dyDescent="0.3">
      <c r="B13601" s="16301"/>
      <c r="TBY13601" s="13522"/>
    </row>
    <row r="13602" spans="2:2 13597:13612" x14ac:dyDescent="0.3">
      <c r="B13602" s="16301"/>
      <c r="TBZ13602" s="13523"/>
    </row>
    <row r="13603" spans="2:2 13597:13612" x14ac:dyDescent="0.3">
      <c r="B13603" s="16301"/>
      <c r="TCA13603" s="13524"/>
    </row>
    <row r="13604" spans="2:2 13597:13612" x14ac:dyDescent="0.3">
      <c r="B13604" s="16301"/>
      <c r="TCB13604" s="13525"/>
    </row>
    <row r="13605" spans="2:2 13597:13612" x14ac:dyDescent="0.3">
      <c r="B13605" s="16301"/>
      <c r="TCC13605" s="13526"/>
    </row>
    <row r="13606" spans="2:2 13597:13612" x14ac:dyDescent="0.3">
      <c r="B13606" s="16301"/>
      <c r="TCD13606" s="13527"/>
    </row>
    <row r="13607" spans="2:2 13597:13612" x14ac:dyDescent="0.3">
      <c r="B13607" s="16301"/>
      <c r="TCE13607" s="13528"/>
    </row>
    <row r="13608" spans="2:2 13597:13612" x14ac:dyDescent="0.3">
      <c r="B13608" s="16301"/>
      <c r="TCF13608" s="13529"/>
    </row>
    <row r="13609" spans="2:2 13597:13612" x14ac:dyDescent="0.3">
      <c r="B13609" s="16301"/>
      <c r="TCG13609" s="13530"/>
    </row>
    <row r="13610" spans="2:2 13597:13612" x14ac:dyDescent="0.3">
      <c r="B13610" s="16301"/>
      <c r="TCH13610" s="13531"/>
    </row>
    <row r="13611" spans="2:2 13597:13612" x14ac:dyDescent="0.3">
      <c r="B13611" s="16301"/>
      <c r="TCI13611" s="13532"/>
    </row>
    <row r="13612" spans="2:2 13597:13612" x14ac:dyDescent="0.3">
      <c r="B13612" s="16301"/>
      <c r="TCJ13612" s="13533"/>
    </row>
    <row r="13613" spans="2:2 13597:13612" x14ac:dyDescent="0.3">
      <c r="B13613" s="16301"/>
      <c r="TCK13613" s="13534"/>
    </row>
    <row r="13614" spans="2:2 13597:13612" x14ac:dyDescent="0.3">
      <c r="B13614" s="16301"/>
      <c r="TCL13614" s="13535"/>
    </row>
    <row r="13615" spans="2:2 13597:13612" x14ac:dyDescent="0.3">
      <c r="B13615" s="16301"/>
      <c r="TCM13615" s="13536"/>
    </row>
    <row r="13616" spans="2:2 13597:13612" x14ac:dyDescent="0.3">
      <c r="B13616" s="16301"/>
      <c r="TCN13616" s="13537"/>
    </row>
    <row r="13617" spans="2:2 13613:13628" x14ac:dyDescent="0.3">
      <c r="B13617" s="16301"/>
      <c r="TCO13617" s="13538"/>
    </row>
    <row r="13618" spans="2:2 13613:13628" x14ac:dyDescent="0.3">
      <c r="B13618" s="16301"/>
      <c r="TCP13618" s="13539"/>
    </row>
    <row r="13619" spans="2:2 13613:13628" x14ac:dyDescent="0.3">
      <c r="B13619" s="16301"/>
      <c r="TCQ13619" s="13540"/>
    </row>
    <row r="13620" spans="2:2 13613:13628" x14ac:dyDescent="0.3">
      <c r="B13620" s="16301"/>
      <c r="TCR13620" s="13541"/>
    </row>
    <row r="13621" spans="2:2 13613:13628" x14ac:dyDescent="0.3">
      <c r="B13621" s="16301"/>
      <c r="TCS13621" s="13542"/>
    </row>
    <row r="13622" spans="2:2 13613:13628" x14ac:dyDescent="0.3">
      <c r="B13622" s="16301"/>
      <c r="TCT13622" s="13543"/>
    </row>
    <row r="13623" spans="2:2 13613:13628" x14ac:dyDescent="0.3">
      <c r="B13623" s="16301"/>
      <c r="TCU13623" s="13544"/>
    </row>
    <row r="13624" spans="2:2 13613:13628" x14ac:dyDescent="0.3">
      <c r="B13624" s="16301"/>
      <c r="TCV13624" s="13545"/>
    </row>
    <row r="13625" spans="2:2 13613:13628" x14ac:dyDescent="0.3">
      <c r="B13625" s="16301"/>
      <c r="TCW13625" s="13546"/>
    </row>
    <row r="13626" spans="2:2 13613:13628" x14ac:dyDescent="0.3">
      <c r="B13626" s="16301"/>
      <c r="TCX13626" s="13547"/>
    </row>
    <row r="13627" spans="2:2 13613:13628" x14ac:dyDescent="0.3">
      <c r="B13627" s="16301"/>
      <c r="TCY13627" s="13547"/>
    </row>
    <row r="13628" spans="2:2 13613:13628" x14ac:dyDescent="0.3">
      <c r="B13628" s="16301"/>
      <c r="TCZ13628" s="13548"/>
    </row>
    <row r="13629" spans="2:2 13613:13628" x14ac:dyDescent="0.3">
      <c r="B13629" s="16301"/>
      <c r="TDA13629" s="13549"/>
    </row>
    <row r="13630" spans="2:2 13613:13628" x14ac:dyDescent="0.3">
      <c r="B13630" s="16301"/>
      <c r="TDB13630" s="13550"/>
    </row>
    <row r="13631" spans="2:2 13613:13628" x14ac:dyDescent="0.3">
      <c r="B13631" s="16301"/>
      <c r="TDC13631" s="13551"/>
    </row>
    <row r="13632" spans="2:2 13613:13628" x14ac:dyDescent="0.3">
      <c r="B13632" s="16301"/>
      <c r="TDD13632" s="13552"/>
    </row>
    <row r="13633" spans="2:2 13629:13644" x14ac:dyDescent="0.3">
      <c r="B13633" s="16301"/>
      <c r="TDE13633" s="13553"/>
    </row>
    <row r="13634" spans="2:2 13629:13644" x14ac:dyDescent="0.3">
      <c r="B13634" s="16301"/>
      <c r="TDF13634" s="13554"/>
    </row>
    <row r="13635" spans="2:2 13629:13644" x14ac:dyDescent="0.3">
      <c r="B13635" s="16301"/>
      <c r="TDG13635" s="13555"/>
    </row>
    <row r="13636" spans="2:2 13629:13644" x14ac:dyDescent="0.3">
      <c r="B13636" s="16301"/>
      <c r="TDH13636" s="13556"/>
    </row>
    <row r="13637" spans="2:2 13629:13644" x14ac:dyDescent="0.3">
      <c r="B13637" s="16301"/>
      <c r="TDI13637" s="13557"/>
    </row>
    <row r="13638" spans="2:2 13629:13644" x14ac:dyDescent="0.3">
      <c r="B13638" s="16301"/>
      <c r="TDJ13638" s="13558"/>
    </row>
    <row r="13639" spans="2:2 13629:13644" x14ac:dyDescent="0.3">
      <c r="B13639" s="16301"/>
      <c r="TDK13639" s="13559"/>
    </row>
    <row r="13640" spans="2:2 13629:13644" x14ac:dyDescent="0.3">
      <c r="B13640" s="16301"/>
      <c r="TDL13640" s="13560"/>
    </row>
    <row r="13641" spans="2:2 13629:13644" x14ac:dyDescent="0.3">
      <c r="B13641" s="16301"/>
      <c r="TDM13641" s="13561"/>
    </row>
    <row r="13642" spans="2:2 13629:13644" x14ac:dyDescent="0.3">
      <c r="B13642" s="16301"/>
      <c r="TDN13642" s="13562"/>
    </row>
    <row r="13643" spans="2:2 13629:13644" x14ac:dyDescent="0.3">
      <c r="B13643" s="16301"/>
      <c r="TDO13643" s="13563"/>
    </row>
    <row r="13644" spans="2:2 13629:13644" x14ac:dyDescent="0.3">
      <c r="B13644" s="16301"/>
      <c r="TDP13644" s="13564"/>
    </row>
    <row r="13645" spans="2:2 13629:13644" x14ac:dyDescent="0.3">
      <c r="B13645" s="16301"/>
      <c r="TDQ13645" s="13565"/>
    </row>
    <row r="13646" spans="2:2 13629:13644" x14ac:dyDescent="0.3">
      <c r="B13646" s="16301"/>
      <c r="TDR13646" s="13566"/>
    </row>
    <row r="13647" spans="2:2 13629:13644" x14ac:dyDescent="0.3">
      <c r="B13647" s="16301"/>
      <c r="TDS13647" s="13567"/>
    </row>
    <row r="13648" spans="2:2 13629:13644" x14ac:dyDescent="0.3">
      <c r="B13648" s="16301"/>
      <c r="TDT13648" s="13568"/>
    </row>
    <row r="13649" spans="2:2 13645:13660" x14ac:dyDescent="0.3">
      <c r="B13649" s="16301"/>
      <c r="TDU13649" s="13569"/>
    </row>
    <row r="13650" spans="2:2 13645:13660" x14ac:dyDescent="0.3">
      <c r="B13650" s="16301"/>
      <c r="TDV13650" s="13570"/>
    </row>
    <row r="13651" spans="2:2 13645:13660" x14ac:dyDescent="0.3">
      <c r="B13651" s="16301"/>
      <c r="TDW13651" s="13571"/>
    </row>
    <row r="13652" spans="2:2 13645:13660" x14ac:dyDescent="0.3">
      <c r="B13652" s="16301"/>
      <c r="TDX13652" s="13572"/>
    </row>
    <row r="13653" spans="2:2 13645:13660" x14ac:dyDescent="0.3">
      <c r="B13653" s="16301"/>
      <c r="TDY13653" s="13573"/>
    </row>
    <row r="13654" spans="2:2 13645:13660" x14ac:dyDescent="0.3">
      <c r="B13654" s="16301"/>
      <c r="TDZ13654" s="13574"/>
    </row>
    <row r="13655" spans="2:2 13645:13660" x14ac:dyDescent="0.3">
      <c r="B13655" s="16301"/>
      <c r="TEA13655" s="13575"/>
    </row>
    <row r="13656" spans="2:2 13645:13660" x14ac:dyDescent="0.3">
      <c r="B13656" s="16301"/>
      <c r="TEB13656" s="13576"/>
    </row>
    <row r="13657" spans="2:2 13645:13660" x14ac:dyDescent="0.3">
      <c r="B13657" s="16301"/>
      <c r="TEC13657" s="13577"/>
    </row>
    <row r="13658" spans="2:2 13645:13660" x14ac:dyDescent="0.3">
      <c r="B13658" s="16301"/>
      <c r="TED13658" s="13578"/>
    </row>
    <row r="13659" spans="2:2 13645:13660" x14ac:dyDescent="0.3">
      <c r="B13659" s="16301"/>
      <c r="TEE13659" s="13579"/>
    </row>
    <row r="13660" spans="2:2 13645:13660" x14ac:dyDescent="0.3">
      <c r="B13660" s="16301"/>
      <c r="TEF13660" s="13580"/>
    </row>
    <row r="13661" spans="2:2 13645:13660" x14ac:dyDescent="0.3">
      <c r="B13661" s="16301"/>
      <c r="TEG13661" s="13581"/>
    </row>
    <row r="13662" spans="2:2 13645:13660" x14ac:dyDescent="0.3">
      <c r="B13662" s="16301"/>
      <c r="TEH13662" s="13582"/>
    </row>
    <row r="13663" spans="2:2 13645:13660" x14ac:dyDescent="0.3">
      <c r="B13663" s="16301"/>
      <c r="TEI13663" s="13583"/>
    </row>
    <row r="13664" spans="2:2 13645:13660" x14ac:dyDescent="0.3">
      <c r="B13664" s="16301"/>
      <c r="TEJ13664" s="13584"/>
    </row>
    <row r="13665" spans="2:2 13661:13676" x14ac:dyDescent="0.3">
      <c r="B13665" s="16301"/>
      <c r="TEK13665" s="13585"/>
    </row>
    <row r="13666" spans="2:2 13661:13676" x14ac:dyDescent="0.3">
      <c r="B13666" s="16301"/>
      <c r="TEL13666" s="13586"/>
    </row>
    <row r="13667" spans="2:2 13661:13676" x14ac:dyDescent="0.3">
      <c r="B13667" s="16301"/>
      <c r="TEM13667" s="13587"/>
    </row>
    <row r="13668" spans="2:2 13661:13676" x14ac:dyDescent="0.3">
      <c r="B13668" s="16301"/>
      <c r="TEN13668" s="13588"/>
    </row>
    <row r="13669" spans="2:2 13661:13676" x14ac:dyDescent="0.3">
      <c r="B13669" s="16301"/>
      <c r="TEO13669" s="13589"/>
    </row>
    <row r="13670" spans="2:2 13661:13676" x14ac:dyDescent="0.3">
      <c r="B13670" s="16301"/>
      <c r="TEP13670" s="13590"/>
    </row>
    <row r="13671" spans="2:2 13661:13676" x14ac:dyDescent="0.3">
      <c r="B13671" s="16301"/>
      <c r="TEQ13671" s="13591"/>
    </row>
    <row r="13672" spans="2:2 13661:13676" x14ac:dyDescent="0.3">
      <c r="B13672" s="16301"/>
      <c r="TER13672" s="13592"/>
    </row>
    <row r="13673" spans="2:2 13661:13676" x14ac:dyDescent="0.3">
      <c r="B13673" s="16301"/>
      <c r="TES13673" s="13593"/>
    </row>
    <row r="13674" spans="2:2 13661:13676" x14ac:dyDescent="0.3">
      <c r="B13674" s="16301"/>
      <c r="TET13674" s="13594"/>
    </row>
    <row r="13675" spans="2:2 13661:13676" x14ac:dyDescent="0.3">
      <c r="B13675" s="16301"/>
      <c r="TEU13675" s="13595"/>
    </row>
    <row r="13676" spans="2:2 13661:13676" x14ac:dyDescent="0.3">
      <c r="B13676" s="16301"/>
      <c r="TEV13676" s="13596"/>
    </row>
    <row r="13677" spans="2:2 13661:13676" x14ac:dyDescent="0.3">
      <c r="B13677" s="16301"/>
      <c r="TEW13677" s="13597"/>
    </row>
    <row r="13678" spans="2:2 13661:13676" x14ac:dyDescent="0.3">
      <c r="B13678" s="16301"/>
      <c r="TEX13678" s="13598"/>
    </row>
    <row r="13679" spans="2:2 13661:13676" x14ac:dyDescent="0.3">
      <c r="B13679" s="16301"/>
      <c r="TEY13679" s="13599"/>
    </row>
    <row r="13680" spans="2:2 13661:13676" x14ac:dyDescent="0.3">
      <c r="B13680" s="16301"/>
      <c r="TEZ13680" s="13600"/>
    </row>
    <row r="13681" spans="2:2 13677:13692" x14ac:dyDescent="0.3">
      <c r="B13681" s="16301"/>
      <c r="TFA13681" s="13601"/>
    </row>
    <row r="13682" spans="2:2 13677:13692" x14ac:dyDescent="0.3">
      <c r="B13682" s="16301"/>
      <c r="TFB13682" s="13602"/>
    </row>
    <row r="13683" spans="2:2 13677:13692" x14ac:dyDescent="0.3">
      <c r="B13683" s="16301"/>
      <c r="TFC13683" s="13603"/>
    </row>
    <row r="13684" spans="2:2 13677:13692" x14ac:dyDescent="0.3">
      <c r="B13684" s="16301"/>
      <c r="TFD13684" s="13604"/>
    </row>
    <row r="13685" spans="2:2 13677:13692" x14ac:dyDescent="0.3">
      <c r="B13685" s="16301"/>
      <c r="TFE13685" s="13605"/>
    </row>
    <row r="13686" spans="2:2 13677:13692" x14ac:dyDescent="0.3">
      <c r="B13686" s="16301"/>
      <c r="TFF13686" s="13606"/>
    </row>
    <row r="13687" spans="2:2 13677:13692" x14ac:dyDescent="0.3">
      <c r="B13687" s="16301"/>
      <c r="TFG13687" s="13607"/>
    </row>
    <row r="13688" spans="2:2 13677:13692" x14ac:dyDescent="0.3">
      <c r="B13688" s="16301"/>
      <c r="TFH13688" s="13608"/>
    </row>
    <row r="13689" spans="2:2 13677:13692" x14ac:dyDescent="0.3">
      <c r="B13689" s="16301"/>
      <c r="TFI13689" s="13609"/>
    </row>
    <row r="13690" spans="2:2 13677:13692" x14ac:dyDescent="0.3">
      <c r="B13690" s="16301"/>
      <c r="TFJ13690" s="13610"/>
    </row>
    <row r="13691" spans="2:2 13677:13692" x14ac:dyDescent="0.3">
      <c r="B13691" s="16301"/>
      <c r="TFK13691" s="13611"/>
    </row>
    <row r="13692" spans="2:2 13677:13692" x14ac:dyDescent="0.3">
      <c r="B13692" s="16301"/>
      <c r="TFL13692" s="13612"/>
    </row>
    <row r="13693" spans="2:2 13677:13692" x14ac:dyDescent="0.3">
      <c r="B13693" s="16301"/>
      <c r="TFM13693" s="13613"/>
    </row>
    <row r="13694" spans="2:2 13677:13692" x14ac:dyDescent="0.3">
      <c r="B13694" s="16301"/>
      <c r="TFN13694" s="13614"/>
    </row>
    <row r="13695" spans="2:2 13677:13692" x14ac:dyDescent="0.3">
      <c r="B13695" s="16301"/>
      <c r="TFO13695" s="13615"/>
    </row>
    <row r="13696" spans="2:2 13677:13692" x14ac:dyDescent="0.3">
      <c r="B13696" s="16301"/>
      <c r="TFP13696" s="13616"/>
    </row>
    <row r="13697" spans="2:2 13693:13708" x14ac:dyDescent="0.3">
      <c r="B13697" s="16301"/>
      <c r="TFQ13697" s="13617"/>
    </row>
    <row r="13698" spans="2:2 13693:13708" x14ac:dyDescent="0.3">
      <c r="B13698" s="16301"/>
      <c r="TFR13698" s="13618"/>
    </row>
    <row r="13699" spans="2:2 13693:13708" x14ac:dyDescent="0.3">
      <c r="B13699" s="16301"/>
      <c r="TFS13699" s="13619"/>
    </row>
    <row r="13700" spans="2:2 13693:13708" x14ac:dyDescent="0.3">
      <c r="B13700" s="16301"/>
      <c r="TFT13700" s="13620"/>
    </row>
    <row r="13701" spans="2:2 13693:13708" x14ac:dyDescent="0.3">
      <c r="B13701" s="16301"/>
      <c r="TFU13701" s="13621"/>
    </row>
    <row r="13702" spans="2:2 13693:13708" x14ac:dyDescent="0.3">
      <c r="B13702" s="16301"/>
      <c r="TFV13702" s="13622"/>
    </row>
    <row r="13703" spans="2:2 13693:13708" x14ac:dyDescent="0.3">
      <c r="B13703" s="16301"/>
      <c r="TFW13703" s="13623"/>
    </row>
    <row r="13704" spans="2:2 13693:13708" x14ac:dyDescent="0.3">
      <c r="B13704" s="16301"/>
      <c r="TFX13704" s="13624"/>
    </row>
    <row r="13705" spans="2:2 13693:13708" x14ac:dyDescent="0.3">
      <c r="B13705" s="16301"/>
      <c r="TFY13705" s="13625"/>
    </row>
    <row r="13706" spans="2:2 13693:13708" x14ac:dyDescent="0.3">
      <c r="B13706" s="16301"/>
      <c r="TFZ13706" s="13626"/>
    </row>
    <row r="13707" spans="2:2 13693:13708" x14ac:dyDescent="0.3">
      <c r="B13707" s="16301"/>
      <c r="TGA13707" s="13627"/>
    </row>
    <row r="13708" spans="2:2 13693:13708" x14ac:dyDescent="0.3">
      <c r="B13708" s="16301"/>
      <c r="TGB13708" s="13628"/>
    </row>
    <row r="13709" spans="2:2 13693:13708" x14ac:dyDescent="0.3">
      <c r="B13709" s="16301"/>
      <c r="TGC13709" s="13629"/>
    </row>
    <row r="13710" spans="2:2 13693:13708" x14ac:dyDescent="0.3">
      <c r="B13710" s="16301"/>
      <c r="TGD13710" s="13630"/>
    </row>
    <row r="13711" spans="2:2 13693:13708" x14ac:dyDescent="0.3">
      <c r="B13711" s="16301"/>
      <c r="TGE13711" s="13631"/>
    </row>
    <row r="13712" spans="2:2 13693:13708" x14ac:dyDescent="0.3">
      <c r="B13712" s="16301"/>
      <c r="TGF13712" s="13632"/>
    </row>
    <row r="13713" spans="2:2 13709:13724" x14ac:dyDescent="0.3">
      <c r="B13713" s="16301"/>
      <c r="TGG13713" s="13633"/>
    </row>
    <row r="13714" spans="2:2 13709:13724" x14ac:dyDescent="0.3">
      <c r="B13714" s="16301"/>
      <c r="TGH13714" s="13634"/>
    </row>
    <row r="13715" spans="2:2 13709:13724" x14ac:dyDescent="0.3">
      <c r="B13715" s="16301"/>
      <c r="TGI13715" s="13635"/>
    </row>
    <row r="13716" spans="2:2 13709:13724" x14ac:dyDescent="0.3">
      <c r="B13716" s="16301"/>
      <c r="TGJ13716" s="13636"/>
    </row>
    <row r="13717" spans="2:2 13709:13724" x14ac:dyDescent="0.3">
      <c r="B13717" s="16301"/>
      <c r="TGK13717" s="13637"/>
    </row>
    <row r="13718" spans="2:2 13709:13724" x14ac:dyDescent="0.3">
      <c r="B13718" s="16301"/>
      <c r="TGL13718" s="13638"/>
    </row>
    <row r="13719" spans="2:2 13709:13724" x14ac:dyDescent="0.3">
      <c r="B13719" s="16301"/>
      <c r="TGM13719" s="13639"/>
    </row>
    <row r="13720" spans="2:2 13709:13724" x14ac:dyDescent="0.3">
      <c r="B13720" s="16301"/>
      <c r="TGN13720" s="13640"/>
    </row>
    <row r="13721" spans="2:2 13709:13724" x14ac:dyDescent="0.3">
      <c r="B13721" s="16301"/>
      <c r="TGO13721" s="13641"/>
    </row>
    <row r="13722" spans="2:2 13709:13724" x14ac:dyDescent="0.3">
      <c r="B13722" s="16301"/>
      <c r="TGP13722" s="13642"/>
    </row>
    <row r="13723" spans="2:2 13709:13724" x14ac:dyDescent="0.3">
      <c r="B13723" s="16301"/>
      <c r="TGQ13723" s="13643"/>
    </row>
    <row r="13724" spans="2:2 13709:13724" x14ac:dyDescent="0.3">
      <c r="B13724" s="16301"/>
      <c r="TGR13724" s="13644"/>
    </row>
    <row r="13725" spans="2:2 13709:13724" x14ac:dyDescent="0.3">
      <c r="B13725" s="16301"/>
      <c r="TGS13725" s="13645"/>
    </row>
    <row r="13726" spans="2:2 13709:13724" x14ac:dyDescent="0.3">
      <c r="B13726" s="16301"/>
      <c r="TGT13726" s="13646"/>
    </row>
    <row r="13727" spans="2:2 13709:13724" x14ac:dyDescent="0.3">
      <c r="B13727" s="16301"/>
      <c r="TGU13727" s="13647"/>
    </row>
    <row r="13728" spans="2:2 13709:13724" x14ac:dyDescent="0.3">
      <c r="B13728" s="16301"/>
      <c r="TGV13728" s="13648"/>
    </row>
    <row r="13729" spans="2:2 13725:13740" x14ac:dyDescent="0.3">
      <c r="B13729" s="16301"/>
      <c r="TGW13729" s="13649"/>
    </row>
    <row r="13730" spans="2:2 13725:13740" x14ac:dyDescent="0.3">
      <c r="B13730" s="16301"/>
      <c r="TGX13730" s="13650"/>
    </row>
    <row r="13731" spans="2:2 13725:13740" x14ac:dyDescent="0.3">
      <c r="B13731" s="16301"/>
      <c r="TGY13731" s="13651"/>
    </row>
    <row r="13732" spans="2:2 13725:13740" x14ac:dyDescent="0.3">
      <c r="B13732" s="16301"/>
      <c r="TGZ13732" s="13652"/>
    </row>
    <row r="13733" spans="2:2 13725:13740" x14ac:dyDescent="0.3">
      <c r="B13733" s="16301"/>
      <c r="THA13733" s="13653"/>
    </row>
    <row r="13734" spans="2:2 13725:13740" x14ac:dyDescent="0.3">
      <c r="B13734" s="16301"/>
      <c r="THB13734" s="13654"/>
    </row>
    <row r="13735" spans="2:2 13725:13740" x14ac:dyDescent="0.3">
      <c r="B13735" s="16301"/>
      <c r="THC13735" s="13655"/>
    </row>
    <row r="13736" spans="2:2 13725:13740" x14ac:dyDescent="0.3">
      <c r="B13736" s="16301"/>
      <c r="THD13736" s="13656"/>
    </row>
    <row r="13737" spans="2:2 13725:13740" x14ac:dyDescent="0.3">
      <c r="B13737" s="16301"/>
      <c r="THE13737" s="13657"/>
    </row>
    <row r="13738" spans="2:2 13725:13740" x14ac:dyDescent="0.3">
      <c r="B13738" s="16301"/>
      <c r="THF13738" s="13658"/>
    </row>
    <row r="13739" spans="2:2 13725:13740" x14ac:dyDescent="0.3">
      <c r="B13739" s="16301"/>
      <c r="THG13739" s="13659"/>
    </row>
    <row r="13740" spans="2:2 13725:13740" x14ac:dyDescent="0.3">
      <c r="B13740" s="16301"/>
      <c r="THH13740" s="13660"/>
    </row>
    <row r="13741" spans="2:2 13725:13740" x14ac:dyDescent="0.3">
      <c r="B13741" s="16301"/>
      <c r="THI13741" s="13661"/>
    </row>
    <row r="13742" spans="2:2 13725:13740" x14ac:dyDescent="0.3">
      <c r="B13742" s="16301"/>
      <c r="THJ13742" s="13662"/>
    </row>
    <row r="13743" spans="2:2 13725:13740" x14ac:dyDescent="0.3">
      <c r="B13743" s="16301"/>
      <c r="THK13743" s="13663"/>
    </row>
    <row r="13744" spans="2:2 13725:13740" x14ac:dyDescent="0.3">
      <c r="B13744" s="16301"/>
      <c r="THL13744" s="13664"/>
    </row>
    <row r="13745" spans="2:2 13741:13756" x14ac:dyDescent="0.3">
      <c r="B13745" s="16301"/>
      <c r="THM13745" s="13665"/>
    </row>
    <row r="13746" spans="2:2 13741:13756" x14ac:dyDescent="0.3">
      <c r="B13746" s="16301"/>
      <c r="THN13746" s="13666"/>
    </row>
    <row r="13747" spans="2:2 13741:13756" x14ac:dyDescent="0.3">
      <c r="B13747" s="16301"/>
      <c r="THO13747" s="13667"/>
    </row>
    <row r="13748" spans="2:2 13741:13756" x14ac:dyDescent="0.3">
      <c r="B13748" s="16301"/>
      <c r="THP13748" s="13668"/>
    </row>
    <row r="13749" spans="2:2 13741:13756" x14ac:dyDescent="0.3">
      <c r="B13749" s="16301"/>
      <c r="THQ13749" s="13669"/>
    </row>
    <row r="13750" spans="2:2 13741:13756" x14ac:dyDescent="0.3">
      <c r="B13750" s="16301"/>
      <c r="THR13750" s="13670"/>
    </row>
    <row r="13751" spans="2:2 13741:13756" x14ac:dyDescent="0.3">
      <c r="B13751" s="16301"/>
      <c r="THS13751" s="13671"/>
    </row>
    <row r="13752" spans="2:2 13741:13756" x14ac:dyDescent="0.3">
      <c r="B13752" s="16301"/>
      <c r="THT13752" s="13672"/>
    </row>
    <row r="13753" spans="2:2 13741:13756" x14ac:dyDescent="0.3">
      <c r="B13753" s="16301"/>
      <c r="THU13753" s="13673"/>
    </row>
    <row r="13754" spans="2:2 13741:13756" x14ac:dyDescent="0.3">
      <c r="B13754" s="16301"/>
      <c r="THV13754" s="13674"/>
    </row>
    <row r="13755" spans="2:2 13741:13756" x14ac:dyDescent="0.3">
      <c r="B13755" s="16301"/>
      <c r="THW13755" s="13675"/>
    </row>
    <row r="13756" spans="2:2 13741:13756" x14ac:dyDescent="0.3">
      <c r="B13756" s="16301"/>
      <c r="THX13756" s="13676"/>
    </row>
    <row r="13757" spans="2:2 13741:13756" x14ac:dyDescent="0.3">
      <c r="B13757" s="16301"/>
      <c r="THY13757" s="13677"/>
    </row>
    <row r="13758" spans="2:2 13741:13756" x14ac:dyDescent="0.3">
      <c r="B13758" s="16301"/>
      <c r="THZ13758" s="13678"/>
    </row>
    <row r="13759" spans="2:2 13741:13756" x14ac:dyDescent="0.3">
      <c r="B13759" s="16301"/>
      <c r="TIA13759" s="13679"/>
    </row>
    <row r="13760" spans="2:2 13741:13756" x14ac:dyDescent="0.3">
      <c r="B13760" s="16301"/>
      <c r="TIB13760" s="13680"/>
    </row>
    <row r="13761" spans="2:2 13757:13772" x14ac:dyDescent="0.3">
      <c r="B13761" s="16301"/>
      <c r="TIC13761" s="13681"/>
    </row>
    <row r="13762" spans="2:2 13757:13772" x14ac:dyDescent="0.3">
      <c r="B13762" s="16301"/>
      <c r="TID13762" s="13682"/>
    </row>
    <row r="13763" spans="2:2 13757:13772" x14ac:dyDescent="0.3">
      <c r="B13763" s="16301"/>
      <c r="TIE13763" s="13683"/>
    </row>
    <row r="13764" spans="2:2 13757:13772" x14ac:dyDescent="0.3">
      <c r="B13764" s="16301"/>
      <c r="TIF13764" s="13684"/>
    </row>
    <row r="13765" spans="2:2 13757:13772" x14ac:dyDescent="0.3">
      <c r="B13765" s="16301"/>
      <c r="TIG13765" s="13685"/>
    </row>
    <row r="13766" spans="2:2 13757:13772" x14ac:dyDescent="0.3">
      <c r="B13766" s="16301"/>
      <c r="TIH13766" s="13686"/>
    </row>
    <row r="13767" spans="2:2 13757:13772" x14ac:dyDescent="0.3">
      <c r="B13767" s="16301"/>
      <c r="TII13767" s="13687"/>
    </row>
    <row r="13768" spans="2:2 13757:13772" x14ac:dyDescent="0.3">
      <c r="B13768" s="16301"/>
      <c r="TIJ13768" s="13688"/>
    </row>
    <row r="13769" spans="2:2 13757:13772" x14ac:dyDescent="0.3">
      <c r="B13769" s="16301"/>
      <c r="TIK13769" s="13689"/>
    </row>
    <row r="13770" spans="2:2 13757:13772" x14ac:dyDescent="0.3">
      <c r="B13770" s="16301"/>
      <c r="TIL13770" s="13690"/>
    </row>
    <row r="13771" spans="2:2 13757:13772" x14ac:dyDescent="0.3">
      <c r="B13771" s="16301"/>
      <c r="TIM13771" s="13691"/>
    </row>
    <row r="13772" spans="2:2 13757:13772" x14ac:dyDescent="0.3">
      <c r="B13772" s="16301"/>
      <c r="TIN13772" s="13692"/>
    </row>
    <row r="13773" spans="2:2 13757:13772" x14ac:dyDescent="0.3">
      <c r="B13773" s="16301"/>
      <c r="TIO13773" s="13693"/>
    </row>
    <row r="13774" spans="2:2 13757:13772" x14ac:dyDescent="0.3">
      <c r="B13774" s="16301"/>
      <c r="TIP13774" s="13694"/>
    </row>
    <row r="13775" spans="2:2 13757:13772" x14ac:dyDescent="0.3">
      <c r="B13775" s="16301"/>
      <c r="TIQ13775" s="13695"/>
    </row>
    <row r="13776" spans="2:2 13757:13772" x14ac:dyDescent="0.3">
      <c r="B13776" s="16301"/>
      <c r="TIR13776" s="13696"/>
    </row>
    <row r="13777" spans="2:2 13773:13788" x14ac:dyDescent="0.3">
      <c r="B13777" s="16301"/>
      <c r="TIS13777" s="13697"/>
    </row>
    <row r="13778" spans="2:2 13773:13788" x14ac:dyDescent="0.3">
      <c r="B13778" s="16301"/>
      <c r="TIT13778" s="13698"/>
    </row>
    <row r="13779" spans="2:2 13773:13788" x14ac:dyDescent="0.3">
      <c r="B13779" s="16301"/>
      <c r="TIU13779" s="13699"/>
    </row>
    <row r="13780" spans="2:2 13773:13788" x14ac:dyDescent="0.3">
      <c r="B13780" s="16301"/>
      <c r="TIV13780" s="13700"/>
    </row>
    <row r="13781" spans="2:2 13773:13788" x14ac:dyDescent="0.3">
      <c r="B13781" s="16301"/>
      <c r="TIW13781" s="13701"/>
    </row>
    <row r="13782" spans="2:2 13773:13788" x14ac:dyDescent="0.3">
      <c r="B13782" s="16301"/>
      <c r="TIX13782" s="13702"/>
    </row>
    <row r="13783" spans="2:2 13773:13788" x14ac:dyDescent="0.3">
      <c r="B13783" s="16301"/>
      <c r="TIY13783" s="13703"/>
    </row>
    <row r="13784" spans="2:2 13773:13788" x14ac:dyDescent="0.3">
      <c r="B13784" s="16301"/>
      <c r="TIZ13784" s="13704"/>
    </row>
    <row r="13785" spans="2:2 13773:13788" x14ac:dyDescent="0.3">
      <c r="B13785" s="16301"/>
      <c r="TJA13785" s="13705"/>
    </row>
    <row r="13786" spans="2:2 13773:13788" x14ac:dyDescent="0.3">
      <c r="B13786" s="16301"/>
      <c r="TJB13786" s="13706"/>
    </row>
    <row r="13787" spans="2:2 13773:13788" x14ac:dyDescent="0.3">
      <c r="B13787" s="16301"/>
      <c r="TJC13787" s="13707"/>
    </row>
    <row r="13788" spans="2:2 13773:13788" x14ac:dyDescent="0.3">
      <c r="B13788" s="16301"/>
      <c r="TJD13788" s="13708"/>
    </row>
    <row r="13789" spans="2:2 13773:13788" x14ac:dyDescent="0.3">
      <c r="B13789" s="16301"/>
      <c r="TJE13789" s="13709"/>
    </row>
    <row r="13790" spans="2:2 13773:13788" x14ac:dyDescent="0.3">
      <c r="B13790" s="16301"/>
      <c r="TJF13790" s="13710"/>
    </row>
    <row r="13791" spans="2:2 13773:13788" x14ac:dyDescent="0.3">
      <c r="B13791" s="16301"/>
      <c r="TJG13791" s="13711"/>
    </row>
    <row r="13792" spans="2:2 13773:13788" x14ac:dyDescent="0.3">
      <c r="B13792" s="16301"/>
      <c r="TJH13792" s="13712"/>
    </row>
    <row r="13793" spans="2:2 13789:13804" x14ac:dyDescent="0.3">
      <c r="B13793" s="16301"/>
      <c r="TJI13793" s="13713"/>
    </row>
    <row r="13794" spans="2:2 13789:13804" x14ac:dyDescent="0.3">
      <c r="B13794" s="16301"/>
      <c r="TJJ13794" s="13714"/>
    </row>
    <row r="13795" spans="2:2 13789:13804" x14ac:dyDescent="0.3">
      <c r="B13795" s="16301"/>
      <c r="TJK13795" s="13715"/>
    </row>
    <row r="13796" spans="2:2 13789:13804" x14ac:dyDescent="0.3">
      <c r="B13796" s="16301"/>
      <c r="TJL13796" s="13716"/>
    </row>
    <row r="13797" spans="2:2 13789:13804" x14ac:dyDescent="0.3">
      <c r="B13797" s="16301"/>
      <c r="TJM13797" s="13717"/>
    </row>
    <row r="13798" spans="2:2 13789:13804" x14ac:dyDescent="0.3">
      <c r="B13798" s="16301"/>
      <c r="TJN13798" s="13718"/>
    </row>
    <row r="13799" spans="2:2 13789:13804" x14ac:dyDescent="0.3">
      <c r="B13799" s="16301"/>
      <c r="TJO13799" s="13719"/>
    </row>
    <row r="13800" spans="2:2 13789:13804" x14ac:dyDescent="0.3">
      <c r="B13800" s="16301"/>
      <c r="TJP13800" s="13720"/>
    </row>
    <row r="13801" spans="2:2 13789:13804" x14ac:dyDescent="0.3">
      <c r="B13801" s="16301"/>
      <c r="TJQ13801" s="13721"/>
    </row>
    <row r="13802" spans="2:2 13789:13804" x14ac:dyDescent="0.3">
      <c r="B13802" s="16301"/>
      <c r="TJR13802" s="13722"/>
    </row>
    <row r="13803" spans="2:2 13789:13804" x14ac:dyDescent="0.3">
      <c r="B13803" s="16301"/>
      <c r="TJS13803" s="13723"/>
    </row>
    <row r="13804" spans="2:2 13789:13804" x14ac:dyDescent="0.3">
      <c r="B13804" s="16301"/>
      <c r="TJT13804" s="13724"/>
    </row>
    <row r="13805" spans="2:2 13789:13804" x14ac:dyDescent="0.3">
      <c r="B13805" s="16301"/>
      <c r="TJU13805" s="13725"/>
    </row>
    <row r="13806" spans="2:2 13789:13804" x14ac:dyDescent="0.3">
      <c r="B13806" s="16301"/>
      <c r="TJV13806" s="13726"/>
    </row>
    <row r="13807" spans="2:2 13789:13804" x14ac:dyDescent="0.3">
      <c r="B13807" s="16301"/>
      <c r="TJW13807" s="13727"/>
    </row>
    <row r="13808" spans="2:2 13789:13804" x14ac:dyDescent="0.3">
      <c r="B13808" s="16301"/>
      <c r="TJX13808" s="13728"/>
    </row>
    <row r="13809" spans="2:2 13805:13820" x14ac:dyDescent="0.3">
      <c r="B13809" s="16301"/>
      <c r="TJY13809" s="13729"/>
    </row>
    <row r="13810" spans="2:2 13805:13820" x14ac:dyDescent="0.3">
      <c r="B13810" s="16301"/>
      <c r="TJZ13810" s="13730"/>
    </row>
    <row r="13811" spans="2:2 13805:13820" x14ac:dyDescent="0.3">
      <c r="B13811" s="16301"/>
      <c r="TKA13811" s="13731"/>
    </row>
    <row r="13812" spans="2:2 13805:13820" x14ac:dyDescent="0.3">
      <c r="B13812" s="16301"/>
      <c r="TKB13812" s="13732"/>
    </row>
    <row r="13813" spans="2:2 13805:13820" x14ac:dyDescent="0.3">
      <c r="B13813" s="16301"/>
      <c r="TKC13813" s="13733"/>
    </row>
    <row r="13814" spans="2:2 13805:13820" x14ac:dyDescent="0.3">
      <c r="B13814" s="16301"/>
      <c r="TKD13814" s="13734"/>
    </row>
    <row r="13815" spans="2:2 13805:13820" x14ac:dyDescent="0.3">
      <c r="B13815" s="16301"/>
      <c r="TKE13815" s="13735"/>
    </row>
    <row r="13816" spans="2:2 13805:13820" x14ac:dyDescent="0.3">
      <c r="B13816" s="16301"/>
      <c r="TKF13816" s="13736"/>
    </row>
    <row r="13817" spans="2:2 13805:13820" x14ac:dyDescent="0.3">
      <c r="B13817" s="16301"/>
      <c r="TKG13817" s="13737"/>
    </row>
    <row r="13818" spans="2:2 13805:13820" x14ac:dyDescent="0.3">
      <c r="B13818" s="16301"/>
      <c r="TKH13818" s="13738"/>
    </row>
    <row r="13819" spans="2:2 13805:13820" x14ac:dyDescent="0.3">
      <c r="B13819" s="16301"/>
      <c r="TKI13819" s="13739"/>
    </row>
    <row r="13820" spans="2:2 13805:13820" x14ac:dyDescent="0.3">
      <c r="B13820" s="16301"/>
      <c r="TKJ13820" s="13740"/>
    </row>
    <row r="13821" spans="2:2 13805:13820" x14ac:dyDescent="0.3">
      <c r="B13821" s="16301"/>
      <c r="TKK13821" s="13741"/>
    </row>
    <row r="13822" spans="2:2 13805:13820" x14ac:dyDescent="0.3">
      <c r="B13822" s="16301"/>
      <c r="TKL13822" s="13742"/>
    </row>
    <row r="13823" spans="2:2 13805:13820" x14ac:dyDescent="0.3">
      <c r="B13823" s="16301"/>
      <c r="TKM13823" s="13743"/>
    </row>
    <row r="13824" spans="2:2 13805:13820" x14ac:dyDescent="0.3">
      <c r="B13824" s="16301"/>
      <c r="TKN13824" s="13744"/>
    </row>
    <row r="13825" spans="2:2 13821:13836" x14ac:dyDescent="0.3">
      <c r="B13825" s="16301"/>
      <c r="TKO13825" s="13745"/>
    </row>
    <row r="13826" spans="2:2 13821:13836" x14ac:dyDescent="0.3">
      <c r="B13826" s="16301"/>
      <c r="TKP13826" s="13746"/>
    </row>
    <row r="13827" spans="2:2 13821:13836" x14ac:dyDescent="0.3">
      <c r="B13827" s="16301"/>
      <c r="TKQ13827" s="13747"/>
    </row>
    <row r="13828" spans="2:2 13821:13836" x14ac:dyDescent="0.3">
      <c r="B13828" s="16301"/>
      <c r="TKR13828" s="13748"/>
    </row>
    <row r="13829" spans="2:2 13821:13836" x14ac:dyDescent="0.3">
      <c r="B13829" s="16301"/>
      <c r="TKS13829" s="13749"/>
    </row>
    <row r="13830" spans="2:2 13821:13836" x14ac:dyDescent="0.3">
      <c r="B13830" s="16301"/>
      <c r="TKT13830" s="13750"/>
    </row>
    <row r="13831" spans="2:2 13821:13836" x14ac:dyDescent="0.3">
      <c r="B13831" s="16301"/>
      <c r="TKU13831" s="13751"/>
    </row>
    <row r="13832" spans="2:2 13821:13836" x14ac:dyDescent="0.3">
      <c r="B13832" s="16301"/>
      <c r="TKV13832" s="13752"/>
    </row>
    <row r="13833" spans="2:2 13821:13836" x14ac:dyDescent="0.3">
      <c r="B13833" s="16301"/>
      <c r="TKW13833" s="13753"/>
    </row>
    <row r="13834" spans="2:2 13821:13836" x14ac:dyDescent="0.3">
      <c r="B13834" s="16301"/>
      <c r="TKX13834" s="13754"/>
    </row>
    <row r="13835" spans="2:2 13821:13836" x14ac:dyDescent="0.3">
      <c r="B13835" s="16301"/>
      <c r="TKY13835" s="13755"/>
    </row>
    <row r="13836" spans="2:2 13821:13836" x14ac:dyDescent="0.3">
      <c r="B13836" s="16301"/>
      <c r="TKZ13836" s="13756"/>
    </row>
    <row r="13837" spans="2:2 13821:13836" x14ac:dyDescent="0.3">
      <c r="B13837" s="16301"/>
      <c r="TLA13837" s="13757"/>
    </row>
    <row r="13838" spans="2:2 13821:13836" x14ac:dyDescent="0.3">
      <c r="B13838" s="16301"/>
      <c r="TLB13838" s="13758"/>
    </row>
    <row r="13839" spans="2:2 13821:13836" x14ac:dyDescent="0.3">
      <c r="B13839" s="16301"/>
      <c r="TLC13839" s="13759"/>
    </row>
    <row r="13840" spans="2:2 13821:13836" x14ac:dyDescent="0.3">
      <c r="B13840" s="16301"/>
      <c r="TLD13840" s="13760"/>
    </row>
    <row r="13841" spans="2:2 13837:13852" x14ac:dyDescent="0.3">
      <c r="B13841" s="16301"/>
      <c r="TLE13841" s="13761"/>
    </row>
    <row r="13842" spans="2:2 13837:13852" x14ac:dyDescent="0.3">
      <c r="B13842" s="16301"/>
      <c r="TLF13842" s="13762"/>
    </row>
    <row r="13843" spans="2:2 13837:13852" x14ac:dyDescent="0.3">
      <c r="B13843" s="16301"/>
      <c r="TLG13843" s="13763"/>
    </row>
    <row r="13844" spans="2:2 13837:13852" x14ac:dyDescent="0.3">
      <c r="B13844" s="16301"/>
      <c r="TLH13844" s="13764"/>
    </row>
    <row r="13845" spans="2:2 13837:13852" x14ac:dyDescent="0.3">
      <c r="B13845" s="16301"/>
      <c r="TLI13845" s="13765"/>
    </row>
    <row r="13846" spans="2:2 13837:13852" x14ac:dyDescent="0.3">
      <c r="B13846" s="16301"/>
      <c r="TLJ13846" s="13766"/>
    </row>
    <row r="13847" spans="2:2 13837:13852" x14ac:dyDescent="0.3">
      <c r="B13847" s="16301"/>
      <c r="TLK13847" s="13767"/>
    </row>
    <row r="13848" spans="2:2 13837:13852" x14ac:dyDescent="0.3">
      <c r="B13848" s="16301"/>
      <c r="TLL13848" s="13768"/>
    </row>
    <row r="13849" spans="2:2 13837:13852" x14ac:dyDescent="0.3">
      <c r="B13849" s="16301"/>
      <c r="TLM13849" s="13769"/>
    </row>
    <row r="13850" spans="2:2 13837:13852" x14ac:dyDescent="0.3">
      <c r="B13850" s="16301"/>
      <c r="TLN13850" s="13770"/>
    </row>
    <row r="13851" spans="2:2 13837:13852" x14ac:dyDescent="0.3">
      <c r="B13851" s="16301"/>
      <c r="TLO13851" s="13771"/>
    </row>
    <row r="13852" spans="2:2 13837:13852" x14ac:dyDescent="0.3">
      <c r="B13852" s="16301"/>
      <c r="TLP13852" s="13772"/>
    </row>
    <row r="13853" spans="2:2 13837:13852" x14ac:dyDescent="0.3">
      <c r="B13853" s="16301"/>
      <c r="TLQ13853" s="13773"/>
    </row>
    <row r="13854" spans="2:2 13837:13852" x14ac:dyDescent="0.3">
      <c r="B13854" s="16301"/>
      <c r="TLR13854" s="13774"/>
    </row>
    <row r="13855" spans="2:2 13837:13852" x14ac:dyDescent="0.3">
      <c r="B13855" s="16301"/>
      <c r="TLS13855" s="13775"/>
    </row>
    <row r="13856" spans="2:2 13837:13852" x14ac:dyDescent="0.3">
      <c r="B13856" s="16301"/>
      <c r="TLT13856" s="13776"/>
    </row>
    <row r="13857" spans="2:2 13853:13868" x14ac:dyDescent="0.3">
      <c r="B13857" s="16301"/>
      <c r="TLU13857" s="13777"/>
    </row>
    <row r="13858" spans="2:2 13853:13868" x14ac:dyDescent="0.3">
      <c r="B13858" s="16301"/>
      <c r="TLV13858" s="13778"/>
    </row>
    <row r="13859" spans="2:2 13853:13868" x14ac:dyDescent="0.3">
      <c r="B13859" s="16301"/>
      <c r="TLW13859" s="13779"/>
    </row>
    <row r="13860" spans="2:2 13853:13868" x14ac:dyDescent="0.3">
      <c r="B13860" s="16301"/>
      <c r="TLX13860" s="13780"/>
    </row>
    <row r="13861" spans="2:2 13853:13868" x14ac:dyDescent="0.3">
      <c r="B13861" s="16301"/>
      <c r="TLY13861" s="13781"/>
    </row>
    <row r="13862" spans="2:2 13853:13868" x14ac:dyDescent="0.3">
      <c r="B13862" s="16301"/>
      <c r="TLZ13862" s="13782"/>
    </row>
    <row r="13863" spans="2:2 13853:13868" x14ac:dyDescent="0.3">
      <c r="B13863" s="16301"/>
      <c r="TMA13863" s="13783"/>
    </row>
    <row r="13864" spans="2:2 13853:13868" x14ac:dyDescent="0.3">
      <c r="B13864" s="16301"/>
      <c r="TMB13864" s="13784"/>
    </row>
    <row r="13865" spans="2:2 13853:13868" x14ac:dyDescent="0.3">
      <c r="B13865" s="16301"/>
      <c r="TMC13865" s="13785"/>
    </row>
    <row r="13866" spans="2:2 13853:13868" x14ac:dyDescent="0.3">
      <c r="B13866" s="16301"/>
      <c r="TMD13866" s="13786"/>
    </row>
    <row r="13867" spans="2:2 13853:13868" x14ac:dyDescent="0.3">
      <c r="B13867" s="16301"/>
      <c r="TME13867" s="13787"/>
    </row>
    <row r="13868" spans="2:2 13853:13868" x14ac:dyDescent="0.3">
      <c r="B13868" s="16301"/>
      <c r="TMF13868" s="13788"/>
    </row>
    <row r="13869" spans="2:2 13853:13868" x14ac:dyDescent="0.3">
      <c r="B13869" s="16301"/>
      <c r="TMG13869" s="13789"/>
    </row>
    <row r="13870" spans="2:2 13853:13868" x14ac:dyDescent="0.3">
      <c r="B13870" s="16301"/>
      <c r="TMH13870" s="13790"/>
    </row>
    <row r="13871" spans="2:2 13853:13868" x14ac:dyDescent="0.3">
      <c r="B13871" s="16301"/>
      <c r="TMI13871" s="13791"/>
    </row>
    <row r="13872" spans="2:2 13853:13868" x14ac:dyDescent="0.3">
      <c r="B13872" s="16301"/>
      <c r="TMJ13872" s="13792"/>
    </row>
    <row r="13873" spans="2:2 13869:13884" x14ac:dyDescent="0.3">
      <c r="B13873" s="16301"/>
      <c r="TMK13873" s="13793"/>
    </row>
    <row r="13874" spans="2:2 13869:13884" x14ac:dyDescent="0.3">
      <c r="B13874" s="16301"/>
      <c r="TML13874" s="13794"/>
    </row>
    <row r="13875" spans="2:2 13869:13884" x14ac:dyDescent="0.3">
      <c r="B13875" s="16301"/>
      <c r="TMM13875" s="13795"/>
    </row>
    <row r="13876" spans="2:2 13869:13884" x14ac:dyDescent="0.3">
      <c r="B13876" s="16301"/>
      <c r="TMN13876" s="13796"/>
    </row>
    <row r="13877" spans="2:2 13869:13884" x14ac:dyDescent="0.3">
      <c r="B13877" s="16301"/>
      <c r="TMO13877" s="13797"/>
    </row>
    <row r="13878" spans="2:2 13869:13884" x14ac:dyDescent="0.3">
      <c r="B13878" s="16301"/>
      <c r="TMP13878" s="13798"/>
    </row>
    <row r="13879" spans="2:2 13869:13884" x14ac:dyDescent="0.3">
      <c r="B13879" s="16301"/>
      <c r="TMQ13879" s="13799"/>
    </row>
    <row r="13880" spans="2:2 13869:13884" x14ac:dyDescent="0.3">
      <c r="B13880" s="16301"/>
      <c r="TMR13880" s="13800"/>
    </row>
    <row r="13881" spans="2:2 13869:13884" x14ac:dyDescent="0.3">
      <c r="B13881" s="16301"/>
      <c r="TMS13881" s="13801"/>
    </row>
    <row r="13882" spans="2:2 13869:13884" x14ac:dyDescent="0.3">
      <c r="B13882" s="16301"/>
      <c r="TMT13882" s="13802"/>
    </row>
    <row r="13883" spans="2:2 13869:13884" x14ac:dyDescent="0.3">
      <c r="B13883" s="16301"/>
      <c r="TMU13883" s="13803"/>
    </row>
    <row r="13884" spans="2:2 13869:13884" x14ac:dyDescent="0.3">
      <c r="B13884" s="16301"/>
      <c r="TMV13884" s="13803"/>
    </row>
    <row r="13885" spans="2:2 13869:13884" x14ac:dyDescent="0.3">
      <c r="B13885" s="16301"/>
      <c r="TMW13885" s="13804"/>
    </row>
    <row r="13886" spans="2:2 13869:13884" x14ac:dyDescent="0.3">
      <c r="B13886" s="16301"/>
      <c r="TMX13886" s="13805"/>
    </row>
    <row r="13887" spans="2:2 13869:13884" x14ac:dyDescent="0.3">
      <c r="B13887" s="16301"/>
      <c r="TMY13887" s="13806"/>
    </row>
    <row r="13888" spans="2:2 13869:13884" x14ac:dyDescent="0.3">
      <c r="B13888" s="16301"/>
      <c r="TMZ13888" s="13807"/>
    </row>
    <row r="13889" spans="2:2 13885:13900" x14ac:dyDescent="0.3">
      <c r="B13889" s="16301"/>
      <c r="TNA13889" s="13808"/>
    </row>
    <row r="13890" spans="2:2 13885:13900" x14ac:dyDescent="0.3">
      <c r="B13890" s="16301"/>
      <c r="TNB13890" s="13809"/>
    </row>
    <row r="13891" spans="2:2 13885:13900" x14ac:dyDescent="0.3">
      <c r="B13891" s="16301"/>
      <c r="TNC13891" s="13810"/>
    </row>
    <row r="13892" spans="2:2 13885:13900" x14ac:dyDescent="0.3">
      <c r="B13892" s="16301"/>
      <c r="TND13892" s="13811"/>
    </row>
    <row r="13893" spans="2:2 13885:13900" x14ac:dyDescent="0.3">
      <c r="B13893" s="16301"/>
      <c r="TNE13893" s="13812"/>
    </row>
    <row r="13894" spans="2:2 13885:13900" x14ac:dyDescent="0.3">
      <c r="B13894" s="16301"/>
      <c r="TNF13894" s="13813"/>
    </row>
    <row r="13895" spans="2:2 13885:13900" x14ac:dyDescent="0.3">
      <c r="B13895" s="16301"/>
      <c r="TNG13895" s="13814"/>
    </row>
    <row r="13896" spans="2:2 13885:13900" x14ac:dyDescent="0.3">
      <c r="B13896" s="16301"/>
      <c r="TNH13896" s="13815"/>
    </row>
    <row r="13897" spans="2:2 13885:13900" x14ac:dyDescent="0.3">
      <c r="B13897" s="16301"/>
      <c r="TNI13897" s="13816"/>
    </row>
    <row r="13898" spans="2:2 13885:13900" x14ac:dyDescent="0.3">
      <c r="B13898" s="16301"/>
      <c r="TNJ13898" s="13817"/>
    </row>
    <row r="13899" spans="2:2 13885:13900" x14ac:dyDescent="0.3">
      <c r="B13899" s="16301"/>
      <c r="TNK13899" s="13818"/>
    </row>
    <row r="13900" spans="2:2 13885:13900" x14ac:dyDescent="0.3">
      <c r="B13900" s="16301"/>
      <c r="TNL13900" s="13819"/>
    </row>
    <row r="13901" spans="2:2 13885:13900" x14ac:dyDescent="0.3">
      <c r="B13901" s="16301"/>
      <c r="TNM13901" s="13820"/>
    </row>
    <row r="13902" spans="2:2 13885:13900" x14ac:dyDescent="0.3">
      <c r="B13902" s="16301"/>
      <c r="TNN13902" s="13821"/>
    </row>
    <row r="13903" spans="2:2 13885:13900" x14ac:dyDescent="0.3">
      <c r="B13903" s="16301"/>
      <c r="TNO13903" s="13822"/>
    </row>
    <row r="13904" spans="2:2 13885:13900" x14ac:dyDescent="0.3">
      <c r="B13904" s="16301"/>
      <c r="TNP13904" s="13823"/>
    </row>
    <row r="13905" spans="2:2 13901:13916" x14ac:dyDescent="0.3">
      <c r="B13905" s="16301"/>
      <c r="TNQ13905" s="13824"/>
    </row>
    <row r="13906" spans="2:2 13901:13916" x14ac:dyDescent="0.3">
      <c r="B13906" s="16301"/>
      <c r="TNR13906" s="13825"/>
    </row>
    <row r="13907" spans="2:2 13901:13916" x14ac:dyDescent="0.3">
      <c r="B13907" s="16301"/>
      <c r="TNS13907" s="13826"/>
    </row>
    <row r="13908" spans="2:2 13901:13916" x14ac:dyDescent="0.3">
      <c r="B13908" s="16301"/>
      <c r="TNT13908" s="13827"/>
    </row>
    <row r="13909" spans="2:2 13901:13916" x14ac:dyDescent="0.3">
      <c r="B13909" s="16301"/>
      <c r="TNU13909" s="13828"/>
    </row>
    <row r="13910" spans="2:2 13901:13916" x14ac:dyDescent="0.3">
      <c r="B13910" s="16301"/>
      <c r="TNV13910" s="13829"/>
    </row>
    <row r="13911" spans="2:2 13901:13916" x14ac:dyDescent="0.3">
      <c r="B13911" s="16301"/>
      <c r="TNW13911" s="13830"/>
    </row>
    <row r="13912" spans="2:2 13901:13916" x14ac:dyDescent="0.3">
      <c r="B13912" s="16301"/>
      <c r="TNX13912" s="13831"/>
    </row>
    <row r="13913" spans="2:2 13901:13916" x14ac:dyDescent="0.3">
      <c r="B13913" s="16301"/>
      <c r="TNY13913" s="13832"/>
    </row>
    <row r="13914" spans="2:2 13901:13916" x14ac:dyDescent="0.3">
      <c r="B13914" s="16301"/>
      <c r="TNZ13914" s="13833"/>
    </row>
    <row r="13915" spans="2:2 13901:13916" x14ac:dyDescent="0.3">
      <c r="B13915" s="16301"/>
      <c r="TOA13915" s="13834"/>
    </row>
    <row r="13916" spans="2:2 13901:13916" x14ac:dyDescent="0.3">
      <c r="B13916" s="16301"/>
      <c r="TOB13916" s="13835"/>
    </row>
    <row r="13917" spans="2:2 13901:13916" x14ac:dyDescent="0.3">
      <c r="B13917" s="16301"/>
      <c r="TOC13917" s="13836"/>
    </row>
    <row r="13918" spans="2:2 13901:13916" x14ac:dyDescent="0.3">
      <c r="B13918" s="16301"/>
      <c r="TOD13918" s="13837"/>
    </row>
    <row r="13919" spans="2:2 13901:13916" x14ac:dyDescent="0.3">
      <c r="B13919" s="16301"/>
      <c r="TOE13919" s="13838"/>
    </row>
    <row r="13920" spans="2:2 13901:13916" x14ac:dyDescent="0.3">
      <c r="B13920" s="16301"/>
      <c r="TOF13920" s="13839"/>
    </row>
    <row r="13921" spans="2:2 13917:13932" x14ac:dyDescent="0.3">
      <c r="B13921" s="16301"/>
      <c r="TOG13921" s="13840"/>
    </row>
    <row r="13922" spans="2:2 13917:13932" x14ac:dyDescent="0.3">
      <c r="B13922" s="16301"/>
      <c r="TOH13922" s="13841"/>
    </row>
    <row r="13923" spans="2:2 13917:13932" x14ac:dyDescent="0.3">
      <c r="B13923" s="16301"/>
      <c r="TOI13923" s="13842"/>
    </row>
    <row r="13924" spans="2:2 13917:13932" x14ac:dyDescent="0.3">
      <c r="B13924" s="16301"/>
      <c r="TOJ13924" s="13843"/>
    </row>
    <row r="13925" spans="2:2 13917:13932" x14ac:dyDescent="0.3">
      <c r="B13925" s="16301"/>
      <c r="TOK13925" s="13844"/>
    </row>
    <row r="13926" spans="2:2 13917:13932" x14ac:dyDescent="0.3">
      <c r="B13926" s="16301"/>
      <c r="TOL13926" s="13845"/>
    </row>
    <row r="13927" spans="2:2 13917:13932" x14ac:dyDescent="0.3">
      <c r="B13927" s="16301"/>
      <c r="TOM13927" s="13846"/>
    </row>
    <row r="13928" spans="2:2 13917:13932" x14ac:dyDescent="0.3">
      <c r="B13928" s="16301"/>
      <c r="TON13928" s="13847"/>
    </row>
    <row r="13929" spans="2:2 13917:13932" x14ac:dyDescent="0.3">
      <c r="B13929" s="16301"/>
      <c r="TOO13929" s="13848"/>
    </row>
    <row r="13930" spans="2:2 13917:13932" x14ac:dyDescent="0.3">
      <c r="B13930" s="16301"/>
      <c r="TOP13930" s="13849"/>
    </row>
    <row r="13931" spans="2:2 13917:13932" x14ac:dyDescent="0.3">
      <c r="B13931" s="16301"/>
      <c r="TOQ13931" s="13850"/>
    </row>
    <row r="13932" spans="2:2 13917:13932" x14ac:dyDescent="0.3">
      <c r="B13932" s="16301"/>
      <c r="TOR13932" s="13851"/>
    </row>
    <row r="13933" spans="2:2 13917:13932" x14ac:dyDescent="0.3">
      <c r="B13933" s="16301"/>
      <c r="TOS13933" s="13852"/>
    </row>
    <row r="13934" spans="2:2 13917:13932" x14ac:dyDescent="0.3">
      <c r="B13934" s="16301"/>
      <c r="TOT13934" s="13853"/>
    </row>
    <row r="13935" spans="2:2 13917:13932" x14ac:dyDescent="0.3">
      <c r="B13935" s="16301"/>
      <c r="TOU13935" s="13854"/>
    </row>
    <row r="13936" spans="2:2 13917:13932" x14ac:dyDescent="0.3">
      <c r="B13936" s="16301"/>
      <c r="TOV13936" s="13855"/>
    </row>
    <row r="13937" spans="2:2 13933:13948" x14ac:dyDescent="0.3">
      <c r="B13937" s="16301"/>
      <c r="TOW13937" s="13856"/>
    </row>
    <row r="13938" spans="2:2 13933:13948" x14ac:dyDescent="0.3">
      <c r="B13938" s="16301"/>
      <c r="TOX13938" s="13857"/>
    </row>
    <row r="13939" spans="2:2 13933:13948" x14ac:dyDescent="0.3">
      <c r="B13939" s="16301"/>
      <c r="TOY13939" s="13858"/>
    </row>
    <row r="13940" spans="2:2 13933:13948" x14ac:dyDescent="0.3">
      <c r="B13940" s="16301"/>
      <c r="TOZ13940" s="13859"/>
    </row>
    <row r="13941" spans="2:2 13933:13948" x14ac:dyDescent="0.3">
      <c r="B13941" s="16301"/>
      <c r="TPA13941" s="13860"/>
    </row>
    <row r="13942" spans="2:2 13933:13948" x14ac:dyDescent="0.3">
      <c r="B13942" s="16301"/>
      <c r="TPB13942" s="13861"/>
    </row>
    <row r="13943" spans="2:2 13933:13948" x14ac:dyDescent="0.3">
      <c r="B13943" s="16301"/>
      <c r="TPC13943" s="13862"/>
    </row>
    <row r="13944" spans="2:2 13933:13948" x14ac:dyDescent="0.3">
      <c r="B13944" s="16301"/>
      <c r="TPD13944" s="13863"/>
    </row>
    <row r="13945" spans="2:2 13933:13948" x14ac:dyDescent="0.3">
      <c r="B13945" s="16301"/>
      <c r="TPE13945" s="13864"/>
    </row>
    <row r="13946" spans="2:2 13933:13948" x14ac:dyDescent="0.3">
      <c r="B13946" s="16301"/>
      <c r="TPF13946" s="13865"/>
    </row>
    <row r="13947" spans="2:2 13933:13948" x14ac:dyDescent="0.3">
      <c r="B13947" s="16301"/>
      <c r="TPG13947" s="13866"/>
    </row>
    <row r="13948" spans="2:2 13933:13948" x14ac:dyDescent="0.3">
      <c r="B13948" s="16301"/>
      <c r="TPH13948" s="13867"/>
    </row>
    <row r="13949" spans="2:2 13933:13948" x14ac:dyDescent="0.3">
      <c r="B13949" s="16301"/>
      <c r="TPI13949" s="13868"/>
    </row>
    <row r="13950" spans="2:2 13933:13948" x14ac:dyDescent="0.3">
      <c r="B13950" s="16301"/>
      <c r="TPJ13950" s="13869"/>
    </row>
    <row r="13951" spans="2:2 13933:13948" x14ac:dyDescent="0.3">
      <c r="B13951" s="16301"/>
      <c r="TPK13951" s="13870"/>
    </row>
    <row r="13952" spans="2:2 13933:13948" x14ac:dyDescent="0.3">
      <c r="B13952" s="16301"/>
      <c r="TPL13952" s="13871"/>
    </row>
    <row r="13953" spans="2:2 13949:13964" x14ac:dyDescent="0.3">
      <c r="B13953" s="16301"/>
      <c r="TPM13953" s="13872"/>
    </row>
    <row r="13954" spans="2:2 13949:13964" x14ac:dyDescent="0.3">
      <c r="B13954" s="16301"/>
      <c r="TPN13954" s="13873"/>
    </row>
    <row r="13955" spans="2:2 13949:13964" x14ac:dyDescent="0.3">
      <c r="B13955" s="16301"/>
      <c r="TPO13955" s="13874"/>
    </row>
    <row r="13956" spans="2:2 13949:13964" x14ac:dyDescent="0.3">
      <c r="B13956" s="16301"/>
      <c r="TPP13956" s="13875"/>
    </row>
    <row r="13957" spans="2:2 13949:13964" x14ac:dyDescent="0.3">
      <c r="B13957" s="16301"/>
      <c r="TPQ13957" s="13876"/>
    </row>
    <row r="13958" spans="2:2 13949:13964" x14ac:dyDescent="0.3">
      <c r="B13958" s="16301"/>
      <c r="TPR13958" s="13877"/>
    </row>
    <row r="13959" spans="2:2 13949:13964" x14ac:dyDescent="0.3">
      <c r="B13959" s="16301"/>
      <c r="TPS13959" s="13878"/>
    </row>
    <row r="13960" spans="2:2 13949:13964" x14ac:dyDescent="0.3">
      <c r="B13960" s="16301"/>
      <c r="TPT13960" s="13879"/>
    </row>
    <row r="13961" spans="2:2 13949:13964" x14ac:dyDescent="0.3">
      <c r="B13961" s="16301"/>
      <c r="TPU13961" s="13880"/>
    </row>
    <row r="13962" spans="2:2 13949:13964" x14ac:dyDescent="0.3">
      <c r="B13962" s="16301"/>
      <c r="TPV13962" s="13881"/>
    </row>
    <row r="13963" spans="2:2 13949:13964" x14ac:dyDescent="0.3">
      <c r="B13963" s="16301"/>
      <c r="TPW13963" s="13882"/>
    </row>
    <row r="13964" spans="2:2 13949:13964" x14ac:dyDescent="0.3">
      <c r="B13964" s="16301"/>
      <c r="TPX13964" s="13883"/>
    </row>
    <row r="13965" spans="2:2 13949:13964" x14ac:dyDescent="0.3">
      <c r="B13965" s="16301"/>
      <c r="TPY13965" s="13884"/>
    </row>
    <row r="13966" spans="2:2 13949:13964" x14ac:dyDescent="0.3">
      <c r="B13966" s="16301"/>
      <c r="TPZ13966" s="13885"/>
    </row>
    <row r="13967" spans="2:2 13949:13964" x14ac:dyDescent="0.3">
      <c r="B13967" s="16301"/>
      <c r="TQA13967" s="13886"/>
    </row>
    <row r="13968" spans="2:2 13949:13964" x14ac:dyDescent="0.3">
      <c r="B13968" s="16301"/>
      <c r="TQB13968" s="13887"/>
    </row>
    <row r="13969" spans="2:2 13965:13980" x14ac:dyDescent="0.3">
      <c r="B13969" s="16301"/>
      <c r="TQC13969" s="13888"/>
    </row>
    <row r="13970" spans="2:2 13965:13980" x14ac:dyDescent="0.3">
      <c r="B13970" s="16301"/>
      <c r="TQD13970" s="13889"/>
    </row>
    <row r="13971" spans="2:2 13965:13980" x14ac:dyDescent="0.3">
      <c r="B13971" s="16301"/>
      <c r="TQE13971" s="13890"/>
    </row>
    <row r="13972" spans="2:2 13965:13980" x14ac:dyDescent="0.3">
      <c r="B13972" s="16301"/>
      <c r="TQF13972" s="13891"/>
    </row>
    <row r="13973" spans="2:2 13965:13980" x14ac:dyDescent="0.3">
      <c r="B13973" s="16301"/>
      <c r="TQG13973" s="13892"/>
    </row>
    <row r="13974" spans="2:2 13965:13980" x14ac:dyDescent="0.3">
      <c r="B13974" s="16301"/>
      <c r="TQH13974" s="13893"/>
    </row>
    <row r="13975" spans="2:2 13965:13980" x14ac:dyDescent="0.3">
      <c r="B13975" s="16301"/>
      <c r="TQI13975" s="13894"/>
    </row>
    <row r="13976" spans="2:2 13965:13980" x14ac:dyDescent="0.3">
      <c r="B13976" s="16301"/>
      <c r="TQJ13976" s="13895"/>
    </row>
    <row r="13977" spans="2:2 13965:13980" x14ac:dyDescent="0.3">
      <c r="B13977" s="16301"/>
      <c r="TQK13977" s="13896"/>
    </row>
    <row r="13978" spans="2:2 13965:13980" x14ac:dyDescent="0.3">
      <c r="B13978" s="16301"/>
      <c r="TQL13978" s="13897"/>
    </row>
    <row r="13979" spans="2:2 13965:13980" x14ac:dyDescent="0.3">
      <c r="B13979" s="16301"/>
      <c r="TQM13979" s="13898"/>
    </row>
    <row r="13980" spans="2:2 13965:13980" x14ac:dyDescent="0.3">
      <c r="B13980" s="16301"/>
      <c r="TQN13980" s="13899"/>
    </row>
    <row r="13981" spans="2:2 13965:13980" x14ac:dyDescent="0.3">
      <c r="B13981" s="16301"/>
      <c r="TQO13981" s="13900"/>
    </row>
    <row r="13982" spans="2:2 13965:13980" x14ac:dyDescent="0.3">
      <c r="B13982" s="16301"/>
      <c r="TQP13982" s="13901"/>
    </row>
    <row r="13983" spans="2:2 13965:13980" x14ac:dyDescent="0.3">
      <c r="B13983" s="16301"/>
      <c r="TQQ13983" s="13902"/>
    </row>
    <row r="13984" spans="2:2 13965:13980" x14ac:dyDescent="0.3">
      <c r="B13984" s="16301"/>
      <c r="TQR13984" s="13903"/>
    </row>
    <row r="13985" spans="2:2 13981:13996" x14ac:dyDescent="0.3">
      <c r="B13985" s="16301"/>
      <c r="TQS13985" s="13904"/>
    </row>
    <row r="13986" spans="2:2 13981:13996" x14ac:dyDescent="0.3">
      <c r="B13986" s="16301"/>
      <c r="TQT13986" s="13905"/>
    </row>
    <row r="13987" spans="2:2 13981:13996" x14ac:dyDescent="0.3">
      <c r="B13987" s="16301"/>
      <c r="TQU13987" s="13906"/>
    </row>
    <row r="13988" spans="2:2 13981:13996" x14ac:dyDescent="0.3">
      <c r="B13988" s="16301"/>
      <c r="TQV13988" s="13907"/>
    </row>
    <row r="13989" spans="2:2 13981:13996" x14ac:dyDescent="0.3">
      <c r="B13989" s="16301"/>
      <c r="TQW13989" s="13908"/>
    </row>
    <row r="13990" spans="2:2 13981:13996" x14ac:dyDescent="0.3">
      <c r="B13990" s="16301"/>
      <c r="TQX13990" s="13909"/>
    </row>
    <row r="13991" spans="2:2 13981:13996" x14ac:dyDescent="0.3">
      <c r="B13991" s="16301"/>
      <c r="TQY13991" s="13910"/>
    </row>
    <row r="13992" spans="2:2 13981:13996" x14ac:dyDescent="0.3">
      <c r="B13992" s="16301"/>
      <c r="TQZ13992" s="13911"/>
    </row>
    <row r="13993" spans="2:2 13981:13996" x14ac:dyDescent="0.3">
      <c r="B13993" s="16301"/>
      <c r="TRA13993" s="13912"/>
    </row>
    <row r="13994" spans="2:2 13981:13996" x14ac:dyDescent="0.3">
      <c r="B13994" s="16301"/>
      <c r="TRB13994" s="13913"/>
    </row>
    <row r="13995" spans="2:2 13981:13996" x14ac:dyDescent="0.3">
      <c r="B13995" s="16301"/>
      <c r="TRC13995" s="13914"/>
    </row>
    <row r="13996" spans="2:2 13981:13996" x14ac:dyDescent="0.3">
      <c r="B13996" s="16301"/>
      <c r="TRD13996" s="13915"/>
    </row>
    <row r="13997" spans="2:2 13981:13996" x14ac:dyDescent="0.3">
      <c r="B13997" s="16301"/>
      <c r="TRE13997" s="13916"/>
    </row>
    <row r="13998" spans="2:2 13981:13996" x14ac:dyDescent="0.3">
      <c r="B13998" s="16301"/>
      <c r="TRF13998" s="13917"/>
    </row>
    <row r="13999" spans="2:2 13981:13996" x14ac:dyDescent="0.3">
      <c r="B13999" s="16301"/>
      <c r="TRG13999" s="13918"/>
    </row>
    <row r="14000" spans="2:2 13981:13996" x14ac:dyDescent="0.3">
      <c r="B14000" s="16301"/>
      <c r="TRH14000" s="13919"/>
    </row>
    <row r="14001" spans="2:2 13997:14012" x14ac:dyDescent="0.3">
      <c r="B14001" s="16301"/>
      <c r="TRI14001" s="13920"/>
    </row>
    <row r="14002" spans="2:2 13997:14012" x14ac:dyDescent="0.3">
      <c r="B14002" s="16301"/>
      <c r="TRJ14002" s="13921"/>
    </row>
    <row r="14003" spans="2:2 13997:14012" x14ac:dyDescent="0.3">
      <c r="B14003" s="16301"/>
      <c r="TRK14003" s="13922"/>
    </row>
    <row r="14004" spans="2:2 13997:14012" x14ac:dyDescent="0.3">
      <c r="B14004" s="16301"/>
      <c r="TRL14004" s="13923"/>
    </row>
    <row r="14005" spans="2:2 13997:14012" x14ac:dyDescent="0.3">
      <c r="B14005" s="16301"/>
      <c r="TRM14005" s="13924"/>
    </row>
    <row r="14006" spans="2:2 13997:14012" x14ac:dyDescent="0.3">
      <c r="B14006" s="16301"/>
      <c r="TRN14006" s="13925"/>
    </row>
    <row r="14007" spans="2:2 13997:14012" x14ac:dyDescent="0.3">
      <c r="B14007" s="16301"/>
      <c r="TRO14007" s="13926"/>
    </row>
    <row r="14008" spans="2:2 13997:14012" x14ac:dyDescent="0.3">
      <c r="B14008" s="16301"/>
      <c r="TRP14008" s="13927"/>
    </row>
    <row r="14009" spans="2:2 13997:14012" x14ac:dyDescent="0.3">
      <c r="B14009" s="16301"/>
      <c r="TRQ14009" s="13928"/>
    </row>
    <row r="14010" spans="2:2 13997:14012" x14ac:dyDescent="0.3">
      <c r="B14010" s="16301"/>
      <c r="TRR14010" s="13929"/>
    </row>
    <row r="14011" spans="2:2 13997:14012" x14ac:dyDescent="0.3">
      <c r="B14011" s="16301"/>
      <c r="TRS14011" s="13930"/>
    </row>
    <row r="14012" spans="2:2 13997:14012" x14ac:dyDescent="0.3">
      <c r="B14012" s="16301"/>
      <c r="TRT14012" s="13931"/>
    </row>
    <row r="14013" spans="2:2 13997:14012" x14ac:dyDescent="0.3">
      <c r="B14013" s="16301"/>
      <c r="TRU14013" s="13932"/>
    </row>
    <row r="14014" spans="2:2 13997:14012" x14ac:dyDescent="0.3">
      <c r="B14014" s="16301"/>
      <c r="TRV14014" s="13933"/>
    </row>
    <row r="14015" spans="2:2 13997:14012" x14ac:dyDescent="0.3">
      <c r="B14015" s="16301"/>
      <c r="TRW14015" s="13934"/>
    </row>
    <row r="14016" spans="2:2 13997:14012" x14ac:dyDescent="0.3">
      <c r="B14016" s="16301"/>
      <c r="TRX14016" s="13935"/>
    </row>
    <row r="14017" spans="2:2 14013:14028" x14ac:dyDescent="0.3">
      <c r="B14017" s="16301"/>
      <c r="TRY14017" s="13936"/>
    </row>
    <row r="14018" spans="2:2 14013:14028" x14ac:dyDescent="0.3">
      <c r="B14018" s="16301"/>
      <c r="TRZ14018" s="13937"/>
    </row>
    <row r="14019" spans="2:2 14013:14028" x14ac:dyDescent="0.3">
      <c r="B14019" s="16301"/>
      <c r="TSA14019" s="13938"/>
    </row>
    <row r="14020" spans="2:2 14013:14028" x14ac:dyDescent="0.3">
      <c r="B14020" s="16301"/>
      <c r="TSB14020" s="13939"/>
    </row>
    <row r="14021" spans="2:2 14013:14028" x14ac:dyDescent="0.3">
      <c r="B14021" s="16301"/>
      <c r="TSC14021" s="13940"/>
    </row>
    <row r="14022" spans="2:2 14013:14028" x14ac:dyDescent="0.3">
      <c r="B14022" s="16301"/>
      <c r="TSD14022" s="13941"/>
    </row>
    <row r="14023" spans="2:2 14013:14028" x14ac:dyDescent="0.3">
      <c r="B14023" s="16301"/>
      <c r="TSE14023" s="13942"/>
    </row>
    <row r="14024" spans="2:2 14013:14028" x14ac:dyDescent="0.3">
      <c r="B14024" s="16301"/>
      <c r="TSF14024" s="13943"/>
    </row>
    <row r="14025" spans="2:2 14013:14028" x14ac:dyDescent="0.3">
      <c r="B14025" s="16301"/>
      <c r="TSG14025" s="13944"/>
    </row>
    <row r="14026" spans="2:2 14013:14028" x14ac:dyDescent="0.3">
      <c r="B14026" s="16301"/>
      <c r="TSH14026" s="13945"/>
    </row>
    <row r="14027" spans="2:2 14013:14028" x14ac:dyDescent="0.3">
      <c r="B14027" s="16301"/>
      <c r="TSI14027" s="13946"/>
    </row>
    <row r="14028" spans="2:2 14013:14028" x14ac:dyDescent="0.3">
      <c r="B14028" s="16301"/>
      <c r="TSJ14028" s="13947"/>
    </row>
    <row r="14029" spans="2:2 14013:14028" x14ac:dyDescent="0.3">
      <c r="B14029" s="16301"/>
      <c r="TSK14029" s="13948"/>
    </row>
    <row r="14030" spans="2:2 14013:14028" x14ac:dyDescent="0.3">
      <c r="B14030" s="16301"/>
      <c r="TSL14030" s="13949"/>
    </row>
    <row r="14031" spans="2:2 14013:14028" x14ac:dyDescent="0.3">
      <c r="B14031" s="16301"/>
      <c r="TSM14031" s="13950"/>
    </row>
    <row r="14032" spans="2:2 14013:14028" x14ac:dyDescent="0.3">
      <c r="B14032" s="16301"/>
      <c r="TSN14032" s="13951"/>
    </row>
    <row r="14033" spans="2:2 14029:14044" x14ac:dyDescent="0.3">
      <c r="B14033" s="16301"/>
      <c r="TSO14033" s="13952"/>
    </row>
    <row r="14034" spans="2:2 14029:14044" x14ac:dyDescent="0.3">
      <c r="B14034" s="16301"/>
      <c r="TSP14034" s="13953"/>
    </row>
    <row r="14035" spans="2:2 14029:14044" x14ac:dyDescent="0.3">
      <c r="B14035" s="16301"/>
      <c r="TSQ14035" s="13954"/>
    </row>
    <row r="14036" spans="2:2 14029:14044" x14ac:dyDescent="0.3">
      <c r="B14036" s="16301"/>
      <c r="TSR14036" s="13955"/>
    </row>
    <row r="14037" spans="2:2 14029:14044" x14ac:dyDescent="0.3">
      <c r="B14037" s="16301"/>
      <c r="TSS14037" s="13956"/>
    </row>
    <row r="14038" spans="2:2 14029:14044" x14ac:dyDescent="0.3">
      <c r="B14038" s="16301"/>
      <c r="TST14038" s="13957"/>
    </row>
    <row r="14039" spans="2:2 14029:14044" x14ac:dyDescent="0.3">
      <c r="B14039" s="16301"/>
      <c r="TSU14039" s="13958"/>
    </row>
    <row r="14040" spans="2:2 14029:14044" x14ac:dyDescent="0.3">
      <c r="B14040" s="16301"/>
      <c r="TSV14040" s="13959"/>
    </row>
    <row r="14041" spans="2:2 14029:14044" x14ac:dyDescent="0.3">
      <c r="B14041" s="16301"/>
      <c r="TSW14041" s="13960"/>
    </row>
    <row r="14042" spans="2:2 14029:14044" x14ac:dyDescent="0.3">
      <c r="B14042" s="16301"/>
      <c r="TSX14042" s="13961"/>
    </row>
    <row r="14043" spans="2:2 14029:14044" x14ac:dyDescent="0.3">
      <c r="B14043" s="16301"/>
      <c r="TSY14043" s="13962"/>
    </row>
    <row r="14044" spans="2:2 14029:14044" x14ac:dyDescent="0.3">
      <c r="B14044" s="16301"/>
      <c r="TSZ14044" s="13963"/>
    </row>
    <row r="14045" spans="2:2 14029:14044" x14ac:dyDescent="0.3">
      <c r="B14045" s="16301"/>
      <c r="TTA14045" s="13964"/>
    </row>
    <row r="14046" spans="2:2 14029:14044" x14ac:dyDescent="0.3">
      <c r="B14046" s="16301"/>
      <c r="TTB14046" s="13965"/>
    </row>
    <row r="14047" spans="2:2 14029:14044" x14ac:dyDescent="0.3">
      <c r="B14047" s="16301"/>
      <c r="TTC14047" s="13966"/>
    </row>
    <row r="14048" spans="2:2 14029:14044" x14ac:dyDescent="0.3">
      <c r="B14048" s="16301"/>
      <c r="TTD14048" s="13967"/>
    </row>
    <row r="14049" spans="2:2 14045:14060" x14ac:dyDescent="0.3">
      <c r="B14049" s="16301"/>
      <c r="TTE14049" s="13968"/>
    </row>
    <row r="14050" spans="2:2 14045:14060" x14ac:dyDescent="0.3">
      <c r="B14050" s="16301"/>
      <c r="TTF14050" s="13969"/>
    </row>
    <row r="14051" spans="2:2 14045:14060" x14ac:dyDescent="0.3">
      <c r="B14051" s="16301"/>
      <c r="TTG14051" s="13970"/>
    </row>
    <row r="14052" spans="2:2 14045:14060" x14ac:dyDescent="0.3">
      <c r="B14052" s="16301"/>
      <c r="TTH14052" s="13971"/>
    </row>
    <row r="14053" spans="2:2 14045:14060" x14ac:dyDescent="0.3">
      <c r="B14053" s="16301"/>
      <c r="TTI14053" s="13972"/>
    </row>
    <row r="14054" spans="2:2 14045:14060" x14ac:dyDescent="0.3">
      <c r="B14054" s="16301"/>
      <c r="TTJ14054" s="13973"/>
    </row>
    <row r="14055" spans="2:2 14045:14060" x14ac:dyDescent="0.3">
      <c r="B14055" s="16301"/>
      <c r="TTK14055" s="13974"/>
    </row>
    <row r="14056" spans="2:2 14045:14060" x14ac:dyDescent="0.3">
      <c r="B14056" s="16301"/>
      <c r="TTL14056" s="13975"/>
    </row>
    <row r="14057" spans="2:2 14045:14060" x14ac:dyDescent="0.3">
      <c r="B14057" s="16301"/>
      <c r="TTM14057" s="13976"/>
    </row>
    <row r="14058" spans="2:2 14045:14060" x14ac:dyDescent="0.3">
      <c r="B14058" s="16301"/>
      <c r="TTN14058" s="13977"/>
    </row>
    <row r="14059" spans="2:2 14045:14060" x14ac:dyDescent="0.3">
      <c r="B14059" s="16301"/>
      <c r="TTO14059" s="13978"/>
    </row>
    <row r="14060" spans="2:2 14045:14060" x14ac:dyDescent="0.3">
      <c r="B14060" s="16301"/>
      <c r="TTP14060" s="13979"/>
    </row>
    <row r="14061" spans="2:2 14045:14060" x14ac:dyDescent="0.3">
      <c r="B14061" s="16301"/>
      <c r="TTQ14061" s="13980"/>
    </row>
    <row r="14062" spans="2:2 14045:14060" x14ac:dyDescent="0.3">
      <c r="B14062" s="16301"/>
      <c r="TTR14062" s="13981"/>
    </row>
    <row r="14063" spans="2:2 14045:14060" x14ac:dyDescent="0.3">
      <c r="B14063" s="16301"/>
      <c r="TTS14063" s="13982"/>
    </row>
    <row r="14064" spans="2:2 14045:14060" x14ac:dyDescent="0.3">
      <c r="B14064" s="16301"/>
      <c r="TTT14064" s="13983"/>
    </row>
    <row r="14065" spans="2:2 14061:14076" x14ac:dyDescent="0.3">
      <c r="B14065" s="16301"/>
      <c r="TTU14065" s="13984"/>
    </row>
    <row r="14066" spans="2:2 14061:14076" x14ac:dyDescent="0.3">
      <c r="B14066" s="16301"/>
      <c r="TTV14066" s="13985"/>
    </row>
    <row r="14067" spans="2:2 14061:14076" x14ac:dyDescent="0.3">
      <c r="B14067" s="16301"/>
      <c r="TTW14067" s="13986"/>
    </row>
    <row r="14068" spans="2:2 14061:14076" x14ac:dyDescent="0.3">
      <c r="B14068" s="16301"/>
      <c r="TTX14068" s="13987"/>
    </row>
    <row r="14069" spans="2:2 14061:14076" x14ac:dyDescent="0.3">
      <c r="B14069" s="16301"/>
      <c r="TTY14069" s="13988"/>
    </row>
    <row r="14070" spans="2:2 14061:14076" x14ac:dyDescent="0.3">
      <c r="B14070" s="16301"/>
      <c r="TTZ14070" s="13989"/>
    </row>
    <row r="14071" spans="2:2 14061:14076" x14ac:dyDescent="0.3">
      <c r="B14071" s="16301"/>
      <c r="TUA14071" s="13990"/>
    </row>
    <row r="14072" spans="2:2 14061:14076" x14ac:dyDescent="0.3">
      <c r="B14072" s="16301"/>
      <c r="TUB14072" s="13991"/>
    </row>
    <row r="14073" spans="2:2 14061:14076" x14ac:dyDescent="0.3">
      <c r="B14073" s="16301"/>
      <c r="TUC14073" s="13992"/>
    </row>
    <row r="14074" spans="2:2 14061:14076" x14ac:dyDescent="0.3">
      <c r="B14074" s="16301"/>
      <c r="TUD14074" s="13993"/>
    </row>
    <row r="14075" spans="2:2 14061:14076" x14ac:dyDescent="0.3">
      <c r="B14075" s="16301"/>
      <c r="TUE14075" s="13994"/>
    </row>
    <row r="14076" spans="2:2 14061:14076" x14ac:dyDescent="0.3">
      <c r="B14076" s="16301"/>
      <c r="TUF14076" s="13995"/>
    </row>
    <row r="14077" spans="2:2 14061:14076" x14ac:dyDescent="0.3">
      <c r="B14077" s="16301"/>
      <c r="TUG14077" s="13996"/>
    </row>
    <row r="14078" spans="2:2 14061:14076" x14ac:dyDescent="0.3">
      <c r="B14078" s="16301"/>
      <c r="TUH14078" s="13997"/>
    </row>
    <row r="14079" spans="2:2 14061:14076" x14ac:dyDescent="0.3">
      <c r="B14079" s="16301"/>
      <c r="TUI14079" s="13998"/>
    </row>
    <row r="14080" spans="2:2 14061:14076" x14ac:dyDescent="0.3">
      <c r="B14080" s="16301"/>
      <c r="TUJ14080" s="13999"/>
    </row>
    <row r="14081" spans="2:2 14077:14092" x14ac:dyDescent="0.3">
      <c r="B14081" s="16301"/>
      <c r="TUK14081" s="14000"/>
    </row>
    <row r="14082" spans="2:2 14077:14092" x14ac:dyDescent="0.3">
      <c r="B14082" s="16301"/>
      <c r="TUL14082" s="14001"/>
    </row>
    <row r="14083" spans="2:2 14077:14092" x14ac:dyDescent="0.3">
      <c r="B14083" s="16301"/>
      <c r="TUM14083" s="14002"/>
    </row>
    <row r="14084" spans="2:2 14077:14092" x14ac:dyDescent="0.3">
      <c r="B14084" s="16301"/>
      <c r="TUN14084" s="14003"/>
    </row>
    <row r="14085" spans="2:2 14077:14092" x14ac:dyDescent="0.3">
      <c r="B14085" s="16301"/>
      <c r="TUO14085" s="14004"/>
    </row>
    <row r="14086" spans="2:2 14077:14092" x14ac:dyDescent="0.3">
      <c r="B14086" s="16301"/>
      <c r="TUP14086" s="14005"/>
    </row>
    <row r="14087" spans="2:2 14077:14092" x14ac:dyDescent="0.3">
      <c r="B14087" s="16301"/>
      <c r="TUQ14087" s="14006"/>
    </row>
    <row r="14088" spans="2:2 14077:14092" x14ac:dyDescent="0.3">
      <c r="B14088" s="16301"/>
      <c r="TUR14088" s="14007"/>
    </row>
    <row r="14089" spans="2:2 14077:14092" x14ac:dyDescent="0.3">
      <c r="B14089" s="16301"/>
      <c r="TUS14089" s="14008"/>
    </row>
    <row r="14090" spans="2:2 14077:14092" x14ac:dyDescent="0.3">
      <c r="B14090" s="16301"/>
      <c r="TUT14090" s="14009"/>
    </row>
    <row r="14091" spans="2:2 14077:14092" x14ac:dyDescent="0.3">
      <c r="B14091" s="16301"/>
      <c r="TUU14091" s="14010"/>
    </row>
    <row r="14092" spans="2:2 14077:14092" x14ac:dyDescent="0.3">
      <c r="B14092" s="16301"/>
      <c r="TUV14092" s="14011"/>
    </row>
    <row r="14093" spans="2:2 14077:14092" x14ac:dyDescent="0.3">
      <c r="B14093" s="16301"/>
      <c r="TUW14093" s="14012"/>
    </row>
    <row r="14094" spans="2:2 14077:14092" x14ac:dyDescent="0.3">
      <c r="B14094" s="16301"/>
      <c r="TUX14094" s="14013"/>
    </row>
    <row r="14095" spans="2:2 14077:14092" x14ac:dyDescent="0.3">
      <c r="B14095" s="16301"/>
      <c r="TUY14095" s="14014"/>
    </row>
    <row r="14096" spans="2:2 14077:14092" x14ac:dyDescent="0.3">
      <c r="B14096" s="16301"/>
      <c r="TUZ14096" s="14015"/>
    </row>
    <row r="14097" spans="2:2 14093:14108" x14ac:dyDescent="0.3">
      <c r="B14097" s="16301"/>
      <c r="TVA14097" s="14016"/>
    </row>
    <row r="14098" spans="2:2 14093:14108" x14ac:dyDescent="0.3">
      <c r="B14098" s="16301"/>
      <c r="TVB14098" s="14017"/>
    </row>
    <row r="14099" spans="2:2 14093:14108" x14ac:dyDescent="0.3">
      <c r="B14099" s="16301"/>
      <c r="TVC14099" s="14018"/>
    </row>
    <row r="14100" spans="2:2 14093:14108" x14ac:dyDescent="0.3">
      <c r="B14100" s="16301"/>
      <c r="TVD14100" s="14019"/>
    </row>
    <row r="14101" spans="2:2 14093:14108" x14ac:dyDescent="0.3">
      <c r="B14101" s="16301"/>
      <c r="TVE14101" s="14020"/>
    </row>
    <row r="14102" spans="2:2 14093:14108" x14ac:dyDescent="0.3">
      <c r="B14102" s="16301"/>
      <c r="TVF14102" s="14021"/>
    </row>
    <row r="14103" spans="2:2 14093:14108" x14ac:dyDescent="0.3">
      <c r="B14103" s="16301"/>
      <c r="TVG14103" s="14022"/>
    </row>
    <row r="14104" spans="2:2 14093:14108" x14ac:dyDescent="0.3">
      <c r="B14104" s="16301"/>
      <c r="TVH14104" s="14023"/>
    </row>
    <row r="14105" spans="2:2 14093:14108" x14ac:dyDescent="0.3">
      <c r="B14105" s="16301"/>
      <c r="TVI14105" s="14024"/>
    </row>
    <row r="14106" spans="2:2 14093:14108" x14ac:dyDescent="0.3">
      <c r="B14106" s="16301"/>
      <c r="TVJ14106" s="14025"/>
    </row>
    <row r="14107" spans="2:2 14093:14108" x14ac:dyDescent="0.3">
      <c r="B14107" s="16301"/>
      <c r="TVK14107" s="14026"/>
    </row>
    <row r="14108" spans="2:2 14093:14108" x14ac:dyDescent="0.3">
      <c r="B14108" s="16301"/>
      <c r="TVL14108" s="14027"/>
    </row>
    <row r="14109" spans="2:2 14093:14108" x14ac:dyDescent="0.3">
      <c r="B14109" s="16301"/>
      <c r="TVM14109" s="14028"/>
    </row>
    <row r="14110" spans="2:2 14093:14108" x14ac:dyDescent="0.3">
      <c r="B14110" s="16301"/>
      <c r="TVN14110" s="14029"/>
    </row>
    <row r="14111" spans="2:2 14093:14108" x14ac:dyDescent="0.3">
      <c r="B14111" s="16301"/>
      <c r="TVO14111" s="14030"/>
    </row>
    <row r="14112" spans="2:2 14093:14108" x14ac:dyDescent="0.3">
      <c r="B14112" s="16301"/>
      <c r="TVP14112" s="14031"/>
    </row>
    <row r="14113" spans="2:2 14109:14124" x14ac:dyDescent="0.3">
      <c r="B14113" s="16301"/>
      <c r="TVQ14113" s="14032"/>
    </row>
    <row r="14114" spans="2:2 14109:14124" x14ac:dyDescent="0.3">
      <c r="B14114" s="16301"/>
      <c r="TVR14114" s="14033"/>
    </row>
    <row r="14115" spans="2:2 14109:14124" x14ac:dyDescent="0.3">
      <c r="B14115" s="16301"/>
      <c r="TVS14115" s="14034"/>
    </row>
    <row r="14116" spans="2:2 14109:14124" x14ac:dyDescent="0.3">
      <c r="B14116" s="16301"/>
      <c r="TVT14116" s="14035"/>
    </row>
    <row r="14117" spans="2:2 14109:14124" x14ac:dyDescent="0.3">
      <c r="B14117" s="16301"/>
      <c r="TVU14117" s="14036"/>
    </row>
    <row r="14118" spans="2:2 14109:14124" x14ac:dyDescent="0.3">
      <c r="B14118" s="16301"/>
      <c r="TVV14118" s="14037"/>
    </row>
    <row r="14119" spans="2:2 14109:14124" x14ac:dyDescent="0.3">
      <c r="B14119" s="16301"/>
      <c r="TVW14119" s="14038"/>
    </row>
    <row r="14120" spans="2:2 14109:14124" x14ac:dyDescent="0.3">
      <c r="B14120" s="16301"/>
      <c r="TVX14120" s="14039"/>
    </row>
    <row r="14121" spans="2:2 14109:14124" x14ac:dyDescent="0.3">
      <c r="B14121" s="16301"/>
      <c r="TVY14121" s="14040"/>
    </row>
    <row r="14122" spans="2:2 14109:14124" x14ac:dyDescent="0.3">
      <c r="B14122" s="16301"/>
      <c r="TVZ14122" s="14041"/>
    </row>
    <row r="14123" spans="2:2 14109:14124" x14ac:dyDescent="0.3">
      <c r="B14123" s="16301"/>
      <c r="TWA14123" s="14042"/>
    </row>
    <row r="14124" spans="2:2 14109:14124" x14ac:dyDescent="0.3">
      <c r="B14124" s="16301"/>
      <c r="TWB14124" s="14043"/>
    </row>
    <row r="14125" spans="2:2 14109:14124" x14ac:dyDescent="0.3">
      <c r="B14125" s="16301"/>
      <c r="TWC14125" s="14044"/>
    </row>
    <row r="14126" spans="2:2 14109:14124" x14ac:dyDescent="0.3">
      <c r="B14126" s="16301"/>
      <c r="TWD14126" s="14045"/>
    </row>
    <row r="14127" spans="2:2 14109:14124" x14ac:dyDescent="0.3">
      <c r="B14127" s="16301"/>
      <c r="TWE14127" s="14046"/>
    </row>
    <row r="14128" spans="2:2 14109:14124" x14ac:dyDescent="0.3">
      <c r="B14128" s="16301"/>
      <c r="TWF14128" s="14047"/>
    </row>
    <row r="14129" spans="2:2 14125:14140" x14ac:dyDescent="0.3">
      <c r="B14129" s="16301"/>
      <c r="TWG14129" s="14048"/>
    </row>
    <row r="14130" spans="2:2 14125:14140" x14ac:dyDescent="0.3">
      <c r="B14130" s="16301"/>
      <c r="TWH14130" s="14049"/>
    </row>
    <row r="14131" spans="2:2 14125:14140" x14ac:dyDescent="0.3">
      <c r="B14131" s="16301"/>
      <c r="TWI14131" s="14050"/>
    </row>
    <row r="14132" spans="2:2 14125:14140" x14ac:dyDescent="0.3">
      <c r="B14132" s="16301"/>
      <c r="TWJ14132" s="14051"/>
    </row>
    <row r="14133" spans="2:2 14125:14140" x14ac:dyDescent="0.3">
      <c r="B14133" s="16301"/>
      <c r="TWK14133" s="14052"/>
    </row>
    <row r="14134" spans="2:2 14125:14140" x14ac:dyDescent="0.3">
      <c r="B14134" s="16301"/>
      <c r="TWL14134" s="14053"/>
    </row>
    <row r="14135" spans="2:2 14125:14140" x14ac:dyDescent="0.3">
      <c r="B14135" s="16301"/>
      <c r="TWM14135" s="14054"/>
    </row>
    <row r="14136" spans="2:2 14125:14140" x14ac:dyDescent="0.3">
      <c r="B14136" s="16301"/>
      <c r="TWN14136" s="14055"/>
    </row>
    <row r="14137" spans="2:2 14125:14140" x14ac:dyDescent="0.3">
      <c r="B14137" s="16301"/>
      <c r="TWO14137" s="14056"/>
    </row>
    <row r="14138" spans="2:2 14125:14140" x14ac:dyDescent="0.3">
      <c r="B14138" s="16301"/>
      <c r="TWP14138" s="14057"/>
    </row>
    <row r="14139" spans="2:2 14125:14140" x14ac:dyDescent="0.3">
      <c r="B14139" s="16301"/>
      <c r="TWQ14139" s="14058"/>
    </row>
    <row r="14140" spans="2:2 14125:14140" x14ac:dyDescent="0.3">
      <c r="B14140" s="16301"/>
      <c r="TWR14140" s="14059"/>
    </row>
    <row r="14141" spans="2:2 14125:14140" x14ac:dyDescent="0.3">
      <c r="B14141" s="16301"/>
      <c r="TWS14141" s="14059"/>
    </row>
    <row r="14142" spans="2:2 14125:14140" x14ac:dyDescent="0.3">
      <c r="B14142" s="16301"/>
      <c r="TWT14142" s="14060"/>
    </row>
    <row r="14143" spans="2:2 14125:14140" x14ac:dyDescent="0.3">
      <c r="B14143" s="16301"/>
      <c r="TWU14143" s="14061"/>
    </row>
    <row r="14144" spans="2:2 14125:14140" x14ac:dyDescent="0.3">
      <c r="B14144" s="16301"/>
      <c r="TWV14144" s="14062"/>
    </row>
    <row r="14145" spans="2:2 14141:14156" x14ac:dyDescent="0.3">
      <c r="B14145" s="16301"/>
      <c r="TWW14145" s="14063"/>
    </row>
    <row r="14146" spans="2:2 14141:14156" x14ac:dyDescent="0.3">
      <c r="B14146" s="16301"/>
      <c r="TWX14146" s="14064"/>
    </row>
    <row r="14147" spans="2:2 14141:14156" x14ac:dyDescent="0.3">
      <c r="B14147" s="16301"/>
      <c r="TWY14147" s="14065"/>
    </row>
    <row r="14148" spans="2:2 14141:14156" x14ac:dyDescent="0.3">
      <c r="B14148" s="16301"/>
      <c r="TWZ14148" s="14066"/>
    </row>
    <row r="14149" spans="2:2 14141:14156" x14ac:dyDescent="0.3">
      <c r="B14149" s="16301"/>
      <c r="TXA14149" s="14067"/>
    </row>
    <row r="14150" spans="2:2 14141:14156" x14ac:dyDescent="0.3">
      <c r="B14150" s="16301"/>
      <c r="TXB14150" s="14068"/>
    </row>
    <row r="14151" spans="2:2 14141:14156" x14ac:dyDescent="0.3">
      <c r="B14151" s="16301"/>
      <c r="TXC14151" s="14069"/>
    </row>
    <row r="14152" spans="2:2 14141:14156" x14ac:dyDescent="0.3">
      <c r="B14152" s="16301"/>
      <c r="TXD14152" s="14070"/>
    </row>
    <row r="14153" spans="2:2 14141:14156" x14ac:dyDescent="0.3">
      <c r="B14153" s="16301"/>
      <c r="TXE14153" s="14071"/>
    </row>
    <row r="14154" spans="2:2 14141:14156" x14ac:dyDescent="0.3">
      <c r="B14154" s="16301"/>
      <c r="TXF14154" s="14072"/>
    </row>
    <row r="14155" spans="2:2 14141:14156" x14ac:dyDescent="0.3">
      <c r="B14155" s="16301"/>
      <c r="TXG14155" s="14073"/>
    </row>
    <row r="14156" spans="2:2 14141:14156" x14ac:dyDescent="0.3">
      <c r="B14156" s="16301"/>
      <c r="TXH14156" s="14074"/>
    </row>
    <row r="14157" spans="2:2 14141:14156" x14ac:dyDescent="0.3">
      <c r="B14157" s="16301"/>
      <c r="TXI14157" s="14075"/>
    </row>
    <row r="14158" spans="2:2 14141:14156" x14ac:dyDescent="0.3">
      <c r="B14158" s="16301"/>
      <c r="TXJ14158" s="14076"/>
    </row>
    <row r="14159" spans="2:2 14141:14156" x14ac:dyDescent="0.3">
      <c r="B14159" s="16301"/>
      <c r="TXK14159" s="14077"/>
    </row>
    <row r="14160" spans="2:2 14141:14156" x14ac:dyDescent="0.3">
      <c r="B14160" s="16301"/>
      <c r="TXL14160" s="14078"/>
    </row>
    <row r="14161" spans="2:2 14157:14172" x14ac:dyDescent="0.3">
      <c r="B14161" s="16301"/>
      <c r="TXM14161" s="14079"/>
    </row>
    <row r="14162" spans="2:2 14157:14172" x14ac:dyDescent="0.3">
      <c r="B14162" s="16301"/>
      <c r="TXN14162" s="14080"/>
    </row>
    <row r="14163" spans="2:2 14157:14172" x14ac:dyDescent="0.3">
      <c r="B14163" s="16301"/>
      <c r="TXO14163" s="14081"/>
    </row>
    <row r="14164" spans="2:2 14157:14172" x14ac:dyDescent="0.3">
      <c r="B14164" s="16301"/>
      <c r="TXP14164" s="14082"/>
    </row>
    <row r="14165" spans="2:2 14157:14172" x14ac:dyDescent="0.3">
      <c r="B14165" s="16301"/>
      <c r="TXQ14165" s="14083"/>
    </row>
    <row r="14166" spans="2:2 14157:14172" x14ac:dyDescent="0.3">
      <c r="B14166" s="16301"/>
      <c r="TXR14166" s="14084"/>
    </row>
    <row r="14167" spans="2:2 14157:14172" x14ac:dyDescent="0.3">
      <c r="B14167" s="16301"/>
      <c r="TXS14167" s="14085"/>
    </row>
    <row r="14168" spans="2:2 14157:14172" x14ac:dyDescent="0.3">
      <c r="B14168" s="16301"/>
      <c r="TXT14168" s="14086"/>
    </row>
    <row r="14169" spans="2:2 14157:14172" x14ac:dyDescent="0.3">
      <c r="B14169" s="16301"/>
      <c r="TXU14169" s="14087"/>
    </row>
    <row r="14170" spans="2:2 14157:14172" x14ac:dyDescent="0.3">
      <c r="B14170" s="16301"/>
      <c r="TXV14170" s="14088"/>
    </row>
    <row r="14171" spans="2:2 14157:14172" x14ac:dyDescent="0.3">
      <c r="B14171" s="16301"/>
      <c r="TXW14171" s="14089"/>
    </row>
    <row r="14172" spans="2:2 14157:14172" x14ac:dyDescent="0.3">
      <c r="B14172" s="16301"/>
      <c r="TXX14172" s="14090"/>
    </row>
    <row r="14173" spans="2:2 14157:14172" x14ac:dyDescent="0.3">
      <c r="B14173" s="16301"/>
      <c r="TXY14173" s="14091"/>
    </row>
    <row r="14174" spans="2:2 14157:14172" x14ac:dyDescent="0.3">
      <c r="B14174" s="16301"/>
      <c r="TXZ14174" s="14092"/>
    </row>
    <row r="14175" spans="2:2 14157:14172" x14ac:dyDescent="0.3">
      <c r="B14175" s="16301"/>
      <c r="TYA14175" s="14093"/>
    </row>
    <row r="14176" spans="2:2 14157:14172" x14ac:dyDescent="0.3">
      <c r="B14176" s="16301"/>
      <c r="TYB14176" s="14094"/>
    </row>
    <row r="14177" spans="2:2 14173:14188" x14ac:dyDescent="0.3">
      <c r="B14177" s="16301"/>
      <c r="TYC14177" s="14095"/>
    </row>
    <row r="14178" spans="2:2 14173:14188" x14ac:dyDescent="0.3">
      <c r="B14178" s="16301"/>
      <c r="TYD14178" s="14096"/>
    </row>
    <row r="14179" spans="2:2 14173:14188" x14ac:dyDescent="0.3">
      <c r="B14179" s="16301"/>
      <c r="TYE14179" s="14097"/>
    </row>
    <row r="14180" spans="2:2 14173:14188" x14ac:dyDescent="0.3">
      <c r="B14180" s="16301"/>
      <c r="TYF14180" s="14098"/>
    </row>
    <row r="14181" spans="2:2 14173:14188" x14ac:dyDescent="0.3">
      <c r="B14181" s="16301"/>
      <c r="TYG14181" s="14099"/>
    </row>
    <row r="14182" spans="2:2 14173:14188" x14ac:dyDescent="0.3">
      <c r="B14182" s="16301"/>
      <c r="TYH14182" s="14100"/>
    </row>
    <row r="14183" spans="2:2 14173:14188" x14ac:dyDescent="0.3">
      <c r="B14183" s="16301"/>
      <c r="TYI14183" s="14101"/>
    </row>
    <row r="14184" spans="2:2 14173:14188" x14ac:dyDescent="0.3">
      <c r="B14184" s="16301"/>
      <c r="TYJ14184" s="14102"/>
    </row>
    <row r="14185" spans="2:2 14173:14188" x14ac:dyDescent="0.3">
      <c r="B14185" s="16301"/>
      <c r="TYK14185" s="14103"/>
    </row>
    <row r="14186" spans="2:2 14173:14188" x14ac:dyDescent="0.3">
      <c r="B14186" s="16301"/>
      <c r="TYL14186" s="14104"/>
    </row>
    <row r="14187" spans="2:2 14173:14188" x14ac:dyDescent="0.3">
      <c r="B14187" s="16301"/>
      <c r="TYM14187" s="14105"/>
    </row>
    <row r="14188" spans="2:2 14173:14188" x14ac:dyDescent="0.3">
      <c r="B14188" s="16301"/>
      <c r="TYN14188" s="14106"/>
    </row>
    <row r="14189" spans="2:2 14173:14188" x14ac:dyDescent="0.3">
      <c r="B14189" s="16301"/>
      <c r="TYO14189" s="14107"/>
    </row>
    <row r="14190" spans="2:2 14173:14188" x14ac:dyDescent="0.3">
      <c r="B14190" s="16301"/>
      <c r="TYP14190" s="14108"/>
    </row>
    <row r="14191" spans="2:2 14173:14188" x14ac:dyDescent="0.3">
      <c r="B14191" s="16301"/>
      <c r="TYQ14191" s="14109"/>
    </row>
    <row r="14192" spans="2:2 14173:14188" x14ac:dyDescent="0.3">
      <c r="B14192" s="16301"/>
      <c r="TYR14192" s="14110"/>
    </row>
    <row r="14193" spans="2:2 14189:14204" x14ac:dyDescent="0.3">
      <c r="B14193" s="16301"/>
      <c r="TYS14193" s="14111"/>
    </row>
    <row r="14194" spans="2:2 14189:14204" x14ac:dyDescent="0.3">
      <c r="B14194" s="16301"/>
      <c r="TYT14194" s="14112"/>
    </row>
    <row r="14195" spans="2:2 14189:14204" x14ac:dyDescent="0.3">
      <c r="B14195" s="16301"/>
      <c r="TYU14195" s="14113"/>
    </row>
    <row r="14196" spans="2:2 14189:14204" x14ac:dyDescent="0.3">
      <c r="B14196" s="16301"/>
      <c r="TYV14196" s="14114"/>
    </row>
    <row r="14197" spans="2:2 14189:14204" x14ac:dyDescent="0.3">
      <c r="B14197" s="16301"/>
      <c r="TYW14197" s="14115"/>
    </row>
    <row r="14198" spans="2:2 14189:14204" x14ac:dyDescent="0.3">
      <c r="B14198" s="16301"/>
      <c r="TYX14198" s="14116"/>
    </row>
    <row r="14199" spans="2:2 14189:14204" x14ac:dyDescent="0.3">
      <c r="B14199" s="16301"/>
      <c r="TYY14199" s="14117"/>
    </row>
    <row r="14200" spans="2:2 14189:14204" x14ac:dyDescent="0.3">
      <c r="B14200" s="16301"/>
      <c r="TYZ14200" s="14118"/>
    </row>
    <row r="14201" spans="2:2 14189:14204" x14ac:dyDescent="0.3">
      <c r="B14201" s="16301"/>
      <c r="TZA14201" s="14119"/>
    </row>
    <row r="14202" spans="2:2 14189:14204" x14ac:dyDescent="0.3">
      <c r="B14202" s="16301"/>
      <c r="TZB14202" s="14120"/>
    </row>
    <row r="14203" spans="2:2 14189:14204" x14ac:dyDescent="0.3">
      <c r="B14203" s="16301"/>
      <c r="TZC14203" s="14121"/>
    </row>
    <row r="14204" spans="2:2 14189:14204" x14ac:dyDescent="0.3">
      <c r="B14204" s="16301"/>
      <c r="TZD14204" s="14122"/>
    </row>
    <row r="14205" spans="2:2 14189:14204" x14ac:dyDescent="0.3">
      <c r="B14205" s="16301"/>
      <c r="TZE14205" s="14123"/>
    </row>
    <row r="14206" spans="2:2 14189:14204" x14ac:dyDescent="0.3">
      <c r="B14206" s="16301"/>
      <c r="TZF14206" s="14124"/>
    </row>
    <row r="14207" spans="2:2 14189:14204" x14ac:dyDescent="0.3">
      <c r="B14207" s="16301"/>
      <c r="TZG14207" s="14125"/>
    </row>
    <row r="14208" spans="2:2 14189:14204" x14ac:dyDescent="0.3">
      <c r="B14208" s="16301"/>
      <c r="TZH14208" s="14126"/>
    </row>
    <row r="14209" spans="2:2 14205:14220" x14ac:dyDescent="0.3">
      <c r="B14209" s="16301"/>
      <c r="TZI14209" s="14127"/>
    </row>
    <row r="14210" spans="2:2 14205:14220" x14ac:dyDescent="0.3">
      <c r="B14210" s="16301"/>
      <c r="TZJ14210" s="14128"/>
    </row>
    <row r="14211" spans="2:2 14205:14220" x14ac:dyDescent="0.3">
      <c r="B14211" s="16301"/>
      <c r="TZK14211" s="14129"/>
    </row>
    <row r="14212" spans="2:2 14205:14220" x14ac:dyDescent="0.3">
      <c r="B14212" s="16301"/>
      <c r="TZL14212" s="14130"/>
    </row>
    <row r="14213" spans="2:2 14205:14220" x14ac:dyDescent="0.3">
      <c r="B14213" s="16301"/>
      <c r="TZM14213" s="14131"/>
    </row>
    <row r="14214" spans="2:2 14205:14220" x14ac:dyDescent="0.3">
      <c r="B14214" s="16301"/>
      <c r="TZN14214" s="14132"/>
    </row>
    <row r="14215" spans="2:2 14205:14220" x14ac:dyDescent="0.3">
      <c r="B14215" s="16301"/>
      <c r="TZO14215" s="14133"/>
    </row>
    <row r="14216" spans="2:2 14205:14220" x14ac:dyDescent="0.3">
      <c r="B14216" s="16301"/>
      <c r="TZP14216" s="14134"/>
    </row>
    <row r="14217" spans="2:2 14205:14220" x14ac:dyDescent="0.3">
      <c r="B14217" s="16301"/>
      <c r="TZQ14217" s="14135"/>
    </row>
    <row r="14218" spans="2:2 14205:14220" x14ac:dyDescent="0.3">
      <c r="B14218" s="16301"/>
      <c r="TZR14218" s="14136"/>
    </row>
    <row r="14219" spans="2:2 14205:14220" x14ac:dyDescent="0.3">
      <c r="B14219" s="16301"/>
      <c r="TZS14219" s="14137"/>
    </row>
    <row r="14220" spans="2:2 14205:14220" x14ac:dyDescent="0.3">
      <c r="B14220" s="16301"/>
      <c r="TZT14220" s="14138"/>
    </row>
    <row r="14221" spans="2:2 14205:14220" x14ac:dyDescent="0.3">
      <c r="B14221" s="16301"/>
      <c r="TZU14221" s="14139"/>
    </row>
    <row r="14222" spans="2:2 14205:14220" x14ac:dyDescent="0.3">
      <c r="B14222" s="16301"/>
      <c r="TZV14222" s="14140"/>
    </row>
    <row r="14223" spans="2:2 14205:14220" x14ac:dyDescent="0.3">
      <c r="B14223" s="16301"/>
      <c r="TZW14223" s="14141"/>
    </row>
    <row r="14224" spans="2:2 14205:14220" x14ac:dyDescent="0.3">
      <c r="B14224" s="16301"/>
      <c r="TZX14224" s="14142"/>
    </row>
    <row r="14225" spans="2:2 14221:14236" x14ac:dyDescent="0.3">
      <c r="B14225" s="16301"/>
      <c r="TZY14225" s="14143"/>
    </row>
    <row r="14226" spans="2:2 14221:14236" x14ac:dyDescent="0.3">
      <c r="B14226" s="16301"/>
      <c r="TZZ14226" s="14144"/>
    </row>
    <row r="14227" spans="2:2 14221:14236" x14ac:dyDescent="0.3">
      <c r="B14227" s="16301"/>
      <c r="UAA14227" s="14145"/>
    </row>
    <row r="14228" spans="2:2 14221:14236" x14ac:dyDescent="0.3">
      <c r="B14228" s="16301"/>
      <c r="UAB14228" s="14146"/>
    </row>
    <row r="14229" spans="2:2 14221:14236" x14ac:dyDescent="0.3">
      <c r="B14229" s="16301"/>
      <c r="UAC14229" s="14147"/>
    </row>
    <row r="14230" spans="2:2 14221:14236" x14ac:dyDescent="0.3">
      <c r="B14230" s="16301"/>
      <c r="UAD14230" s="14148"/>
    </row>
    <row r="14231" spans="2:2 14221:14236" x14ac:dyDescent="0.3">
      <c r="B14231" s="16301"/>
      <c r="UAE14231" s="14149"/>
    </row>
    <row r="14232" spans="2:2 14221:14236" x14ac:dyDescent="0.3">
      <c r="B14232" s="16301"/>
      <c r="UAF14232" s="14150"/>
    </row>
    <row r="14233" spans="2:2 14221:14236" x14ac:dyDescent="0.3">
      <c r="B14233" s="16301"/>
      <c r="UAG14233" s="14151"/>
    </row>
    <row r="14234" spans="2:2 14221:14236" x14ac:dyDescent="0.3">
      <c r="B14234" s="16301"/>
      <c r="UAH14234" s="14152"/>
    </row>
    <row r="14235" spans="2:2 14221:14236" x14ac:dyDescent="0.3">
      <c r="B14235" s="16301"/>
      <c r="UAI14235" s="14153"/>
    </row>
    <row r="14236" spans="2:2 14221:14236" x14ac:dyDescent="0.3">
      <c r="B14236" s="16301"/>
      <c r="UAJ14236" s="14154"/>
    </row>
    <row r="14237" spans="2:2 14221:14236" x14ac:dyDescent="0.3">
      <c r="B14237" s="16301"/>
      <c r="UAK14237" s="14155"/>
    </row>
    <row r="14238" spans="2:2 14221:14236" x14ac:dyDescent="0.3">
      <c r="B14238" s="16301"/>
      <c r="UAL14238" s="14156"/>
    </row>
    <row r="14239" spans="2:2 14221:14236" x14ac:dyDescent="0.3">
      <c r="B14239" s="16301"/>
      <c r="UAM14239" s="14157"/>
    </row>
    <row r="14240" spans="2:2 14221:14236" x14ac:dyDescent="0.3">
      <c r="B14240" s="16301"/>
      <c r="UAN14240" s="14158"/>
    </row>
    <row r="14241" spans="2:2 14237:14252" x14ac:dyDescent="0.3">
      <c r="B14241" s="16301"/>
      <c r="UAO14241" s="14159"/>
    </row>
    <row r="14242" spans="2:2 14237:14252" x14ac:dyDescent="0.3">
      <c r="B14242" s="16301"/>
      <c r="UAP14242" s="14160"/>
    </row>
    <row r="14243" spans="2:2 14237:14252" x14ac:dyDescent="0.3">
      <c r="B14243" s="16301"/>
      <c r="UAQ14243" s="14161"/>
    </row>
    <row r="14244" spans="2:2 14237:14252" x14ac:dyDescent="0.3">
      <c r="B14244" s="16301"/>
      <c r="UAR14244" s="14162"/>
    </row>
    <row r="14245" spans="2:2 14237:14252" x14ac:dyDescent="0.3">
      <c r="B14245" s="16301"/>
      <c r="UAS14245" s="14163"/>
    </row>
    <row r="14246" spans="2:2 14237:14252" x14ac:dyDescent="0.3">
      <c r="B14246" s="16301"/>
      <c r="UAT14246" s="14164"/>
    </row>
    <row r="14247" spans="2:2 14237:14252" x14ac:dyDescent="0.3">
      <c r="B14247" s="16301"/>
      <c r="UAU14247" s="14165"/>
    </row>
    <row r="14248" spans="2:2 14237:14252" x14ac:dyDescent="0.3">
      <c r="B14248" s="16301"/>
      <c r="UAV14248" s="14166"/>
    </row>
    <row r="14249" spans="2:2 14237:14252" x14ac:dyDescent="0.3">
      <c r="B14249" s="16301"/>
      <c r="UAW14249" s="14167"/>
    </row>
    <row r="14250" spans="2:2 14237:14252" x14ac:dyDescent="0.3">
      <c r="B14250" s="16301"/>
      <c r="UAX14250" s="14168"/>
    </row>
    <row r="14251" spans="2:2 14237:14252" x14ac:dyDescent="0.3">
      <c r="B14251" s="16301"/>
      <c r="UAY14251" s="14169"/>
    </row>
    <row r="14252" spans="2:2 14237:14252" x14ac:dyDescent="0.3">
      <c r="B14252" s="16301"/>
      <c r="UAZ14252" s="14170"/>
    </row>
    <row r="14253" spans="2:2 14237:14252" x14ac:dyDescent="0.3">
      <c r="B14253" s="16301"/>
      <c r="UBA14253" s="14171"/>
    </row>
    <row r="14254" spans="2:2 14237:14252" x14ac:dyDescent="0.3">
      <c r="B14254" s="16301"/>
      <c r="UBB14254" s="14172"/>
    </row>
    <row r="14255" spans="2:2 14237:14252" x14ac:dyDescent="0.3">
      <c r="B14255" s="16301"/>
      <c r="UBC14255" s="14173"/>
    </row>
    <row r="14256" spans="2:2 14237:14252" x14ac:dyDescent="0.3">
      <c r="B14256" s="16301"/>
      <c r="UBD14256" s="14174"/>
    </row>
    <row r="14257" spans="2:2 14253:14268" x14ac:dyDescent="0.3">
      <c r="B14257" s="16301"/>
      <c r="UBE14257" s="14175"/>
    </row>
    <row r="14258" spans="2:2 14253:14268" x14ac:dyDescent="0.3">
      <c r="B14258" s="16301"/>
      <c r="UBF14258" s="14176"/>
    </row>
    <row r="14259" spans="2:2 14253:14268" x14ac:dyDescent="0.3">
      <c r="B14259" s="16301"/>
      <c r="UBG14259" s="14177"/>
    </row>
    <row r="14260" spans="2:2 14253:14268" x14ac:dyDescent="0.3">
      <c r="B14260" s="16301"/>
      <c r="UBH14260" s="14178"/>
    </row>
    <row r="14261" spans="2:2 14253:14268" x14ac:dyDescent="0.3">
      <c r="B14261" s="16301"/>
      <c r="UBI14261" s="14179"/>
    </row>
    <row r="14262" spans="2:2 14253:14268" x14ac:dyDescent="0.3">
      <c r="B14262" s="16301"/>
      <c r="UBJ14262" s="14180"/>
    </row>
    <row r="14263" spans="2:2 14253:14268" x14ac:dyDescent="0.3">
      <c r="B14263" s="16301"/>
      <c r="UBK14263" s="14181"/>
    </row>
    <row r="14264" spans="2:2 14253:14268" x14ac:dyDescent="0.3">
      <c r="B14264" s="16301"/>
      <c r="UBL14264" s="14182"/>
    </row>
    <row r="14265" spans="2:2 14253:14268" x14ac:dyDescent="0.3">
      <c r="B14265" s="16301"/>
      <c r="UBM14265" s="14183"/>
    </row>
    <row r="14266" spans="2:2 14253:14268" x14ac:dyDescent="0.3">
      <c r="B14266" s="16301"/>
      <c r="UBN14266" s="14184"/>
    </row>
    <row r="14267" spans="2:2 14253:14268" x14ac:dyDescent="0.3">
      <c r="B14267" s="16301"/>
      <c r="UBO14267" s="14185"/>
    </row>
    <row r="14268" spans="2:2 14253:14268" x14ac:dyDescent="0.3">
      <c r="B14268" s="16301"/>
      <c r="UBP14268" s="14186"/>
    </row>
    <row r="14269" spans="2:2 14253:14268" x14ac:dyDescent="0.3">
      <c r="B14269" s="16301"/>
      <c r="UBQ14269" s="14187"/>
    </row>
    <row r="14270" spans="2:2 14253:14268" x14ac:dyDescent="0.3">
      <c r="B14270" s="16301"/>
      <c r="UBR14270" s="14188"/>
    </row>
    <row r="14271" spans="2:2 14253:14268" x14ac:dyDescent="0.3">
      <c r="B14271" s="16301"/>
      <c r="UBS14271" s="14189"/>
    </row>
    <row r="14272" spans="2:2 14253:14268" x14ac:dyDescent="0.3">
      <c r="B14272" s="16301"/>
      <c r="UBT14272" s="14190"/>
    </row>
    <row r="14273" spans="2:2 14269:14284" x14ac:dyDescent="0.3">
      <c r="B14273" s="16301"/>
      <c r="UBU14273" s="14191"/>
    </row>
    <row r="14274" spans="2:2 14269:14284" x14ac:dyDescent="0.3">
      <c r="B14274" s="16301"/>
      <c r="UBV14274" s="14192"/>
    </row>
    <row r="14275" spans="2:2 14269:14284" x14ac:dyDescent="0.3">
      <c r="B14275" s="16301"/>
      <c r="UBW14275" s="14193"/>
    </row>
    <row r="14276" spans="2:2 14269:14284" x14ac:dyDescent="0.3">
      <c r="B14276" s="16301"/>
      <c r="UBX14276" s="14194"/>
    </row>
    <row r="14277" spans="2:2 14269:14284" x14ac:dyDescent="0.3">
      <c r="B14277" s="16301"/>
      <c r="UBY14277" s="14195"/>
    </row>
    <row r="14278" spans="2:2 14269:14284" x14ac:dyDescent="0.3">
      <c r="B14278" s="16301"/>
      <c r="UBZ14278" s="14196"/>
    </row>
    <row r="14279" spans="2:2 14269:14284" x14ac:dyDescent="0.3">
      <c r="B14279" s="16301"/>
      <c r="UCA14279" s="14197"/>
    </row>
    <row r="14280" spans="2:2 14269:14284" x14ac:dyDescent="0.3">
      <c r="B14280" s="16301"/>
      <c r="UCB14280" s="14198"/>
    </row>
    <row r="14281" spans="2:2 14269:14284" x14ac:dyDescent="0.3">
      <c r="B14281" s="16301"/>
      <c r="UCC14281" s="14199"/>
    </row>
    <row r="14282" spans="2:2 14269:14284" x14ac:dyDescent="0.3">
      <c r="B14282" s="16301"/>
      <c r="UCD14282" s="14200"/>
    </row>
    <row r="14283" spans="2:2 14269:14284" x14ac:dyDescent="0.3">
      <c r="B14283" s="16301"/>
      <c r="UCE14283" s="14201"/>
    </row>
    <row r="14284" spans="2:2 14269:14284" x14ac:dyDescent="0.3">
      <c r="B14284" s="16301"/>
      <c r="UCF14284" s="14202"/>
    </row>
    <row r="14285" spans="2:2 14269:14284" x14ac:dyDescent="0.3">
      <c r="B14285" s="16301"/>
      <c r="UCG14285" s="14203"/>
    </row>
    <row r="14286" spans="2:2 14269:14284" x14ac:dyDescent="0.3">
      <c r="B14286" s="16301"/>
      <c r="UCH14286" s="14204"/>
    </row>
    <row r="14287" spans="2:2 14269:14284" x14ac:dyDescent="0.3">
      <c r="B14287" s="16301"/>
      <c r="UCI14287" s="14205"/>
    </row>
    <row r="14288" spans="2:2 14269:14284" x14ac:dyDescent="0.3">
      <c r="B14288" s="16301"/>
      <c r="UCJ14288" s="14206"/>
    </row>
    <row r="14289" spans="2:2 14285:14300" x14ac:dyDescent="0.3">
      <c r="B14289" s="16301"/>
      <c r="UCK14289" s="14207"/>
    </row>
    <row r="14290" spans="2:2 14285:14300" x14ac:dyDescent="0.3">
      <c r="B14290" s="16301"/>
      <c r="UCL14290" s="14208"/>
    </row>
    <row r="14291" spans="2:2 14285:14300" x14ac:dyDescent="0.3">
      <c r="B14291" s="16301"/>
      <c r="UCM14291" s="14209"/>
    </row>
    <row r="14292" spans="2:2 14285:14300" x14ac:dyDescent="0.3">
      <c r="B14292" s="16301"/>
      <c r="UCN14292" s="14210"/>
    </row>
    <row r="14293" spans="2:2 14285:14300" x14ac:dyDescent="0.3">
      <c r="B14293" s="16301"/>
      <c r="UCO14293" s="14211"/>
    </row>
    <row r="14294" spans="2:2 14285:14300" x14ac:dyDescent="0.3">
      <c r="B14294" s="16301"/>
      <c r="UCP14294" s="14212"/>
    </row>
    <row r="14295" spans="2:2 14285:14300" x14ac:dyDescent="0.3">
      <c r="B14295" s="16301"/>
      <c r="UCQ14295" s="14213"/>
    </row>
    <row r="14296" spans="2:2 14285:14300" x14ac:dyDescent="0.3">
      <c r="B14296" s="16301"/>
      <c r="UCR14296" s="14214"/>
    </row>
    <row r="14297" spans="2:2 14285:14300" x14ac:dyDescent="0.3">
      <c r="B14297" s="16301"/>
      <c r="UCS14297" s="14215"/>
    </row>
    <row r="14298" spans="2:2 14285:14300" x14ac:dyDescent="0.3">
      <c r="B14298" s="16301"/>
      <c r="UCT14298" s="14216"/>
    </row>
    <row r="14299" spans="2:2 14285:14300" x14ac:dyDescent="0.3">
      <c r="B14299" s="16301"/>
      <c r="UCU14299" s="14217"/>
    </row>
    <row r="14300" spans="2:2 14285:14300" x14ac:dyDescent="0.3">
      <c r="B14300" s="16301"/>
      <c r="UCV14300" s="14218"/>
    </row>
    <row r="14301" spans="2:2 14285:14300" x14ac:dyDescent="0.3">
      <c r="B14301" s="16301"/>
      <c r="UCW14301" s="14219"/>
    </row>
    <row r="14302" spans="2:2 14285:14300" x14ac:dyDescent="0.3">
      <c r="B14302" s="16301"/>
      <c r="UCX14302" s="14220"/>
    </row>
    <row r="14303" spans="2:2 14285:14300" x14ac:dyDescent="0.3">
      <c r="B14303" s="16301"/>
      <c r="UCY14303" s="14221"/>
    </row>
    <row r="14304" spans="2:2 14285:14300" x14ac:dyDescent="0.3">
      <c r="B14304" s="16301"/>
      <c r="UCZ14304" s="14222"/>
    </row>
    <row r="14305" spans="2:2 14301:14316" x14ac:dyDescent="0.3">
      <c r="B14305" s="16301"/>
      <c r="UDA14305" s="14223"/>
    </row>
    <row r="14306" spans="2:2 14301:14316" x14ac:dyDescent="0.3">
      <c r="B14306" s="16301"/>
      <c r="UDB14306" s="14224"/>
    </row>
    <row r="14307" spans="2:2 14301:14316" x14ac:dyDescent="0.3">
      <c r="B14307" s="16301"/>
      <c r="UDC14307" s="14225"/>
    </row>
    <row r="14308" spans="2:2 14301:14316" x14ac:dyDescent="0.3">
      <c r="B14308" s="16301"/>
      <c r="UDD14308" s="14226"/>
    </row>
    <row r="14309" spans="2:2 14301:14316" x14ac:dyDescent="0.3">
      <c r="B14309" s="16301"/>
      <c r="UDE14309" s="14227"/>
    </row>
    <row r="14310" spans="2:2 14301:14316" x14ac:dyDescent="0.3">
      <c r="B14310" s="16301"/>
      <c r="UDF14310" s="14228"/>
    </row>
    <row r="14311" spans="2:2 14301:14316" x14ac:dyDescent="0.3">
      <c r="B14311" s="16301"/>
      <c r="UDG14311" s="14229"/>
    </row>
    <row r="14312" spans="2:2 14301:14316" x14ac:dyDescent="0.3">
      <c r="B14312" s="16301"/>
      <c r="UDH14312" s="14230"/>
    </row>
    <row r="14313" spans="2:2 14301:14316" x14ac:dyDescent="0.3">
      <c r="B14313" s="16301"/>
      <c r="UDI14313" s="14231"/>
    </row>
    <row r="14314" spans="2:2 14301:14316" x14ac:dyDescent="0.3">
      <c r="B14314" s="16301"/>
      <c r="UDJ14314" s="14232"/>
    </row>
    <row r="14315" spans="2:2 14301:14316" x14ac:dyDescent="0.3">
      <c r="B14315" s="16301"/>
      <c r="UDK14315" s="14233"/>
    </row>
    <row r="14316" spans="2:2 14301:14316" x14ac:dyDescent="0.3">
      <c r="B14316" s="16301"/>
      <c r="UDL14316" s="14234"/>
    </row>
    <row r="14317" spans="2:2 14301:14316" x14ac:dyDescent="0.3">
      <c r="B14317" s="16301"/>
      <c r="UDM14317" s="14235"/>
    </row>
    <row r="14318" spans="2:2 14301:14316" x14ac:dyDescent="0.3">
      <c r="B14318" s="16301"/>
      <c r="UDN14318" s="14236"/>
    </row>
    <row r="14319" spans="2:2 14301:14316" x14ac:dyDescent="0.3">
      <c r="B14319" s="16301"/>
      <c r="UDO14319" s="14237"/>
    </row>
    <row r="14320" spans="2:2 14301:14316" x14ac:dyDescent="0.3">
      <c r="B14320" s="16301"/>
      <c r="UDP14320" s="14238"/>
    </row>
    <row r="14321" spans="2:2 14317:14332" x14ac:dyDescent="0.3">
      <c r="B14321" s="16301"/>
      <c r="UDQ14321" s="14239"/>
    </row>
    <row r="14322" spans="2:2 14317:14332" x14ac:dyDescent="0.3">
      <c r="B14322" s="16301"/>
      <c r="UDR14322" s="14240"/>
    </row>
    <row r="14323" spans="2:2 14317:14332" x14ac:dyDescent="0.3">
      <c r="B14323" s="16301"/>
      <c r="UDS14323" s="14241"/>
    </row>
    <row r="14324" spans="2:2 14317:14332" x14ac:dyDescent="0.3">
      <c r="B14324" s="16301"/>
      <c r="UDT14324" s="14242"/>
    </row>
    <row r="14325" spans="2:2 14317:14332" x14ac:dyDescent="0.3">
      <c r="B14325" s="16301"/>
      <c r="UDU14325" s="14243"/>
    </row>
    <row r="14326" spans="2:2 14317:14332" x14ac:dyDescent="0.3">
      <c r="B14326" s="16301"/>
      <c r="UDV14326" s="14244"/>
    </row>
    <row r="14327" spans="2:2 14317:14332" x14ac:dyDescent="0.3">
      <c r="B14327" s="16301"/>
      <c r="UDW14327" s="14245"/>
    </row>
    <row r="14328" spans="2:2 14317:14332" x14ac:dyDescent="0.3">
      <c r="B14328" s="16301"/>
      <c r="UDX14328" s="14246"/>
    </row>
    <row r="14329" spans="2:2 14317:14332" x14ac:dyDescent="0.3">
      <c r="B14329" s="16301"/>
      <c r="UDY14329" s="14247"/>
    </row>
    <row r="14330" spans="2:2 14317:14332" x14ac:dyDescent="0.3">
      <c r="B14330" s="16301"/>
      <c r="UDZ14330" s="14248"/>
    </row>
    <row r="14331" spans="2:2 14317:14332" x14ac:dyDescent="0.3">
      <c r="B14331" s="16301"/>
      <c r="UEA14331" s="14249"/>
    </row>
    <row r="14332" spans="2:2 14317:14332" x14ac:dyDescent="0.3">
      <c r="B14332" s="16301"/>
      <c r="UEB14332" s="14250"/>
    </row>
    <row r="14333" spans="2:2 14317:14332" x14ac:dyDescent="0.3">
      <c r="B14333" s="16301"/>
      <c r="UEC14333" s="14251"/>
    </row>
    <row r="14334" spans="2:2 14317:14332" x14ac:dyDescent="0.3">
      <c r="B14334" s="16301"/>
      <c r="UED14334" s="14252"/>
    </row>
    <row r="14335" spans="2:2 14317:14332" x14ac:dyDescent="0.3">
      <c r="B14335" s="16301"/>
      <c r="UEE14335" s="14253"/>
    </row>
    <row r="14336" spans="2:2 14317:14332" x14ac:dyDescent="0.3">
      <c r="B14336" s="16301"/>
      <c r="UEF14336" s="14254"/>
    </row>
    <row r="14337" spans="2:2 14333:14348" x14ac:dyDescent="0.3">
      <c r="B14337" s="16301"/>
      <c r="UEG14337" s="14255"/>
    </row>
    <row r="14338" spans="2:2 14333:14348" x14ac:dyDescent="0.3">
      <c r="B14338" s="16301"/>
      <c r="UEH14338" s="14256"/>
    </row>
    <row r="14339" spans="2:2 14333:14348" x14ac:dyDescent="0.3">
      <c r="B14339" s="16301"/>
      <c r="UEI14339" s="14257"/>
    </row>
    <row r="14340" spans="2:2 14333:14348" x14ac:dyDescent="0.3">
      <c r="B14340" s="16301"/>
      <c r="UEJ14340" s="14258"/>
    </row>
    <row r="14341" spans="2:2 14333:14348" x14ac:dyDescent="0.3">
      <c r="B14341" s="16301"/>
      <c r="UEK14341" s="14259"/>
    </row>
    <row r="14342" spans="2:2 14333:14348" x14ac:dyDescent="0.3">
      <c r="B14342" s="16301"/>
      <c r="UEL14342" s="14260"/>
    </row>
    <row r="14343" spans="2:2 14333:14348" x14ac:dyDescent="0.3">
      <c r="B14343" s="16301"/>
      <c r="UEM14343" s="14261"/>
    </row>
    <row r="14344" spans="2:2 14333:14348" x14ac:dyDescent="0.3">
      <c r="B14344" s="16301"/>
      <c r="UEN14344" s="14262"/>
    </row>
    <row r="14345" spans="2:2 14333:14348" x14ac:dyDescent="0.3">
      <c r="B14345" s="16301"/>
      <c r="UEO14345" s="14263"/>
    </row>
    <row r="14346" spans="2:2 14333:14348" x14ac:dyDescent="0.3">
      <c r="B14346" s="16301"/>
      <c r="UEP14346" s="14264"/>
    </row>
    <row r="14347" spans="2:2 14333:14348" x14ac:dyDescent="0.3">
      <c r="B14347" s="16301"/>
      <c r="UEQ14347" s="14265"/>
    </row>
    <row r="14348" spans="2:2 14333:14348" x14ac:dyDescent="0.3">
      <c r="B14348" s="16301"/>
      <c r="UER14348" s="14266"/>
    </row>
    <row r="14349" spans="2:2 14333:14348" x14ac:dyDescent="0.3">
      <c r="B14349" s="16301"/>
      <c r="UES14349" s="14267"/>
    </row>
    <row r="14350" spans="2:2 14333:14348" x14ac:dyDescent="0.3">
      <c r="B14350" s="16301"/>
      <c r="UET14350" s="14268"/>
    </row>
    <row r="14351" spans="2:2 14333:14348" x14ac:dyDescent="0.3">
      <c r="B14351" s="16301"/>
      <c r="UEU14351" s="14269"/>
    </row>
    <row r="14352" spans="2:2 14333:14348" x14ac:dyDescent="0.3">
      <c r="B14352" s="16301"/>
      <c r="UEV14352" s="14270"/>
    </row>
    <row r="14353" spans="2:2 14349:14364" x14ac:dyDescent="0.3">
      <c r="B14353" s="16301"/>
      <c r="UEW14353" s="14271"/>
    </row>
    <row r="14354" spans="2:2 14349:14364" x14ac:dyDescent="0.3">
      <c r="B14354" s="16301"/>
      <c r="UEX14354" s="14272"/>
    </row>
    <row r="14355" spans="2:2 14349:14364" x14ac:dyDescent="0.3">
      <c r="B14355" s="16301"/>
      <c r="UEY14355" s="14273"/>
    </row>
    <row r="14356" spans="2:2 14349:14364" x14ac:dyDescent="0.3">
      <c r="B14356" s="16301"/>
      <c r="UEZ14356" s="14274"/>
    </row>
    <row r="14357" spans="2:2 14349:14364" x14ac:dyDescent="0.3">
      <c r="B14357" s="16301"/>
      <c r="UFA14357" s="14275"/>
    </row>
    <row r="14358" spans="2:2 14349:14364" x14ac:dyDescent="0.3">
      <c r="B14358" s="16301"/>
      <c r="UFB14358" s="14276"/>
    </row>
    <row r="14359" spans="2:2 14349:14364" x14ac:dyDescent="0.3">
      <c r="B14359" s="16301"/>
      <c r="UFC14359" s="14277"/>
    </row>
    <row r="14360" spans="2:2 14349:14364" x14ac:dyDescent="0.3">
      <c r="B14360" s="16301"/>
      <c r="UFD14360" s="14278"/>
    </row>
    <row r="14361" spans="2:2 14349:14364" x14ac:dyDescent="0.3">
      <c r="B14361" s="16301"/>
      <c r="UFE14361" s="14279"/>
    </row>
    <row r="14362" spans="2:2 14349:14364" x14ac:dyDescent="0.3">
      <c r="B14362" s="16301"/>
      <c r="UFF14362" s="14280"/>
    </row>
    <row r="14363" spans="2:2 14349:14364" x14ac:dyDescent="0.3">
      <c r="B14363" s="16301"/>
      <c r="UFG14363" s="14281"/>
    </row>
    <row r="14364" spans="2:2 14349:14364" x14ac:dyDescent="0.3">
      <c r="B14364" s="16301"/>
      <c r="UFH14364" s="14282"/>
    </row>
    <row r="14365" spans="2:2 14349:14364" x14ac:dyDescent="0.3">
      <c r="B14365" s="16301"/>
      <c r="UFI14365" s="14283"/>
    </row>
    <row r="14366" spans="2:2 14349:14364" x14ac:dyDescent="0.3">
      <c r="B14366" s="16301"/>
      <c r="UFJ14366" s="14284"/>
    </row>
    <row r="14367" spans="2:2 14349:14364" x14ac:dyDescent="0.3">
      <c r="B14367" s="16301"/>
      <c r="UFK14367" s="14285"/>
    </row>
    <row r="14368" spans="2:2 14349:14364" x14ac:dyDescent="0.3">
      <c r="B14368" s="16301"/>
      <c r="UFL14368" s="14286"/>
    </row>
    <row r="14369" spans="2:2 14365:14380" x14ac:dyDescent="0.3">
      <c r="B14369" s="16301"/>
      <c r="UFM14369" s="14287"/>
    </row>
    <row r="14370" spans="2:2 14365:14380" x14ac:dyDescent="0.3">
      <c r="B14370" s="16301"/>
      <c r="UFN14370" s="14288"/>
    </row>
    <row r="14371" spans="2:2 14365:14380" x14ac:dyDescent="0.3">
      <c r="B14371" s="16301"/>
      <c r="UFO14371" s="14289"/>
    </row>
    <row r="14372" spans="2:2 14365:14380" x14ac:dyDescent="0.3">
      <c r="B14372" s="16301"/>
      <c r="UFP14372" s="14290"/>
    </row>
    <row r="14373" spans="2:2 14365:14380" x14ac:dyDescent="0.3">
      <c r="B14373" s="16301"/>
      <c r="UFQ14373" s="14291"/>
    </row>
    <row r="14374" spans="2:2 14365:14380" x14ac:dyDescent="0.3">
      <c r="B14374" s="16301"/>
      <c r="UFR14374" s="14292"/>
    </row>
    <row r="14375" spans="2:2 14365:14380" x14ac:dyDescent="0.3">
      <c r="B14375" s="16301"/>
      <c r="UFS14375" s="14293"/>
    </row>
    <row r="14376" spans="2:2 14365:14380" x14ac:dyDescent="0.3">
      <c r="B14376" s="16301"/>
      <c r="UFT14376" s="14294"/>
    </row>
    <row r="14377" spans="2:2 14365:14380" x14ac:dyDescent="0.3">
      <c r="B14377" s="16301"/>
      <c r="UFU14377" s="14295"/>
    </row>
    <row r="14378" spans="2:2 14365:14380" x14ac:dyDescent="0.3">
      <c r="B14378" s="16301"/>
      <c r="UFV14378" s="14296"/>
    </row>
    <row r="14379" spans="2:2 14365:14380" x14ac:dyDescent="0.3">
      <c r="B14379" s="16301"/>
      <c r="UFW14379" s="14297"/>
    </row>
    <row r="14380" spans="2:2 14365:14380" x14ac:dyDescent="0.3">
      <c r="B14380" s="16301"/>
      <c r="UFX14380" s="14298"/>
    </row>
    <row r="14381" spans="2:2 14365:14380" x14ac:dyDescent="0.3">
      <c r="B14381" s="16301"/>
      <c r="UFY14381" s="14299"/>
    </row>
    <row r="14382" spans="2:2 14365:14380" x14ac:dyDescent="0.3">
      <c r="B14382" s="16301"/>
      <c r="UFZ14382" s="14300"/>
    </row>
    <row r="14383" spans="2:2 14365:14380" x14ac:dyDescent="0.3">
      <c r="B14383" s="16301"/>
      <c r="UGA14383" s="14301"/>
    </row>
    <row r="14384" spans="2:2 14365:14380" x14ac:dyDescent="0.3">
      <c r="B14384" s="16301"/>
      <c r="UGB14384" s="14302"/>
    </row>
    <row r="14385" spans="2:2 14381:14396" x14ac:dyDescent="0.3">
      <c r="B14385" s="16301"/>
      <c r="UGC14385" s="14303"/>
    </row>
    <row r="14386" spans="2:2 14381:14396" x14ac:dyDescent="0.3">
      <c r="B14386" s="16301"/>
      <c r="UGD14386" s="14304"/>
    </row>
    <row r="14387" spans="2:2 14381:14396" x14ac:dyDescent="0.3">
      <c r="B14387" s="16301"/>
      <c r="UGE14387" s="14305"/>
    </row>
    <row r="14388" spans="2:2 14381:14396" x14ac:dyDescent="0.3">
      <c r="B14388" s="16301"/>
      <c r="UGF14388" s="14306"/>
    </row>
    <row r="14389" spans="2:2 14381:14396" x14ac:dyDescent="0.3">
      <c r="B14389" s="16301"/>
      <c r="UGG14389" s="14307"/>
    </row>
    <row r="14390" spans="2:2 14381:14396" x14ac:dyDescent="0.3">
      <c r="B14390" s="16301"/>
      <c r="UGH14390" s="14308"/>
    </row>
    <row r="14391" spans="2:2 14381:14396" x14ac:dyDescent="0.3">
      <c r="B14391" s="16301"/>
      <c r="UGI14391" s="14309"/>
    </row>
    <row r="14392" spans="2:2 14381:14396" x14ac:dyDescent="0.3">
      <c r="B14392" s="16301"/>
      <c r="UGJ14392" s="14310"/>
    </row>
    <row r="14393" spans="2:2 14381:14396" x14ac:dyDescent="0.3">
      <c r="B14393" s="16301"/>
      <c r="UGK14393" s="14311"/>
    </row>
    <row r="14394" spans="2:2 14381:14396" x14ac:dyDescent="0.3">
      <c r="B14394" s="16301"/>
      <c r="UGL14394" s="14312"/>
    </row>
    <row r="14395" spans="2:2 14381:14396" x14ac:dyDescent="0.3">
      <c r="B14395" s="16301"/>
      <c r="UGM14395" s="14313"/>
    </row>
    <row r="14396" spans="2:2 14381:14396" x14ac:dyDescent="0.3">
      <c r="B14396" s="16301"/>
      <c r="UGN14396" s="14314"/>
    </row>
    <row r="14397" spans="2:2 14381:14396" x14ac:dyDescent="0.3">
      <c r="B14397" s="16301"/>
      <c r="UGO14397" s="14315"/>
    </row>
    <row r="14398" spans="2:2 14381:14396" x14ac:dyDescent="0.3">
      <c r="B14398" s="16301"/>
      <c r="UGP14398" s="14315"/>
    </row>
    <row r="14399" spans="2:2 14381:14396" x14ac:dyDescent="0.3">
      <c r="B14399" s="16301"/>
      <c r="UGQ14399" s="14316"/>
    </row>
    <row r="14400" spans="2:2 14381:14396" x14ac:dyDescent="0.3">
      <c r="B14400" s="16301"/>
      <c r="UGR14400" s="14317"/>
    </row>
    <row r="14401" spans="2:2 14397:14412" x14ac:dyDescent="0.3">
      <c r="B14401" s="16301"/>
      <c r="UGS14401" s="14318"/>
    </row>
    <row r="14402" spans="2:2 14397:14412" x14ac:dyDescent="0.3">
      <c r="B14402" s="16301"/>
      <c r="UGT14402" s="14319"/>
    </row>
    <row r="14403" spans="2:2 14397:14412" x14ac:dyDescent="0.3">
      <c r="B14403" s="16301"/>
      <c r="UGU14403" s="14320"/>
    </row>
    <row r="14404" spans="2:2 14397:14412" x14ac:dyDescent="0.3">
      <c r="B14404" s="16301"/>
      <c r="UGV14404" s="14321"/>
    </row>
    <row r="14405" spans="2:2 14397:14412" x14ac:dyDescent="0.3">
      <c r="B14405" s="16301"/>
      <c r="UGW14405" s="14322"/>
    </row>
    <row r="14406" spans="2:2 14397:14412" x14ac:dyDescent="0.3">
      <c r="B14406" s="16301"/>
      <c r="UGX14406" s="14323"/>
    </row>
    <row r="14407" spans="2:2 14397:14412" x14ac:dyDescent="0.3">
      <c r="B14407" s="16301"/>
      <c r="UGY14407" s="14324"/>
    </row>
    <row r="14408" spans="2:2 14397:14412" x14ac:dyDescent="0.3">
      <c r="B14408" s="16301"/>
      <c r="UGZ14408" s="14325"/>
    </row>
    <row r="14409" spans="2:2 14397:14412" x14ac:dyDescent="0.3">
      <c r="B14409" s="16301"/>
      <c r="UHA14409" s="14326"/>
    </row>
    <row r="14410" spans="2:2 14397:14412" x14ac:dyDescent="0.3">
      <c r="B14410" s="16301"/>
      <c r="UHB14410" s="14327"/>
    </row>
    <row r="14411" spans="2:2 14397:14412" x14ac:dyDescent="0.3">
      <c r="B14411" s="16301"/>
      <c r="UHC14411" s="14328"/>
    </row>
    <row r="14412" spans="2:2 14397:14412" x14ac:dyDescent="0.3">
      <c r="B14412" s="16301"/>
      <c r="UHD14412" s="14329"/>
    </row>
    <row r="14413" spans="2:2 14397:14412" x14ac:dyDescent="0.3">
      <c r="B14413" s="16301"/>
      <c r="UHE14413" s="14330"/>
    </row>
    <row r="14414" spans="2:2 14397:14412" x14ac:dyDescent="0.3">
      <c r="B14414" s="16301"/>
      <c r="UHF14414" s="14331"/>
    </row>
    <row r="14415" spans="2:2 14397:14412" x14ac:dyDescent="0.3">
      <c r="B14415" s="16301"/>
      <c r="UHG14415" s="14332"/>
    </row>
    <row r="14416" spans="2:2 14397:14412" x14ac:dyDescent="0.3">
      <c r="B14416" s="16301"/>
      <c r="UHH14416" s="14333"/>
    </row>
    <row r="14417" spans="2:2 14413:14428" x14ac:dyDescent="0.3">
      <c r="B14417" s="16301"/>
      <c r="UHI14417" s="14334"/>
    </row>
    <row r="14418" spans="2:2 14413:14428" x14ac:dyDescent="0.3">
      <c r="B14418" s="16301"/>
      <c r="UHJ14418" s="14335"/>
    </row>
    <row r="14419" spans="2:2 14413:14428" x14ac:dyDescent="0.3">
      <c r="B14419" s="16301"/>
      <c r="UHK14419" s="14336"/>
    </row>
    <row r="14420" spans="2:2 14413:14428" x14ac:dyDescent="0.3">
      <c r="B14420" s="16301"/>
      <c r="UHL14420" s="14337"/>
    </row>
    <row r="14421" spans="2:2 14413:14428" x14ac:dyDescent="0.3">
      <c r="B14421" s="16301"/>
      <c r="UHM14421" s="14338"/>
    </row>
    <row r="14422" spans="2:2 14413:14428" x14ac:dyDescent="0.3">
      <c r="B14422" s="16301"/>
      <c r="UHN14422" s="14339"/>
    </row>
    <row r="14423" spans="2:2 14413:14428" x14ac:dyDescent="0.3">
      <c r="B14423" s="16301"/>
      <c r="UHO14423" s="14340"/>
    </row>
    <row r="14424" spans="2:2 14413:14428" x14ac:dyDescent="0.3">
      <c r="B14424" s="16301"/>
      <c r="UHP14424" s="14341"/>
    </row>
    <row r="14425" spans="2:2 14413:14428" x14ac:dyDescent="0.3">
      <c r="B14425" s="16301"/>
      <c r="UHQ14425" s="14342"/>
    </row>
    <row r="14426" spans="2:2 14413:14428" x14ac:dyDescent="0.3">
      <c r="B14426" s="16301"/>
      <c r="UHR14426" s="14343"/>
    </row>
    <row r="14427" spans="2:2 14413:14428" x14ac:dyDescent="0.3">
      <c r="B14427" s="16301"/>
      <c r="UHS14427" s="14344"/>
    </row>
    <row r="14428" spans="2:2 14413:14428" x14ac:dyDescent="0.3">
      <c r="B14428" s="16301"/>
      <c r="UHT14428" s="14345"/>
    </row>
    <row r="14429" spans="2:2 14413:14428" x14ac:dyDescent="0.3">
      <c r="B14429" s="16301"/>
      <c r="UHU14429" s="14346"/>
    </row>
    <row r="14430" spans="2:2 14413:14428" x14ac:dyDescent="0.3">
      <c r="B14430" s="16301"/>
      <c r="UHV14430" s="14347"/>
    </row>
    <row r="14431" spans="2:2 14413:14428" x14ac:dyDescent="0.3">
      <c r="B14431" s="16301"/>
      <c r="UHW14431" s="14348"/>
    </row>
    <row r="14432" spans="2:2 14413:14428" x14ac:dyDescent="0.3">
      <c r="B14432" s="16301"/>
      <c r="UHX14432" s="14349"/>
    </row>
    <row r="14433" spans="2:2 14429:14444" x14ac:dyDescent="0.3">
      <c r="B14433" s="16301"/>
      <c r="UHY14433" s="14350"/>
    </row>
    <row r="14434" spans="2:2 14429:14444" x14ac:dyDescent="0.3">
      <c r="B14434" s="16301"/>
      <c r="UHZ14434" s="14351"/>
    </row>
    <row r="14435" spans="2:2 14429:14444" x14ac:dyDescent="0.3">
      <c r="B14435" s="16301"/>
      <c r="UIA14435" s="14352"/>
    </row>
    <row r="14436" spans="2:2 14429:14444" x14ac:dyDescent="0.3">
      <c r="B14436" s="16301"/>
      <c r="UIB14436" s="14353"/>
    </row>
    <row r="14437" spans="2:2 14429:14444" x14ac:dyDescent="0.3">
      <c r="B14437" s="16301"/>
      <c r="UIC14437" s="14354"/>
    </row>
    <row r="14438" spans="2:2 14429:14444" x14ac:dyDescent="0.3">
      <c r="B14438" s="16301"/>
      <c r="UID14438" s="14355"/>
    </row>
    <row r="14439" spans="2:2 14429:14444" x14ac:dyDescent="0.3">
      <c r="B14439" s="16301"/>
      <c r="UIE14439" s="14356"/>
    </row>
    <row r="14440" spans="2:2 14429:14444" x14ac:dyDescent="0.3">
      <c r="B14440" s="16301"/>
      <c r="UIF14440" s="14357"/>
    </row>
    <row r="14441" spans="2:2 14429:14444" x14ac:dyDescent="0.3">
      <c r="B14441" s="16301"/>
      <c r="UIG14441" s="14358"/>
    </row>
    <row r="14442" spans="2:2 14429:14444" x14ac:dyDescent="0.3">
      <c r="B14442" s="16301"/>
      <c r="UIH14442" s="14359"/>
    </row>
    <row r="14443" spans="2:2 14429:14444" x14ac:dyDescent="0.3">
      <c r="B14443" s="16301"/>
      <c r="UII14443" s="14360"/>
    </row>
    <row r="14444" spans="2:2 14429:14444" x14ac:dyDescent="0.3">
      <c r="B14444" s="16301"/>
      <c r="UIJ14444" s="14361"/>
    </row>
    <row r="14445" spans="2:2 14429:14444" x14ac:dyDescent="0.3">
      <c r="B14445" s="16301"/>
      <c r="UIK14445" s="14362"/>
    </row>
    <row r="14446" spans="2:2 14429:14444" x14ac:dyDescent="0.3">
      <c r="B14446" s="16301"/>
      <c r="UIL14446" s="14363"/>
    </row>
    <row r="14447" spans="2:2 14429:14444" x14ac:dyDescent="0.3">
      <c r="B14447" s="16301"/>
      <c r="UIM14447" s="14364"/>
    </row>
    <row r="14448" spans="2:2 14429:14444" x14ac:dyDescent="0.3">
      <c r="B14448" s="16301"/>
      <c r="UIN14448" s="14365"/>
    </row>
    <row r="14449" spans="2:2 14445:14460" x14ac:dyDescent="0.3">
      <c r="B14449" s="16301"/>
      <c r="UIO14449" s="14366"/>
    </row>
    <row r="14450" spans="2:2 14445:14460" x14ac:dyDescent="0.3">
      <c r="B14450" s="16301"/>
      <c r="UIP14450" s="14367"/>
    </row>
    <row r="14451" spans="2:2 14445:14460" x14ac:dyDescent="0.3">
      <c r="B14451" s="16301"/>
      <c r="UIQ14451" s="14368"/>
    </row>
    <row r="14452" spans="2:2 14445:14460" x14ac:dyDescent="0.3">
      <c r="B14452" s="16301"/>
      <c r="UIR14452" s="14369"/>
    </row>
    <row r="14453" spans="2:2 14445:14460" x14ac:dyDescent="0.3">
      <c r="B14453" s="16301"/>
      <c r="UIS14453" s="14370"/>
    </row>
    <row r="14454" spans="2:2 14445:14460" x14ac:dyDescent="0.3">
      <c r="B14454" s="16301"/>
      <c r="UIT14454" s="14371"/>
    </row>
    <row r="14455" spans="2:2 14445:14460" x14ac:dyDescent="0.3">
      <c r="B14455" s="16301"/>
      <c r="UIU14455" s="14372"/>
    </row>
    <row r="14456" spans="2:2 14445:14460" x14ac:dyDescent="0.3">
      <c r="B14456" s="16301"/>
      <c r="UIV14456" s="14373"/>
    </row>
    <row r="14457" spans="2:2 14445:14460" x14ac:dyDescent="0.3">
      <c r="B14457" s="16301"/>
      <c r="UIW14457" s="14374"/>
    </row>
    <row r="14458" spans="2:2 14445:14460" x14ac:dyDescent="0.3">
      <c r="B14458" s="16301"/>
      <c r="UIX14458" s="14375"/>
    </row>
    <row r="14459" spans="2:2 14445:14460" x14ac:dyDescent="0.3">
      <c r="B14459" s="16301"/>
      <c r="UIY14459" s="14376"/>
    </row>
    <row r="14460" spans="2:2 14445:14460" x14ac:dyDescent="0.3">
      <c r="B14460" s="16301"/>
      <c r="UIZ14460" s="14377"/>
    </row>
    <row r="14461" spans="2:2 14445:14460" x14ac:dyDescent="0.3">
      <c r="B14461" s="16301"/>
      <c r="UJA14461" s="14378"/>
    </row>
    <row r="14462" spans="2:2 14445:14460" x14ac:dyDescent="0.3">
      <c r="B14462" s="16301"/>
      <c r="UJB14462" s="14379"/>
    </row>
    <row r="14463" spans="2:2 14445:14460" x14ac:dyDescent="0.3">
      <c r="B14463" s="16301"/>
      <c r="UJC14463" s="14380"/>
    </row>
    <row r="14464" spans="2:2 14445:14460" x14ac:dyDescent="0.3">
      <c r="B14464" s="16301"/>
      <c r="UJD14464" s="14381"/>
    </row>
    <row r="14465" spans="2:2 14461:14476" x14ac:dyDescent="0.3">
      <c r="B14465" s="16301"/>
      <c r="UJE14465" s="14382"/>
    </row>
    <row r="14466" spans="2:2 14461:14476" x14ac:dyDescent="0.3">
      <c r="B14466" s="16301"/>
      <c r="UJF14466" s="14383"/>
    </row>
    <row r="14467" spans="2:2 14461:14476" x14ac:dyDescent="0.3">
      <c r="B14467" s="16301"/>
      <c r="UJG14467" s="14384"/>
    </row>
    <row r="14468" spans="2:2 14461:14476" x14ac:dyDescent="0.3">
      <c r="B14468" s="16301"/>
      <c r="UJH14468" s="14385"/>
    </row>
    <row r="14469" spans="2:2 14461:14476" x14ac:dyDescent="0.3">
      <c r="B14469" s="16301"/>
      <c r="UJI14469" s="14386"/>
    </row>
    <row r="14470" spans="2:2 14461:14476" x14ac:dyDescent="0.3">
      <c r="B14470" s="16301"/>
      <c r="UJJ14470" s="14387"/>
    </row>
    <row r="14471" spans="2:2 14461:14476" x14ac:dyDescent="0.3">
      <c r="B14471" s="16301"/>
      <c r="UJK14471" s="14388"/>
    </row>
    <row r="14472" spans="2:2 14461:14476" x14ac:dyDescent="0.3">
      <c r="B14472" s="16301"/>
      <c r="UJL14472" s="14389"/>
    </row>
    <row r="14473" spans="2:2 14461:14476" x14ac:dyDescent="0.3">
      <c r="B14473" s="16301"/>
      <c r="UJM14473" s="14390"/>
    </row>
    <row r="14474" spans="2:2 14461:14476" x14ac:dyDescent="0.3">
      <c r="B14474" s="16301"/>
      <c r="UJN14474" s="14391"/>
    </row>
    <row r="14475" spans="2:2 14461:14476" x14ac:dyDescent="0.3">
      <c r="B14475" s="16301"/>
      <c r="UJO14475" s="14392"/>
    </row>
    <row r="14476" spans="2:2 14461:14476" x14ac:dyDescent="0.3">
      <c r="B14476" s="16301"/>
      <c r="UJP14476" s="14393"/>
    </row>
    <row r="14477" spans="2:2 14461:14476" x14ac:dyDescent="0.3">
      <c r="B14477" s="16301"/>
      <c r="UJQ14477" s="14394"/>
    </row>
    <row r="14478" spans="2:2 14461:14476" x14ac:dyDescent="0.3">
      <c r="B14478" s="16301"/>
      <c r="UJR14478" s="14395"/>
    </row>
    <row r="14479" spans="2:2 14461:14476" x14ac:dyDescent="0.3">
      <c r="B14479" s="16301"/>
      <c r="UJS14479" s="14396"/>
    </row>
    <row r="14480" spans="2:2 14461:14476" x14ac:dyDescent="0.3">
      <c r="B14480" s="16301"/>
      <c r="UJT14480" s="14397"/>
    </row>
    <row r="14481" spans="2:2 14477:14492" x14ac:dyDescent="0.3">
      <c r="B14481" s="16301"/>
      <c r="UJU14481" s="14398"/>
    </row>
    <row r="14482" spans="2:2 14477:14492" x14ac:dyDescent="0.3">
      <c r="B14482" s="16301"/>
      <c r="UJV14482" s="14399"/>
    </row>
    <row r="14483" spans="2:2 14477:14492" x14ac:dyDescent="0.3">
      <c r="B14483" s="16301"/>
      <c r="UJW14483" s="14400"/>
    </row>
    <row r="14484" spans="2:2 14477:14492" x14ac:dyDescent="0.3">
      <c r="B14484" s="16301"/>
      <c r="UJX14484" s="14401"/>
    </row>
    <row r="14485" spans="2:2 14477:14492" x14ac:dyDescent="0.3">
      <c r="B14485" s="16301"/>
      <c r="UJY14485" s="14402"/>
    </row>
    <row r="14486" spans="2:2 14477:14492" x14ac:dyDescent="0.3">
      <c r="B14486" s="16301"/>
      <c r="UJZ14486" s="14403"/>
    </row>
    <row r="14487" spans="2:2 14477:14492" x14ac:dyDescent="0.3">
      <c r="B14487" s="16301"/>
      <c r="UKA14487" s="14404"/>
    </row>
    <row r="14488" spans="2:2 14477:14492" x14ac:dyDescent="0.3">
      <c r="B14488" s="16301"/>
      <c r="UKB14488" s="14405"/>
    </row>
    <row r="14489" spans="2:2 14477:14492" x14ac:dyDescent="0.3">
      <c r="B14489" s="16301"/>
      <c r="UKC14489" s="14406"/>
    </row>
    <row r="14490" spans="2:2 14477:14492" x14ac:dyDescent="0.3">
      <c r="B14490" s="16301"/>
      <c r="UKD14490" s="14407"/>
    </row>
    <row r="14491" spans="2:2 14477:14492" x14ac:dyDescent="0.3">
      <c r="B14491" s="16301"/>
      <c r="UKE14491" s="14408"/>
    </row>
    <row r="14492" spans="2:2 14477:14492" x14ac:dyDescent="0.3">
      <c r="B14492" s="16301"/>
      <c r="UKF14492" s="14409"/>
    </row>
    <row r="14493" spans="2:2 14477:14492" x14ac:dyDescent="0.3">
      <c r="B14493" s="16301"/>
      <c r="UKG14493" s="14410"/>
    </row>
    <row r="14494" spans="2:2 14477:14492" x14ac:dyDescent="0.3">
      <c r="B14494" s="16301"/>
      <c r="UKH14494" s="14411"/>
    </row>
    <row r="14495" spans="2:2 14477:14492" x14ac:dyDescent="0.3">
      <c r="B14495" s="16301"/>
      <c r="UKI14495" s="14412"/>
    </row>
    <row r="14496" spans="2:2 14477:14492" x14ac:dyDescent="0.3">
      <c r="B14496" s="16301"/>
      <c r="UKJ14496" s="14413"/>
    </row>
    <row r="14497" spans="2:2 14493:14508" x14ac:dyDescent="0.3">
      <c r="B14497" s="16301"/>
      <c r="UKK14497" s="14414"/>
    </row>
    <row r="14498" spans="2:2 14493:14508" x14ac:dyDescent="0.3">
      <c r="B14498" s="16301"/>
      <c r="UKL14498" s="14415"/>
    </row>
    <row r="14499" spans="2:2 14493:14508" x14ac:dyDescent="0.3">
      <c r="B14499" s="16301"/>
      <c r="UKM14499" s="14416"/>
    </row>
    <row r="14500" spans="2:2 14493:14508" x14ac:dyDescent="0.3">
      <c r="B14500" s="16301"/>
      <c r="UKN14500" s="14417"/>
    </row>
    <row r="14501" spans="2:2 14493:14508" x14ac:dyDescent="0.3">
      <c r="B14501" s="16301"/>
      <c r="UKO14501" s="14418"/>
    </row>
    <row r="14502" spans="2:2 14493:14508" x14ac:dyDescent="0.3">
      <c r="B14502" s="16301"/>
      <c r="UKP14502" s="14419"/>
    </row>
    <row r="14503" spans="2:2 14493:14508" x14ac:dyDescent="0.3">
      <c r="B14503" s="16301"/>
      <c r="UKQ14503" s="14420"/>
    </row>
    <row r="14504" spans="2:2 14493:14508" x14ac:dyDescent="0.3">
      <c r="B14504" s="16301"/>
      <c r="UKR14504" s="14421"/>
    </row>
    <row r="14505" spans="2:2 14493:14508" x14ac:dyDescent="0.3">
      <c r="B14505" s="16301"/>
      <c r="UKS14505" s="14422"/>
    </row>
    <row r="14506" spans="2:2 14493:14508" x14ac:dyDescent="0.3">
      <c r="B14506" s="16301"/>
      <c r="UKT14506" s="14423"/>
    </row>
    <row r="14507" spans="2:2 14493:14508" x14ac:dyDescent="0.3">
      <c r="B14507" s="16301"/>
      <c r="UKU14507" s="14424"/>
    </row>
    <row r="14508" spans="2:2 14493:14508" x14ac:dyDescent="0.3">
      <c r="B14508" s="16301"/>
      <c r="UKV14508" s="14425"/>
    </row>
    <row r="14509" spans="2:2 14493:14508" x14ac:dyDescent="0.3">
      <c r="B14509" s="16301"/>
      <c r="UKW14509" s="14426"/>
    </row>
    <row r="14510" spans="2:2 14493:14508" x14ac:dyDescent="0.3">
      <c r="B14510" s="16301"/>
      <c r="UKX14510" s="14427"/>
    </row>
    <row r="14511" spans="2:2 14493:14508" x14ac:dyDescent="0.3">
      <c r="B14511" s="16301"/>
      <c r="UKY14511" s="14428"/>
    </row>
    <row r="14512" spans="2:2 14493:14508" x14ac:dyDescent="0.3">
      <c r="B14512" s="16301"/>
      <c r="UKZ14512" s="14429"/>
    </row>
    <row r="14513" spans="2:2 14509:14524" x14ac:dyDescent="0.3">
      <c r="B14513" s="16301"/>
      <c r="ULA14513" s="14430"/>
    </row>
    <row r="14514" spans="2:2 14509:14524" x14ac:dyDescent="0.3">
      <c r="B14514" s="16301"/>
      <c r="ULB14514" s="14431"/>
    </row>
    <row r="14515" spans="2:2 14509:14524" x14ac:dyDescent="0.3">
      <c r="B14515" s="16301"/>
      <c r="ULC14515" s="14432"/>
    </row>
    <row r="14516" spans="2:2 14509:14524" x14ac:dyDescent="0.3">
      <c r="B14516" s="16301"/>
      <c r="ULD14516" s="14433"/>
    </row>
    <row r="14517" spans="2:2 14509:14524" x14ac:dyDescent="0.3">
      <c r="B14517" s="16301"/>
      <c r="ULE14517" s="14434"/>
    </row>
    <row r="14518" spans="2:2 14509:14524" x14ac:dyDescent="0.3">
      <c r="B14518" s="16301"/>
      <c r="ULF14518" s="14435"/>
    </row>
    <row r="14519" spans="2:2 14509:14524" x14ac:dyDescent="0.3">
      <c r="B14519" s="16301"/>
      <c r="ULG14519" s="14436"/>
    </row>
    <row r="14520" spans="2:2 14509:14524" x14ac:dyDescent="0.3">
      <c r="B14520" s="16301"/>
      <c r="ULH14520" s="14437"/>
    </row>
    <row r="14521" spans="2:2 14509:14524" x14ac:dyDescent="0.3">
      <c r="B14521" s="16301"/>
      <c r="ULI14521" s="14438"/>
    </row>
    <row r="14522" spans="2:2 14509:14524" x14ac:dyDescent="0.3">
      <c r="B14522" s="16301"/>
      <c r="ULJ14522" s="14439"/>
    </row>
    <row r="14523" spans="2:2 14509:14524" x14ac:dyDescent="0.3">
      <c r="B14523" s="16301"/>
      <c r="ULK14523" s="14440"/>
    </row>
    <row r="14524" spans="2:2 14509:14524" x14ac:dyDescent="0.3">
      <c r="B14524" s="16301"/>
      <c r="ULL14524" s="14441"/>
    </row>
    <row r="14525" spans="2:2 14509:14524" x14ac:dyDescent="0.3">
      <c r="B14525" s="16301"/>
      <c r="ULM14525" s="14442"/>
    </row>
    <row r="14526" spans="2:2 14509:14524" x14ac:dyDescent="0.3">
      <c r="B14526" s="16301"/>
      <c r="ULN14526" s="14443"/>
    </row>
    <row r="14527" spans="2:2 14509:14524" x14ac:dyDescent="0.3">
      <c r="B14527" s="16301"/>
      <c r="ULO14527" s="14444"/>
    </row>
    <row r="14528" spans="2:2 14509:14524" x14ac:dyDescent="0.3">
      <c r="B14528" s="16301"/>
      <c r="ULP14528" s="14445"/>
    </row>
    <row r="14529" spans="2:2 14525:14540" x14ac:dyDescent="0.3">
      <c r="B14529" s="16301"/>
      <c r="ULQ14529" s="14446"/>
    </row>
    <row r="14530" spans="2:2 14525:14540" x14ac:dyDescent="0.3">
      <c r="B14530" s="16301"/>
      <c r="ULR14530" s="14447"/>
    </row>
    <row r="14531" spans="2:2 14525:14540" x14ac:dyDescent="0.3">
      <c r="B14531" s="16301"/>
      <c r="ULS14531" s="14448"/>
    </row>
    <row r="14532" spans="2:2 14525:14540" x14ac:dyDescent="0.3">
      <c r="B14532" s="16301"/>
      <c r="ULT14532" s="14449"/>
    </row>
    <row r="14533" spans="2:2 14525:14540" x14ac:dyDescent="0.3">
      <c r="B14533" s="16301"/>
      <c r="ULU14533" s="14450"/>
    </row>
    <row r="14534" spans="2:2 14525:14540" x14ac:dyDescent="0.3">
      <c r="B14534" s="16301"/>
      <c r="ULV14534" s="14451"/>
    </row>
    <row r="14535" spans="2:2 14525:14540" x14ac:dyDescent="0.3">
      <c r="B14535" s="16301"/>
      <c r="ULW14535" s="14452"/>
    </row>
    <row r="14536" spans="2:2 14525:14540" x14ac:dyDescent="0.3">
      <c r="B14536" s="16301"/>
      <c r="ULX14536" s="14453"/>
    </row>
    <row r="14537" spans="2:2 14525:14540" x14ac:dyDescent="0.3">
      <c r="B14537" s="16301"/>
      <c r="ULY14537" s="14454"/>
    </row>
    <row r="14538" spans="2:2 14525:14540" x14ac:dyDescent="0.3">
      <c r="B14538" s="16301"/>
      <c r="ULZ14538" s="14455"/>
    </row>
    <row r="14539" spans="2:2 14525:14540" x14ac:dyDescent="0.3">
      <c r="B14539" s="16301"/>
      <c r="UMA14539" s="14456"/>
    </row>
    <row r="14540" spans="2:2 14525:14540" x14ac:dyDescent="0.3">
      <c r="B14540" s="16301"/>
      <c r="UMB14540" s="14457"/>
    </row>
    <row r="14541" spans="2:2 14525:14540" x14ac:dyDescent="0.3">
      <c r="B14541" s="16301"/>
      <c r="UMC14541" s="14458"/>
    </row>
    <row r="14542" spans="2:2 14525:14540" x14ac:dyDescent="0.3">
      <c r="B14542" s="16301"/>
      <c r="UMD14542" s="14459"/>
    </row>
    <row r="14543" spans="2:2 14525:14540" x14ac:dyDescent="0.3">
      <c r="B14543" s="16301"/>
      <c r="UME14543" s="14460"/>
    </row>
    <row r="14544" spans="2:2 14525:14540" x14ac:dyDescent="0.3">
      <c r="B14544" s="16301"/>
      <c r="UMF14544" s="14461"/>
    </row>
    <row r="14545" spans="2:2 14541:14556" x14ac:dyDescent="0.3">
      <c r="B14545" s="16301"/>
      <c r="UMG14545" s="14462"/>
    </row>
    <row r="14546" spans="2:2 14541:14556" x14ac:dyDescent="0.3">
      <c r="B14546" s="16301"/>
      <c r="UMH14546" s="14463"/>
    </row>
    <row r="14547" spans="2:2 14541:14556" x14ac:dyDescent="0.3">
      <c r="B14547" s="16301"/>
      <c r="UMI14547" s="14464"/>
    </row>
    <row r="14548" spans="2:2 14541:14556" x14ac:dyDescent="0.3">
      <c r="B14548" s="16301"/>
      <c r="UMJ14548" s="14465"/>
    </row>
    <row r="14549" spans="2:2 14541:14556" x14ac:dyDescent="0.3">
      <c r="B14549" s="16301"/>
      <c r="UMK14549" s="14466"/>
    </row>
    <row r="14550" spans="2:2 14541:14556" x14ac:dyDescent="0.3">
      <c r="B14550" s="16301"/>
      <c r="UML14550" s="14467"/>
    </row>
    <row r="14551" spans="2:2 14541:14556" x14ac:dyDescent="0.3">
      <c r="B14551" s="16301"/>
      <c r="UMM14551" s="14468"/>
    </row>
    <row r="14552" spans="2:2 14541:14556" x14ac:dyDescent="0.3">
      <c r="B14552" s="16301"/>
      <c r="UMN14552" s="14469"/>
    </row>
    <row r="14553" spans="2:2 14541:14556" x14ac:dyDescent="0.3">
      <c r="B14553" s="16301"/>
      <c r="UMO14553" s="14470"/>
    </row>
    <row r="14554" spans="2:2 14541:14556" x14ac:dyDescent="0.3">
      <c r="B14554" s="16301"/>
      <c r="UMP14554" s="14471"/>
    </row>
    <row r="14555" spans="2:2 14541:14556" x14ac:dyDescent="0.3">
      <c r="B14555" s="16301"/>
      <c r="UMQ14555" s="14472"/>
    </row>
    <row r="14556" spans="2:2 14541:14556" x14ac:dyDescent="0.3">
      <c r="B14556" s="16301"/>
      <c r="UMR14556" s="14473"/>
    </row>
    <row r="14557" spans="2:2 14541:14556" x14ac:dyDescent="0.3">
      <c r="B14557" s="16301"/>
      <c r="UMS14557" s="14474"/>
    </row>
    <row r="14558" spans="2:2 14541:14556" x14ac:dyDescent="0.3">
      <c r="B14558" s="16301"/>
      <c r="UMT14558" s="14475"/>
    </row>
    <row r="14559" spans="2:2 14541:14556" x14ac:dyDescent="0.3">
      <c r="B14559" s="16301"/>
      <c r="UMU14559" s="14476"/>
    </row>
    <row r="14560" spans="2:2 14541:14556" x14ac:dyDescent="0.3">
      <c r="B14560" s="16301"/>
      <c r="UMV14560" s="14477"/>
    </row>
    <row r="14561" spans="2:2 14557:14572" x14ac:dyDescent="0.3">
      <c r="B14561" s="16301"/>
      <c r="UMW14561" s="14478"/>
    </row>
    <row r="14562" spans="2:2 14557:14572" x14ac:dyDescent="0.3">
      <c r="B14562" s="16301"/>
      <c r="UMX14562" s="14479"/>
    </row>
    <row r="14563" spans="2:2 14557:14572" x14ac:dyDescent="0.3">
      <c r="B14563" s="16301"/>
      <c r="UMY14563" s="14480"/>
    </row>
    <row r="14564" spans="2:2 14557:14572" x14ac:dyDescent="0.3">
      <c r="B14564" s="16301"/>
      <c r="UMZ14564" s="14481"/>
    </row>
    <row r="14565" spans="2:2 14557:14572" x14ac:dyDescent="0.3">
      <c r="B14565" s="16301"/>
      <c r="UNA14565" s="14482"/>
    </row>
    <row r="14566" spans="2:2 14557:14572" x14ac:dyDescent="0.3">
      <c r="B14566" s="16301"/>
      <c r="UNB14566" s="14483"/>
    </row>
    <row r="14567" spans="2:2 14557:14572" x14ac:dyDescent="0.3">
      <c r="B14567" s="16301"/>
      <c r="UNC14567" s="14484"/>
    </row>
    <row r="14568" spans="2:2 14557:14572" x14ac:dyDescent="0.3">
      <c r="B14568" s="16301"/>
      <c r="UND14568" s="14485"/>
    </row>
    <row r="14569" spans="2:2 14557:14572" x14ac:dyDescent="0.3">
      <c r="B14569" s="16301"/>
      <c r="UNE14569" s="14486"/>
    </row>
    <row r="14570" spans="2:2 14557:14572" x14ac:dyDescent="0.3">
      <c r="B14570" s="16301"/>
      <c r="UNF14570" s="14487"/>
    </row>
    <row r="14571" spans="2:2 14557:14572" x14ac:dyDescent="0.3">
      <c r="B14571" s="16301"/>
      <c r="UNG14571" s="14488"/>
    </row>
    <row r="14572" spans="2:2 14557:14572" x14ac:dyDescent="0.3">
      <c r="B14572" s="16301"/>
      <c r="UNH14572" s="14489"/>
    </row>
    <row r="14573" spans="2:2 14557:14572" x14ac:dyDescent="0.3">
      <c r="B14573" s="16301"/>
      <c r="UNI14573" s="14490"/>
    </row>
    <row r="14574" spans="2:2 14557:14572" x14ac:dyDescent="0.3">
      <c r="B14574" s="16301"/>
      <c r="UNJ14574" s="14491"/>
    </row>
    <row r="14575" spans="2:2 14557:14572" x14ac:dyDescent="0.3">
      <c r="B14575" s="16301"/>
      <c r="UNK14575" s="14492"/>
    </row>
    <row r="14576" spans="2:2 14557:14572" x14ac:dyDescent="0.3">
      <c r="B14576" s="16301"/>
      <c r="UNL14576" s="14493"/>
    </row>
    <row r="14577" spans="2:2 14573:14588" x14ac:dyDescent="0.3">
      <c r="B14577" s="16301"/>
      <c r="UNM14577" s="14494"/>
    </row>
    <row r="14578" spans="2:2 14573:14588" x14ac:dyDescent="0.3">
      <c r="B14578" s="16301"/>
      <c r="UNN14578" s="14495"/>
    </row>
    <row r="14579" spans="2:2 14573:14588" x14ac:dyDescent="0.3">
      <c r="B14579" s="16301"/>
      <c r="UNO14579" s="14496"/>
    </row>
    <row r="14580" spans="2:2 14573:14588" x14ac:dyDescent="0.3">
      <c r="B14580" s="16301"/>
      <c r="UNP14580" s="14497"/>
    </row>
    <row r="14581" spans="2:2 14573:14588" x14ac:dyDescent="0.3">
      <c r="B14581" s="16301"/>
      <c r="UNQ14581" s="14498"/>
    </row>
    <row r="14582" spans="2:2 14573:14588" x14ac:dyDescent="0.3">
      <c r="B14582" s="16301"/>
      <c r="UNR14582" s="14499"/>
    </row>
    <row r="14583" spans="2:2 14573:14588" x14ac:dyDescent="0.3">
      <c r="B14583" s="16301"/>
      <c r="UNS14583" s="14500"/>
    </row>
    <row r="14584" spans="2:2 14573:14588" x14ac:dyDescent="0.3">
      <c r="B14584" s="16301"/>
      <c r="UNT14584" s="14501"/>
    </row>
    <row r="14585" spans="2:2 14573:14588" x14ac:dyDescent="0.3">
      <c r="B14585" s="16301"/>
      <c r="UNU14585" s="14502"/>
    </row>
    <row r="14586" spans="2:2 14573:14588" x14ac:dyDescent="0.3">
      <c r="B14586" s="16301"/>
      <c r="UNV14586" s="14503"/>
    </row>
    <row r="14587" spans="2:2 14573:14588" x14ac:dyDescent="0.3">
      <c r="B14587" s="16301"/>
      <c r="UNW14587" s="14504"/>
    </row>
    <row r="14588" spans="2:2 14573:14588" x14ac:dyDescent="0.3">
      <c r="B14588" s="16301"/>
      <c r="UNX14588" s="14505"/>
    </row>
    <row r="14589" spans="2:2 14573:14588" x14ac:dyDescent="0.3">
      <c r="B14589" s="16301"/>
      <c r="UNY14589" s="14506"/>
    </row>
    <row r="14590" spans="2:2 14573:14588" x14ac:dyDescent="0.3">
      <c r="B14590" s="16301"/>
      <c r="UNZ14590" s="14507"/>
    </row>
    <row r="14591" spans="2:2 14573:14588" x14ac:dyDescent="0.3">
      <c r="B14591" s="16301"/>
      <c r="UOA14591" s="14508"/>
    </row>
    <row r="14592" spans="2:2 14573:14588" x14ac:dyDescent="0.3">
      <c r="B14592" s="16301"/>
      <c r="UOB14592" s="14509"/>
    </row>
    <row r="14593" spans="2:2 14589:14604" x14ac:dyDescent="0.3">
      <c r="B14593" s="16301"/>
      <c r="UOC14593" s="14510"/>
    </row>
    <row r="14594" spans="2:2 14589:14604" x14ac:dyDescent="0.3">
      <c r="B14594" s="16301"/>
      <c r="UOD14594" s="14511"/>
    </row>
    <row r="14595" spans="2:2 14589:14604" x14ac:dyDescent="0.3">
      <c r="B14595" s="16301"/>
      <c r="UOE14595" s="14512"/>
    </row>
    <row r="14596" spans="2:2 14589:14604" x14ac:dyDescent="0.3">
      <c r="B14596" s="16301"/>
      <c r="UOF14596" s="14513"/>
    </row>
    <row r="14597" spans="2:2 14589:14604" x14ac:dyDescent="0.3">
      <c r="B14597" s="16301"/>
      <c r="UOG14597" s="14514"/>
    </row>
    <row r="14598" spans="2:2 14589:14604" x14ac:dyDescent="0.3">
      <c r="B14598" s="16301"/>
      <c r="UOH14598" s="14515"/>
    </row>
    <row r="14599" spans="2:2 14589:14604" x14ac:dyDescent="0.3">
      <c r="B14599" s="16301"/>
      <c r="UOI14599" s="14516"/>
    </row>
    <row r="14600" spans="2:2 14589:14604" x14ac:dyDescent="0.3">
      <c r="B14600" s="16301"/>
      <c r="UOJ14600" s="14517"/>
    </row>
    <row r="14601" spans="2:2 14589:14604" x14ac:dyDescent="0.3">
      <c r="B14601" s="16301"/>
      <c r="UOK14601" s="14518"/>
    </row>
    <row r="14602" spans="2:2 14589:14604" x14ac:dyDescent="0.3">
      <c r="B14602" s="16301"/>
      <c r="UOL14602" s="14519"/>
    </row>
    <row r="14603" spans="2:2 14589:14604" x14ac:dyDescent="0.3">
      <c r="B14603" s="16301"/>
      <c r="UOM14603" s="14520"/>
    </row>
    <row r="14604" spans="2:2 14589:14604" x14ac:dyDescent="0.3">
      <c r="B14604" s="16301"/>
      <c r="UON14604" s="14521"/>
    </row>
    <row r="14605" spans="2:2 14589:14604" x14ac:dyDescent="0.3">
      <c r="B14605" s="16301"/>
      <c r="UOO14605" s="14522"/>
    </row>
    <row r="14606" spans="2:2 14589:14604" x14ac:dyDescent="0.3">
      <c r="B14606" s="16301"/>
      <c r="UOP14606" s="14523"/>
    </row>
    <row r="14607" spans="2:2 14589:14604" x14ac:dyDescent="0.3">
      <c r="B14607" s="16301"/>
      <c r="UOQ14607" s="14524"/>
    </row>
    <row r="14608" spans="2:2 14589:14604" x14ac:dyDescent="0.3">
      <c r="B14608" s="16301"/>
      <c r="UOR14608" s="14525"/>
    </row>
    <row r="14609" spans="2:2 14605:14620" x14ac:dyDescent="0.3">
      <c r="B14609" s="16301"/>
      <c r="UOS14609" s="14526"/>
    </row>
    <row r="14610" spans="2:2 14605:14620" x14ac:dyDescent="0.3">
      <c r="B14610" s="16301"/>
      <c r="UOT14610" s="14527"/>
    </row>
    <row r="14611" spans="2:2 14605:14620" x14ac:dyDescent="0.3">
      <c r="B14611" s="16301"/>
      <c r="UOU14611" s="14528"/>
    </row>
    <row r="14612" spans="2:2 14605:14620" x14ac:dyDescent="0.3">
      <c r="B14612" s="16301"/>
      <c r="UOV14612" s="14529"/>
    </row>
    <row r="14613" spans="2:2 14605:14620" x14ac:dyDescent="0.3">
      <c r="B14613" s="16301"/>
      <c r="UOW14613" s="14530"/>
    </row>
    <row r="14614" spans="2:2 14605:14620" x14ac:dyDescent="0.3">
      <c r="B14614" s="16301"/>
      <c r="UOX14614" s="14531"/>
    </row>
    <row r="14615" spans="2:2 14605:14620" x14ac:dyDescent="0.3">
      <c r="B14615" s="16301"/>
      <c r="UOY14615" s="14532"/>
    </row>
    <row r="14616" spans="2:2 14605:14620" x14ac:dyDescent="0.3">
      <c r="B14616" s="16301"/>
      <c r="UOZ14616" s="14533"/>
    </row>
    <row r="14617" spans="2:2 14605:14620" x14ac:dyDescent="0.3">
      <c r="B14617" s="16301"/>
      <c r="UPA14617" s="14534"/>
    </row>
    <row r="14618" spans="2:2 14605:14620" x14ac:dyDescent="0.3">
      <c r="B14618" s="16301"/>
      <c r="UPB14618" s="14535"/>
    </row>
    <row r="14619" spans="2:2 14605:14620" x14ac:dyDescent="0.3">
      <c r="B14619" s="16301"/>
      <c r="UPC14619" s="14536"/>
    </row>
    <row r="14620" spans="2:2 14605:14620" x14ac:dyDescent="0.3">
      <c r="B14620" s="16301"/>
      <c r="UPD14620" s="14537"/>
    </row>
    <row r="14621" spans="2:2 14605:14620" x14ac:dyDescent="0.3">
      <c r="B14621" s="16301"/>
      <c r="UPE14621" s="14538"/>
    </row>
    <row r="14622" spans="2:2 14605:14620" x14ac:dyDescent="0.3">
      <c r="B14622" s="16301"/>
      <c r="UPF14622" s="14539"/>
    </row>
    <row r="14623" spans="2:2 14605:14620" x14ac:dyDescent="0.3">
      <c r="B14623" s="16301"/>
      <c r="UPG14623" s="14540"/>
    </row>
    <row r="14624" spans="2:2 14605:14620" x14ac:dyDescent="0.3">
      <c r="B14624" s="16301"/>
      <c r="UPH14624" s="14541"/>
    </row>
    <row r="14625" spans="2:2 14621:14636" x14ac:dyDescent="0.3">
      <c r="B14625" s="16301"/>
      <c r="UPI14625" s="14542"/>
    </row>
    <row r="14626" spans="2:2 14621:14636" x14ac:dyDescent="0.3">
      <c r="B14626" s="16301"/>
      <c r="UPJ14626" s="14543"/>
    </row>
    <row r="14627" spans="2:2 14621:14636" x14ac:dyDescent="0.3">
      <c r="B14627" s="16301"/>
      <c r="UPK14627" s="14544"/>
    </row>
    <row r="14628" spans="2:2 14621:14636" x14ac:dyDescent="0.3">
      <c r="B14628" s="16301"/>
      <c r="UPL14628" s="14545"/>
    </row>
    <row r="14629" spans="2:2 14621:14636" x14ac:dyDescent="0.3">
      <c r="B14629" s="16301"/>
      <c r="UPM14629" s="14546"/>
    </row>
    <row r="14630" spans="2:2 14621:14636" x14ac:dyDescent="0.3">
      <c r="B14630" s="16301"/>
      <c r="UPN14630" s="14547"/>
    </row>
    <row r="14631" spans="2:2 14621:14636" x14ac:dyDescent="0.3">
      <c r="B14631" s="16301"/>
      <c r="UPO14631" s="14548"/>
    </row>
    <row r="14632" spans="2:2 14621:14636" x14ac:dyDescent="0.3">
      <c r="B14632" s="16301"/>
      <c r="UPP14632" s="14549"/>
    </row>
    <row r="14633" spans="2:2 14621:14636" x14ac:dyDescent="0.3">
      <c r="B14633" s="16301"/>
      <c r="UPQ14633" s="14550"/>
    </row>
    <row r="14634" spans="2:2 14621:14636" x14ac:dyDescent="0.3">
      <c r="B14634" s="16301"/>
      <c r="UPR14634" s="14551"/>
    </row>
    <row r="14635" spans="2:2 14621:14636" x14ac:dyDescent="0.3">
      <c r="B14635" s="16301"/>
      <c r="UPS14635" s="14552"/>
    </row>
    <row r="14636" spans="2:2 14621:14636" x14ac:dyDescent="0.3">
      <c r="B14636" s="16301"/>
      <c r="UPT14636" s="14553"/>
    </row>
    <row r="14637" spans="2:2 14621:14636" x14ac:dyDescent="0.3">
      <c r="B14637" s="16301"/>
      <c r="UPU14637" s="14554"/>
    </row>
    <row r="14638" spans="2:2 14621:14636" x14ac:dyDescent="0.3">
      <c r="B14638" s="16301"/>
      <c r="UPV14638" s="14555"/>
    </row>
    <row r="14639" spans="2:2 14621:14636" x14ac:dyDescent="0.3">
      <c r="B14639" s="16301"/>
      <c r="UPW14639" s="14556"/>
    </row>
    <row r="14640" spans="2:2 14621:14636" x14ac:dyDescent="0.3">
      <c r="B14640" s="16301"/>
      <c r="UPX14640" s="14557"/>
    </row>
    <row r="14641" spans="2:2 14637:14652" x14ac:dyDescent="0.3">
      <c r="B14641" s="16301"/>
      <c r="UPY14641" s="14558"/>
    </row>
    <row r="14642" spans="2:2 14637:14652" x14ac:dyDescent="0.3">
      <c r="B14642" s="16301"/>
      <c r="UPZ14642" s="14559"/>
    </row>
    <row r="14643" spans="2:2 14637:14652" x14ac:dyDescent="0.3">
      <c r="B14643" s="16301"/>
      <c r="UQA14643" s="14560"/>
    </row>
    <row r="14644" spans="2:2 14637:14652" x14ac:dyDescent="0.3">
      <c r="B14644" s="16301"/>
      <c r="UQB14644" s="14561"/>
    </row>
    <row r="14645" spans="2:2 14637:14652" x14ac:dyDescent="0.3">
      <c r="B14645" s="16301"/>
      <c r="UQC14645" s="14562"/>
    </row>
    <row r="14646" spans="2:2 14637:14652" x14ac:dyDescent="0.3">
      <c r="B14646" s="16301"/>
      <c r="UQD14646" s="14563"/>
    </row>
    <row r="14647" spans="2:2 14637:14652" x14ac:dyDescent="0.3">
      <c r="B14647" s="16301"/>
      <c r="UQE14647" s="14564"/>
    </row>
    <row r="14648" spans="2:2 14637:14652" x14ac:dyDescent="0.3">
      <c r="B14648" s="16301"/>
      <c r="UQF14648" s="14565"/>
    </row>
    <row r="14649" spans="2:2 14637:14652" x14ac:dyDescent="0.3">
      <c r="B14649" s="16301"/>
      <c r="UQG14649" s="14566"/>
    </row>
    <row r="14650" spans="2:2 14637:14652" x14ac:dyDescent="0.3">
      <c r="B14650" s="16301"/>
      <c r="UQH14650" s="14567"/>
    </row>
    <row r="14651" spans="2:2 14637:14652" x14ac:dyDescent="0.3">
      <c r="B14651" s="16301"/>
      <c r="UQI14651" s="14568"/>
    </row>
    <row r="14652" spans="2:2 14637:14652" x14ac:dyDescent="0.3">
      <c r="B14652" s="16301"/>
      <c r="UQJ14652" s="14569"/>
    </row>
    <row r="14653" spans="2:2 14637:14652" x14ac:dyDescent="0.3">
      <c r="B14653" s="16301"/>
      <c r="UQK14653" s="14570"/>
    </row>
    <row r="14654" spans="2:2 14637:14652" x14ac:dyDescent="0.3">
      <c r="B14654" s="16301"/>
      <c r="UQL14654" s="14571"/>
    </row>
    <row r="14655" spans="2:2 14637:14652" x14ac:dyDescent="0.3">
      <c r="B14655" s="16301"/>
      <c r="UQM14655" s="14571"/>
    </row>
    <row r="14656" spans="2:2 14637:14652" x14ac:dyDescent="0.3">
      <c r="B14656" s="16301"/>
      <c r="UQN14656" s="14572"/>
    </row>
    <row r="14657" spans="2:2 14653:14668" x14ac:dyDescent="0.3">
      <c r="B14657" s="16301"/>
      <c r="UQO14657" s="14573"/>
    </row>
    <row r="14658" spans="2:2 14653:14668" x14ac:dyDescent="0.3">
      <c r="B14658" s="16301"/>
      <c r="UQP14658" s="14574"/>
    </row>
    <row r="14659" spans="2:2 14653:14668" x14ac:dyDescent="0.3">
      <c r="B14659" s="16301"/>
      <c r="UQQ14659" s="14575"/>
    </row>
    <row r="14660" spans="2:2 14653:14668" x14ac:dyDescent="0.3">
      <c r="B14660" s="16301"/>
      <c r="UQR14660" s="14576"/>
    </row>
    <row r="14661" spans="2:2 14653:14668" x14ac:dyDescent="0.3">
      <c r="B14661" s="16301"/>
      <c r="UQS14661" s="14577"/>
    </row>
    <row r="14662" spans="2:2 14653:14668" x14ac:dyDescent="0.3">
      <c r="B14662" s="16301"/>
      <c r="UQT14662" s="14578"/>
    </row>
    <row r="14663" spans="2:2 14653:14668" x14ac:dyDescent="0.3">
      <c r="B14663" s="16301"/>
      <c r="UQU14663" s="14579"/>
    </row>
    <row r="14664" spans="2:2 14653:14668" x14ac:dyDescent="0.3">
      <c r="B14664" s="16301"/>
      <c r="UQV14664" s="14580"/>
    </row>
    <row r="14665" spans="2:2 14653:14668" x14ac:dyDescent="0.3">
      <c r="B14665" s="16301"/>
      <c r="UQW14665" s="14581"/>
    </row>
    <row r="14666" spans="2:2 14653:14668" x14ac:dyDescent="0.3">
      <c r="B14666" s="16301"/>
      <c r="UQX14666" s="14582"/>
    </row>
    <row r="14667" spans="2:2 14653:14668" x14ac:dyDescent="0.3">
      <c r="B14667" s="16301"/>
      <c r="UQY14667" s="14583"/>
    </row>
    <row r="14668" spans="2:2 14653:14668" x14ac:dyDescent="0.3">
      <c r="B14668" s="16301"/>
      <c r="UQZ14668" s="14584"/>
    </row>
    <row r="14669" spans="2:2 14653:14668" x14ac:dyDescent="0.3">
      <c r="B14669" s="16301"/>
      <c r="URA14669" s="14585"/>
    </row>
    <row r="14670" spans="2:2 14653:14668" x14ac:dyDescent="0.3">
      <c r="B14670" s="16301"/>
      <c r="URB14670" s="14586"/>
    </row>
    <row r="14671" spans="2:2 14653:14668" x14ac:dyDescent="0.3">
      <c r="B14671" s="16301"/>
      <c r="URC14671" s="14587"/>
    </row>
    <row r="14672" spans="2:2 14653:14668" x14ac:dyDescent="0.3">
      <c r="B14672" s="16301"/>
      <c r="URD14672" s="14588"/>
    </row>
    <row r="14673" spans="2:2 14669:14684" x14ac:dyDescent="0.3">
      <c r="B14673" s="16301"/>
      <c r="URE14673" s="14589"/>
    </row>
    <row r="14674" spans="2:2 14669:14684" x14ac:dyDescent="0.3">
      <c r="B14674" s="16301"/>
      <c r="URF14674" s="14590"/>
    </row>
    <row r="14675" spans="2:2 14669:14684" x14ac:dyDescent="0.3">
      <c r="B14675" s="16301"/>
      <c r="URG14675" s="14591"/>
    </row>
    <row r="14676" spans="2:2 14669:14684" x14ac:dyDescent="0.3">
      <c r="B14676" s="16301"/>
      <c r="URH14676" s="14592"/>
    </row>
    <row r="14677" spans="2:2 14669:14684" x14ac:dyDescent="0.3">
      <c r="B14677" s="16301"/>
      <c r="URI14677" s="14593"/>
    </row>
    <row r="14678" spans="2:2 14669:14684" x14ac:dyDescent="0.3">
      <c r="B14678" s="16301"/>
      <c r="URJ14678" s="14594"/>
    </row>
    <row r="14679" spans="2:2 14669:14684" x14ac:dyDescent="0.3">
      <c r="B14679" s="16301"/>
      <c r="URK14679" s="14595"/>
    </row>
    <row r="14680" spans="2:2 14669:14684" x14ac:dyDescent="0.3">
      <c r="B14680" s="16301"/>
      <c r="URL14680" s="14596"/>
    </row>
    <row r="14681" spans="2:2 14669:14684" x14ac:dyDescent="0.3">
      <c r="B14681" s="16301"/>
      <c r="URM14681" s="14597"/>
    </row>
    <row r="14682" spans="2:2 14669:14684" x14ac:dyDescent="0.3">
      <c r="B14682" s="16301"/>
      <c r="URN14682" s="14598"/>
    </row>
    <row r="14683" spans="2:2 14669:14684" x14ac:dyDescent="0.3">
      <c r="B14683" s="16301"/>
      <c r="URO14683" s="14599"/>
    </row>
    <row r="14684" spans="2:2 14669:14684" x14ac:dyDescent="0.3">
      <c r="B14684" s="16301"/>
      <c r="URP14684" s="14600"/>
    </row>
    <row r="14685" spans="2:2 14669:14684" x14ac:dyDescent="0.3">
      <c r="B14685" s="16301"/>
      <c r="URQ14685" s="14601"/>
    </row>
    <row r="14686" spans="2:2 14669:14684" x14ac:dyDescent="0.3">
      <c r="B14686" s="16301"/>
      <c r="URR14686" s="14602"/>
    </row>
    <row r="14687" spans="2:2 14669:14684" x14ac:dyDescent="0.3">
      <c r="B14687" s="16301"/>
      <c r="URS14687" s="14603"/>
    </row>
    <row r="14688" spans="2:2 14669:14684" x14ac:dyDescent="0.3">
      <c r="B14688" s="16301"/>
      <c r="URT14688" s="14604"/>
    </row>
    <row r="14689" spans="2:2 14685:14700" x14ac:dyDescent="0.3">
      <c r="B14689" s="16301"/>
      <c r="URU14689" s="14605"/>
    </row>
    <row r="14690" spans="2:2 14685:14700" x14ac:dyDescent="0.3">
      <c r="B14690" s="16301"/>
      <c r="URV14690" s="14606"/>
    </row>
    <row r="14691" spans="2:2 14685:14700" x14ac:dyDescent="0.3">
      <c r="B14691" s="16301"/>
      <c r="URW14691" s="14607"/>
    </row>
    <row r="14692" spans="2:2 14685:14700" x14ac:dyDescent="0.3">
      <c r="B14692" s="16301"/>
      <c r="URX14692" s="14608"/>
    </row>
    <row r="14693" spans="2:2 14685:14700" x14ac:dyDescent="0.3">
      <c r="B14693" s="16301"/>
      <c r="URY14693" s="14609"/>
    </row>
    <row r="14694" spans="2:2 14685:14700" x14ac:dyDescent="0.3">
      <c r="B14694" s="16301"/>
      <c r="URZ14694" s="14610"/>
    </row>
    <row r="14695" spans="2:2 14685:14700" x14ac:dyDescent="0.3">
      <c r="B14695" s="16301"/>
      <c r="USA14695" s="14611"/>
    </row>
    <row r="14696" spans="2:2 14685:14700" x14ac:dyDescent="0.3">
      <c r="B14696" s="16301"/>
      <c r="USB14696" s="14612"/>
    </row>
    <row r="14697" spans="2:2 14685:14700" x14ac:dyDescent="0.3">
      <c r="B14697" s="16301"/>
      <c r="USC14697" s="14613"/>
    </row>
    <row r="14698" spans="2:2 14685:14700" x14ac:dyDescent="0.3">
      <c r="B14698" s="16301"/>
      <c r="USD14698" s="14614"/>
    </row>
    <row r="14699" spans="2:2 14685:14700" x14ac:dyDescent="0.3">
      <c r="B14699" s="16301"/>
      <c r="USE14699" s="14615"/>
    </row>
    <row r="14700" spans="2:2 14685:14700" x14ac:dyDescent="0.3">
      <c r="B14700" s="16301"/>
      <c r="USF14700" s="14616"/>
    </row>
    <row r="14701" spans="2:2 14685:14700" x14ac:dyDescent="0.3">
      <c r="B14701" s="16301"/>
      <c r="USG14701" s="14617"/>
    </row>
    <row r="14702" spans="2:2 14685:14700" x14ac:dyDescent="0.3">
      <c r="B14702" s="16301"/>
      <c r="USH14702" s="14618"/>
    </row>
    <row r="14703" spans="2:2 14685:14700" x14ac:dyDescent="0.3">
      <c r="B14703" s="16301"/>
      <c r="USI14703" s="14619"/>
    </row>
    <row r="14704" spans="2:2 14685:14700" x14ac:dyDescent="0.3">
      <c r="B14704" s="16301"/>
      <c r="USJ14704" s="14620"/>
    </row>
    <row r="14705" spans="2:2 14701:14716" x14ac:dyDescent="0.3">
      <c r="B14705" s="16301"/>
      <c r="USK14705" s="14621"/>
    </row>
    <row r="14706" spans="2:2 14701:14716" x14ac:dyDescent="0.3">
      <c r="B14706" s="16301"/>
      <c r="USL14706" s="14622"/>
    </row>
    <row r="14707" spans="2:2 14701:14716" x14ac:dyDescent="0.3">
      <c r="B14707" s="16301"/>
      <c r="USM14707" s="14623"/>
    </row>
    <row r="14708" spans="2:2 14701:14716" x14ac:dyDescent="0.3">
      <c r="B14708" s="16301"/>
      <c r="USN14708" s="14624"/>
    </row>
    <row r="14709" spans="2:2 14701:14716" x14ac:dyDescent="0.3">
      <c r="B14709" s="16301"/>
      <c r="USO14709" s="14625"/>
    </row>
    <row r="14710" spans="2:2 14701:14716" x14ac:dyDescent="0.3">
      <c r="B14710" s="16301"/>
      <c r="USP14710" s="14626"/>
    </row>
    <row r="14711" spans="2:2 14701:14716" x14ac:dyDescent="0.3">
      <c r="B14711" s="16301"/>
      <c r="USQ14711" s="14627"/>
    </row>
    <row r="14712" spans="2:2 14701:14716" x14ac:dyDescent="0.3">
      <c r="B14712" s="16301"/>
      <c r="USR14712" s="14628"/>
    </row>
    <row r="14713" spans="2:2 14701:14716" x14ac:dyDescent="0.3">
      <c r="B14713" s="16301"/>
      <c r="USS14713" s="14629"/>
    </row>
    <row r="14714" spans="2:2 14701:14716" x14ac:dyDescent="0.3">
      <c r="B14714" s="16301"/>
      <c r="UST14714" s="14630"/>
    </row>
    <row r="14715" spans="2:2 14701:14716" x14ac:dyDescent="0.3">
      <c r="B14715" s="16301"/>
      <c r="USU14715" s="14631"/>
    </row>
    <row r="14716" spans="2:2 14701:14716" x14ac:dyDescent="0.3">
      <c r="B14716" s="16301"/>
      <c r="USV14716" s="14632"/>
    </row>
    <row r="14717" spans="2:2 14701:14716" x14ac:dyDescent="0.3">
      <c r="B14717" s="16301"/>
      <c r="USW14717" s="14633"/>
    </row>
    <row r="14718" spans="2:2 14701:14716" x14ac:dyDescent="0.3">
      <c r="B14718" s="16301"/>
      <c r="USX14718" s="14634"/>
    </row>
    <row r="14719" spans="2:2 14701:14716" x14ac:dyDescent="0.3">
      <c r="B14719" s="16301"/>
      <c r="USY14719" s="14635"/>
    </row>
    <row r="14720" spans="2:2 14701:14716" x14ac:dyDescent="0.3">
      <c r="B14720" s="16301"/>
      <c r="USZ14720" s="14636"/>
    </row>
    <row r="14721" spans="2:2 14717:14732" x14ac:dyDescent="0.3">
      <c r="B14721" s="16301"/>
      <c r="UTA14721" s="14637"/>
    </row>
    <row r="14722" spans="2:2 14717:14732" x14ac:dyDescent="0.3">
      <c r="B14722" s="16301"/>
      <c r="UTB14722" s="14638"/>
    </row>
    <row r="14723" spans="2:2 14717:14732" x14ac:dyDescent="0.3">
      <c r="B14723" s="16301"/>
      <c r="UTC14723" s="14639"/>
    </row>
    <row r="14724" spans="2:2 14717:14732" x14ac:dyDescent="0.3">
      <c r="B14724" s="16301"/>
      <c r="UTD14724" s="14640"/>
    </row>
    <row r="14725" spans="2:2 14717:14732" x14ac:dyDescent="0.3">
      <c r="B14725" s="16301"/>
      <c r="UTE14725" s="14641"/>
    </row>
    <row r="14726" spans="2:2 14717:14732" x14ac:dyDescent="0.3">
      <c r="B14726" s="16301"/>
      <c r="UTF14726" s="14642"/>
    </row>
    <row r="14727" spans="2:2 14717:14732" x14ac:dyDescent="0.3">
      <c r="B14727" s="16301"/>
      <c r="UTG14727" s="14643"/>
    </row>
    <row r="14728" spans="2:2 14717:14732" x14ac:dyDescent="0.3">
      <c r="B14728" s="16301"/>
      <c r="UTH14728" s="14644"/>
    </row>
    <row r="14729" spans="2:2 14717:14732" x14ac:dyDescent="0.3">
      <c r="B14729" s="16301"/>
      <c r="UTI14729" s="14645"/>
    </row>
    <row r="14730" spans="2:2 14717:14732" x14ac:dyDescent="0.3">
      <c r="B14730" s="16301"/>
      <c r="UTJ14730" s="14646"/>
    </row>
    <row r="14731" spans="2:2 14717:14732" x14ac:dyDescent="0.3">
      <c r="B14731" s="16301"/>
      <c r="UTK14731" s="14647"/>
    </row>
    <row r="14732" spans="2:2 14717:14732" x14ac:dyDescent="0.3">
      <c r="B14732" s="16301"/>
      <c r="UTL14732" s="14648"/>
    </row>
    <row r="14733" spans="2:2 14717:14732" x14ac:dyDescent="0.3">
      <c r="B14733" s="16301"/>
      <c r="UTM14733" s="14649"/>
    </row>
    <row r="14734" spans="2:2 14717:14732" x14ac:dyDescent="0.3">
      <c r="B14734" s="16301"/>
      <c r="UTN14734" s="14650"/>
    </row>
    <row r="14735" spans="2:2 14717:14732" x14ac:dyDescent="0.3">
      <c r="B14735" s="16301"/>
      <c r="UTO14735" s="14651"/>
    </row>
    <row r="14736" spans="2:2 14717:14732" x14ac:dyDescent="0.3">
      <c r="B14736" s="16301"/>
      <c r="UTP14736" s="14652"/>
    </row>
    <row r="14737" spans="2:2 14733:14748" x14ac:dyDescent="0.3">
      <c r="B14737" s="16301"/>
      <c r="UTQ14737" s="14653"/>
    </row>
    <row r="14738" spans="2:2 14733:14748" x14ac:dyDescent="0.3">
      <c r="B14738" s="16301"/>
      <c r="UTR14738" s="14654"/>
    </row>
    <row r="14739" spans="2:2 14733:14748" x14ac:dyDescent="0.3">
      <c r="B14739" s="16301"/>
      <c r="UTS14739" s="14655"/>
    </row>
    <row r="14740" spans="2:2 14733:14748" x14ac:dyDescent="0.3">
      <c r="B14740" s="16301"/>
      <c r="UTT14740" s="14656"/>
    </row>
    <row r="14741" spans="2:2 14733:14748" x14ac:dyDescent="0.3">
      <c r="B14741" s="16301"/>
      <c r="UTU14741" s="14657"/>
    </row>
    <row r="14742" spans="2:2 14733:14748" x14ac:dyDescent="0.3">
      <c r="B14742" s="16301"/>
      <c r="UTV14742" s="14658"/>
    </row>
    <row r="14743" spans="2:2 14733:14748" x14ac:dyDescent="0.3">
      <c r="B14743" s="16301"/>
      <c r="UTW14743" s="14659"/>
    </row>
    <row r="14744" spans="2:2 14733:14748" x14ac:dyDescent="0.3">
      <c r="B14744" s="16301"/>
      <c r="UTX14744" s="14660"/>
    </row>
    <row r="14745" spans="2:2 14733:14748" x14ac:dyDescent="0.3">
      <c r="B14745" s="16301"/>
      <c r="UTY14745" s="14661"/>
    </row>
    <row r="14746" spans="2:2 14733:14748" x14ac:dyDescent="0.3">
      <c r="B14746" s="16301"/>
      <c r="UTZ14746" s="14662"/>
    </row>
    <row r="14747" spans="2:2 14733:14748" x14ac:dyDescent="0.3">
      <c r="B14747" s="16301"/>
      <c r="UUA14747" s="14663"/>
    </row>
    <row r="14748" spans="2:2 14733:14748" x14ac:dyDescent="0.3">
      <c r="B14748" s="16301"/>
      <c r="UUB14748" s="14664"/>
    </row>
    <row r="14749" spans="2:2 14733:14748" x14ac:dyDescent="0.3">
      <c r="B14749" s="16301"/>
      <c r="UUC14749" s="14665"/>
    </row>
    <row r="14750" spans="2:2 14733:14748" x14ac:dyDescent="0.3">
      <c r="B14750" s="16301"/>
      <c r="UUD14750" s="14666"/>
    </row>
    <row r="14751" spans="2:2 14733:14748" x14ac:dyDescent="0.3">
      <c r="B14751" s="16301"/>
      <c r="UUE14751" s="14667"/>
    </row>
    <row r="14752" spans="2:2 14733:14748" x14ac:dyDescent="0.3">
      <c r="B14752" s="16301"/>
      <c r="UUF14752" s="14668"/>
    </row>
    <row r="14753" spans="2:2 14749:14764" x14ac:dyDescent="0.3">
      <c r="B14753" s="16301"/>
      <c r="UUG14753" s="14669"/>
    </row>
    <row r="14754" spans="2:2 14749:14764" x14ac:dyDescent="0.3">
      <c r="B14754" s="16301"/>
      <c r="UUH14754" s="14670"/>
    </row>
    <row r="14755" spans="2:2 14749:14764" x14ac:dyDescent="0.3">
      <c r="B14755" s="16301"/>
      <c r="UUI14755" s="14671"/>
    </row>
    <row r="14756" spans="2:2 14749:14764" x14ac:dyDescent="0.3">
      <c r="B14756" s="16301"/>
      <c r="UUJ14756" s="14672"/>
    </row>
    <row r="14757" spans="2:2 14749:14764" x14ac:dyDescent="0.3">
      <c r="B14757" s="16301"/>
      <c r="UUK14757" s="14673"/>
    </row>
    <row r="14758" spans="2:2 14749:14764" x14ac:dyDescent="0.3">
      <c r="B14758" s="16301"/>
      <c r="UUL14758" s="14674"/>
    </row>
    <row r="14759" spans="2:2 14749:14764" x14ac:dyDescent="0.3">
      <c r="B14759" s="16301"/>
      <c r="UUM14759" s="14675"/>
    </row>
    <row r="14760" spans="2:2 14749:14764" x14ac:dyDescent="0.3">
      <c r="B14760" s="16301"/>
      <c r="UUN14760" s="14676"/>
    </row>
    <row r="14761" spans="2:2 14749:14764" x14ac:dyDescent="0.3">
      <c r="B14761" s="16301"/>
      <c r="UUO14761" s="14677"/>
    </row>
    <row r="14762" spans="2:2 14749:14764" x14ac:dyDescent="0.3">
      <c r="B14762" s="16301"/>
      <c r="UUP14762" s="14678"/>
    </row>
    <row r="14763" spans="2:2 14749:14764" x14ac:dyDescent="0.3">
      <c r="B14763" s="16301"/>
      <c r="UUQ14763" s="14679"/>
    </row>
    <row r="14764" spans="2:2 14749:14764" x14ac:dyDescent="0.3">
      <c r="B14764" s="16301"/>
      <c r="UUR14764" s="14680"/>
    </row>
    <row r="14765" spans="2:2 14749:14764" x14ac:dyDescent="0.3">
      <c r="B14765" s="16301"/>
      <c r="UUS14765" s="14681"/>
    </row>
    <row r="14766" spans="2:2 14749:14764" x14ac:dyDescent="0.3">
      <c r="B14766" s="16301"/>
      <c r="UUT14766" s="14682"/>
    </row>
    <row r="14767" spans="2:2 14749:14764" x14ac:dyDescent="0.3">
      <c r="B14767" s="16301"/>
      <c r="UUU14767" s="14683"/>
    </row>
    <row r="14768" spans="2:2 14749:14764" x14ac:dyDescent="0.3">
      <c r="B14768" s="16301"/>
      <c r="UUV14768" s="14684"/>
    </row>
    <row r="14769" spans="2:2 14765:14780" x14ac:dyDescent="0.3">
      <c r="B14769" s="16301"/>
      <c r="UUW14769" s="14685"/>
    </row>
    <row r="14770" spans="2:2 14765:14780" x14ac:dyDescent="0.3">
      <c r="B14770" s="16301"/>
      <c r="UUX14770" s="14686"/>
    </row>
    <row r="14771" spans="2:2 14765:14780" x14ac:dyDescent="0.3">
      <c r="B14771" s="16301"/>
      <c r="UUY14771" s="14687"/>
    </row>
    <row r="14772" spans="2:2 14765:14780" x14ac:dyDescent="0.3">
      <c r="B14772" s="16301"/>
      <c r="UUZ14772" s="14688"/>
    </row>
    <row r="14773" spans="2:2 14765:14780" x14ac:dyDescent="0.3">
      <c r="B14773" s="16301"/>
      <c r="UVA14773" s="14689"/>
    </row>
    <row r="14774" spans="2:2 14765:14780" x14ac:dyDescent="0.3">
      <c r="B14774" s="16301"/>
      <c r="UVB14774" s="14690"/>
    </row>
    <row r="14775" spans="2:2 14765:14780" x14ac:dyDescent="0.3">
      <c r="B14775" s="16301"/>
      <c r="UVC14775" s="14691"/>
    </row>
    <row r="14776" spans="2:2 14765:14780" x14ac:dyDescent="0.3">
      <c r="B14776" s="16301"/>
      <c r="UVD14776" s="14692"/>
    </row>
    <row r="14777" spans="2:2 14765:14780" x14ac:dyDescent="0.3">
      <c r="B14777" s="16301"/>
      <c r="UVE14777" s="14693"/>
    </row>
    <row r="14778" spans="2:2 14765:14780" x14ac:dyDescent="0.3">
      <c r="B14778" s="16301"/>
      <c r="UVF14778" s="14694"/>
    </row>
    <row r="14779" spans="2:2 14765:14780" x14ac:dyDescent="0.3">
      <c r="B14779" s="16301"/>
      <c r="UVG14779" s="14695"/>
    </row>
    <row r="14780" spans="2:2 14765:14780" x14ac:dyDescent="0.3">
      <c r="B14780" s="16301"/>
      <c r="UVH14780" s="14696"/>
    </row>
    <row r="14781" spans="2:2 14765:14780" x14ac:dyDescent="0.3">
      <c r="B14781" s="16301"/>
      <c r="UVI14781" s="14697"/>
    </row>
    <row r="14782" spans="2:2 14765:14780" x14ac:dyDescent="0.3">
      <c r="B14782" s="16301"/>
      <c r="UVJ14782" s="14698"/>
    </row>
    <row r="14783" spans="2:2 14765:14780" x14ac:dyDescent="0.3">
      <c r="B14783" s="16301"/>
      <c r="UVK14783" s="14699"/>
    </row>
    <row r="14784" spans="2:2 14765:14780" x14ac:dyDescent="0.3">
      <c r="B14784" s="16301"/>
      <c r="UVL14784" s="14700"/>
    </row>
    <row r="14785" spans="2:2 14781:14796" x14ac:dyDescent="0.3">
      <c r="B14785" s="16301"/>
      <c r="UVM14785" s="14701"/>
    </row>
    <row r="14786" spans="2:2 14781:14796" x14ac:dyDescent="0.3">
      <c r="B14786" s="16301"/>
      <c r="UVN14786" s="14702"/>
    </row>
    <row r="14787" spans="2:2 14781:14796" x14ac:dyDescent="0.3">
      <c r="B14787" s="16301"/>
      <c r="UVO14787" s="14703"/>
    </row>
    <row r="14788" spans="2:2 14781:14796" x14ac:dyDescent="0.3">
      <c r="B14788" s="16301"/>
      <c r="UVP14788" s="14704"/>
    </row>
    <row r="14789" spans="2:2 14781:14796" x14ac:dyDescent="0.3">
      <c r="B14789" s="16301"/>
      <c r="UVQ14789" s="14705"/>
    </row>
    <row r="14790" spans="2:2 14781:14796" x14ac:dyDescent="0.3">
      <c r="B14790" s="16301"/>
      <c r="UVR14790" s="14706"/>
    </row>
    <row r="14791" spans="2:2 14781:14796" x14ac:dyDescent="0.3">
      <c r="B14791" s="16301"/>
      <c r="UVS14791" s="14707"/>
    </row>
    <row r="14792" spans="2:2 14781:14796" x14ac:dyDescent="0.3">
      <c r="B14792" s="16301"/>
      <c r="UVT14792" s="14708"/>
    </row>
    <row r="14793" spans="2:2 14781:14796" x14ac:dyDescent="0.3">
      <c r="B14793" s="16301"/>
      <c r="UVU14793" s="14709"/>
    </row>
    <row r="14794" spans="2:2 14781:14796" x14ac:dyDescent="0.3">
      <c r="B14794" s="16301"/>
      <c r="UVV14794" s="14710"/>
    </row>
    <row r="14795" spans="2:2 14781:14796" x14ac:dyDescent="0.3">
      <c r="B14795" s="16301"/>
      <c r="UVW14795" s="14711"/>
    </row>
    <row r="14796" spans="2:2 14781:14796" x14ac:dyDescent="0.3">
      <c r="B14796" s="16301"/>
      <c r="UVX14796" s="14712"/>
    </row>
    <row r="14797" spans="2:2 14781:14796" x14ac:dyDescent="0.3">
      <c r="B14797" s="16301"/>
      <c r="UVY14797" s="14713"/>
    </row>
    <row r="14798" spans="2:2 14781:14796" x14ac:dyDescent="0.3">
      <c r="B14798" s="16301"/>
      <c r="UVZ14798" s="14714"/>
    </row>
    <row r="14799" spans="2:2 14781:14796" x14ac:dyDescent="0.3">
      <c r="B14799" s="16301"/>
      <c r="UWA14799" s="14715"/>
    </row>
    <row r="14800" spans="2:2 14781:14796" x14ac:dyDescent="0.3">
      <c r="B14800" s="16301"/>
      <c r="UWB14800" s="14716"/>
    </row>
    <row r="14801" spans="2:2 14797:14812" x14ac:dyDescent="0.3">
      <c r="B14801" s="16301"/>
      <c r="UWC14801" s="14717"/>
    </row>
    <row r="14802" spans="2:2 14797:14812" x14ac:dyDescent="0.3">
      <c r="B14802" s="16301"/>
      <c r="UWD14802" s="14718"/>
    </row>
    <row r="14803" spans="2:2 14797:14812" x14ac:dyDescent="0.3">
      <c r="B14803" s="16301"/>
      <c r="UWE14803" s="14719"/>
    </row>
    <row r="14804" spans="2:2 14797:14812" x14ac:dyDescent="0.3">
      <c r="B14804" s="16301"/>
      <c r="UWF14804" s="14720"/>
    </row>
    <row r="14805" spans="2:2 14797:14812" x14ac:dyDescent="0.3">
      <c r="B14805" s="16301"/>
      <c r="UWG14805" s="14721"/>
    </row>
    <row r="14806" spans="2:2 14797:14812" x14ac:dyDescent="0.3">
      <c r="B14806" s="16301"/>
      <c r="UWH14806" s="14722"/>
    </row>
    <row r="14807" spans="2:2 14797:14812" x14ac:dyDescent="0.3">
      <c r="B14807" s="16301"/>
      <c r="UWI14807" s="14723"/>
    </row>
    <row r="14808" spans="2:2 14797:14812" x14ac:dyDescent="0.3">
      <c r="B14808" s="16301"/>
      <c r="UWJ14808" s="14724"/>
    </row>
    <row r="14809" spans="2:2 14797:14812" x14ac:dyDescent="0.3">
      <c r="B14809" s="16301"/>
      <c r="UWK14809" s="14725"/>
    </row>
    <row r="14810" spans="2:2 14797:14812" x14ac:dyDescent="0.3">
      <c r="B14810" s="16301"/>
      <c r="UWL14810" s="14726"/>
    </row>
    <row r="14811" spans="2:2 14797:14812" x14ac:dyDescent="0.3">
      <c r="B14811" s="16301"/>
      <c r="UWM14811" s="14727"/>
    </row>
    <row r="14812" spans="2:2 14797:14812" x14ac:dyDescent="0.3">
      <c r="B14812" s="16301"/>
      <c r="UWN14812" s="14728"/>
    </row>
    <row r="14813" spans="2:2 14797:14812" x14ac:dyDescent="0.3">
      <c r="B14813" s="16301"/>
      <c r="UWO14813" s="14729"/>
    </row>
    <row r="14814" spans="2:2 14797:14812" x14ac:dyDescent="0.3">
      <c r="B14814" s="16301"/>
      <c r="UWP14814" s="14730"/>
    </row>
    <row r="14815" spans="2:2 14797:14812" x14ac:dyDescent="0.3">
      <c r="B14815" s="16301"/>
      <c r="UWQ14815" s="14731"/>
    </row>
    <row r="14816" spans="2:2 14797:14812" x14ac:dyDescent="0.3">
      <c r="B14816" s="16301"/>
      <c r="UWR14816" s="14732"/>
    </row>
    <row r="14817" spans="2:2 14813:14828" x14ac:dyDescent="0.3">
      <c r="B14817" s="16301"/>
      <c r="UWS14817" s="14733"/>
    </row>
    <row r="14818" spans="2:2 14813:14828" x14ac:dyDescent="0.3">
      <c r="B14818" s="16301"/>
      <c r="UWT14818" s="14734"/>
    </row>
    <row r="14819" spans="2:2 14813:14828" x14ac:dyDescent="0.3">
      <c r="B14819" s="16301"/>
      <c r="UWU14819" s="14735"/>
    </row>
    <row r="14820" spans="2:2 14813:14828" x14ac:dyDescent="0.3">
      <c r="B14820" s="16301"/>
      <c r="UWV14820" s="14736"/>
    </row>
    <row r="14821" spans="2:2 14813:14828" x14ac:dyDescent="0.3">
      <c r="B14821" s="16301"/>
      <c r="UWW14821" s="14737"/>
    </row>
    <row r="14822" spans="2:2 14813:14828" x14ac:dyDescent="0.3">
      <c r="B14822" s="16301"/>
      <c r="UWX14822" s="14738"/>
    </row>
    <row r="14823" spans="2:2 14813:14828" x14ac:dyDescent="0.3">
      <c r="B14823" s="16301"/>
      <c r="UWY14823" s="14739"/>
    </row>
    <row r="14824" spans="2:2 14813:14828" x14ac:dyDescent="0.3">
      <c r="B14824" s="16301"/>
      <c r="UWZ14824" s="14740"/>
    </row>
    <row r="14825" spans="2:2 14813:14828" x14ac:dyDescent="0.3">
      <c r="B14825" s="16301"/>
      <c r="UXA14825" s="14741"/>
    </row>
    <row r="14826" spans="2:2 14813:14828" x14ac:dyDescent="0.3">
      <c r="B14826" s="16301"/>
      <c r="UXB14826" s="14742"/>
    </row>
    <row r="14827" spans="2:2 14813:14828" x14ac:dyDescent="0.3">
      <c r="B14827" s="16301"/>
      <c r="UXC14827" s="14743"/>
    </row>
    <row r="14828" spans="2:2 14813:14828" x14ac:dyDescent="0.3">
      <c r="B14828" s="16301"/>
      <c r="UXD14828" s="14744"/>
    </row>
    <row r="14829" spans="2:2 14813:14828" x14ac:dyDescent="0.3">
      <c r="B14829" s="16301"/>
      <c r="UXE14829" s="14745"/>
    </row>
    <row r="14830" spans="2:2 14813:14828" x14ac:dyDescent="0.3">
      <c r="B14830" s="16301"/>
      <c r="UXF14830" s="14746"/>
    </row>
    <row r="14831" spans="2:2 14813:14828" x14ac:dyDescent="0.3">
      <c r="B14831" s="16301"/>
      <c r="UXG14831" s="14747"/>
    </row>
    <row r="14832" spans="2:2 14813:14828" x14ac:dyDescent="0.3">
      <c r="B14832" s="16301"/>
      <c r="UXH14832" s="14748"/>
    </row>
    <row r="14833" spans="2:2 14829:14844" x14ac:dyDescent="0.3">
      <c r="B14833" s="16301"/>
      <c r="UXI14833" s="14749"/>
    </row>
    <row r="14834" spans="2:2 14829:14844" x14ac:dyDescent="0.3">
      <c r="B14834" s="16301"/>
      <c r="UXJ14834" s="14750"/>
    </row>
    <row r="14835" spans="2:2 14829:14844" x14ac:dyDescent="0.3">
      <c r="B14835" s="16301"/>
      <c r="UXK14835" s="14751"/>
    </row>
    <row r="14836" spans="2:2 14829:14844" x14ac:dyDescent="0.3">
      <c r="B14836" s="16301"/>
      <c r="UXL14836" s="14752"/>
    </row>
    <row r="14837" spans="2:2 14829:14844" x14ac:dyDescent="0.3">
      <c r="B14837" s="16301"/>
      <c r="UXM14837" s="14753"/>
    </row>
    <row r="14838" spans="2:2 14829:14844" x14ac:dyDescent="0.3">
      <c r="B14838" s="16301"/>
      <c r="UXN14838" s="14754"/>
    </row>
    <row r="14839" spans="2:2 14829:14844" x14ac:dyDescent="0.3">
      <c r="B14839" s="16301"/>
      <c r="UXO14839" s="14755"/>
    </row>
    <row r="14840" spans="2:2 14829:14844" x14ac:dyDescent="0.3">
      <c r="B14840" s="16301"/>
      <c r="UXP14840" s="14756"/>
    </row>
    <row r="14841" spans="2:2 14829:14844" x14ac:dyDescent="0.3">
      <c r="B14841" s="16301"/>
      <c r="UXQ14841" s="14757"/>
    </row>
    <row r="14842" spans="2:2 14829:14844" x14ac:dyDescent="0.3">
      <c r="B14842" s="16301"/>
      <c r="UXR14842" s="14758"/>
    </row>
    <row r="14843" spans="2:2 14829:14844" x14ac:dyDescent="0.3">
      <c r="B14843" s="16301"/>
      <c r="UXS14843" s="14759"/>
    </row>
    <row r="14844" spans="2:2 14829:14844" x14ac:dyDescent="0.3">
      <c r="B14844" s="16301"/>
      <c r="UXT14844" s="14760"/>
    </row>
    <row r="14845" spans="2:2 14829:14844" x14ac:dyDescent="0.3">
      <c r="B14845" s="16301"/>
      <c r="UXU14845" s="14761"/>
    </row>
    <row r="14846" spans="2:2 14829:14844" x14ac:dyDescent="0.3">
      <c r="B14846" s="16301"/>
      <c r="UXV14846" s="14762"/>
    </row>
    <row r="14847" spans="2:2 14829:14844" x14ac:dyDescent="0.3">
      <c r="B14847" s="16301"/>
      <c r="UXW14847" s="14763"/>
    </row>
    <row r="14848" spans="2:2 14829:14844" x14ac:dyDescent="0.3">
      <c r="B14848" s="16301"/>
      <c r="UXX14848" s="14764"/>
    </row>
    <row r="14849" spans="2:2 14845:14860" x14ac:dyDescent="0.3">
      <c r="B14849" s="16301"/>
      <c r="UXY14849" s="14765"/>
    </row>
    <row r="14850" spans="2:2 14845:14860" x14ac:dyDescent="0.3">
      <c r="B14850" s="16301"/>
      <c r="UXZ14850" s="14766"/>
    </row>
    <row r="14851" spans="2:2 14845:14860" x14ac:dyDescent="0.3">
      <c r="B14851" s="16301"/>
      <c r="UYA14851" s="14767"/>
    </row>
    <row r="14852" spans="2:2 14845:14860" x14ac:dyDescent="0.3">
      <c r="B14852" s="16301"/>
      <c r="UYB14852" s="14768"/>
    </row>
    <row r="14853" spans="2:2 14845:14860" x14ac:dyDescent="0.3">
      <c r="B14853" s="16301"/>
      <c r="UYC14853" s="14769"/>
    </row>
    <row r="14854" spans="2:2 14845:14860" x14ac:dyDescent="0.3">
      <c r="B14854" s="16301"/>
      <c r="UYD14854" s="14770"/>
    </row>
    <row r="14855" spans="2:2 14845:14860" x14ac:dyDescent="0.3">
      <c r="B14855" s="16301"/>
      <c r="UYE14855" s="14771"/>
    </row>
    <row r="14856" spans="2:2 14845:14860" x14ac:dyDescent="0.3">
      <c r="B14856" s="16301"/>
      <c r="UYF14856" s="14772"/>
    </row>
    <row r="14857" spans="2:2 14845:14860" x14ac:dyDescent="0.3">
      <c r="B14857" s="16301"/>
      <c r="UYG14857" s="14773"/>
    </row>
    <row r="14858" spans="2:2 14845:14860" x14ac:dyDescent="0.3">
      <c r="B14858" s="16301"/>
      <c r="UYH14858" s="14774"/>
    </row>
    <row r="14859" spans="2:2 14845:14860" x14ac:dyDescent="0.3">
      <c r="B14859" s="16301"/>
      <c r="UYI14859" s="14775"/>
    </row>
    <row r="14860" spans="2:2 14845:14860" x14ac:dyDescent="0.3">
      <c r="B14860" s="16301"/>
      <c r="UYJ14860" s="14776"/>
    </row>
    <row r="14861" spans="2:2 14845:14860" x14ac:dyDescent="0.3">
      <c r="B14861" s="16301"/>
      <c r="UYK14861" s="14777"/>
    </row>
    <row r="14862" spans="2:2 14845:14860" x14ac:dyDescent="0.3">
      <c r="B14862" s="16301"/>
      <c r="UYL14862" s="14778"/>
    </row>
    <row r="14863" spans="2:2 14845:14860" x14ac:dyDescent="0.3">
      <c r="B14863" s="16301"/>
      <c r="UYM14863" s="14779"/>
    </row>
    <row r="14864" spans="2:2 14845:14860" x14ac:dyDescent="0.3">
      <c r="B14864" s="16301"/>
      <c r="UYN14864" s="14780"/>
    </row>
    <row r="14865" spans="2:2 14861:14876" x14ac:dyDescent="0.3">
      <c r="B14865" s="16301"/>
      <c r="UYO14865" s="14781"/>
    </row>
    <row r="14866" spans="2:2 14861:14876" x14ac:dyDescent="0.3">
      <c r="B14866" s="16301"/>
      <c r="UYP14866" s="14782"/>
    </row>
    <row r="14867" spans="2:2 14861:14876" x14ac:dyDescent="0.3">
      <c r="B14867" s="16301"/>
      <c r="UYQ14867" s="14783"/>
    </row>
    <row r="14868" spans="2:2 14861:14876" x14ac:dyDescent="0.3">
      <c r="B14868" s="16301"/>
      <c r="UYR14868" s="14784"/>
    </row>
    <row r="14869" spans="2:2 14861:14876" x14ac:dyDescent="0.3">
      <c r="B14869" s="16301"/>
      <c r="UYS14869" s="14785"/>
    </row>
    <row r="14870" spans="2:2 14861:14876" x14ac:dyDescent="0.3">
      <c r="B14870" s="16301"/>
      <c r="UYT14870" s="14786"/>
    </row>
    <row r="14871" spans="2:2 14861:14876" x14ac:dyDescent="0.3">
      <c r="B14871" s="16301"/>
      <c r="UYU14871" s="14787"/>
    </row>
    <row r="14872" spans="2:2 14861:14876" x14ac:dyDescent="0.3">
      <c r="B14872" s="16301"/>
      <c r="UYV14872" s="14788"/>
    </row>
    <row r="14873" spans="2:2 14861:14876" x14ac:dyDescent="0.3">
      <c r="B14873" s="16301"/>
      <c r="UYW14873" s="14789"/>
    </row>
    <row r="14874" spans="2:2 14861:14876" x14ac:dyDescent="0.3">
      <c r="B14874" s="16301"/>
      <c r="UYX14874" s="14790"/>
    </row>
    <row r="14875" spans="2:2 14861:14876" x14ac:dyDescent="0.3">
      <c r="B14875" s="16301"/>
      <c r="UYY14875" s="14791"/>
    </row>
    <row r="14876" spans="2:2 14861:14876" x14ac:dyDescent="0.3">
      <c r="B14876" s="16301"/>
      <c r="UYZ14876" s="14792"/>
    </row>
    <row r="14877" spans="2:2 14861:14876" x14ac:dyDescent="0.3">
      <c r="B14877" s="16301"/>
      <c r="UZA14877" s="14793"/>
    </row>
    <row r="14878" spans="2:2 14861:14876" x14ac:dyDescent="0.3">
      <c r="B14878" s="16301"/>
      <c r="UZB14878" s="14794"/>
    </row>
    <row r="14879" spans="2:2 14861:14876" x14ac:dyDescent="0.3">
      <c r="B14879" s="16301"/>
      <c r="UZC14879" s="14795"/>
    </row>
    <row r="14880" spans="2:2 14861:14876" x14ac:dyDescent="0.3">
      <c r="B14880" s="16301"/>
      <c r="UZD14880" s="14796"/>
    </row>
    <row r="14881" spans="2:2 14877:14892" x14ac:dyDescent="0.3">
      <c r="B14881" s="16301"/>
      <c r="UZE14881" s="14797"/>
    </row>
    <row r="14882" spans="2:2 14877:14892" x14ac:dyDescent="0.3">
      <c r="B14882" s="16301"/>
      <c r="UZF14882" s="14798"/>
    </row>
    <row r="14883" spans="2:2 14877:14892" x14ac:dyDescent="0.3">
      <c r="B14883" s="16301"/>
      <c r="UZG14883" s="14799"/>
    </row>
    <row r="14884" spans="2:2 14877:14892" x14ac:dyDescent="0.3">
      <c r="B14884" s="16301"/>
      <c r="UZH14884" s="14800"/>
    </row>
    <row r="14885" spans="2:2 14877:14892" x14ac:dyDescent="0.3">
      <c r="B14885" s="16301"/>
      <c r="UZI14885" s="14801"/>
    </row>
    <row r="14886" spans="2:2 14877:14892" x14ac:dyDescent="0.3">
      <c r="B14886" s="16301"/>
      <c r="UZJ14886" s="14802"/>
    </row>
    <row r="14887" spans="2:2 14877:14892" x14ac:dyDescent="0.3">
      <c r="B14887" s="16301"/>
      <c r="UZK14887" s="14803"/>
    </row>
    <row r="14888" spans="2:2 14877:14892" x14ac:dyDescent="0.3">
      <c r="B14888" s="16301"/>
      <c r="UZL14888" s="14804"/>
    </row>
    <row r="14889" spans="2:2 14877:14892" x14ac:dyDescent="0.3">
      <c r="B14889" s="16301"/>
      <c r="UZM14889" s="14805"/>
    </row>
    <row r="14890" spans="2:2 14877:14892" x14ac:dyDescent="0.3">
      <c r="B14890" s="16301"/>
      <c r="UZN14890" s="14806"/>
    </row>
    <row r="14891" spans="2:2 14877:14892" x14ac:dyDescent="0.3">
      <c r="B14891" s="16301"/>
      <c r="UZO14891" s="14807"/>
    </row>
    <row r="14892" spans="2:2 14877:14892" x14ac:dyDescent="0.3">
      <c r="B14892" s="16301"/>
      <c r="UZP14892" s="14808"/>
    </row>
    <row r="14893" spans="2:2 14877:14892" x14ac:dyDescent="0.3">
      <c r="B14893" s="16301"/>
      <c r="UZQ14893" s="14809"/>
    </row>
    <row r="14894" spans="2:2 14877:14892" x14ac:dyDescent="0.3">
      <c r="B14894" s="16301"/>
      <c r="UZR14894" s="14810"/>
    </row>
    <row r="14895" spans="2:2 14877:14892" x14ac:dyDescent="0.3">
      <c r="B14895" s="16301"/>
      <c r="UZS14895" s="14811"/>
    </row>
    <row r="14896" spans="2:2 14877:14892" x14ac:dyDescent="0.3">
      <c r="B14896" s="16301"/>
      <c r="UZT14896" s="14812"/>
    </row>
    <row r="14897" spans="2:2 14893:14908" x14ac:dyDescent="0.3">
      <c r="B14897" s="16301"/>
      <c r="UZU14897" s="14813"/>
    </row>
    <row r="14898" spans="2:2 14893:14908" x14ac:dyDescent="0.3">
      <c r="B14898" s="16301"/>
      <c r="UZV14898" s="14814"/>
    </row>
    <row r="14899" spans="2:2 14893:14908" x14ac:dyDescent="0.3">
      <c r="B14899" s="16301"/>
      <c r="UZW14899" s="14815"/>
    </row>
    <row r="14900" spans="2:2 14893:14908" x14ac:dyDescent="0.3">
      <c r="B14900" s="16301"/>
      <c r="UZX14900" s="14816"/>
    </row>
    <row r="14901" spans="2:2 14893:14908" x14ac:dyDescent="0.3">
      <c r="B14901" s="16301"/>
      <c r="UZY14901" s="14817"/>
    </row>
    <row r="14902" spans="2:2 14893:14908" x14ac:dyDescent="0.3">
      <c r="B14902" s="16301"/>
      <c r="UZZ14902" s="14818"/>
    </row>
    <row r="14903" spans="2:2 14893:14908" x14ac:dyDescent="0.3">
      <c r="B14903" s="16301"/>
      <c r="VAA14903" s="14819"/>
    </row>
    <row r="14904" spans="2:2 14893:14908" x14ac:dyDescent="0.3">
      <c r="B14904" s="16301"/>
      <c r="VAB14904" s="14820"/>
    </row>
    <row r="14905" spans="2:2 14893:14908" x14ac:dyDescent="0.3">
      <c r="B14905" s="16301"/>
      <c r="VAC14905" s="14821"/>
    </row>
    <row r="14906" spans="2:2 14893:14908" x14ac:dyDescent="0.3">
      <c r="B14906" s="16301"/>
      <c r="VAD14906" s="14822"/>
    </row>
    <row r="14907" spans="2:2 14893:14908" x14ac:dyDescent="0.3">
      <c r="B14907" s="16301"/>
      <c r="VAE14907" s="14823"/>
    </row>
    <row r="14908" spans="2:2 14893:14908" x14ac:dyDescent="0.3">
      <c r="B14908" s="16301"/>
      <c r="VAF14908" s="14824"/>
    </row>
    <row r="14909" spans="2:2 14893:14908" x14ac:dyDescent="0.3">
      <c r="B14909" s="16301"/>
      <c r="VAG14909" s="14825"/>
    </row>
    <row r="14910" spans="2:2 14893:14908" x14ac:dyDescent="0.3">
      <c r="B14910" s="16301"/>
      <c r="VAH14910" s="14826"/>
    </row>
    <row r="14911" spans="2:2 14893:14908" x14ac:dyDescent="0.3">
      <c r="B14911" s="16301"/>
      <c r="VAI14911" s="14827"/>
    </row>
    <row r="14912" spans="2:2 14893:14908" x14ac:dyDescent="0.3">
      <c r="B14912" s="16301"/>
      <c r="VAJ14912" s="14827"/>
    </row>
    <row r="14913" spans="2:2 14909:14924" x14ac:dyDescent="0.3">
      <c r="B14913" s="16301"/>
      <c r="VAK14913" s="14828"/>
    </row>
    <row r="14914" spans="2:2 14909:14924" x14ac:dyDescent="0.3">
      <c r="B14914" s="16301"/>
      <c r="VAL14914" s="14829"/>
    </row>
    <row r="14915" spans="2:2 14909:14924" x14ac:dyDescent="0.3">
      <c r="B14915" s="16301"/>
      <c r="VAM14915" s="14830"/>
    </row>
    <row r="14916" spans="2:2 14909:14924" x14ac:dyDescent="0.3">
      <c r="B14916" s="16301"/>
      <c r="VAN14916" s="14831"/>
    </row>
    <row r="14917" spans="2:2 14909:14924" x14ac:dyDescent="0.3">
      <c r="B14917" s="16301"/>
      <c r="VAO14917" s="14832"/>
    </row>
    <row r="14918" spans="2:2 14909:14924" x14ac:dyDescent="0.3">
      <c r="B14918" s="16301"/>
      <c r="VAP14918" s="14833"/>
    </row>
    <row r="14919" spans="2:2 14909:14924" x14ac:dyDescent="0.3">
      <c r="B14919" s="16301"/>
      <c r="VAQ14919" s="14834"/>
    </row>
    <row r="14920" spans="2:2 14909:14924" x14ac:dyDescent="0.3">
      <c r="B14920" s="16301"/>
      <c r="VAR14920" s="14835"/>
    </row>
    <row r="14921" spans="2:2 14909:14924" x14ac:dyDescent="0.3">
      <c r="B14921" s="16301"/>
      <c r="VAS14921" s="14836"/>
    </row>
    <row r="14922" spans="2:2 14909:14924" x14ac:dyDescent="0.3">
      <c r="B14922" s="16301"/>
      <c r="VAT14922" s="14837"/>
    </row>
    <row r="14923" spans="2:2 14909:14924" x14ac:dyDescent="0.3">
      <c r="B14923" s="16301"/>
      <c r="VAU14923" s="14838"/>
    </row>
    <row r="14924" spans="2:2 14909:14924" x14ac:dyDescent="0.3">
      <c r="B14924" s="16301"/>
      <c r="VAV14924" s="14839"/>
    </row>
    <row r="14925" spans="2:2 14909:14924" x14ac:dyDescent="0.3">
      <c r="B14925" s="16301"/>
      <c r="VAW14925" s="14840"/>
    </row>
    <row r="14926" spans="2:2 14909:14924" x14ac:dyDescent="0.3">
      <c r="B14926" s="16301"/>
      <c r="VAX14926" s="14841"/>
    </row>
    <row r="14927" spans="2:2 14909:14924" x14ac:dyDescent="0.3">
      <c r="B14927" s="16301"/>
      <c r="VAY14927" s="14842"/>
    </row>
    <row r="14928" spans="2:2 14909:14924" x14ac:dyDescent="0.3">
      <c r="B14928" s="16301"/>
      <c r="VAZ14928" s="14843"/>
    </row>
    <row r="14929" spans="2:2 14925:14940" x14ac:dyDescent="0.3">
      <c r="B14929" s="16301"/>
      <c r="VBA14929" s="14844"/>
    </row>
    <row r="14930" spans="2:2 14925:14940" x14ac:dyDescent="0.3">
      <c r="B14930" s="16301"/>
      <c r="VBB14930" s="14845"/>
    </row>
    <row r="14931" spans="2:2 14925:14940" x14ac:dyDescent="0.3">
      <c r="B14931" s="16301"/>
      <c r="VBC14931" s="14846"/>
    </row>
    <row r="14932" spans="2:2 14925:14940" x14ac:dyDescent="0.3">
      <c r="B14932" s="16301"/>
      <c r="VBD14932" s="14847"/>
    </row>
    <row r="14933" spans="2:2 14925:14940" x14ac:dyDescent="0.3">
      <c r="B14933" s="16301"/>
      <c r="VBE14933" s="14848"/>
    </row>
    <row r="14934" spans="2:2 14925:14940" x14ac:dyDescent="0.3">
      <c r="B14934" s="16301"/>
      <c r="VBF14934" s="14849"/>
    </row>
    <row r="14935" spans="2:2 14925:14940" x14ac:dyDescent="0.3">
      <c r="B14935" s="16301"/>
      <c r="VBG14935" s="14850"/>
    </row>
    <row r="14936" spans="2:2 14925:14940" x14ac:dyDescent="0.3">
      <c r="B14936" s="16301"/>
      <c r="VBH14936" s="14851"/>
    </row>
    <row r="14937" spans="2:2 14925:14940" x14ac:dyDescent="0.3">
      <c r="B14937" s="16301"/>
      <c r="VBI14937" s="14852"/>
    </row>
    <row r="14938" spans="2:2 14925:14940" x14ac:dyDescent="0.3">
      <c r="B14938" s="16301"/>
      <c r="VBJ14938" s="14853"/>
    </row>
    <row r="14939" spans="2:2 14925:14940" x14ac:dyDescent="0.3">
      <c r="B14939" s="16301"/>
      <c r="VBK14939" s="14854"/>
    </row>
    <row r="14940" spans="2:2 14925:14940" x14ac:dyDescent="0.3">
      <c r="B14940" s="16301"/>
      <c r="VBL14940" s="14855"/>
    </row>
    <row r="14941" spans="2:2 14925:14940" x14ac:dyDescent="0.3">
      <c r="B14941" s="16301"/>
      <c r="VBM14941" s="14856"/>
    </row>
    <row r="14942" spans="2:2 14925:14940" x14ac:dyDescent="0.3">
      <c r="B14942" s="16301"/>
      <c r="VBN14942" s="14857"/>
    </row>
    <row r="14943" spans="2:2 14925:14940" x14ac:dyDescent="0.3">
      <c r="B14943" s="16301"/>
      <c r="VBO14943" s="14858"/>
    </row>
    <row r="14944" spans="2:2 14925:14940" x14ac:dyDescent="0.3">
      <c r="B14944" s="16301"/>
      <c r="VBP14944" s="14859"/>
    </row>
    <row r="14945" spans="2:2 14941:14956" x14ac:dyDescent="0.3">
      <c r="B14945" s="16301"/>
      <c r="VBQ14945" s="14860"/>
    </row>
    <row r="14946" spans="2:2 14941:14956" x14ac:dyDescent="0.3">
      <c r="B14946" s="16301"/>
      <c r="VBR14946" s="14861"/>
    </row>
    <row r="14947" spans="2:2 14941:14956" x14ac:dyDescent="0.3">
      <c r="B14947" s="16301"/>
      <c r="VBS14947" s="14862"/>
    </row>
    <row r="14948" spans="2:2 14941:14956" x14ac:dyDescent="0.3">
      <c r="B14948" s="16301"/>
      <c r="VBT14948" s="14863"/>
    </row>
    <row r="14949" spans="2:2 14941:14956" x14ac:dyDescent="0.3">
      <c r="B14949" s="16301"/>
      <c r="VBU14949" s="14864"/>
    </row>
    <row r="14950" spans="2:2 14941:14956" x14ac:dyDescent="0.3">
      <c r="B14950" s="16301"/>
      <c r="VBV14950" s="14865"/>
    </row>
    <row r="14951" spans="2:2 14941:14956" x14ac:dyDescent="0.3">
      <c r="B14951" s="16301"/>
      <c r="VBW14951" s="14866"/>
    </row>
    <row r="14952" spans="2:2 14941:14956" x14ac:dyDescent="0.3">
      <c r="B14952" s="16301"/>
      <c r="VBX14952" s="14867"/>
    </row>
    <row r="14953" spans="2:2 14941:14956" x14ac:dyDescent="0.3">
      <c r="B14953" s="16301"/>
      <c r="VBY14953" s="14868"/>
    </row>
    <row r="14954" spans="2:2 14941:14956" x14ac:dyDescent="0.3">
      <c r="B14954" s="16301"/>
      <c r="VBZ14954" s="14869"/>
    </row>
    <row r="14955" spans="2:2 14941:14956" x14ac:dyDescent="0.3">
      <c r="B14955" s="16301"/>
      <c r="VCA14955" s="14870"/>
    </row>
    <row r="14956" spans="2:2 14941:14956" x14ac:dyDescent="0.3">
      <c r="B14956" s="16301"/>
      <c r="VCB14956" s="14871"/>
    </row>
    <row r="14957" spans="2:2 14941:14956" x14ac:dyDescent="0.3">
      <c r="B14957" s="16301"/>
      <c r="VCC14957" s="14872"/>
    </row>
    <row r="14958" spans="2:2 14941:14956" x14ac:dyDescent="0.3">
      <c r="B14958" s="16301"/>
      <c r="VCD14958" s="14873"/>
    </row>
    <row r="14959" spans="2:2 14941:14956" x14ac:dyDescent="0.3">
      <c r="B14959" s="16301"/>
      <c r="VCE14959" s="14874"/>
    </row>
    <row r="14960" spans="2:2 14941:14956" x14ac:dyDescent="0.3">
      <c r="B14960" s="16301"/>
      <c r="VCF14960" s="14875"/>
    </row>
    <row r="14961" spans="2:2 14957:14972" x14ac:dyDescent="0.3">
      <c r="B14961" s="16301"/>
      <c r="VCG14961" s="14876"/>
    </row>
    <row r="14962" spans="2:2 14957:14972" x14ac:dyDescent="0.3">
      <c r="B14962" s="16301"/>
      <c r="VCH14962" s="14877"/>
    </row>
    <row r="14963" spans="2:2 14957:14972" x14ac:dyDescent="0.3">
      <c r="B14963" s="16301"/>
      <c r="VCI14963" s="14878"/>
    </row>
    <row r="14964" spans="2:2 14957:14972" x14ac:dyDescent="0.3">
      <c r="B14964" s="16301"/>
      <c r="VCJ14964" s="14879"/>
    </row>
    <row r="14965" spans="2:2 14957:14972" x14ac:dyDescent="0.3">
      <c r="B14965" s="16301"/>
      <c r="VCK14965" s="14880"/>
    </row>
    <row r="14966" spans="2:2 14957:14972" x14ac:dyDescent="0.3">
      <c r="B14966" s="16301"/>
      <c r="VCL14966" s="14881"/>
    </row>
    <row r="14967" spans="2:2 14957:14972" x14ac:dyDescent="0.3">
      <c r="B14967" s="16301"/>
      <c r="VCM14967" s="14882"/>
    </row>
    <row r="14968" spans="2:2 14957:14972" x14ac:dyDescent="0.3">
      <c r="B14968" s="16301"/>
      <c r="VCN14968" s="14883"/>
    </row>
    <row r="14969" spans="2:2 14957:14972" x14ac:dyDescent="0.3">
      <c r="B14969" s="16301"/>
      <c r="VCO14969" s="14884"/>
    </row>
    <row r="14970" spans="2:2 14957:14972" x14ac:dyDescent="0.3">
      <c r="B14970" s="16301"/>
      <c r="VCP14970" s="14885"/>
    </row>
    <row r="14971" spans="2:2 14957:14972" x14ac:dyDescent="0.3">
      <c r="B14971" s="16301"/>
      <c r="VCQ14971" s="14886"/>
    </row>
    <row r="14972" spans="2:2 14957:14972" x14ac:dyDescent="0.3">
      <c r="B14972" s="16301"/>
      <c r="VCR14972" s="14887"/>
    </row>
    <row r="14973" spans="2:2 14957:14972" x14ac:dyDescent="0.3">
      <c r="B14973" s="16301"/>
      <c r="VCS14973" s="14888"/>
    </row>
    <row r="14974" spans="2:2 14957:14972" x14ac:dyDescent="0.3">
      <c r="B14974" s="16301"/>
      <c r="VCT14974" s="14889"/>
    </row>
    <row r="14975" spans="2:2 14957:14972" x14ac:dyDescent="0.3">
      <c r="B14975" s="16301"/>
      <c r="VCU14975" s="14890"/>
    </row>
    <row r="14976" spans="2:2 14957:14972" x14ac:dyDescent="0.3">
      <c r="B14976" s="16301"/>
      <c r="VCV14976" s="14891"/>
    </row>
    <row r="14977" spans="2:2 14973:14988" x14ac:dyDescent="0.3">
      <c r="B14977" s="16301"/>
      <c r="VCW14977" s="14892"/>
    </row>
    <row r="14978" spans="2:2 14973:14988" x14ac:dyDescent="0.3">
      <c r="B14978" s="16301"/>
      <c r="VCX14978" s="14893"/>
    </row>
    <row r="14979" spans="2:2 14973:14988" x14ac:dyDescent="0.3">
      <c r="B14979" s="16301"/>
      <c r="VCY14979" s="14894"/>
    </row>
    <row r="14980" spans="2:2 14973:14988" x14ac:dyDescent="0.3">
      <c r="B14980" s="16301"/>
      <c r="VCZ14980" s="14895"/>
    </row>
    <row r="14981" spans="2:2 14973:14988" x14ac:dyDescent="0.3">
      <c r="B14981" s="16301"/>
      <c r="VDA14981" s="14896"/>
    </row>
    <row r="14982" spans="2:2 14973:14988" x14ac:dyDescent="0.3">
      <c r="B14982" s="16301"/>
      <c r="VDB14982" s="14897"/>
    </row>
    <row r="14983" spans="2:2 14973:14988" x14ac:dyDescent="0.3">
      <c r="B14983" s="16301"/>
      <c r="VDC14983" s="14898"/>
    </row>
    <row r="14984" spans="2:2 14973:14988" x14ac:dyDescent="0.3">
      <c r="B14984" s="16301"/>
      <c r="VDD14984" s="14899"/>
    </row>
    <row r="14985" spans="2:2 14973:14988" x14ac:dyDescent="0.3">
      <c r="B14985" s="16301"/>
      <c r="VDE14985" s="14900"/>
    </row>
    <row r="14986" spans="2:2 14973:14988" x14ac:dyDescent="0.3">
      <c r="B14986" s="16301"/>
      <c r="VDF14986" s="14901"/>
    </row>
    <row r="14987" spans="2:2 14973:14988" x14ac:dyDescent="0.3">
      <c r="B14987" s="16301"/>
      <c r="VDG14987" s="14902"/>
    </row>
    <row r="14988" spans="2:2 14973:14988" x14ac:dyDescent="0.3">
      <c r="B14988" s="16301"/>
      <c r="VDH14988" s="14903"/>
    </row>
    <row r="14989" spans="2:2 14973:14988" x14ac:dyDescent="0.3">
      <c r="B14989" s="16301"/>
      <c r="VDI14989" s="14904"/>
    </row>
    <row r="14990" spans="2:2 14973:14988" x14ac:dyDescent="0.3">
      <c r="B14990" s="16301"/>
      <c r="VDJ14990" s="14905"/>
    </row>
    <row r="14991" spans="2:2 14973:14988" x14ac:dyDescent="0.3">
      <c r="B14991" s="16301"/>
      <c r="VDK14991" s="14906"/>
    </row>
    <row r="14992" spans="2:2 14973:14988" x14ac:dyDescent="0.3">
      <c r="B14992" s="16301"/>
      <c r="VDL14992" s="14907"/>
    </row>
    <row r="14993" spans="2:2 14989:15004" x14ac:dyDescent="0.3">
      <c r="B14993" s="16301"/>
      <c r="VDM14993" s="14908"/>
    </row>
    <row r="14994" spans="2:2 14989:15004" x14ac:dyDescent="0.3">
      <c r="B14994" s="16301"/>
      <c r="VDN14994" s="14909"/>
    </row>
    <row r="14995" spans="2:2 14989:15004" x14ac:dyDescent="0.3">
      <c r="B14995" s="16301"/>
      <c r="VDO14995" s="14910"/>
    </row>
    <row r="14996" spans="2:2 14989:15004" x14ac:dyDescent="0.3">
      <c r="B14996" s="16301"/>
      <c r="VDP14996" s="14911"/>
    </row>
    <row r="14997" spans="2:2 14989:15004" x14ac:dyDescent="0.3">
      <c r="B14997" s="16301"/>
      <c r="VDQ14997" s="14912"/>
    </row>
    <row r="14998" spans="2:2 14989:15004" x14ac:dyDescent="0.3">
      <c r="B14998" s="16301"/>
      <c r="VDR14998" s="14913"/>
    </row>
    <row r="14999" spans="2:2 14989:15004" x14ac:dyDescent="0.3">
      <c r="B14999" s="16301"/>
      <c r="VDS14999" s="14914"/>
    </row>
    <row r="15000" spans="2:2 14989:15004" x14ac:dyDescent="0.3">
      <c r="B15000" s="16301"/>
      <c r="VDT15000" s="14915"/>
    </row>
    <row r="15001" spans="2:2 14989:15004" x14ac:dyDescent="0.3">
      <c r="B15001" s="16301"/>
      <c r="VDU15001" s="14916"/>
    </row>
    <row r="15002" spans="2:2 14989:15004" x14ac:dyDescent="0.3">
      <c r="B15002" s="16301"/>
      <c r="VDV15002" s="14917"/>
    </row>
    <row r="15003" spans="2:2 14989:15004" x14ac:dyDescent="0.3">
      <c r="B15003" s="16301"/>
      <c r="VDW15003" s="14918"/>
    </row>
    <row r="15004" spans="2:2 14989:15004" x14ac:dyDescent="0.3">
      <c r="B15004" s="16301"/>
      <c r="VDX15004" s="14919"/>
    </row>
    <row r="15005" spans="2:2 14989:15004" x14ac:dyDescent="0.3">
      <c r="B15005" s="16301"/>
      <c r="VDY15005" s="14920"/>
    </row>
    <row r="15006" spans="2:2 14989:15004" x14ac:dyDescent="0.3">
      <c r="B15006" s="16301"/>
      <c r="VDZ15006" s="14921"/>
    </row>
    <row r="15007" spans="2:2 14989:15004" x14ac:dyDescent="0.3">
      <c r="B15007" s="16301"/>
      <c r="VEA15007" s="14922"/>
    </row>
    <row r="15008" spans="2:2 14989:15004" x14ac:dyDescent="0.3">
      <c r="B15008" s="16301"/>
      <c r="VEB15008" s="14923"/>
    </row>
    <row r="15009" spans="2:2 15005:15020" x14ac:dyDescent="0.3">
      <c r="B15009" s="16301"/>
      <c r="VEC15009" s="14924"/>
    </row>
    <row r="15010" spans="2:2 15005:15020" x14ac:dyDescent="0.3">
      <c r="B15010" s="16301"/>
      <c r="VED15010" s="14925"/>
    </row>
    <row r="15011" spans="2:2 15005:15020" x14ac:dyDescent="0.3">
      <c r="B15011" s="16301"/>
      <c r="VEE15011" s="14926"/>
    </row>
    <row r="15012" spans="2:2 15005:15020" x14ac:dyDescent="0.3">
      <c r="B15012" s="16301"/>
      <c r="VEF15012" s="14927"/>
    </row>
    <row r="15013" spans="2:2 15005:15020" x14ac:dyDescent="0.3">
      <c r="B15013" s="16301"/>
      <c r="VEG15013" s="14928"/>
    </row>
    <row r="15014" spans="2:2 15005:15020" x14ac:dyDescent="0.3">
      <c r="B15014" s="16301"/>
      <c r="VEH15014" s="14929"/>
    </row>
    <row r="15015" spans="2:2 15005:15020" x14ac:dyDescent="0.3">
      <c r="B15015" s="16301"/>
      <c r="VEI15015" s="14930"/>
    </row>
    <row r="15016" spans="2:2 15005:15020" x14ac:dyDescent="0.3">
      <c r="B15016" s="16301"/>
      <c r="VEJ15016" s="14931"/>
    </row>
    <row r="15017" spans="2:2 15005:15020" x14ac:dyDescent="0.3">
      <c r="B15017" s="16301"/>
      <c r="VEK15017" s="14932"/>
    </row>
    <row r="15018" spans="2:2 15005:15020" x14ac:dyDescent="0.3">
      <c r="B15018" s="16301"/>
      <c r="VEL15018" s="14933"/>
    </row>
    <row r="15019" spans="2:2 15005:15020" x14ac:dyDescent="0.3">
      <c r="B15019" s="16301"/>
      <c r="VEM15019" s="14934"/>
    </row>
    <row r="15020" spans="2:2 15005:15020" x14ac:dyDescent="0.3">
      <c r="B15020" s="16301"/>
      <c r="VEN15020" s="14935"/>
    </row>
    <row r="15021" spans="2:2 15005:15020" x14ac:dyDescent="0.3">
      <c r="B15021" s="16301"/>
      <c r="VEO15021" s="14936"/>
    </row>
    <row r="15022" spans="2:2 15005:15020" x14ac:dyDescent="0.3">
      <c r="B15022" s="16301"/>
      <c r="VEP15022" s="14937"/>
    </row>
    <row r="15023" spans="2:2 15005:15020" x14ac:dyDescent="0.3">
      <c r="B15023" s="16301"/>
      <c r="VEQ15023" s="14938"/>
    </row>
    <row r="15024" spans="2:2 15005:15020" x14ac:dyDescent="0.3">
      <c r="B15024" s="16301"/>
      <c r="VER15024" s="14939"/>
    </row>
    <row r="15025" spans="2:2 15021:15036" x14ac:dyDescent="0.3">
      <c r="B15025" s="16301"/>
      <c r="VES15025" s="14940"/>
    </row>
    <row r="15026" spans="2:2 15021:15036" x14ac:dyDescent="0.3">
      <c r="B15026" s="16301"/>
      <c r="VET15026" s="14941"/>
    </row>
    <row r="15027" spans="2:2 15021:15036" x14ac:dyDescent="0.3">
      <c r="B15027" s="16301"/>
      <c r="VEU15027" s="14942"/>
    </row>
    <row r="15028" spans="2:2 15021:15036" x14ac:dyDescent="0.3">
      <c r="B15028" s="16301"/>
      <c r="VEV15028" s="14943"/>
    </row>
    <row r="15029" spans="2:2 15021:15036" x14ac:dyDescent="0.3">
      <c r="B15029" s="16301"/>
      <c r="VEW15029" s="14944"/>
    </row>
    <row r="15030" spans="2:2 15021:15036" x14ac:dyDescent="0.3">
      <c r="B15030" s="16301"/>
      <c r="VEX15030" s="14945"/>
    </row>
    <row r="15031" spans="2:2 15021:15036" x14ac:dyDescent="0.3">
      <c r="B15031" s="16301"/>
      <c r="VEY15031" s="14946"/>
    </row>
    <row r="15032" spans="2:2 15021:15036" x14ac:dyDescent="0.3">
      <c r="B15032" s="16301"/>
      <c r="VEZ15032" s="14947"/>
    </row>
    <row r="15033" spans="2:2 15021:15036" x14ac:dyDescent="0.3">
      <c r="B15033" s="16301"/>
      <c r="VFA15033" s="14948"/>
    </row>
    <row r="15034" spans="2:2 15021:15036" x14ac:dyDescent="0.3">
      <c r="B15034" s="16301"/>
      <c r="VFB15034" s="14949"/>
    </row>
    <row r="15035" spans="2:2 15021:15036" x14ac:dyDescent="0.3">
      <c r="B15035" s="16301"/>
      <c r="VFC15035" s="14950"/>
    </row>
    <row r="15036" spans="2:2 15021:15036" x14ac:dyDescent="0.3">
      <c r="B15036" s="16301"/>
      <c r="VFD15036" s="14951"/>
    </row>
    <row r="15037" spans="2:2 15021:15036" x14ac:dyDescent="0.3">
      <c r="B15037" s="16301"/>
      <c r="VFE15037" s="14952"/>
    </row>
    <row r="15038" spans="2:2 15021:15036" x14ac:dyDescent="0.3">
      <c r="B15038" s="16301"/>
      <c r="VFF15038" s="14953"/>
    </row>
    <row r="15039" spans="2:2 15021:15036" x14ac:dyDescent="0.3">
      <c r="B15039" s="16301"/>
      <c r="VFG15039" s="14954"/>
    </row>
    <row r="15040" spans="2:2 15021:15036" x14ac:dyDescent="0.3">
      <c r="B15040" s="16301"/>
      <c r="VFH15040" s="14955"/>
    </row>
    <row r="15041" spans="2:2 15037:15052" x14ac:dyDescent="0.3">
      <c r="B15041" s="16301"/>
      <c r="VFI15041" s="14956"/>
    </row>
    <row r="15042" spans="2:2 15037:15052" x14ac:dyDescent="0.3">
      <c r="B15042" s="16301"/>
      <c r="VFJ15042" s="14957"/>
    </row>
    <row r="15043" spans="2:2 15037:15052" x14ac:dyDescent="0.3">
      <c r="B15043" s="16301"/>
      <c r="VFK15043" s="14958"/>
    </row>
    <row r="15044" spans="2:2 15037:15052" x14ac:dyDescent="0.3">
      <c r="B15044" s="16301"/>
      <c r="VFL15044" s="14959"/>
    </row>
    <row r="15045" spans="2:2 15037:15052" x14ac:dyDescent="0.3">
      <c r="B15045" s="16301"/>
      <c r="VFM15045" s="14960"/>
    </row>
    <row r="15046" spans="2:2 15037:15052" x14ac:dyDescent="0.3">
      <c r="B15046" s="16301"/>
      <c r="VFN15046" s="14961"/>
    </row>
    <row r="15047" spans="2:2 15037:15052" x14ac:dyDescent="0.3">
      <c r="B15047" s="16301"/>
      <c r="VFO15047" s="14962"/>
    </row>
    <row r="15048" spans="2:2 15037:15052" x14ac:dyDescent="0.3">
      <c r="B15048" s="16301"/>
      <c r="VFP15048" s="14963"/>
    </row>
    <row r="15049" spans="2:2 15037:15052" x14ac:dyDescent="0.3">
      <c r="B15049" s="16301"/>
      <c r="VFQ15049" s="14964"/>
    </row>
    <row r="15050" spans="2:2 15037:15052" x14ac:dyDescent="0.3">
      <c r="B15050" s="16301"/>
      <c r="VFR15050" s="14965"/>
    </row>
    <row r="15051" spans="2:2 15037:15052" x14ac:dyDescent="0.3">
      <c r="B15051" s="16301"/>
      <c r="VFS15051" s="14966"/>
    </row>
    <row r="15052" spans="2:2 15037:15052" x14ac:dyDescent="0.3">
      <c r="B15052" s="16301"/>
      <c r="VFT15052" s="14967"/>
    </row>
    <row r="15053" spans="2:2 15037:15052" x14ac:dyDescent="0.3">
      <c r="B15053" s="16301"/>
      <c r="VFU15053" s="14968"/>
    </row>
    <row r="15054" spans="2:2 15037:15052" x14ac:dyDescent="0.3">
      <c r="B15054" s="16301"/>
      <c r="VFV15054" s="14969"/>
    </row>
    <row r="15055" spans="2:2 15037:15052" x14ac:dyDescent="0.3">
      <c r="B15055" s="16301"/>
      <c r="VFW15055" s="14970"/>
    </row>
    <row r="15056" spans="2:2 15037:15052" x14ac:dyDescent="0.3">
      <c r="B15056" s="16301"/>
      <c r="VFX15056" s="14971"/>
    </row>
    <row r="15057" spans="2:2 15053:15068" x14ac:dyDescent="0.3">
      <c r="B15057" s="16301"/>
      <c r="VFY15057" s="14972"/>
    </row>
    <row r="15058" spans="2:2 15053:15068" x14ac:dyDescent="0.3">
      <c r="B15058" s="16301"/>
      <c r="VFZ15058" s="14973"/>
    </row>
    <row r="15059" spans="2:2 15053:15068" x14ac:dyDescent="0.3">
      <c r="B15059" s="16301"/>
      <c r="VGA15059" s="14974"/>
    </row>
    <row r="15060" spans="2:2 15053:15068" x14ac:dyDescent="0.3">
      <c r="B15060" s="16301"/>
      <c r="VGB15060" s="14975"/>
    </row>
    <row r="15061" spans="2:2 15053:15068" x14ac:dyDescent="0.3">
      <c r="B15061" s="16301"/>
      <c r="VGC15061" s="14976"/>
    </row>
    <row r="15062" spans="2:2 15053:15068" x14ac:dyDescent="0.3">
      <c r="B15062" s="16301"/>
      <c r="VGD15062" s="14977"/>
    </row>
    <row r="15063" spans="2:2 15053:15068" x14ac:dyDescent="0.3">
      <c r="B15063" s="16301"/>
      <c r="VGE15063" s="14978"/>
    </row>
    <row r="15064" spans="2:2 15053:15068" x14ac:dyDescent="0.3">
      <c r="B15064" s="16301"/>
      <c r="VGF15064" s="14979"/>
    </row>
    <row r="15065" spans="2:2 15053:15068" x14ac:dyDescent="0.3">
      <c r="B15065" s="16301"/>
      <c r="VGG15065" s="14980"/>
    </row>
    <row r="15066" spans="2:2 15053:15068" x14ac:dyDescent="0.3">
      <c r="B15066" s="16301"/>
      <c r="VGH15066" s="14981"/>
    </row>
    <row r="15067" spans="2:2 15053:15068" x14ac:dyDescent="0.3">
      <c r="B15067" s="16301"/>
      <c r="VGI15067" s="14982"/>
    </row>
    <row r="15068" spans="2:2 15053:15068" x14ac:dyDescent="0.3">
      <c r="B15068" s="16301"/>
      <c r="VGJ15068" s="14983"/>
    </row>
    <row r="15069" spans="2:2 15053:15068" x14ac:dyDescent="0.3">
      <c r="B15069" s="16301"/>
      <c r="VGK15069" s="14984"/>
    </row>
    <row r="15070" spans="2:2 15053:15068" x14ac:dyDescent="0.3">
      <c r="B15070" s="16301"/>
      <c r="VGL15070" s="14985"/>
    </row>
    <row r="15071" spans="2:2 15053:15068" x14ac:dyDescent="0.3">
      <c r="B15071" s="16301"/>
      <c r="VGM15071" s="14986"/>
    </row>
    <row r="15072" spans="2:2 15053:15068" x14ac:dyDescent="0.3">
      <c r="B15072" s="16301"/>
      <c r="VGN15072" s="14987"/>
    </row>
    <row r="15073" spans="2:2 15069:15084" x14ac:dyDescent="0.3">
      <c r="B15073" s="16301"/>
      <c r="VGO15073" s="14988"/>
    </row>
    <row r="15074" spans="2:2 15069:15084" x14ac:dyDescent="0.3">
      <c r="B15074" s="16301"/>
      <c r="VGP15074" s="14989"/>
    </row>
    <row r="15075" spans="2:2 15069:15084" x14ac:dyDescent="0.3">
      <c r="B15075" s="16301"/>
      <c r="VGQ15075" s="14990"/>
    </row>
    <row r="15076" spans="2:2 15069:15084" x14ac:dyDescent="0.3">
      <c r="B15076" s="16301"/>
      <c r="VGR15076" s="14991"/>
    </row>
    <row r="15077" spans="2:2 15069:15084" x14ac:dyDescent="0.3">
      <c r="B15077" s="16301"/>
      <c r="VGS15077" s="14992"/>
    </row>
    <row r="15078" spans="2:2 15069:15084" x14ac:dyDescent="0.3">
      <c r="B15078" s="16301"/>
      <c r="VGT15078" s="14993"/>
    </row>
    <row r="15079" spans="2:2 15069:15084" x14ac:dyDescent="0.3">
      <c r="B15079" s="16301"/>
      <c r="VGU15079" s="14994"/>
    </row>
    <row r="15080" spans="2:2 15069:15084" x14ac:dyDescent="0.3">
      <c r="B15080" s="16301"/>
      <c r="VGV15080" s="14995"/>
    </row>
    <row r="15081" spans="2:2 15069:15084" x14ac:dyDescent="0.3">
      <c r="B15081" s="16301"/>
      <c r="VGW15081" s="14996"/>
    </row>
    <row r="15082" spans="2:2 15069:15084" x14ac:dyDescent="0.3">
      <c r="B15082" s="16301"/>
      <c r="VGX15082" s="14997"/>
    </row>
    <row r="15083" spans="2:2 15069:15084" x14ac:dyDescent="0.3">
      <c r="B15083" s="16301"/>
      <c r="VGY15083" s="14998"/>
    </row>
    <row r="15084" spans="2:2 15069:15084" x14ac:dyDescent="0.3">
      <c r="B15084" s="16301"/>
      <c r="VGZ15084" s="14999"/>
    </row>
    <row r="15085" spans="2:2 15069:15084" x14ac:dyDescent="0.3">
      <c r="B15085" s="16301"/>
      <c r="VHA15085" s="15000"/>
    </row>
    <row r="15086" spans="2:2 15069:15084" x14ac:dyDescent="0.3">
      <c r="B15086" s="16301"/>
      <c r="VHB15086" s="15001"/>
    </row>
    <row r="15087" spans="2:2 15069:15084" x14ac:dyDescent="0.3">
      <c r="B15087" s="16301"/>
      <c r="VHC15087" s="15002"/>
    </row>
    <row r="15088" spans="2:2 15069:15084" x14ac:dyDescent="0.3">
      <c r="B15088" s="16301"/>
      <c r="VHD15088" s="15003"/>
    </row>
    <row r="15089" spans="2:2 15085:15100" x14ac:dyDescent="0.3">
      <c r="B15089" s="16301"/>
      <c r="VHE15089" s="15004"/>
    </row>
    <row r="15090" spans="2:2 15085:15100" x14ac:dyDescent="0.3">
      <c r="B15090" s="16301"/>
      <c r="VHF15090" s="15005"/>
    </row>
    <row r="15091" spans="2:2 15085:15100" x14ac:dyDescent="0.3">
      <c r="B15091" s="16301"/>
      <c r="VHG15091" s="15006"/>
    </row>
    <row r="15092" spans="2:2 15085:15100" x14ac:dyDescent="0.3">
      <c r="B15092" s="16301"/>
      <c r="VHH15092" s="15007"/>
    </row>
    <row r="15093" spans="2:2 15085:15100" x14ac:dyDescent="0.3">
      <c r="B15093" s="16301"/>
      <c r="VHI15093" s="15008"/>
    </row>
    <row r="15094" spans="2:2 15085:15100" x14ac:dyDescent="0.3">
      <c r="B15094" s="16301"/>
      <c r="VHJ15094" s="15009"/>
    </row>
    <row r="15095" spans="2:2 15085:15100" x14ac:dyDescent="0.3">
      <c r="B15095" s="16301"/>
      <c r="VHK15095" s="15010"/>
    </row>
    <row r="15096" spans="2:2 15085:15100" x14ac:dyDescent="0.3">
      <c r="B15096" s="16301"/>
      <c r="VHL15096" s="15011"/>
    </row>
    <row r="15097" spans="2:2 15085:15100" x14ac:dyDescent="0.3">
      <c r="B15097" s="16301"/>
      <c r="VHM15097" s="15012"/>
    </row>
    <row r="15098" spans="2:2 15085:15100" x14ac:dyDescent="0.3">
      <c r="B15098" s="16301"/>
      <c r="VHN15098" s="15013"/>
    </row>
    <row r="15099" spans="2:2 15085:15100" x14ac:dyDescent="0.3">
      <c r="B15099" s="16301"/>
      <c r="VHO15099" s="15014"/>
    </row>
    <row r="15100" spans="2:2 15085:15100" x14ac:dyDescent="0.3">
      <c r="B15100" s="16301"/>
      <c r="VHP15100" s="15015"/>
    </row>
    <row r="15101" spans="2:2 15085:15100" x14ac:dyDescent="0.3">
      <c r="B15101" s="16301"/>
      <c r="VHQ15101" s="15016"/>
    </row>
    <row r="15102" spans="2:2 15085:15100" x14ac:dyDescent="0.3">
      <c r="B15102" s="16301"/>
      <c r="VHR15102" s="15017"/>
    </row>
    <row r="15103" spans="2:2 15085:15100" x14ac:dyDescent="0.3">
      <c r="B15103" s="16301"/>
      <c r="VHS15103" s="15018"/>
    </row>
    <row r="15104" spans="2:2 15085:15100" x14ac:dyDescent="0.3">
      <c r="B15104" s="16301"/>
      <c r="VHT15104" s="15019"/>
    </row>
    <row r="15105" spans="2:2 15101:15116" x14ac:dyDescent="0.3">
      <c r="B15105" s="16301"/>
      <c r="VHU15105" s="15020"/>
    </row>
    <row r="15106" spans="2:2 15101:15116" x14ac:dyDescent="0.3">
      <c r="B15106" s="16301"/>
      <c r="VHV15106" s="15021"/>
    </row>
    <row r="15107" spans="2:2 15101:15116" x14ac:dyDescent="0.3">
      <c r="B15107" s="16301"/>
      <c r="VHW15107" s="15022"/>
    </row>
    <row r="15108" spans="2:2 15101:15116" x14ac:dyDescent="0.3">
      <c r="B15108" s="16301"/>
      <c r="VHX15108" s="15023"/>
    </row>
    <row r="15109" spans="2:2 15101:15116" x14ac:dyDescent="0.3">
      <c r="B15109" s="16301"/>
      <c r="VHY15109" s="15024"/>
    </row>
    <row r="15110" spans="2:2 15101:15116" x14ac:dyDescent="0.3">
      <c r="B15110" s="16301"/>
      <c r="VHZ15110" s="15025"/>
    </row>
    <row r="15111" spans="2:2 15101:15116" x14ac:dyDescent="0.3">
      <c r="B15111" s="16301"/>
      <c r="VIA15111" s="15026"/>
    </row>
    <row r="15112" spans="2:2 15101:15116" x14ac:dyDescent="0.3">
      <c r="B15112" s="16301"/>
      <c r="VIB15112" s="15027"/>
    </row>
    <row r="15113" spans="2:2 15101:15116" x14ac:dyDescent="0.3">
      <c r="B15113" s="16301"/>
      <c r="VIC15113" s="15028"/>
    </row>
    <row r="15114" spans="2:2 15101:15116" x14ac:dyDescent="0.3">
      <c r="B15114" s="16301"/>
      <c r="VID15114" s="15029"/>
    </row>
    <row r="15115" spans="2:2 15101:15116" x14ac:dyDescent="0.3">
      <c r="B15115" s="16301"/>
      <c r="VIE15115" s="15030"/>
    </row>
    <row r="15116" spans="2:2 15101:15116" x14ac:dyDescent="0.3">
      <c r="B15116" s="16301"/>
      <c r="VIF15116" s="15031"/>
    </row>
    <row r="15117" spans="2:2 15101:15116" x14ac:dyDescent="0.3">
      <c r="B15117" s="16301"/>
      <c r="VIG15117" s="15032"/>
    </row>
    <row r="15118" spans="2:2 15101:15116" x14ac:dyDescent="0.3">
      <c r="B15118" s="16301"/>
      <c r="VIH15118" s="15033"/>
    </row>
    <row r="15119" spans="2:2 15101:15116" x14ac:dyDescent="0.3">
      <c r="B15119" s="16301"/>
      <c r="VII15119" s="15034"/>
    </row>
    <row r="15120" spans="2:2 15101:15116" x14ac:dyDescent="0.3">
      <c r="B15120" s="16301"/>
      <c r="VIJ15120" s="15035"/>
    </row>
    <row r="15121" spans="2:2 15117:15132" x14ac:dyDescent="0.3">
      <c r="B15121" s="16301"/>
      <c r="VIK15121" s="15036"/>
    </row>
    <row r="15122" spans="2:2 15117:15132" x14ac:dyDescent="0.3">
      <c r="B15122" s="16301"/>
      <c r="VIL15122" s="15037"/>
    </row>
    <row r="15123" spans="2:2 15117:15132" x14ac:dyDescent="0.3">
      <c r="B15123" s="16301"/>
      <c r="VIM15123" s="15038"/>
    </row>
    <row r="15124" spans="2:2 15117:15132" x14ac:dyDescent="0.3">
      <c r="B15124" s="16301"/>
      <c r="VIN15124" s="15039"/>
    </row>
    <row r="15125" spans="2:2 15117:15132" x14ac:dyDescent="0.3">
      <c r="B15125" s="16301"/>
      <c r="VIO15125" s="15040"/>
    </row>
    <row r="15126" spans="2:2 15117:15132" x14ac:dyDescent="0.3">
      <c r="B15126" s="16301"/>
      <c r="VIP15126" s="15041"/>
    </row>
    <row r="15127" spans="2:2 15117:15132" x14ac:dyDescent="0.3">
      <c r="B15127" s="16301"/>
      <c r="VIQ15127" s="15042"/>
    </row>
    <row r="15128" spans="2:2 15117:15132" x14ac:dyDescent="0.3">
      <c r="B15128" s="16301"/>
      <c r="VIR15128" s="15043"/>
    </row>
    <row r="15129" spans="2:2 15117:15132" x14ac:dyDescent="0.3">
      <c r="B15129" s="16301"/>
      <c r="VIS15129" s="15044"/>
    </row>
    <row r="15130" spans="2:2 15117:15132" x14ac:dyDescent="0.3">
      <c r="B15130" s="16301"/>
      <c r="VIT15130" s="15045"/>
    </row>
    <row r="15131" spans="2:2 15117:15132" x14ac:dyDescent="0.3">
      <c r="B15131" s="16301"/>
      <c r="VIU15131" s="15046"/>
    </row>
    <row r="15132" spans="2:2 15117:15132" x14ac:dyDescent="0.3">
      <c r="B15132" s="16301"/>
      <c r="VIV15132" s="15047"/>
    </row>
    <row r="15133" spans="2:2 15117:15132" x14ac:dyDescent="0.3">
      <c r="B15133" s="16301"/>
      <c r="VIW15133" s="15048"/>
    </row>
    <row r="15134" spans="2:2 15117:15132" x14ac:dyDescent="0.3">
      <c r="B15134" s="16301"/>
      <c r="VIX15134" s="15049"/>
    </row>
    <row r="15135" spans="2:2 15117:15132" x14ac:dyDescent="0.3">
      <c r="B15135" s="16301"/>
      <c r="VIY15135" s="15050"/>
    </row>
    <row r="15136" spans="2:2 15117:15132" x14ac:dyDescent="0.3">
      <c r="B15136" s="16301"/>
      <c r="VIZ15136" s="15051"/>
    </row>
    <row r="15137" spans="2:2 15133:15148" x14ac:dyDescent="0.3">
      <c r="B15137" s="16301"/>
      <c r="VJA15137" s="15052"/>
    </row>
    <row r="15138" spans="2:2 15133:15148" x14ac:dyDescent="0.3">
      <c r="B15138" s="16301"/>
      <c r="VJB15138" s="15053"/>
    </row>
    <row r="15139" spans="2:2 15133:15148" x14ac:dyDescent="0.3">
      <c r="B15139" s="16301"/>
      <c r="VJC15139" s="15054"/>
    </row>
    <row r="15140" spans="2:2 15133:15148" x14ac:dyDescent="0.3">
      <c r="B15140" s="16301"/>
      <c r="VJD15140" s="15055"/>
    </row>
    <row r="15141" spans="2:2 15133:15148" x14ac:dyDescent="0.3">
      <c r="B15141" s="16301"/>
      <c r="VJE15141" s="15056"/>
    </row>
    <row r="15142" spans="2:2 15133:15148" x14ac:dyDescent="0.3">
      <c r="B15142" s="16301"/>
      <c r="VJF15142" s="15057"/>
    </row>
    <row r="15143" spans="2:2 15133:15148" x14ac:dyDescent="0.3">
      <c r="B15143" s="16301"/>
      <c r="VJG15143" s="15058"/>
    </row>
    <row r="15144" spans="2:2 15133:15148" x14ac:dyDescent="0.3">
      <c r="B15144" s="16301"/>
      <c r="VJH15144" s="15059"/>
    </row>
    <row r="15145" spans="2:2 15133:15148" x14ac:dyDescent="0.3">
      <c r="B15145" s="16301"/>
      <c r="VJI15145" s="15060"/>
    </row>
    <row r="15146" spans="2:2 15133:15148" x14ac:dyDescent="0.3">
      <c r="B15146" s="16301"/>
      <c r="VJJ15146" s="15061"/>
    </row>
    <row r="15147" spans="2:2 15133:15148" x14ac:dyDescent="0.3">
      <c r="B15147" s="16301"/>
      <c r="VJK15147" s="15062"/>
    </row>
    <row r="15148" spans="2:2 15133:15148" x14ac:dyDescent="0.3">
      <c r="B15148" s="16301"/>
      <c r="VJL15148" s="15063"/>
    </row>
    <row r="15149" spans="2:2 15133:15148" x14ac:dyDescent="0.3">
      <c r="B15149" s="16301"/>
      <c r="VJM15149" s="15064"/>
    </row>
    <row r="15150" spans="2:2 15133:15148" x14ac:dyDescent="0.3">
      <c r="B15150" s="16301"/>
      <c r="VJN15150" s="15065"/>
    </row>
    <row r="15151" spans="2:2 15133:15148" x14ac:dyDescent="0.3">
      <c r="B15151" s="16301"/>
      <c r="VJO15151" s="15066"/>
    </row>
    <row r="15152" spans="2:2 15133:15148" x14ac:dyDescent="0.3">
      <c r="B15152" s="16301"/>
      <c r="VJP15152" s="15067"/>
    </row>
    <row r="15153" spans="2:2 15149:15164" x14ac:dyDescent="0.3">
      <c r="B15153" s="16301"/>
      <c r="VJQ15153" s="15068"/>
    </row>
    <row r="15154" spans="2:2 15149:15164" x14ac:dyDescent="0.3">
      <c r="B15154" s="16301"/>
      <c r="VJR15154" s="15069"/>
    </row>
    <row r="15155" spans="2:2 15149:15164" x14ac:dyDescent="0.3">
      <c r="B15155" s="16301"/>
      <c r="VJS15155" s="15070"/>
    </row>
    <row r="15156" spans="2:2 15149:15164" x14ac:dyDescent="0.3">
      <c r="B15156" s="16301"/>
      <c r="VJT15156" s="15071"/>
    </row>
    <row r="15157" spans="2:2 15149:15164" x14ac:dyDescent="0.3">
      <c r="B15157" s="16301"/>
      <c r="VJU15157" s="15072"/>
    </row>
    <row r="15158" spans="2:2 15149:15164" x14ac:dyDescent="0.3">
      <c r="B15158" s="16301"/>
      <c r="VJV15158" s="15073"/>
    </row>
    <row r="15159" spans="2:2 15149:15164" x14ac:dyDescent="0.3">
      <c r="B15159" s="16301"/>
      <c r="VJW15159" s="15074"/>
    </row>
    <row r="15160" spans="2:2 15149:15164" x14ac:dyDescent="0.3">
      <c r="B15160" s="16301"/>
      <c r="VJX15160" s="15075"/>
    </row>
    <row r="15161" spans="2:2 15149:15164" x14ac:dyDescent="0.3">
      <c r="B15161" s="16301"/>
      <c r="VJY15161" s="15076"/>
    </row>
    <row r="15162" spans="2:2 15149:15164" x14ac:dyDescent="0.3">
      <c r="B15162" s="16301"/>
      <c r="VJZ15162" s="15077"/>
    </row>
    <row r="15163" spans="2:2 15149:15164" x14ac:dyDescent="0.3">
      <c r="B15163" s="16301"/>
      <c r="VKA15163" s="15078"/>
    </row>
    <row r="15164" spans="2:2 15149:15164" x14ac:dyDescent="0.3">
      <c r="B15164" s="16301"/>
      <c r="VKB15164" s="15079"/>
    </row>
    <row r="15165" spans="2:2 15149:15164" x14ac:dyDescent="0.3">
      <c r="B15165" s="16301"/>
      <c r="VKC15165" s="15080"/>
    </row>
    <row r="15166" spans="2:2 15149:15164" x14ac:dyDescent="0.3">
      <c r="B15166" s="16301"/>
      <c r="VKD15166" s="15081"/>
    </row>
    <row r="15167" spans="2:2 15149:15164" x14ac:dyDescent="0.3">
      <c r="B15167" s="16301"/>
      <c r="VKE15167" s="15082"/>
    </row>
    <row r="15168" spans="2:2 15149:15164" x14ac:dyDescent="0.3">
      <c r="B15168" s="16301"/>
      <c r="VKF15168" s="15083"/>
    </row>
    <row r="15169" spans="2:2 15165:15180" x14ac:dyDescent="0.3">
      <c r="B15169" s="16301"/>
      <c r="VKG15169" s="15083"/>
    </row>
    <row r="15170" spans="2:2 15165:15180" x14ac:dyDescent="0.3">
      <c r="B15170" s="16301"/>
      <c r="VKH15170" s="15084"/>
    </row>
    <row r="15171" spans="2:2 15165:15180" x14ac:dyDescent="0.3">
      <c r="B15171" s="16301"/>
      <c r="VKI15171" s="15085"/>
    </row>
    <row r="15172" spans="2:2 15165:15180" x14ac:dyDescent="0.3">
      <c r="B15172" s="16301"/>
      <c r="VKJ15172" s="15086"/>
    </row>
    <row r="15173" spans="2:2 15165:15180" x14ac:dyDescent="0.3">
      <c r="B15173" s="16301"/>
      <c r="VKK15173" s="15087"/>
    </row>
    <row r="15174" spans="2:2 15165:15180" x14ac:dyDescent="0.3">
      <c r="B15174" s="16301"/>
      <c r="VKL15174" s="15088"/>
    </row>
    <row r="15175" spans="2:2 15165:15180" x14ac:dyDescent="0.3">
      <c r="B15175" s="16301"/>
      <c r="VKM15175" s="15089"/>
    </row>
    <row r="15176" spans="2:2 15165:15180" x14ac:dyDescent="0.3">
      <c r="B15176" s="16301"/>
      <c r="VKN15176" s="15090"/>
    </row>
    <row r="15177" spans="2:2 15165:15180" x14ac:dyDescent="0.3">
      <c r="B15177" s="16301"/>
      <c r="VKO15177" s="15091"/>
    </row>
    <row r="15178" spans="2:2 15165:15180" x14ac:dyDescent="0.3">
      <c r="B15178" s="16301"/>
      <c r="VKP15178" s="15092"/>
    </row>
    <row r="15179" spans="2:2 15165:15180" x14ac:dyDescent="0.3">
      <c r="B15179" s="16301"/>
      <c r="VKQ15179" s="15093"/>
    </row>
    <row r="15180" spans="2:2 15165:15180" x14ac:dyDescent="0.3">
      <c r="B15180" s="16301"/>
      <c r="VKR15180" s="15094"/>
    </row>
    <row r="15181" spans="2:2 15165:15180" x14ac:dyDescent="0.3">
      <c r="B15181" s="16301"/>
      <c r="VKS15181" s="15095"/>
    </row>
    <row r="15182" spans="2:2 15165:15180" x14ac:dyDescent="0.3">
      <c r="B15182" s="16301"/>
      <c r="VKT15182" s="15096"/>
    </row>
    <row r="15183" spans="2:2 15165:15180" x14ac:dyDescent="0.3">
      <c r="B15183" s="16301"/>
      <c r="VKU15183" s="15097"/>
    </row>
    <row r="15184" spans="2:2 15165:15180" x14ac:dyDescent="0.3">
      <c r="B15184" s="16301"/>
      <c r="VKV15184" s="15098"/>
    </row>
    <row r="15185" spans="2:2 15181:15196" x14ac:dyDescent="0.3">
      <c r="B15185" s="16301"/>
      <c r="VKW15185" s="15099"/>
    </row>
    <row r="15186" spans="2:2 15181:15196" x14ac:dyDescent="0.3">
      <c r="B15186" s="16301"/>
      <c r="VKX15186" s="15100"/>
    </row>
    <row r="15187" spans="2:2 15181:15196" x14ac:dyDescent="0.3">
      <c r="B15187" s="16301"/>
      <c r="VKY15187" s="15101"/>
    </row>
    <row r="15188" spans="2:2 15181:15196" x14ac:dyDescent="0.3">
      <c r="B15188" s="16301"/>
      <c r="VKZ15188" s="15102"/>
    </row>
    <row r="15189" spans="2:2 15181:15196" x14ac:dyDescent="0.3">
      <c r="B15189" s="16301"/>
      <c r="VLA15189" s="15103"/>
    </row>
    <row r="15190" spans="2:2 15181:15196" x14ac:dyDescent="0.3">
      <c r="B15190" s="16301"/>
      <c r="VLB15190" s="15104"/>
    </row>
    <row r="15191" spans="2:2 15181:15196" x14ac:dyDescent="0.3">
      <c r="B15191" s="16301"/>
      <c r="VLC15191" s="15105"/>
    </row>
    <row r="15192" spans="2:2 15181:15196" x14ac:dyDescent="0.3">
      <c r="B15192" s="16301"/>
      <c r="VLD15192" s="15106"/>
    </row>
    <row r="15193" spans="2:2 15181:15196" x14ac:dyDescent="0.3">
      <c r="B15193" s="16301"/>
      <c r="VLE15193" s="15107"/>
    </row>
    <row r="15194" spans="2:2 15181:15196" x14ac:dyDescent="0.3">
      <c r="B15194" s="16301"/>
      <c r="VLF15194" s="15108"/>
    </row>
    <row r="15195" spans="2:2 15181:15196" x14ac:dyDescent="0.3">
      <c r="B15195" s="16301"/>
      <c r="VLG15195" s="15109"/>
    </row>
    <row r="15196" spans="2:2 15181:15196" x14ac:dyDescent="0.3">
      <c r="B15196" s="16301"/>
      <c r="VLH15196" s="15110"/>
    </row>
    <row r="15197" spans="2:2 15181:15196" x14ac:dyDescent="0.3">
      <c r="B15197" s="16301"/>
      <c r="VLI15197" s="15111"/>
    </row>
    <row r="15198" spans="2:2 15181:15196" x14ac:dyDescent="0.3">
      <c r="B15198" s="16301"/>
      <c r="VLJ15198" s="15112"/>
    </row>
    <row r="15199" spans="2:2 15181:15196" x14ac:dyDescent="0.3">
      <c r="B15199" s="16301"/>
      <c r="VLK15199" s="15113"/>
    </row>
    <row r="15200" spans="2:2 15181:15196" x14ac:dyDescent="0.3">
      <c r="B15200" s="16301"/>
      <c r="VLL15200" s="15114"/>
    </row>
    <row r="15201" spans="2:2 15197:15212" x14ac:dyDescent="0.3">
      <c r="B15201" s="16301"/>
      <c r="VLM15201" s="15115"/>
    </row>
    <row r="15202" spans="2:2 15197:15212" x14ac:dyDescent="0.3">
      <c r="B15202" s="16301"/>
      <c r="VLN15202" s="15116"/>
    </row>
    <row r="15203" spans="2:2 15197:15212" x14ac:dyDescent="0.3">
      <c r="B15203" s="16301"/>
      <c r="VLO15203" s="15117"/>
    </row>
    <row r="15204" spans="2:2 15197:15212" x14ac:dyDescent="0.3">
      <c r="B15204" s="16301"/>
      <c r="VLP15204" s="15118"/>
    </row>
    <row r="15205" spans="2:2 15197:15212" x14ac:dyDescent="0.3">
      <c r="B15205" s="16301"/>
      <c r="VLQ15205" s="15119"/>
    </row>
    <row r="15206" spans="2:2 15197:15212" x14ac:dyDescent="0.3">
      <c r="B15206" s="16301"/>
      <c r="VLR15206" s="15120"/>
    </row>
    <row r="15207" spans="2:2 15197:15212" x14ac:dyDescent="0.3">
      <c r="B15207" s="16301"/>
      <c r="VLS15207" s="15121"/>
    </row>
    <row r="15208" spans="2:2 15197:15212" x14ac:dyDescent="0.3">
      <c r="B15208" s="16301"/>
      <c r="VLT15208" s="15122"/>
    </row>
    <row r="15209" spans="2:2 15197:15212" x14ac:dyDescent="0.3">
      <c r="B15209" s="16301"/>
      <c r="VLU15209" s="15123"/>
    </row>
    <row r="15210" spans="2:2 15197:15212" x14ac:dyDescent="0.3">
      <c r="B15210" s="16301"/>
      <c r="VLV15210" s="15124"/>
    </row>
    <row r="15211" spans="2:2 15197:15212" x14ac:dyDescent="0.3">
      <c r="B15211" s="16301"/>
      <c r="VLW15211" s="15125"/>
    </row>
    <row r="15212" spans="2:2 15197:15212" x14ac:dyDescent="0.3">
      <c r="B15212" s="16301"/>
      <c r="VLX15212" s="15126"/>
    </row>
    <row r="15213" spans="2:2 15197:15212" x14ac:dyDescent="0.3">
      <c r="B15213" s="16301"/>
      <c r="VLY15213" s="15127"/>
    </row>
    <row r="15214" spans="2:2 15197:15212" x14ac:dyDescent="0.3">
      <c r="B15214" s="16301"/>
      <c r="VLZ15214" s="15128"/>
    </row>
    <row r="15215" spans="2:2 15197:15212" x14ac:dyDescent="0.3">
      <c r="B15215" s="16301"/>
      <c r="VMA15215" s="15129"/>
    </row>
    <row r="15216" spans="2:2 15197:15212" x14ac:dyDescent="0.3">
      <c r="B15216" s="16301"/>
      <c r="VMB15216" s="15130"/>
    </row>
    <row r="15217" spans="2:2 15213:15228" x14ac:dyDescent="0.3">
      <c r="B15217" s="16301"/>
      <c r="VMC15217" s="15131"/>
    </row>
    <row r="15218" spans="2:2 15213:15228" x14ac:dyDescent="0.3">
      <c r="B15218" s="16301"/>
      <c r="VMD15218" s="15132"/>
    </row>
    <row r="15219" spans="2:2 15213:15228" x14ac:dyDescent="0.3">
      <c r="B15219" s="16301"/>
      <c r="VME15219" s="15133"/>
    </row>
    <row r="15220" spans="2:2 15213:15228" x14ac:dyDescent="0.3">
      <c r="B15220" s="16301"/>
      <c r="VMF15220" s="15134"/>
    </row>
    <row r="15221" spans="2:2 15213:15228" x14ac:dyDescent="0.3">
      <c r="B15221" s="16301"/>
      <c r="VMG15221" s="15135"/>
    </row>
    <row r="15222" spans="2:2 15213:15228" x14ac:dyDescent="0.3">
      <c r="B15222" s="16301"/>
      <c r="VMH15222" s="15136"/>
    </row>
    <row r="15223" spans="2:2 15213:15228" x14ac:dyDescent="0.3">
      <c r="B15223" s="16301"/>
      <c r="VMI15223" s="15137"/>
    </row>
    <row r="15224" spans="2:2 15213:15228" x14ac:dyDescent="0.3">
      <c r="B15224" s="16301"/>
      <c r="VMJ15224" s="15138"/>
    </row>
    <row r="15225" spans="2:2 15213:15228" x14ac:dyDescent="0.3">
      <c r="B15225" s="16301"/>
      <c r="VMK15225" s="15139"/>
    </row>
    <row r="15226" spans="2:2 15213:15228" x14ac:dyDescent="0.3">
      <c r="B15226" s="16301"/>
      <c r="VML15226" s="15140"/>
    </row>
    <row r="15227" spans="2:2 15213:15228" x14ac:dyDescent="0.3">
      <c r="B15227" s="16301"/>
      <c r="VMM15227" s="15141"/>
    </row>
    <row r="15228" spans="2:2 15213:15228" x14ac:dyDescent="0.3">
      <c r="B15228" s="16301"/>
      <c r="VMN15228" s="15142"/>
    </row>
    <row r="15229" spans="2:2 15213:15228" x14ac:dyDescent="0.3">
      <c r="B15229" s="16301"/>
      <c r="VMO15229" s="15143"/>
    </row>
    <row r="15230" spans="2:2 15213:15228" x14ac:dyDescent="0.3">
      <c r="B15230" s="16301"/>
      <c r="VMP15230" s="15144"/>
    </row>
    <row r="15231" spans="2:2 15213:15228" x14ac:dyDescent="0.3">
      <c r="B15231" s="16301"/>
      <c r="VMQ15231" s="15145"/>
    </row>
    <row r="15232" spans="2:2 15213:15228" x14ac:dyDescent="0.3">
      <c r="B15232" s="16301"/>
      <c r="VMR15232" s="15146"/>
    </row>
    <row r="15233" spans="2:2 15229:15244" x14ac:dyDescent="0.3">
      <c r="B15233" s="16301"/>
      <c r="VMS15233" s="15147"/>
    </row>
    <row r="15234" spans="2:2 15229:15244" x14ac:dyDescent="0.3">
      <c r="B15234" s="16301"/>
      <c r="VMT15234" s="15148"/>
    </row>
    <row r="15235" spans="2:2 15229:15244" x14ac:dyDescent="0.3">
      <c r="B15235" s="16301"/>
      <c r="VMU15235" s="15149"/>
    </row>
    <row r="15236" spans="2:2 15229:15244" x14ac:dyDescent="0.3">
      <c r="B15236" s="16301"/>
      <c r="VMV15236" s="15150"/>
    </row>
    <row r="15237" spans="2:2 15229:15244" x14ac:dyDescent="0.3">
      <c r="B15237" s="16301"/>
      <c r="VMW15237" s="15151"/>
    </row>
    <row r="15238" spans="2:2 15229:15244" x14ac:dyDescent="0.3">
      <c r="B15238" s="16301"/>
      <c r="VMX15238" s="15152"/>
    </row>
    <row r="15239" spans="2:2 15229:15244" x14ac:dyDescent="0.3">
      <c r="B15239" s="16301"/>
      <c r="VMY15239" s="15153"/>
    </row>
    <row r="15240" spans="2:2 15229:15244" x14ac:dyDescent="0.3">
      <c r="B15240" s="16301"/>
      <c r="VMZ15240" s="15154"/>
    </row>
    <row r="15241" spans="2:2 15229:15244" x14ac:dyDescent="0.3">
      <c r="B15241" s="16301"/>
      <c r="VNA15241" s="15155"/>
    </row>
    <row r="15242" spans="2:2 15229:15244" x14ac:dyDescent="0.3">
      <c r="B15242" s="16301"/>
      <c r="VNB15242" s="15156"/>
    </row>
    <row r="15243" spans="2:2 15229:15244" x14ac:dyDescent="0.3">
      <c r="B15243" s="16301"/>
      <c r="VNC15243" s="15157"/>
    </row>
    <row r="15244" spans="2:2 15229:15244" x14ac:dyDescent="0.3">
      <c r="B15244" s="16301"/>
      <c r="VND15244" s="15158"/>
    </row>
    <row r="15245" spans="2:2 15229:15244" x14ac:dyDescent="0.3">
      <c r="B15245" s="16301"/>
      <c r="VNE15245" s="15159"/>
    </row>
    <row r="15246" spans="2:2 15229:15244" x14ac:dyDescent="0.3">
      <c r="B15246" s="16301"/>
      <c r="VNF15246" s="15160"/>
    </row>
    <row r="15247" spans="2:2 15229:15244" x14ac:dyDescent="0.3">
      <c r="B15247" s="16301"/>
      <c r="VNG15247" s="15161"/>
    </row>
    <row r="15248" spans="2:2 15229:15244" x14ac:dyDescent="0.3">
      <c r="B15248" s="16301"/>
      <c r="VNH15248" s="15162"/>
    </row>
    <row r="15249" spans="2:2 15245:15260" x14ac:dyDescent="0.3">
      <c r="B15249" s="16301"/>
      <c r="VNI15249" s="15163"/>
    </row>
    <row r="15250" spans="2:2 15245:15260" x14ac:dyDescent="0.3">
      <c r="B15250" s="16301"/>
      <c r="VNJ15250" s="15164"/>
    </row>
    <row r="15251" spans="2:2 15245:15260" x14ac:dyDescent="0.3">
      <c r="B15251" s="16301"/>
      <c r="VNK15251" s="15165"/>
    </row>
    <row r="15252" spans="2:2 15245:15260" x14ac:dyDescent="0.3">
      <c r="B15252" s="16301"/>
      <c r="VNL15252" s="15166"/>
    </row>
    <row r="15253" spans="2:2 15245:15260" x14ac:dyDescent="0.3">
      <c r="B15253" s="16301"/>
      <c r="VNM15253" s="15167"/>
    </row>
    <row r="15254" spans="2:2 15245:15260" x14ac:dyDescent="0.3">
      <c r="B15254" s="16301"/>
      <c r="VNN15254" s="15168"/>
    </row>
    <row r="15255" spans="2:2 15245:15260" x14ac:dyDescent="0.3">
      <c r="B15255" s="16301"/>
      <c r="VNO15255" s="15169"/>
    </row>
    <row r="15256" spans="2:2 15245:15260" x14ac:dyDescent="0.3">
      <c r="B15256" s="16301"/>
      <c r="VNP15256" s="15170"/>
    </row>
    <row r="15257" spans="2:2 15245:15260" x14ac:dyDescent="0.3">
      <c r="B15257" s="16301"/>
      <c r="VNQ15257" s="15171"/>
    </row>
    <row r="15258" spans="2:2 15245:15260" x14ac:dyDescent="0.3">
      <c r="B15258" s="16301"/>
      <c r="VNR15258" s="15172"/>
    </row>
    <row r="15259" spans="2:2 15245:15260" x14ac:dyDescent="0.3">
      <c r="B15259" s="16301"/>
      <c r="VNS15259" s="15173"/>
    </row>
    <row r="15260" spans="2:2 15245:15260" x14ac:dyDescent="0.3">
      <c r="B15260" s="16301"/>
      <c r="VNT15260" s="15174"/>
    </row>
    <row r="15261" spans="2:2 15245:15260" x14ac:dyDescent="0.3">
      <c r="B15261" s="16301"/>
      <c r="VNU15261" s="15175"/>
    </row>
    <row r="15262" spans="2:2 15245:15260" x14ac:dyDescent="0.3">
      <c r="B15262" s="16301"/>
      <c r="VNV15262" s="15176"/>
    </row>
    <row r="15263" spans="2:2 15245:15260" x14ac:dyDescent="0.3">
      <c r="B15263" s="16301"/>
      <c r="VNW15263" s="15177"/>
    </row>
    <row r="15264" spans="2:2 15245:15260" x14ac:dyDescent="0.3">
      <c r="B15264" s="16301"/>
      <c r="VNX15264" s="15178"/>
    </row>
    <row r="15265" spans="2:2 15261:15276" x14ac:dyDescent="0.3">
      <c r="B15265" s="16301"/>
      <c r="VNY15265" s="15179"/>
    </row>
    <row r="15266" spans="2:2 15261:15276" x14ac:dyDescent="0.3">
      <c r="B15266" s="16301"/>
      <c r="VNZ15266" s="15180"/>
    </row>
    <row r="15267" spans="2:2 15261:15276" x14ac:dyDescent="0.3">
      <c r="B15267" s="16301"/>
      <c r="VOA15267" s="15181"/>
    </row>
    <row r="15268" spans="2:2 15261:15276" x14ac:dyDescent="0.3">
      <c r="B15268" s="16301"/>
      <c r="VOB15268" s="15182"/>
    </row>
    <row r="15269" spans="2:2 15261:15276" x14ac:dyDescent="0.3">
      <c r="B15269" s="16301"/>
      <c r="VOC15269" s="15183"/>
    </row>
    <row r="15270" spans="2:2 15261:15276" x14ac:dyDescent="0.3">
      <c r="B15270" s="16301"/>
      <c r="VOD15270" s="15184"/>
    </row>
    <row r="15271" spans="2:2 15261:15276" x14ac:dyDescent="0.3">
      <c r="B15271" s="16301"/>
      <c r="VOE15271" s="15185"/>
    </row>
    <row r="15272" spans="2:2 15261:15276" x14ac:dyDescent="0.3">
      <c r="B15272" s="16301"/>
      <c r="VOF15272" s="15186"/>
    </row>
    <row r="15273" spans="2:2 15261:15276" x14ac:dyDescent="0.3">
      <c r="B15273" s="16301"/>
      <c r="VOG15273" s="15187"/>
    </row>
    <row r="15274" spans="2:2 15261:15276" x14ac:dyDescent="0.3">
      <c r="B15274" s="16301"/>
      <c r="VOH15274" s="15188"/>
    </row>
    <row r="15275" spans="2:2 15261:15276" x14ac:dyDescent="0.3">
      <c r="B15275" s="16301"/>
      <c r="VOI15275" s="15189"/>
    </row>
    <row r="15276" spans="2:2 15261:15276" x14ac:dyDescent="0.3">
      <c r="B15276" s="16301"/>
      <c r="VOJ15276" s="15190"/>
    </row>
    <row r="15277" spans="2:2 15261:15276" x14ac:dyDescent="0.3">
      <c r="B15277" s="16301"/>
      <c r="VOK15277" s="15191"/>
    </row>
    <row r="15278" spans="2:2 15261:15276" x14ac:dyDescent="0.3">
      <c r="B15278" s="16301"/>
      <c r="VOL15278" s="15192"/>
    </row>
    <row r="15279" spans="2:2 15261:15276" x14ac:dyDescent="0.3">
      <c r="B15279" s="16301"/>
      <c r="VOM15279" s="15193"/>
    </row>
    <row r="15280" spans="2:2 15261:15276" x14ac:dyDescent="0.3">
      <c r="B15280" s="16301"/>
      <c r="VON15280" s="15194"/>
    </row>
    <row r="15281" spans="2:2 15277:15292" x14ac:dyDescent="0.3">
      <c r="B15281" s="16301"/>
      <c r="VOO15281" s="15195"/>
    </row>
    <row r="15282" spans="2:2 15277:15292" x14ac:dyDescent="0.3">
      <c r="B15282" s="16301"/>
      <c r="VOP15282" s="15196"/>
    </row>
    <row r="15283" spans="2:2 15277:15292" x14ac:dyDescent="0.3">
      <c r="B15283" s="16301"/>
      <c r="VOQ15283" s="15197"/>
    </row>
    <row r="15284" spans="2:2 15277:15292" x14ac:dyDescent="0.3">
      <c r="B15284" s="16301"/>
      <c r="VOR15284" s="15198"/>
    </row>
    <row r="15285" spans="2:2 15277:15292" x14ac:dyDescent="0.3">
      <c r="B15285" s="16301"/>
      <c r="VOS15285" s="15199"/>
    </row>
    <row r="15286" spans="2:2 15277:15292" x14ac:dyDescent="0.3">
      <c r="B15286" s="16301"/>
      <c r="VOT15286" s="15200"/>
    </row>
    <row r="15287" spans="2:2 15277:15292" x14ac:dyDescent="0.3">
      <c r="B15287" s="16301"/>
      <c r="VOU15287" s="15201"/>
    </row>
    <row r="15288" spans="2:2 15277:15292" x14ac:dyDescent="0.3">
      <c r="B15288" s="16301"/>
      <c r="VOV15288" s="15202"/>
    </row>
    <row r="15289" spans="2:2 15277:15292" x14ac:dyDescent="0.3">
      <c r="B15289" s="16301"/>
      <c r="VOW15289" s="15203"/>
    </row>
    <row r="15290" spans="2:2 15277:15292" x14ac:dyDescent="0.3">
      <c r="B15290" s="16301"/>
      <c r="VOX15290" s="15204"/>
    </row>
    <row r="15291" spans="2:2 15277:15292" x14ac:dyDescent="0.3">
      <c r="B15291" s="16301"/>
      <c r="VOY15291" s="15205"/>
    </row>
    <row r="15292" spans="2:2 15277:15292" x14ac:dyDescent="0.3">
      <c r="B15292" s="16301"/>
      <c r="VOZ15292" s="15206"/>
    </row>
    <row r="15293" spans="2:2 15277:15292" x14ac:dyDescent="0.3">
      <c r="B15293" s="16301"/>
      <c r="VPA15293" s="15207"/>
    </row>
    <row r="15294" spans="2:2 15277:15292" x14ac:dyDescent="0.3">
      <c r="B15294" s="16301"/>
      <c r="VPB15294" s="15208"/>
    </row>
    <row r="15295" spans="2:2 15277:15292" x14ac:dyDescent="0.3">
      <c r="B15295" s="16301"/>
      <c r="VPC15295" s="15209"/>
    </row>
    <row r="15296" spans="2:2 15277:15292" x14ac:dyDescent="0.3">
      <c r="B15296" s="16301"/>
      <c r="VPD15296" s="15210"/>
    </row>
    <row r="15297" spans="2:2 15293:15308" x14ac:dyDescent="0.3">
      <c r="B15297" s="16301"/>
      <c r="VPE15297" s="15211"/>
    </row>
    <row r="15298" spans="2:2 15293:15308" x14ac:dyDescent="0.3">
      <c r="B15298" s="16301"/>
      <c r="VPF15298" s="15212"/>
    </row>
    <row r="15299" spans="2:2 15293:15308" x14ac:dyDescent="0.3">
      <c r="B15299" s="16301"/>
      <c r="VPG15299" s="15213"/>
    </row>
    <row r="15300" spans="2:2 15293:15308" x14ac:dyDescent="0.3">
      <c r="B15300" s="16301"/>
      <c r="VPH15300" s="15214"/>
    </row>
    <row r="15301" spans="2:2 15293:15308" x14ac:dyDescent="0.3">
      <c r="B15301" s="16301"/>
      <c r="VPI15301" s="15215"/>
    </row>
    <row r="15302" spans="2:2 15293:15308" x14ac:dyDescent="0.3">
      <c r="B15302" s="16301"/>
      <c r="VPJ15302" s="15216"/>
    </row>
    <row r="15303" spans="2:2 15293:15308" x14ac:dyDescent="0.3">
      <c r="B15303" s="16301"/>
      <c r="VPK15303" s="15217"/>
    </row>
    <row r="15304" spans="2:2 15293:15308" x14ac:dyDescent="0.3">
      <c r="B15304" s="16301"/>
      <c r="VPL15304" s="15218"/>
    </row>
    <row r="15305" spans="2:2 15293:15308" x14ac:dyDescent="0.3">
      <c r="B15305" s="16301"/>
      <c r="VPM15305" s="15219"/>
    </row>
    <row r="15306" spans="2:2 15293:15308" x14ac:dyDescent="0.3">
      <c r="B15306" s="16301"/>
      <c r="VPN15306" s="15220"/>
    </row>
    <row r="15307" spans="2:2 15293:15308" x14ac:dyDescent="0.3">
      <c r="B15307" s="16301"/>
      <c r="VPO15307" s="15221"/>
    </row>
    <row r="15308" spans="2:2 15293:15308" x14ac:dyDescent="0.3">
      <c r="B15308" s="16301"/>
      <c r="VPP15308" s="15222"/>
    </row>
    <row r="15309" spans="2:2 15293:15308" x14ac:dyDescent="0.3">
      <c r="B15309" s="16301"/>
      <c r="VPQ15309" s="15223"/>
    </row>
    <row r="15310" spans="2:2 15293:15308" x14ac:dyDescent="0.3">
      <c r="B15310" s="16301"/>
      <c r="VPR15310" s="15224"/>
    </row>
    <row r="15311" spans="2:2 15293:15308" x14ac:dyDescent="0.3">
      <c r="B15311" s="16301"/>
      <c r="VPS15311" s="15225"/>
    </row>
    <row r="15312" spans="2:2 15293:15308" x14ac:dyDescent="0.3">
      <c r="B15312" s="16301"/>
      <c r="VPT15312" s="15226"/>
    </row>
    <row r="15313" spans="2:2 15309:15324" x14ac:dyDescent="0.3">
      <c r="B15313" s="16301"/>
      <c r="VPU15313" s="15227"/>
    </row>
    <row r="15314" spans="2:2 15309:15324" x14ac:dyDescent="0.3">
      <c r="B15314" s="16301"/>
      <c r="VPV15314" s="15228"/>
    </row>
    <row r="15315" spans="2:2 15309:15324" x14ac:dyDescent="0.3">
      <c r="B15315" s="16301"/>
      <c r="VPW15315" s="15229"/>
    </row>
    <row r="15316" spans="2:2 15309:15324" x14ac:dyDescent="0.3">
      <c r="B15316" s="16301"/>
      <c r="VPX15316" s="15230"/>
    </row>
    <row r="15317" spans="2:2 15309:15324" x14ac:dyDescent="0.3">
      <c r="B15317" s="16301"/>
      <c r="VPY15317" s="15231"/>
    </row>
    <row r="15318" spans="2:2 15309:15324" x14ac:dyDescent="0.3">
      <c r="B15318" s="16301"/>
      <c r="VPZ15318" s="15232"/>
    </row>
    <row r="15319" spans="2:2 15309:15324" x14ac:dyDescent="0.3">
      <c r="B15319" s="16301"/>
      <c r="VQA15319" s="15233"/>
    </row>
    <row r="15320" spans="2:2 15309:15324" x14ac:dyDescent="0.3">
      <c r="B15320" s="16301"/>
      <c r="VQB15320" s="15234"/>
    </row>
    <row r="15321" spans="2:2 15309:15324" x14ac:dyDescent="0.3">
      <c r="B15321" s="16301"/>
      <c r="VQC15321" s="15235"/>
    </row>
    <row r="15322" spans="2:2 15309:15324" x14ac:dyDescent="0.3">
      <c r="B15322" s="16301"/>
      <c r="VQD15322" s="15236"/>
    </row>
    <row r="15323" spans="2:2 15309:15324" x14ac:dyDescent="0.3">
      <c r="B15323" s="16301"/>
      <c r="VQE15323" s="15237"/>
    </row>
    <row r="15324" spans="2:2 15309:15324" x14ac:dyDescent="0.3">
      <c r="B15324" s="16301"/>
      <c r="VQF15324" s="15238"/>
    </row>
    <row r="15325" spans="2:2 15309:15324" x14ac:dyDescent="0.3">
      <c r="B15325" s="16301"/>
      <c r="VQG15325" s="15239"/>
    </row>
    <row r="15326" spans="2:2 15309:15324" x14ac:dyDescent="0.3">
      <c r="B15326" s="16301"/>
      <c r="VQH15326" s="15240"/>
    </row>
    <row r="15327" spans="2:2 15309:15324" x14ac:dyDescent="0.3">
      <c r="B15327" s="16301"/>
      <c r="VQI15327" s="15241"/>
    </row>
    <row r="15328" spans="2:2 15309:15324" x14ac:dyDescent="0.3">
      <c r="B15328" s="16301"/>
      <c r="VQJ15328" s="15242"/>
    </row>
    <row r="15329" spans="2:2 15325:15340" x14ac:dyDescent="0.3">
      <c r="B15329" s="16301"/>
      <c r="VQK15329" s="15243"/>
    </row>
    <row r="15330" spans="2:2 15325:15340" x14ac:dyDescent="0.3">
      <c r="B15330" s="16301"/>
      <c r="VQL15330" s="15244"/>
    </row>
    <row r="15331" spans="2:2 15325:15340" x14ac:dyDescent="0.3">
      <c r="B15331" s="16301"/>
      <c r="VQM15331" s="15245"/>
    </row>
    <row r="15332" spans="2:2 15325:15340" x14ac:dyDescent="0.3">
      <c r="B15332" s="16301"/>
      <c r="VQN15332" s="15246"/>
    </row>
    <row r="15333" spans="2:2 15325:15340" x14ac:dyDescent="0.3">
      <c r="B15333" s="16301"/>
      <c r="VQO15333" s="15247"/>
    </row>
    <row r="15334" spans="2:2 15325:15340" x14ac:dyDescent="0.3">
      <c r="B15334" s="16301"/>
      <c r="VQP15334" s="15248"/>
    </row>
    <row r="15335" spans="2:2 15325:15340" x14ac:dyDescent="0.3">
      <c r="B15335" s="16301"/>
      <c r="VQQ15335" s="15249"/>
    </row>
    <row r="15336" spans="2:2 15325:15340" x14ac:dyDescent="0.3">
      <c r="B15336" s="16301"/>
      <c r="VQR15336" s="15250"/>
    </row>
    <row r="15337" spans="2:2 15325:15340" x14ac:dyDescent="0.3">
      <c r="B15337" s="16301"/>
      <c r="VQS15337" s="15251"/>
    </row>
    <row r="15338" spans="2:2 15325:15340" x14ac:dyDescent="0.3">
      <c r="B15338" s="16301"/>
      <c r="VQT15338" s="15252"/>
    </row>
    <row r="15339" spans="2:2 15325:15340" x14ac:dyDescent="0.3">
      <c r="B15339" s="16301"/>
      <c r="VQU15339" s="15253"/>
    </row>
    <row r="15340" spans="2:2 15325:15340" x14ac:dyDescent="0.3">
      <c r="B15340" s="16301"/>
      <c r="VQV15340" s="15254"/>
    </row>
    <row r="15341" spans="2:2 15325:15340" x14ac:dyDescent="0.3">
      <c r="B15341" s="16301"/>
      <c r="VQW15341" s="15255"/>
    </row>
    <row r="15342" spans="2:2 15325:15340" x14ac:dyDescent="0.3">
      <c r="B15342" s="16301"/>
      <c r="VQX15342" s="15256"/>
    </row>
    <row r="15343" spans="2:2 15325:15340" x14ac:dyDescent="0.3">
      <c r="B15343" s="16301"/>
      <c r="VQY15343" s="15257"/>
    </row>
    <row r="15344" spans="2:2 15325:15340" x14ac:dyDescent="0.3">
      <c r="B15344" s="16301"/>
      <c r="VQZ15344" s="15258"/>
    </row>
    <row r="15345" spans="2:2 15341:15356" x14ac:dyDescent="0.3">
      <c r="B15345" s="16301"/>
      <c r="VRA15345" s="15259"/>
    </row>
    <row r="15346" spans="2:2 15341:15356" x14ac:dyDescent="0.3">
      <c r="B15346" s="16301"/>
      <c r="VRB15346" s="15260"/>
    </row>
    <row r="15347" spans="2:2 15341:15356" x14ac:dyDescent="0.3">
      <c r="B15347" s="16301"/>
      <c r="VRC15347" s="15261"/>
    </row>
    <row r="15348" spans="2:2 15341:15356" x14ac:dyDescent="0.3">
      <c r="B15348" s="16301"/>
      <c r="VRD15348" s="15262"/>
    </row>
    <row r="15349" spans="2:2 15341:15356" x14ac:dyDescent="0.3">
      <c r="B15349" s="16301"/>
      <c r="VRE15349" s="15263"/>
    </row>
    <row r="15350" spans="2:2 15341:15356" x14ac:dyDescent="0.3">
      <c r="B15350" s="16301"/>
      <c r="VRF15350" s="15264"/>
    </row>
    <row r="15351" spans="2:2 15341:15356" x14ac:dyDescent="0.3">
      <c r="B15351" s="16301"/>
      <c r="VRG15351" s="15265"/>
    </row>
    <row r="15352" spans="2:2 15341:15356" x14ac:dyDescent="0.3">
      <c r="B15352" s="16301"/>
      <c r="VRH15352" s="15266"/>
    </row>
    <row r="15353" spans="2:2 15341:15356" x14ac:dyDescent="0.3">
      <c r="B15353" s="16301"/>
      <c r="VRI15353" s="15267"/>
    </row>
    <row r="15354" spans="2:2 15341:15356" x14ac:dyDescent="0.3">
      <c r="B15354" s="16301"/>
      <c r="VRJ15354" s="15268"/>
    </row>
    <row r="15355" spans="2:2 15341:15356" x14ac:dyDescent="0.3">
      <c r="B15355" s="16301"/>
      <c r="VRK15355" s="15269"/>
    </row>
    <row r="15356" spans="2:2 15341:15356" x14ac:dyDescent="0.3">
      <c r="B15356" s="16301"/>
      <c r="VRL15356" s="15270"/>
    </row>
    <row r="15357" spans="2:2 15341:15356" x14ac:dyDescent="0.3">
      <c r="B15357" s="16301"/>
      <c r="VRM15357" s="15271"/>
    </row>
    <row r="15358" spans="2:2 15341:15356" x14ac:dyDescent="0.3">
      <c r="B15358" s="16301"/>
      <c r="VRN15358" s="15272"/>
    </row>
    <row r="15359" spans="2:2 15341:15356" x14ac:dyDescent="0.3">
      <c r="B15359" s="16301"/>
      <c r="VRO15359" s="15273"/>
    </row>
    <row r="15360" spans="2:2 15341:15356" x14ac:dyDescent="0.3">
      <c r="B15360" s="16301"/>
      <c r="VRP15360" s="15274"/>
    </row>
    <row r="15361" spans="2:2 15357:15372" x14ac:dyDescent="0.3">
      <c r="B15361" s="16301"/>
      <c r="VRQ15361" s="15275"/>
    </row>
    <row r="15362" spans="2:2 15357:15372" x14ac:dyDescent="0.3">
      <c r="B15362" s="16301"/>
      <c r="VRR15362" s="15276"/>
    </row>
    <row r="15363" spans="2:2 15357:15372" x14ac:dyDescent="0.3">
      <c r="B15363" s="16301"/>
      <c r="VRS15363" s="15277"/>
    </row>
    <row r="15364" spans="2:2 15357:15372" x14ac:dyDescent="0.3">
      <c r="B15364" s="16301"/>
      <c r="VRT15364" s="15278"/>
    </row>
    <row r="15365" spans="2:2 15357:15372" x14ac:dyDescent="0.3">
      <c r="B15365" s="16301"/>
      <c r="VRU15365" s="15279"/>
    </row>
    <row r="15366" spans="2:2 15357:15372" x14ac:dyDescent="0.3">
      <c r="B15366" s="16301"/>
      <c r="VRV15366" s="15280"/>
    </row>
    <row r="15367" spans="2:2 15357:15372" x14ac:dyDescent="0.3">
      <c r="B15367" s="16301"/>
      <c r="VRW15367" s="15281"/>
    </row>
    <row r="15368" spans="2:2 15357:15372" x14ac:dyDescent="0.3">
      <c r="B15368" s="16301"/>
      <c r="VRX15368" s="15282"/>
    </row>
    <row r="15369" spans="2:2 15357:15372" x14ac:dyDescent="0.3">
      <c r="B15369" s="16301"/>
      <c r="VRY15369" s="15283"/>
    </row>
    <row r="15370" spans="2:2 15357:15372" x14ac:dyDescent="0.3">
      <c r="B15370" s="16301"/>
      <c r="VRZ15370" s="15284"/>
    </row>
    <row r="15371" spans="2:2 15357:15372" x14ac:dyDescent="0.3">
      <c r="B15371" s="16301"/>
      <c r="VSA15371" s="15285"/>
    </row>
    <row r="15372" spans="2:2 15357:15372" x14ac:dyDescent="0.3">
      <c r="B15372" s="16301"/>
      <c r="VSB15372" s="15286"/>
    </row>
    <row r="15373" spans="2:2 15357:15372" x14ac:dyDescent="0.3">
      <c r="B15373" s="16301"/>
      <c r="VSC15373" s="15287"/>
    </row>
    <row r="15374" spans="2:2 15357:15372" x14ac:dyDescent="0.3">
      <c r="B15374" s="16301"/>
      <c r="VSD15374" s="15288"/>
    </row>
    <row r="15375" spans="2:2 15357:15372" x14ac:dyDescent="0.3">
      <c r="B15375" s="16301"/>
      <c r="VSE15375" s="15289"/>
    </row>
    <row r="15376" spans="2:2 15357:15372" x14ac:dyDescent="0.3">
      <c r="B15376" s="16301"/>
      <c r="VSF15376" s="15290"/>
    </row>
    <row r="15377" spans="2:2 15373:15388" x14ac:dyDescent="0.3">
      <c r="B15377" s="16301"/>
      <c r="VSG15377" s="15291"/>
    </row>
    <row r="15378" spans="2:2 15373:15388" x14ac:dyDescent="0.3">
      <c r="B15378" s="16301"/>
      <c r="VSH15378" s="15292"/>
    </row>
    <row r="15379" spans="2:2 15373:15388" x14ac:dyDescent="0.3">
      <c r="B15379" s="16301"/>
      <c r="VSI15379" s="15293"/>
    </row>
    <row r="15380" spans="2:2 15373:15388" x14ac:dyDescent="0.3">
      <c r="B15380" s="16301"/>
      <c r="VSJ15380" s="15294"/>
    </row>
    <row r="15381" spans="2:2 15373:15388" x14ac:dyDescent="0.3">
      <c r="B15381" s="16301"/>
      <c r="VSK15381" s="15295"/>
    </row>
    <row r="15382" spans="2:2 15373:15388" x14ac:dyDescent="0.3">
      <c r="B15382" s="16301"/>
      <c r="VSL15382" s="15296"/>
    </row>
    <row r="15383" spans="2:2 15373:15388" x14ac:dyDescent="0.3">
      <c r="B15383" s="16301"/>
      <c r="VSM15383" s="15297"/>
    </row>
    <row r="15384" spans="2:2 15373:15388" x14ac:dyDescent="0.3">
      <c r="B15384" s="16301"/>
      <c r="VSN15384" s="15298"/>
    </row>
    <row r="15385" spans="2:2 15373:15388" x14ac:dyDescent="0.3">
      <c r="B15385" s="16301"/>
      <c r="VSO15385" s="15299"/>
    </row>
    <row r="15386" spans="2:2 15373:15388" x14ac:dyDescent="0.3">
      <c r="B15386" s="16301"/>
      <c r="VSP15386" s="15300"/>
    </row>
    <row r="15387" spans="2:2 15373:15388" x14ac:dyDescent="0.3">
      <c r="B15387" s="16301"/>
      <c r="VSQ15387" s="15301"/>
    </row>
    <row r="15388" spans="2:2 15373:15388" x14ac:dyDescent="0.3">
      <c r="B15388" s="16301"/>
      <c r="VSR15388" s="15302"/>
    </row>
    <row r="15389" spans="2:2 15373:15388" x14ac:dyDescent="0.3">
      <c r="B15389" s="16301"/>
      <c r="VSS15389" s="15303"/>
    </row>
    <row r="15390" spans="2:2 15373:15388" x14ac:dyDescent="0.3">
      <c r="B15390" s="16301"/>
      <c r="VST15390" s="15304"/>
    </row>
    <row r="15391" spans="2:2 15373:15388" x14ac:dyDescent="0.3">
      <c r="B15391" s="16301"/>
      <c r="VSU15391" s="15305"/>
    </row>
    <row r="15392" spans="2:2 15373:15388" x14ac:dyDescent="0.3">
      <c r="B15392" s="16301"/>
      <c r="VSV15392" s="15306"/>
    </row>
    <row r="15393" spans="2:2 15389:15404" x14ac:dyDescent="0.3">
      <c r="B15393" s="16301"/>
      <c r="VSW15393" s="15307"/>
    </row>
    <row r="15394" spans="2:2 15389:15404" x14ac:dyDescent="0.3">
      <c r="B15394" s="16301"/>
      <c r="VSX15394" s="15308"/>
    </row>
    <row r="15395" spans="2:2 15389:15404" x14ac:dyDescent="0.3">
      <c r="B15395" s="16301"/>
      <c r="VSY15395" s="15309"/>
    </row>
    <row r="15396" spans="2:2 15389:15404" x14ac:dyDescent="0.3">
      <c r="B15396" s="16301"/>
      <c r="VSZ15396" s="15310"/>
    </row>
    <row r="15397" spans="2:2 15389:15404" x14ac:dyDescent="0.3">
      <c r="B15397" s="16301"/>
      <c r="VTA15397" s="15311"/>
    </row>
    <row r="15398" spans="2:2 15389:15404" x14ac:dyDescent="0.3">
      <c r="B15398" s="16301"/>
      <c r="VTB15398" s="15312"/>
    </row>
    <row r="15399" spans="2:2 15389:15404" x14ac:dyDescent="0.3">
      <c r="B15399" s="16301"/>
      <c r="VTC15399" s="15313"/>
    </row>
    <row r="15400" spans="2:2 15389:15404" x14ac:dyDescent="0.3">
      <c r="B15400" s="16301"/>
      <c r="VTD15400" s="15314"/>
    </row>
    <row r="15401" spans="2:2 15389:15404" x14ac:dyDescent="0.3">
      <c r="B15401" s="16301"/>
      <c r="VTE15401" s="15315"/>
    </row>
    <row r="15402" spans="2:2 15389:15404" x14ac:dyDescent="0.3">
      <c r="B15402" s="16301"/>
      <c r="VTF15402" s="15316"/>
    </row>
    <row r="15403" spans="2:2 15389:15404" x14ac:dyDescent="0.3">
      <c r="B15403" s="16301"/>
      <c r="VTG15403" s="15317"/>
    </row>
    <row r="15404" spans="2:2 15389:15404" x14ac:dyDescent="0.3">
      <c r="B15404" s="16301"/>
      <c r="VTH15404" s="15318"/>
    </row>
    <row r="15405" spans="2:2 15389:15404" x14ac:dyDescent="0.3">
      <c r="B15405" s="16301"/>
      <c r="VTI15405" s="15319"/>
    </row>
    <row r="15406" spans="2:2 15389:15404" x14ac:dyDescent="0.3">
      <c r="B15406" s="16301"/>
      <c r="VTJ15406" s="15320"/>
    </row>
    <row r="15407" spans="2:2 15389:15404" x14ac:dyDescent="0.3">
      <c r="B15407" s="16301"/>
      <c r="VTK15407" s="15321"/>
    </row>
    <row r="15408" spans="2:2 15389:15404" x14ac:dyDescent="0.3">
      <c r="B15408" s="16301"/>
      <c r="VTL15408" s="15322"/>
    </row>
    <row r="15409" spans="2:2 15405:15420" x14ac:dyDescent="0.3">
      <c r="B15409" s="16301"/>
      <c r="VTM15409" s="15323"/>
    </row>
    <row r="15410" spans="2:2 15405:15420" x14ac:dyDescent="0.3">
      <c r="B15410" s="16301"/>
      <c r="VTN15410" s="15324"/>
    </row>
    <row r="15411" spans="2:2 15405:15420" x14ac:dyDescent="0.3">
      <c r="B15411" s="16301"/>
      <c r="VTO15411" s="15325"/>
    </row>
    <row r="15412" spans="2:2 15405:15420" x14ac:dyDescent="0.3">
      <c r="B15412" s="16301"/>
      <c r="VTP15412" s="15326"/>
    </row>
    <row r="15413" spans="2:2 15405:15420" x14ac:dyDescent="0.3">
      <c r="B15413" s="16301"/>
      <c r="VTQ15413" s="15327"/>
    </row>
    <row r="15414" spans="2:2 15405:15420" x14ac:dyDescent="0.3">
      <c r="B15414" s="16301"/>
      <c r="VTR15414" s="15328"/>
    </row>
    <row r="15415" spans="2:2 15405:15420" x14ac:dyDescent="0.3">
      <c r="B15415" s="16301"/>
      <c r="VTS15415" s="15329"/>
    </row>
    <row r="15416" spans="2:2 15405:15420" x14ac:dyDescent="0.3">
      <c r="B15416" s="16301"/>
      <c r="VTT15416" s="15330"/>
    </row>
    <row r="15417" spans="2:2 15405:15420" x14ac:dyDescent="0.3">
      <c r="B15417" s="16301"/>
      <c r="VTU15417" s="15331"/>
    </row>
    <row r="15418" spans="2:2 15405:15420" x14ac:dyDescent="0.3">
      <c r="B15418" s="16301"/>
      <c r="VTV15418" s="15332"/>
    </row>
    <row r="15419" spans="2:2 15405:15420" x14ac:dyDescent="0.3">
      <c r="B15419" s="16301"/>
      <c r="VTW15419" s="15333"/>
    </row>
    <row r="15420" spans="2:2 15405:15420" x14ac:dyDescent="0.3">
      <c r="B15420" s="16301"/>
      <c r="VTX15420" s="15334"/>
    </row>
    <row r="15421" spans="2:2 15405:15420" x14ac:dyDescent="0.3">
      <c r="B15421" s="16301"/>
      <c r="VTY15421" s="15335"/>
    </row>
    <row r="15422" spans="2:2 15405:15420" x14ac:dyDescent="0.3">
      <c r="B15422" s="16301"/>
      <c r="VTZ15422" s="15336"/>
    </row>
    <row r="15423" spans="2:2 15405:15420" x14ac:dyDescent="0.3">
      <c r="B15423" s="16301"/>
      <c r="VUA15423" s="15337"/>
    </row>
    <row r="15424" spans="2:2 15405:15420" x14ac:dyDescent="0.3">
      <c r="B15424" s="16301"/>
      <c r="VUB15424" s="15338"/>
    </row>
    <row r="15425" spans="2:2 15421:15436" x14ac:dyDescent="0.3">
      <c r="B15425" s="16301"/>
      <c r="VUC15425" s="15339"/>
    </row>
    <row r="15426" spans="2:2 15421:15436" x14ac:dyDescent="0.3">
      <c r="B15426" s="16301"/>
      <c r="VUD15426" s="15339"/>
    </row>
    <row r="15427" spans="2:2 15421:15436" x14ac:dyDescent="0.3">
      <c r="B15427" s="16301"/>
      <c r="VUE15427" s="15340"/>
    </row>
    <row r="15428" spans="2:2 15421:15436" x14ac:dyDescent="0.3">
      <c r="B15428" s="16301"/>
      <c r="VUF15428" s="15341"/>
    </row>
    <row r="15429" spans="2:2 15421:15436" x14ac:dyDescent="0.3">
      <c r="B15429" s="16301"/>
      <c r="VUG15429" s="15342"/>
    </row>
    <row r="15430" spans="2:2 15421:15436" x14ac:dyDescent="0.3">
      <c r="B15430" s="16301"/>
      <c r="VUH15430" s="15343"/>
    </row>
    <row r="15431" spans="2:2 15421:15436" x14ac:dyDescent="0.3">
      <c r="B15431" s="16301"/>
      <c r="VUI15431" s="15344"/>
    </row>
    <row r="15432" spans="2:2 15421:15436" x14ac:dyDescent="0.3">
      <c r="B15432" s="16301"/>
      <c r="VUJ15432" s="15345"/>
    </row>
    <row r="15433" spans="2:2 15421:15436" x14ac:dyDescent="0.3">
      <c r="B15433" s="16301"/>
      <c r="VUK15433" s="15346"/>
    </row>
    <row r="15434" spans="2:2 15421:15436" x14ac:dyDescent="0.3">
      <c r="B15434" s="16301"/>
      <c r="VUL15434" s="15347"/>
    </row>
    <row r="15435" spans="2:2 15421:15436" x14ac:dyDescent="0.3">
      <c r="B15435" s="16301"/>
      <c r="VUM15435" s="15348"/>
    </row>
    <row r="15436" spans="2:2 15421:15436" x14ac:dyDescent="0.3">
      <c r="B15436" s="16301"/>
      <c r="VUN15436" s="15349"/>
    </row>
    <row r="15437" spans="2:2 15421:15436" x14ac:dyDescent="0.3">
      <c r="B15437" s="16301"/>
      <c r="VUO15437" s="15350"/>
    </row>
    <row r="15438" spans="2:2 15421:15436" x14ac:dyDescent="0.3">
      <c r="B15438" s="16301"/>
      <c r="VUP15438" s="15351"/>
    </row>
    <row r="15439" spans="2:2 15421:15436" x14ac:dyDescent="0.3">
      <c r="B15439" s="16301"/>
      <c r="VUQ15439" s="15352"/>
    </row>
    <row r="15440" spans="2:2 15421:15436" x14ac:dyDescent="0.3">
      <c r="B15440" s="16301"/>
      <c r="VUR15440" s="15353"/>
    </row>
    <row r="15441" spans="2:2 15437:15452" x14ac:dyDescent="0.3">
      <c r="B15441" s="16301"/>
      <c r="VUS15441" s="15354"/>
    </row>
    <row r="15442" spans="2:2 15437:15452" x14ac:dyDescent="0.3">
      <c r="B15442" s="16301"/>
      <c r="VUT15442" s="15355"/>
    </row>
    <row r="15443" spans="2:2 15437:15452" x14ac:dyDescent="0.3">
      <c r="B15443" s="16301"/>
      <c r="VUU15443" s="15356"/>
    </row>
    <row r="15444" spans="2:2 15437:15452" x14ac:dyDescent="0.3">
      <c r="B15444" s="16301"/>
      <c r="VUV15444" s="15357"/>
    </row>
    <row r="15445" spans="2:2 15437:15452" x14ac:dyDescent="0.3">
      <c r="B15445" s="16301"/>
      <c r="VUW15445" s="15358"/>
    </row>
    <row r="15446" spans="2:2 15437:15452" x14ac:dyDescent="0.3">
      <c r="B15446" s="16301"/>
      <c r="VUX15446" s="15359"/>
    </row>
    <row r="15447" spans="2:2 15437:15452" x14ac:dyDescent="0.3">
      <c r="B15447" s="16301"/>
      <c r="VUY15447" s="15360"/>
    </row>
    <row r="15448" spans="2:2 15437:15452" x14ac:dyDescent="0.3">
      <c r="B15448" s="16301"/>
      <c r="VUZ15448" s="15361"/>
    </row>
    <row r="15449" spans="2:2 15437:15452" x14ac:dyDescent="0.3">
      <c r="B15449" s="16301"/>
      <c r="VVA15449" s="15362"/>
    </row>
    <row r="15450" spans="2:2 15437:15452" x14ac:dyDescent="0.3">
      <c r="B15450" s="16301"/>
      <c r="VVB15450" s="15363"/>
    </row>
    <row r="15451" spans="2:2 15437:15452" x14ac:dyDescent="0.3">
      <c r="B15451" s="16301"/>
      <c r="VVC15451" s="15364"/>
    </row>
    <row r="15452" spans="2:2 15437:15452" x14ac:dyDescent="0.3">
      <c r="B15452" s="16301"/>
      <c r="VVD15452" s="15365"/>
    </row>
    <row r="15453" spans="2:2 15437:15452" x14ac:dyDescent="0.3">
      <c r="B15453" s="16301"/>
      <c r="VVE15453" s="15366"/>
    </row>
    <row r="15454" spans="2:2 15437:15452" x14ac:dyDescent="0.3">
      <c r="B15454" s="16301"/>
      <c r="VVF15454" s="15367"/>
    </row>
    <row r="15455" spans="2:2 15437:15452" x14ac:dyDescent="0.3">
      <c r="B15455" s="16301"/>
      <c r="VVG15455" s="15368"/>
    </row>
    <row r="15456" spans="2:2 15437:15452" x14ac:dyDescent="0.3">
      <c r="B15456" s="16301"/>
      <c r="VVH15456" s="15369"/>
    </row>
    <row r="15457" spans="2:2 15453:15468" x14ac:dyDescent="0.3">
      <c r="B15457" s="16301"/>
      <c r="VVI15457" s="15370"/>
    </row>
    <row r="15458" spans="2:2 15453:15468" x14ac:dyDescent="0.3">
      <c r="B15458" s="16301"/>
      <c r="VVJ15458" s="15371"/>
    </row>
    <row r="15459" spans="2:2 15453:15468" x14ac:dyDescent="0.3">
      <c r="B15459" s="16301"/>
      <c r="VVK15459" s="15372"/>
    </row>
    <row r="15460" spans="2:2 15453:15468" x14ac:dyDescent="0.3">
      <c r="B15460" s="16301"/>
      <c r="VVL15460" s="15373"/>
    </row>
    <row r="15461" spans="2:2 15453:15468" x14ac:dyDescent="0.3">
      <c r="B15461" s="16301"/>
      <c r="VVM15461" s="15374"/>
    </row>
    <row r="15462" spans="2:2 15453:15468" x14ac:dyDescent="0.3">
      <c r="B15462" s="16301"/>
      <c r="VVN15462" s="15375"/>
    </row>
    <row r="15463" spans="2:2 15453:15468" x14ac:dyDescent="0.3">
      <c r="B15463" s="16301"/>
      <c r="VVO15463" s="15376"/>
    </row>
    <row r="15464" spans="2:2 15453:15468" x14ac:dyDescent="0.3">
      <c r="B15464" s="16301"/>
      <c r="VVP15464" s="15377"/>
    </row>
    <row r="15465" spans="2:2 15453:15468" x14ac:dyDescent="0.3">
      <c r="B15465" s="16301"/>
      <c r="VVQ15465" s="15378"/>
    </row>
    <row r="15466" spans="2:2 15453:15468" x14ac:dyDescent="0.3">
      <c r="B15466" s="16301"/>
      <c r="VVR15466" s="15379"/>
    </row>
    <row r="15467" spans="2:2 15453:15468" x14ac:dyDescent="0.3">
      <c r="B15467" s="16301"/>
      <c r="VVS15467" s="15380"/>
    </row>
    <row r="15468" spans="2:2 15453:15468" x14ac:dyDescent="0.3">
      <c r="B15468" s="16301"/>
      <c r="VVT15468" s="15381"/>
    </row>
    <row r="15469" spans="2:2 15453:15468" x14ac:dyDescent="0.3">
      <c r="B15469" s="16301"/>
      <c r="VVU15469" s="15382"/>
    </row>
    <row r="15470" spans="2:2 15453:15468" x14ac:dyDescent="0.3">
      <c r="B15470" s="16301"/>
      <c r="VVV15470" s="15383"/>
    </row>
    <row r="15471" spans="2:2 15453:15468" x14ac:dyDescent="0.3">
      <c r="B15471" s="16301"/>
      <c r="VVW15471" s="15384"/>
    </row>
    <row r="15472" spans="2:2 15453:15468" x14ac:dyDescent="0.3">
      <c r="B15472" s="16301"/>
      <c r="VVX15472" s="15385"/>
    </row>
    <row r="15473" spans="2:2 15469:15484" x14ac:dyDescent="0.3">
      <c r="B15473" s="16301"/>
      <c r="VVY15473" s="15386"/>
    </row>
    <row r="15474" spans="2:2 15469:15484" x14ac:dyDescent="0.3">
      <c r="B15474" s="16301"/>
      <c r="VVZ15474" s="15387"/>
    </row>
    <row r="15475" spans="2:2 15469:15484" x14ac:dyDescent="0.3">
      <c r="B15475" s="16301"/>
      <c r="VWA15475" s="15388"/>
    </row>
    <row r="15476" spans="2:2 15469:15484" x14ac:dyDescent="0.3">
      <c r="B15476" s="16301"/>
      <c r="VWB15476" s="15389"/>
    </row>
    <row r="15477" spans="2:2 15469:15484" x14ac:dyDescent="0.3">
      <c r="B15477" s="16301"/>
      <c r="VWC15477" s="15390"/>
    </row>
    <row r="15478" spans="2:2 15469:15484" x14ac:dyDescent="0.3">
      <c r="B15478" s="16301"/>
      <c r="VWD15478" s="15391"/>
    </row>
    <row r="15479" spans="2:2 15469:15484" x14ac:dyDescent="0.3">
      <c r="B15479" s="16301"/>
      <c r="VWE15479" s="15392"/>
    </row>
    <row r="15480" spans="2:2 15469:15484" x14ac:dyDescent="0.3">
      <c r="B15480" s="16301"/>
      <c r="VWF15480" s="15393"/>
    </row>
    <row r="15481" spans="2:2 15469:15484" x14ac:dyDescent="0.3">
      <c r="B15481" s="16301"/>
      <c r="VWG15481" s="15394"/>
    </row>
    <row r="15482" spans="2:2 15469:15484" x14ac:dyDescent="0.3">
      <c r="B15482" s="16301"/>
      <c r="VWH15482" s="15395"/>
    </row>
    <row r="15483" spans="2:2 15469:15484" x14ac:dyDescent="0.3">
      <c r="B15483" s="16301"/>
      <c r="VWI15483" s="15396"/>
    </row>
    <row r="15484" spans="2:2 15469:15484" x14ac:dyDescent="0.3">
      <c r="B15484" s="16301"/>
      <c r="VWJ15484" s="15397"/>
    </row>
    <row r="15485" spans="2:2 15469:15484" x14ac:dyDescent="0.3">
      <c r="B15485" s="16301"/>
      <c r="VWK15485" s="15398"/>
    </row>
    <row r="15486" spans="2:2 15469:15484" x14ac:dyDescent="0.3">
      <c r="B15486" s="16301"/>
      <c r="VWL15486" s="15399"/>
    </row>
    <row r="15487" spans="2:2 15469:15484" x14ac:dyDescent="0.3">
      <c r="B15487" s="16301"/>
      <c r="VWM15487" s="15400"/>
    </row>
    <row r="15488" spans="2:2 15469:15484" x14ac:dyDescent="0.3">
      <c r="B15488" s="16301"/>
      <c r="VWN15488" s="15401"/>
    </row>
    <row r="15489" spans="2:2 15485:15500" x14ac:dyDescent="0.3">
      <c r="B15489" s="16301"/>
      <c r="VWO15489" s="15402"/>
    </row>
    <row r="15490" spans="2:2 15485:15500" x14ac:dyDescent="0.3">
      <c r="B15490" s="16301"/>
      <c r="VWP15490" s="15403"/>
    </row>
    <row r="15491" spans="2:2 15485:15500" x14ac:dyDescent="0.3">
      <c r="B15491" s="16301"/>
      <c r="VWQ15491" s="15404"/>
    </row>
    <row r="15492" spans="2:2 15485:15500" x14ac:dyDescent="0.3">
      <c r="B15492" s="16301"/>
      <c r="VWR15492" s="15405"/>
    </row>
    <row r="15493" spans="2:2 15485:15500" x14ac:dyDescent="0.3">
      <c r="B15493" s="16301"/>
      <c r="VWS15493" s="15406"/>
    </row>
    <row r="15494" spans="2:2 15485:15500" x14ac:dyDescent="0.3">
      <c r="B15494" s="16301"/>
      <c r="VWT15494" s="15407"/>
    </row>
    <row r="15495" spans="2:2 15485:15500" x14ac:dyDescent="0.3">
      <c r="B15495" s="16301"/>
      <c r="VWU15495" s="15408"/>
    </row>
    <row r="15496" spans="2:2 15485:15500" x14ac:dyDescent="0.3">
      <c r="B15496" s="16301"/>
      <c r="VWV15496" s="15409"/>
    </row>
    <row r="15497" spans="2:2 15485:15500" x14ac:dyDescent="0.3">
      <c r="B15497" s="16301"/>
      <c r="VWW15497" s="15410"/>
    </row>
    <row r="15498" spans="2:2 15485:15500" x14ac:dyDescent="0.3">
      <c r="B15498" s="16301"/>
      <c r="VWX15498" s="15411"/>
    </row>
    <row r="15499" spans="2:2 15485:15500" x14ac:dyDescent="0.3">
      <c r="B15499" s="16301"/>
      <c r="VWY15499" s="15412"/>
    </row>
    <row r="15500" spans="2:2 15485:15500" x14ac:dyDescent="0.3">
      <c r="B15500" s="16301"/>
      <c r="VWZ15500" s="15413"/>
    </row>
    <row r="15501" spans="2:2 15485:15500" x14ac:dyDescent="0.3">
      <c r="B15501" s="16301"/>
      <c r="VXA15501" s="15414"/>
    </row>
    <row r="15502" spans="2:2 15485:15500" x14ac:dyDescent="0.3">
      <c r="B15502" s="16301"/>
      <c r="VXB15502" s="15415"/>
    </row>
    <row r="15503" spans="2:2 15485:15500" x14ac:dyDescent="0.3">
      <c r="B15503" s="16301"/>
      <c r="VXC15503" s="15416"/>
    </row>
    <row r="15504" spans="2:2 15485:15500" x14ac:dyDescent="0.3">
      <c r="B15504" s="16301"/>
      <c r="VXD15504" s="15417"/>
    </row>
    <row r="15505" spans="2:2 15501:15516" x14ac:dyDescent="0.3">
      <c r="B15505" s="16301"/>
      <c r="VXE15505" s="15418"/>
    </row>
    <row r="15506" spans="2:2 15501:15516" x14ac:dyDescent="0.3">
      <c r="B15506" s="16301"/>
      <c r="VXF15506" s="15419"/>
    </row>
    <row r="15507" spans="2:2 15501:15516" x14ac:dyDescent="0.3">
      <c r="B15507" s="16301"/>
      <c r="VXG15507" s="15420"/>
    </row>
    <row r="15508" spans="2:2 15501:15516" x14ac:dyDescent="0.3">
      <c r="B15508" s="16301"/>
      <c r="VXH15508" s="15421"/>
    </row>
    <row r="15509" spans="2:2 15501:15516" x14ac:dyDescent="0.3">
      <c r="B15509" s="16301"/>
      <c r="VXI15509" s="15422"/>
    </row>
    <row r="15510" spans="2:2 15501:15516" x14ac:dyDescent="0.3">
      <c r="B15510" s="16301"/>
      <c r="VXJ15510" s="15423"/>
    </row>
    <row r="15511" spans="2:2 15501:15516" x14ac:dyDescent="0.3">
      <c r="B15511" s="16301"/>
      <c r="VXK15511" s="15424"/>
    </row>
    <row r="15512" spans="2:2 15501:15516" x14ac:dyDescent="0.3">
      <c r="B15512" s="16301"/>
      <c r="VXL15512" s="15425"/>
    </row>
    <row r="15513" spans="2:2 15501:15516" x14ac:dyDescent="0.3">
      <c r="B15513" s="16301"/>
      <c r="VXM15513" s="15426"/>
    </row>
    <row r="15514" spans="2:2 15501:15516" x14ac:dyDescent="0.3">
      <c r="B15514" s="16301"/>
      <c r="VXN15514" s="15427"/>
    </row>
    <row r="15515" spans="2:2 15501:15516" x14ac:dyDescent="0.3">
      <c r="B15515" s="16301"/>
      <c r="VXO15515" s="15428"/>
    </row>
    <row r="15516" spans="2:2 15501:15516" x14ac:dyDescent="0.3">
      <c r="B15516" s="16301"/>
      <c r="VXP15516" s="15429"/>
    </row>
    <row r="15517" spans="2:2 15501:15516" x14ac:dyDescent="0.3">
      <c r="B15517" s="16301"/>
      <c r="VXQ15517" s="15430"/>
    </row>
    <row r="15518" spans="2:2 15501:15516" x14ac:dyDescent="0.3">
      <c r="B15518" s="16301"/>
      <c r="VXR15518" s="15431"/>
    </row>
    <row r="15519" spans="2:2 15501:15516" x14ac:dyDescent="0.3">
      <c r="B15519" s="16301"/>
      <c r="VXS15519" s="15432"/>
    </row>
    <row r="15520" spans="2:2 15501:15516" x14ac:dyDescent="0.3">
      <c r="B15520" s="16301"/>
      <c r="VXT15520" s="15433"/>
    </row>
    <row r="15521" spans="2:2 15517:15532" x14ac:dyDescent="0.3">
      <c r="B15521" s="16301"/>
      <c r="VXU15521" s="15434"/>
    </row>
    <row r="15522" spans="2:2 15517:15532" x14ac:dyDescent="0.3">
      <c r="B15522" s="16301"/>
      <c r="VXV15522" s="15435"/>
    </row>
    <row r="15523" spans="2:2 15517:15532" x14ac:dyDescent="0.3">
      <c r="B15523" s="16301"/>
      <c r="VXW15523" s="15436"/>
    </row>
    <row r="15524" spans="2:2 15517:15532" x14ac:dyDescent="0.3">
      <c r="B15524" s="16301"/>
      <c r="VXX15524" s="15437"/>
    </row>
    <row r="15525" spans="2:2 15517:15532" x14ac:dyDescent="0.3">
      <c r="B15525" s="16301"/>
      <c r="VXY15525" s="15438"/>
    </row>
    <row r="15526" spans="2:2 15517:15532" x14ac:dyDescent="0.3">
      <c r="B15526" s="16301"/>
      <c r="VXZ15526" s="15439"/>
    </row>
    <row r="15527" spans="2:2 15517:15532" x14ac:dyDescent="0.3">
      <c r="B15527" s="16301"/>
      <c r="VYA15527" s="15440"/>
    </row>
    <row r="15528" spans="2:2 15517:15532" x14ac:dyDescent="0.3">
      <c r="B15528" s="16301"/>
      <c r="VYB15528" s="15441"/>
    </row>
    <row r="15529" spans="2:2 15517:15532" x14ac:dyDescent="0.3">
      <c r="B15529" s="16301"/>
      <c r="VYC15529" s="15442"/>
    </row>
    <row r="15530" spans="2:2 15517:15532" x14ac:dyDescent="0.3">
      <c r="B15530" s="16301"/>
      <c r="VYD15530" s="15443"/>
    </row>
    <row r="15531" spans="2:2 15517:15532" x14ac:dyDescent="0.3">
      <c r="B15531" s="16301"/>
      <c r="VYE15531" s="15444"/>
    </row>
    <row r="15532" spans="2:2 15517:15532" x14ac:dyDescent="0.3">
      <c r="B15532" s="16301"/>
      <c r="VYF15532" s="15445"/>
    </row>
    <row r="15533" spans="2:2 15517:15532" x14ac:dyDescent="0.3">
      <c r="B15533" s="16301"/>
      <c r="VYG15533" s="15446"/>
    </row>
    <row r="15534" spans="2:2 15517:15532" x14ac:dyDescent="0.3">
      <c r="B15534" s="16301"/>
      <c r="VYH15534" s="15447"/>
    </row>
    <row r="15535" spans="2:2 15517:15532" x14ac:dyDescent="0.3">
      <c r="B15535" s="16301"/>
      <c r="VYI15535" s="15448"/>
    </row>
    <row r="15536" spans="2:2 15517:15532" x14ac:dyDescent="0.3">
      <c r="B15536" s="16301"/>
      <c r="VYJ15536" s="15449"/>
    </row>
    <row r="15537" spans="2:2 15533:15548" x14ac:dyDescent="0.3">
      <c r="B15537" s="16301"/>
      <c r="VYK15537" s="15450"/>
    </row>
    <row r="15538" spans="2:2 15533:15548" x14ac:dyDescent="0.3">
      <c r="B15538" s="16301"/>
      <c r="VYL15538" s="15451"/>
    </row>
    <row r="15539" spans="2:2 15533:15548" x14ac:dyDescent="0.3">
      <c r="B15539" s="16301"/>
      <c r="VYM15539" s="15452"/>
    </row>
    <row r="15540" spans="2:2 15533:15548" x14ac:dyDescent="0.3">
      <c r="B15540" s="16301"/>
      <c r="VYN15540" s="15453"/>
    </row>
    <row r="15541" spans="2:2 15533:15548" x14ac:dyDescent="0.3">
      <c r="B15541" s="16301"/>
      <c r="VYO15541" s="15454"/>
    </row>
    <row r="15542" spans="2:2 15533:15548" x14ac:dyDescent="0.3">
      <c r="B15542" s="16301"/>
      <c r="VYP15542" s="15455"/>
    </row>
    <row r="15543" spans="2:2 15533:15548" x14ac:dyDescent="0.3">
      <c r="B15543" s="16301"/>
      <c r="VYQ15543" s="15456"/>
    </row>
    <row r="15544" spans="2:2 15533:15548" x14ac:dyDescent="0.3">
      <c r="B15544" s="16301"/>
      <c r="VYR15544" s="15457"/>
    </row>
    <row r="15545" spans="2:2 15533:15548" x14ac:dyDescent="0.3">
      <c r="B15545" s="16301"/>
      <c r="VYS15545" s="15458"/>
    </row>
    <row r="15546" spans="2:2 15533:15548" x14ac:dyDescent="0.3">
      <c r="B15546" s="16301"/>
      <c r="VYT15546" s="15459"/>
    </row>
    <row r="15547" spans="2:2 15533:15548" x14ac:dyDescent="0.3">
      <c r="B15547" s="16301"/>
      <c r="VYU15547" s="15460"/>
    </row>
    <row r="15548" spans="2:2 15533:15548" x14ac:dyDescent="0.3">
      <c r="B15548" s="16301"/>
      <c r="VYV15548" s="15461"/>
    </row>
    <row r="15549" spans="2:2 15533:15548" x14ac:dyDescent="0.3">
      <c r="B15549" s="16301"/>
      <c r="VYW15549" s="15462"/>
    </row>
    <row r="15550" spans="2:2 15533:15548" x14ac:dyDescent="0.3">
      <c r="B15550" s="16301"/>
      <c r="VYX15550" s="15463"/>
    </row>
    <row r="15551" spans="2:2 15533:15548" x14ac:dyDescent="0.3">
      <c r="B15551" s="16301"/>
      <c r="VYY15551" s="15464"/>
    </row>
    <row r="15552" spans="2:2 15533:15548" x14ac:dyDescent="0.3">
      <c r="B15552" s="16301"/>
      <c r="VYZ15552" s="15465"/>
    </row>
    <row r="15553" spans="2:2 15549:15564" x14ac:dyDescent="0.3">
      <c r="B15553" s="16301"/>
      <c r="VZA15553" s="15466"/>
    </row>
    <row r="15554" spans="2:2 15549:15564" x14ac:dyDescent="0.3">
      <c r="B15554" s="16301"/>
      <c r="VZB15554" s="15467"/>
    </row>
    <row r="15555" spans="2:2 15549:15564" x14ac:dyDescent="0.3">
      <c r="B15555" s="16301"/>
      <c r="VZC15555" s="15468"/>
    </row>
    <row r="15556" spans="2:2 15549:15564" x14ac:dyDescent="0.3">
      <c r="B15556" s="16301"/>
      <c r="VZD15556" s="15469"/>
    </row>
    <row r="15557" spans="2:2 15549:15564" x14ac:dyDescent="0.3">
      <c r="B15557" s="16301"/>
      <c r="VZE15557" s="15470"/>
    </row>
    <row r="15558" spans="2:2 15549:15564" x14ac:dyDescent="0.3">
      <c r="B15558" s="16301"/>
      <c r="VZF15558" s="15471"/>
    </row>
    <row r="15559" spans="2:2 15549:15564" x14ac:dyDescent="0.3">
      <c r="B15559" s="16301"/>
      <c r="VZG15559" s="15472"/>
    </row>
    <row r="15560" spans="2:2 15549:15564" x14ac:dyDescent="0.3">
      <c r="B15560" s="16301"/>
      <c r="VZH15560" s="15473"/>
    </row>
    <row r="15561" spans="2:2 15549:15564" x14ac:dyDescent="0.3">
      <c r="B15561" s="16301"/>
      <c r="VZI15561" s="15474"/>
    </row>
    <row r="15562" spans="2:2 15549:15564" x14ac:dyDescent="0.3">
      <c r="B15562" s="16301"/>
      <c r="VZJ15562" s="15475"/>
    </row>
    <row r="15563" spans="2:2 15549:15564" x14ac:dyDescent="0.3">
      <c r="B15563" s="16301"/>
      <c r="VZK15563" s="15476"/>
    </row>
    <row r="15564" spans="2:2 15549:15564" x14ac:dyDescent="0.3">
      <c r="B15564" s="16301"/>
      <c r="VZL15564" s="15477"/>
    </row>
    <row r="15565" spans="2:2 15549:15564" x14ac:dyDescent="0.3">
      <c r="B15565" s="16301"/>
      <c r="VZM15565" s="15478"/>
    </row>
    <row r="15566" spans="2:2 15549:15564" x14ac:dyDescent="0.3">
      <c r="B15566" s="16301"/>
      <c r="VZN15566" s="15479"/>
    </row>
    <row r="15567" spans="2:2 15549:15564" x14ac:dyDescent="0.3">
      <c r="B15567" s="16301"/>
      <c r="VZO15567" s="15480"/>
    </row>
    <row r="15568" spans="2:2 15549:15564" x14ac:dyDescent="0.3">
      <c r="B15568" s="16301"/>
      <c r="VZP15568" s="15481"/>
    </row>
    <row r="15569" spans="2:2 15565:15580" x14ac:dyDescent="0.3">
      <c r="B15569" s="16301"/>
      <c r="VZQ15569" s="15482"/>
    </row>
    <row r="15570" spans="2:2 15565:15580" x14ac:dyDescent="0.3">
      <c r="B15570" s="16301"/>
      <c r="VZR15570" s="15483"/>
    </row>
    <row r="15571" spans="2:2 15565:15580" x14ac:dyDescent="0.3">
      <c r="B15571" s="16301"/>
      <c r="VZS15571" s="15484"/>
    </row>
    <row r="15572" spans="2:2 15565:15580" x14ac:dyDescent="0.3">
      <c r="B15572" s="16301"/>
      <c r="VZT15572" s="15485"/>
    </row>
    <row r="15573" spans="2:2 15565:15580" x14ac:dyDescent="0.3">
      <c r="B15573" s="16301"/>
      <c r="VZU15573" s="15486"/>
    </row>
    <row r="15574" spans="2:2 15565:15580" x14ac:dyDescent="0.3">
      <c r="B15574" s="16301"/>
      <c r="VZV15574" s="15487"/>
    </row>
    <row r="15575" spans="2:2 15565:15580" x14ac:dyDescent="0.3">
      <c r="B15575" s="16301"/>
      <c r="VZW15575" s="15488"/>
    </row>
    <row r="15576" spans="2:2 15565:15580" x14ac:dyDescent="0.3">
      <c r="B15576" s="16301"/>
      <c r="VZX15576" s="15489"/>
    </row>
    <row r="15577" spans="2:2 15565:15580" x14ac:dyDescent="0.3">
      <c r="B15577" s="16301"/>
      <c r="VZY15577" s="15490"/>
    </row>
    <row r="15578" spans="2:2 15565:15580" x14ac:dyDescent="0.3">
      <c r="B15578" s="16301"/>
      <c r="VZZ15578" s="15491"/>
    </row>
    <row r="15579" spans="2:2 15565:15580" x14ac:dyDescent="0.3">
      <c r="B15579" s="16301"/>
      <c r="WAA15579" s="15492"/>
    </row>
    <row r="15580" spans="2:2 15565:15580" x14ac:dyDescent="0.3">
      <c r="B15580" s="16301"/>
      <c r="WAB15580" s="15493"/>
    </row>
    <row r="15581" spans="2:2 15565:15580" x14ac:dyDescent="0.3">
      <c r="B15581" s="16301"/>
      <c r="WAC15581" s="15494"/>
    </row>
    <row r="15582" spans="2:2 15565:15580" x14ac:dyDescent="0.3">
      <c r="B15582" s="16301"/>
      <c r="WAD15582" s="15495"/>
    </row>
    <row r="15583" spans="2:2 15565:15580" x14ac:dyDescent="0.3">
      <c r="B15583" s="16301"/>
      <c r="WAE15583" s="15496"/>
    </row>
    <row r="15584" spans="2:2 15565:15580" x14ac:dyDescent="0.3">
      <c r="B15584" s="16301"/>
      <c r="WAF15584" s="15497"/>
    </row>
    <row r="15585" spans="2:2 15581:15596" x14ac:dyDescent="0.3">
      <c r="B15585" s="16301"/>
      <c r="WAG15585" s="15498"/>
    </row>
    <row r="15586" spans="2:2 15581:15596" x14ac:dyDescent="0.3">
      <c r="B15586" s="16301"/>
      <c r="WAH15586" s="15499"/>
    </row>
    <row r="15587" spans="2:2 15581:15596" x14ac:dyDescent="0.3">
      <c r="B15587" s="16301"/>
      <c r="WAI15587" s="15500"/>
    </row>
    <row r="15588" spans="2:2 15581:15596" x14ac:dyDescent="0.3">
      <c r="B15588" s="16301"/>
      <c r="WAJ15588" s="15501"/>
    </row>
    <row r="15589" spans="2:2 15581:15596" x14ac:dyDescent="0.3">
      <c r="B15589" s="16301"/>
      <c r="WAK15589" s="15502"/>
    </row>
    <row r="15590" spans="2:2 15581:15596" x14ac:dyDescent="0.3">
      <c r="B15590" s="16301"/>
      <c r="WAL15590" s="15503"/>
    </row>
    <row r="15591" spans="2:2 15581:15596" x14ac:dyDescent="0.3">
      <c r="B15591" s="16301"/>
      <c r="WAM15591" s="15504"/>
    </row>
    <row r="15592" spans="2:2 15581:15596" x14ac:dyDescent="0.3">
      <c r="B15592" s="16301"/>
      <c r="WAN15592" s="15505"/>
    </row>
    <row r="15593" spans="2:2 15581:15596" x14ac:dyDescent="0.3">
      <c r="B15593" s="16301"/>
      <c r="WAO15593" s="15506"/>
    </row>
    <row r="15594" spans="2:2 15581:15596" x14ac:dyDescent="0.3">
      <c r="B15594" s="16301"/>
      <c r="WAP15594" s="15507"/>
    </row>
    <row r="15595" spans="2:2 15581:15596" x14ac:dyDescent="0.3">
      <c r="B15595" s="16301"/>
      <c r="WAQ15595" s="15508"/>
    </row>
    <row r="15596" spans="2:2 15581:15596" x14ac:dyDescent="0.3">
      <c r="B15596" s="16301"/>
      <c r="WAR15596" s="15509"/>
    </row>
    <row r="15597" spans="2:2 15581:15596" x14ac:dyDescent="0.3">
      <c r="B15597" s="16301"/>
      <c r="WAS15597" s="15510"/>
    </row>
    <row r="15598" spans="2:2 15581:15596" x14ac:dyDescent="0.3">
      <c r="B15598" s="16301"/>
      <c r="WAT15598" s="15511"/>
    </row>
    <row r="15599" spans="2:2 15581:15596" x14ac:dyDescent="0.3">
      <c r="B15599" s="16301"/>
      <c r="WAU15599" s="15512"/>
    </row>
    <row r="15600" spans="2:2 15581:15596" x14ac:dyDescent="0.3">
      <c r="B15600" s="16301"/>
      <c r="WAV15600" s="15513"/>
    </row>
    <row r="15601" spans="2:2 15597:15612" x14ac:dyDescent="0.3">
      <c r="B15601" s="16301"/>
      <c r="WAW15601" s="15514"/>
    </row>
    <row r="15602" spans="2:2 15597:15612" x14ac:dyDescent="0.3">
      <c r="B15602" s="16301"/>
      <c r="WAX15602" s="15515"/>
    </row>
    <row r="15603" spans="2:2 15597:15612" x14ac:dyDescent="0.3">
      <c r="B15603" s="16301"/>
      <c r="WAY15603" s="15516"/>
    </row>
    <row r="15604" spans="2:2 15597:15612" x14ac:dyDescent="0.3">
      <c r="B15604" s="16301"/>
      <c r="WAZ15604" s="15517"/>
    </row>
    <row r="15605" spans="2:2 15597:15612" x14ac:dyDescent="0.3">
      <c r="B15605" s="16301"/>
      <c r="WBA15605" s="15518"/>
    </row>
    <row r="15606" spans="2:2 15597:15612" x14ac:dyDescent="0.3">
      <c r="B15606" s="16301"/>
      <c r="WBB15606" s="15519"/>
    </row>
    <row r="15607" spans="2:2 15597:15612" x14ac:dyDescent="0.3">
      <c r="B15607" s="16301"/>
      <c r="WBC15607" s="15520"/>
    </row>
    <row r="15608" spans="2:2 15597:15612" x14ac:dyDescent="0.3">
      <c r="B15608" s="16301"/>
      <c r="WBD15608" s="15521"/>
    </row>
    <row r="15609" spans="2:2 15597:15612" x14ac:dyDescent="0.3">
      <c r="B15609" s="16301"/>
      <c r="WBE15609" s="15522"/>
    </row>
    <row r="15610" spans="2:2 15597:15612" x14ac:dyDescent="0.3">
      <c r="B15610" s="16301"/>
      <c r="WBF15610" s="15523"/>
    </row>
    <row r="15611" spans="2:2 15597:15612" x14ac:dyDescent="0.3">
      <c r="B15611" s="16301"/>
      <c r="WBG15611" s="15524"/>
    </row>
    <row r="15612" spans="2:2 15597:15612" x14ac:dyDescent="0.3">
      <c r="B15612" s="16301"/>
      <c r="WBH15612" s="15525"/>
    </row>
    <row r="15613" spans="2:2 15597:15612" x14ac:dyDescent="0.3">
      <c r="B15613" s="16301"/>
      <c r="WBI15613" s="15526"/>
    </row>
    <row r="15614" spans="2:2 15597:15612" x14ac:dyDescent="0.3">
      <c r="B15614" s="16301"/>
      <c r="WBJ15614" s="15527"/>
    </row>
    <row r="15615" spans="2:2 15597:15612" x14ac:dyDescent="0.3">
      <c r="B15615" s="16301"/>
      <c r="WBK15615" s="15528"/>
    </row>
    <row r="15616" spans="2:2 15597:15612" x14ac:dyDescent="0.3">
      <c r="B15616" s="16301"/>
      <c r="WBL15616" s="15529"/>
    </row>
    <row r="15617" spans="2:2 15613:15628" x14ac:dyDescent="0.3">
      <c r="B15617" s="16301"/>
      <c r="WBM15617" s="15530"/>
    </row>
    <row r="15618" spans="2:2 15613:15628" x14ac:dyDescent="0.3">
      <c r="B15618" s="16301"/>
      <c r="WBN15618" s="15531"/>
    </row>
    <row r="15619" spans="2:2 15613:15628" x14ac:dyDescent="0.3">
      <c r="B15619" s="16301"/>
      <c r="WBO15619" s="15532"/>
    </row>
    <row r="15620" spans="2:2 15613:15628" x14ac:dyDescent="0.3">
      <c r="B15620" s="16301"/>
      <c r="WBP15620" s="15533"/>
    </row>
    <row r="15621" spans="2:2 15613:15628" x14ac:dyDescent="0.3">
      <c r="B15621" s="16301"/>
      <c r="WBQ15621" s="15534"/>
    </row>
    <row r="15622" spans="2:2 15613:15628" x14ac:dyDescent="0.3">
      <c r="B15622" s="16301"/>
      <c r="WBR15622" s="15535"/>
    </row>
    <row r="15623" spans="2:2 15613:15628" x14ac:dyDescent="0.3">
      <c r="B15623" s="16301"/>
      <c r="WBS15623" s="15536"/>
    </row>
    <row r="15624" spans="2:2 15613:15628" x14ac:dyDescent="0.3">
      <c r="B15624" s="16301"/>
      <c r="WBT15624" s="15537"/>
    </row>
    <row r="15625" spans="2:2 15613:15628" x14ac:dyDescent="0.3">
      <c r="B15625" s="16301"/>
      <c r="WBU15625" s="15538"/>
    </row>
    <row r="15626" spans="2:2 15613:15628" x14ac:dyDescent="0.3">
      <c r="B15626" s="16301"/>
      <c r="WBV15626" s="15539"/>
    </row>
    <row r="15627" spans="2:2 15613:15628" x14ac:dyDescent="0.3">
      <c r="B15627" s="16301"/>
      <c r="WBW15627" s="15540"/>
    </row>
    <row r="15628" spans="2:2 15613:15628" x14ac:dyDescent="0.3">
      <c r="B15628" s="16301"/>
      <c r="WBX15628" s="15541"/>
    </row>
    <row r="15629" spans="2:2 15613:15628" x14ac:dyDescent="0.3">
      <c r="B15629" s="16301"/>
      <c r="WBY15629" s="15542"/>
    </row>
    <row r="15630" spans="2:2 15613:15628" x14ac:dyDescent="0.3">
      <c r="B15630" s="16301"/>
      <c r="WBZ15630" s="15543"/>
    </row>
    <row r="15631" spans="2:2 15613:15628" x14ac:dyDescent="0.3">
      <c r="B15631" s="16301"/>
      <c r="WCA15631" s="15544"/>
    </row>
    <row r="15632" spans="2:2 15613:15628" x14ac:dyDescent="0.3">
      <c r="B15632" s="16301"/>
      <c r="WCB15632" s="15545"/>
    </row>
    <row r="15633" spans="2:2 15629:15644" x14ac:dyDescent="0.3">
      <c r="B15633" s="16301"/>
      <c r="WCC15633" s="15546"/>
    </row>
    <row r="15634" spans="2:2 15629:15644" x14ac:dyDescent="0.3">
      <c r="B15634" s="16301"/>
      <c r="WCD15634" s="15547"/>
    </row>
    <row r="15635" spans="2:2 15629:15644" x14ac:dyDescent="0.3">
      <c r="B15635" s="16301"/>
      <c r="WCE15635" s="15548"/>
    </row>
    <row r="15636" spans="2:2 15629:15644" x14ac:dyDescent="0.3">
      <c r="B15636" s="16301"/>
      <c r="WCF15636" s="15549"/>
    </row>
    <row r="15637" spans="2:2 15629:15644" x14ac:dyDescent="0.3">
      <c r="B15637" s="16301"/>
      <c r="WCG15637" s="15550"/>
    </row>
    <row r="15638" spans="2:2 15629:15644" x14ac:dyDescent="0.3">
      <c r="B15638" s="16301"/>
      <c r="WCH15638" s="15551"/>
    </row>
    <row r="15639" spans="2:2 15629:15644" x14ac:dyDescent="0.3">
      <c r="B15639" s="16301"/>
      <c r="WCI15639" s="15552"/>
    </row>
    <row r="15640" spans="2:2 15629:15644" x14ac:dyDescent="0.3">
      <c r="B15640" s="16301"/>
      <c r="WCJ15640" s="15553"/>
    </row>
    <row r="15641" spans="2:2 15629:15644" x14ac:dyDescent="0.3">
      <c r="B15641" s="16301"/>
      <c r="WCK15641" s="15554"/>
    </row>
    <row r="15642" spans="2:2 15629:15644" x14ac:dyDescent="0.3">
      <c r="B15642" s="16301"/>
      <c r="WCL15642" s="15555"/>
    </row>
    <row r="15643" spans="2:2 15629:15644" x14ac:dyDescent="0.3">
      <c r="B15643" s="16301"/>
      <c r="WCM15643" s="15556"/>
    </row>
    <row r="15644" spans="2:2 15629:15644" x14ac:dyDescent="0.3">
      <c r="B15644" s="16301"/>
      <c r="WCN15644" s="15557"/>
    </row>
    <row r="15645" spans="2:2 15629:15644" x14ac:dyDescent="0.3">
      <c r="B15645" s="16301"/>
      <c r="WCO15645" s="15558"/>
    </row>
    <row r="15646" spans="2:2 15629:15644" x14ac:dyDescent="0.3">
      <c r="B15646" s="16301"/>
      <c r="WCP15646" s="15559"/>
    </row>
    <row r="15647" spans="2:2 15629:15644" x14ac:dyDescent="0.3">
      <c r="B15647" s="16301"/>
      <c r="WCQ15647" s="15560"/>
    </row>
    <row r="15648" spans="2:2 15629:15644" x14ac:dyDescent="0.3">
      <c r="B15648" s="16301"/>
      <c r="WCR15648" s="15561"/>
    </row>
    <row r="15649" spans="2:2 15645:15660" x14ac:dyDescent="0.3">
      <c r="B15649" s="16301"/>
      <c r="WCS15649" s="15562"/>
    </row>
    <row r="15650" spans="2:2 15645:15660" x14ac:dyDescent="0.3">
      <c r="B15650" s="16301"/>
      <c r="WCT15650" s="15563"/>
    </row>
    <row r="15651" spans="2:2 15645:15660" x14ac:dyDescent="0.3">
      <c r="B15651" s="16301"/>
      <c r="WCU15651" s="15564"/>
    </row>
    <row r="15652" spans="2:2 15645:15660" x14ac:dyDescent="0.3">
      <c r="B15652" s="16301"/>
      <c r="WCV15652" s="15565"/>
    </row>
    <row r="15653" spans="2:2 15645:15660" x14ac:dyDescent="0.3">
      <c r="B15653" s="16301"/>
      <c r="WCW15653" s="15566"/>
    </row>
    <row r="15654" spans="2:2 15645:15660" x14ac:dyDescent="0.3">
      <c r="B15654" s="16301"/>
      <c r="WCX15654" s="15567"/>
    </row>
    <row r="15655" spans="2:2 15645:15660" x14ac:dyDescent="0.3">
      <c r="B15655" s="16301"/>
      <c r="WCY15655" s="15568"/>
    </row>
    <row r="15656" spans="2:2 15645:15660" x14ac:dyDescent="0.3">
      <c r="B15656" s="16301"/>
      <c r="WCZ15656" s="15569"/>
    </row>
    <row r="15657" spans="2:2 15645:15660" x14ac:dyDescent="0.3">
      <c r="B15657" s="16301"/>
      <c r="WDA15657" s="15570"/>
    </row>
    <row r="15658" spans="2:2 15645:15660" x14ac:dyDescent="0.3">
      <c r="B15658" s="16301"/>
      <c r="WDB15658" s="15571"/>
    </row>
    <row r="15659" spans="2:2 15645:15660" x14ac:dyDescent="0.3">
      <c r="B15659" s="16301"/>
      <c r="WDC15659" s="15572"/>
    </row>
    <row r="15660" spans="2:2 15645:15660" x14ac:dyDescent="0.3">
      <c r="B15660" s="16301"/>
      <c r="WDD15660" s="15573"/>
    </row>
    <row r="15661" spans="2:2 15645:15660" x14ac:dyDescent="0.3">
      <c r="B15661" s="16301"/>
      <c r="WDE15661" s="15574"/>
    </row>
    <row r="15662" spans="2:2 15645:15660" x14ac:dyDescent="0.3">
      <c r="B15662" s="16301"/>
      <c r="WDF15662" s="15575"/>
    </row>
    <row r="15663" spans="2:2 15645:15660" x14ac:dyDescent="0.3">
      <c r="B15663" s="16301"/>
      <c r="WDG15663" s="15576"/>
    </row>
    <row r="15664" spans="2:2 15645:15660" x14ac:dyDescent="0.3">
      <c r="B15664" s="16301"/>
      <c r="WDH15664" s="15577"/>
    </row>
    <row r="15665" spans="2:2 15661:15676" x14ac:dyDescent="0.3">
      <c r="B15665" s="16301"/>
      <c r="WDI15665" s="15578"/>
    </row>
    <row r="15666" spans="2:2 15661:15676" x14ac:dyDescent="0.3">
      <c r="B15666" s="16301"/>
      <c r="WDJ15666" s="15579"/>
    </row>
    <row r="15667" spans="2:2 15661:15676" x14ac:dyDescent="0.3">
      <c r="B15667" s="16301"/>
      <c r="WDK15667" s="15580"/>
    </row>
    <row r="15668" spans="2:2 15661:15676" x14ac:dyDescent="0.3">
      <c r="B15668" s="16301"/>
      <c r="WDL15668" s="15581"/>
    </row>
    <row r="15669" spans="2:2 15661:15676" x14ac:dyDescent="0.3">
      <c r="B15669" s="16301"/>
      <c r="WDM15669" s="15582"/>
    </row>
    <row r="15670" spans="2:2 15661:15676" x14ac:dyDescent="0.3">
      <c r="B15670" s="16301"/>
      <c r="WDN15670" s="15583"/>
    </row>
    <row r="15671" spans="2:2 15661:15676" x14ac:dyDescent="0.3">
      <c r="B15671" s="16301"/>
      <c r="WDO15671" s="15584"/>
    </row>
    <row r="15672" spans="2:2 15661:15676" x14ac:dyDescent="0.3">
      <c r="B15672" s="16301"/>
      <c r="WDP15672" s="15585"/>
    </row>
    <row r="15673" spans="2:2 15661:15676" x14ac:dyDescent="0.3">
      <c r="B15673" s="16301"/>
      <c r="WDQ15673" s="15586"/>
    </row>
    <row r="15674" spans="2:2 15661:15676" x14ac:dyDescent="0.3">
      <c r="B15674" s="16301"/>
      <c r="WDR15674" s="15587"/>
    </row>
    <row r="15675" spans="2:2 15661:15676" x14ac:dyDescent="0.3">
      <c r="B15675" s="16301"/>
      <c r="WDS15675" s="15588"/>
    </row>
    <row r="15676" spans="2:2 15661:15676" x14ac:dyDescent="0.3">
      <c r="B15676" s="16301"/>
      <c r="WDT15676" s="15589"/>
    </row>
    <row r="15677" spans="2:2 15661:15676" x14ac:dyDescent="0.3">
      <c r="B15677" s="16301"/>
      <c r="WDU15677" s="15590"/>
    </row>
    <row r="15678" spans="2:2 15661:15676" x14ac:dyDescent="0.3">
      <c r="B15678" s="16301"/>
      <c r="WDV15678" s="15591"/>
    </row>
    <row r="15679" spans="2:2 15661:15676" x14ac:dyDescent="0.3">
      <c r="B15679" s="16301"/>
      <c r="WDW15679" s="15592"/>
    </row>
    <row r="15680" spans="2:2 15661:15676" x14ac:dyDescent="0.3">
      <c r="B15680" s="16301"/>
      <c r="WDX15680" s="15593"/>
    </row>
    <row r="15681" spans="2:2 15677:15692" x14ac:dyDescent="0.3">
      <c r="B15681" s="16301"/>
      <c r="WDY15681" s="15594"/>
    </row>
    <row r="15682" spans="2:2 15677:15692" x14ac:dyDescent="0.3">
      <c r="B15682" s="16301"/>
      <c r="WDZ15682" s="15595"/>
    </row>
    <row r="15683" spans="2:2 15677:15692" x14ac:dyDescent="0.3">
      <c r="B15683" s="16301"/>
      <c r="WEA15683" s="15595"/>
    </row>
    <row r="15684" spans="2:2 15677:15692" x14ac:dyDescent="0.3">
      <c r="B15684" s="16301"/>
      <c r="WEB15684" s="15596"/>
    </row>
    <row r="15685" spans="2:2 15677:15692" x14ac:dyDescent="0.3">
      <c r="B15685" s="16301"/>
      <c r="WEC15685" s="15597"/>
    </row>
    <row r="15686" spans="2:2 15677:15692" x14ac:dyDescent="0.3">
      <c r="B15686" s="16301"/>
      <c r="WED15686" s="15598"/>
    </row>
    <row r="15687" spans="2:2 15677:15692" x14ac:dyDescent="0.3">
      <c r="B15687" s="16301"/>
      <c r="WEE15687" s="15599"/>
    </row>
    <row r="15688" spans="2:2 15677:15692" x14ac:dyDescent="0.3">
      <c r="B15688" s="16301"/>
      <c r="WEF15688" s="15600"/>
    </row>
    <row r="15689" spans="2:2 15677:15692" x14ac:dyDescent="0.3">
      <c r="B15689" s="16301"/>
      <c r="WEG15689" s="15601"/>
    </row>
    <row r="15690" spans="2:2 15677:15692" x14ac:dyDescent="0.3">
      <c r="B15690" s="16301"/>
      <c r="WEH15690" s="15602"/>
    </row>
    <row r="15691" spans="2:2 15677:15692" x14ac:dyDescent="0.3">
      <c r="B15691" s="16301"/>
      <c r="WEI15691" s="15603"/>
    </row>
    <row r="15692" spans="2:2 15677:15692" x14ac:dyDescent="0.3">
      <c r="B15692" s="16301"/>
      <c r="WEJ15692" s="15604"/>
    </row>
    <row r="15693" spans="2:2 15677:15692" x14ac:dyDescent="0.3">
      <c r="B15693" s="16301"/>
      <c r="WEK15693" s="15605"/>
    </row>
    <row r="15694" spans="2:2 15677:15692" x14ac:dyDescent="0.3">
      <c r="B15694" s="16301"/>
      <c r="WEL15694" s="15606"/>
    </row>
    <row r="15695" spans="2:2 15677:15692" x14ac:dyDescent="0.3">
      <c r="B15695" s="16301"/>
      <c r="WEM15695" s="15607"/>
    </row>
    <row r="15696" spans="2:2 15677:15692" x14ac:dyDescent="0.3">
      <c r="B15696" s="16301"/>
      <c r="WEN15696" s="15608"/>
    </row>
    <row r="15697" spans="2:2 15693:15708" x14ac:dyDescent="0.3">
      <c r="B15697" s="16301"/>
      <c r="WEO15697" s="15609"/>
    </row>
    <row r="15698" spans="2:2 15693:15708" x14ac:dyDescent="0.3">
      <c r="B15698" s="16301"/>
      <c r="WEP15698" s="15610"/>
    </row>
    <row r="15699" spans="2:2 15693:15708" x14ac:dyDescent="0.3">
      <c r="B15699" s="16301"/>
      <c r="WEQ15699" s="15611"/>
    </row>
    <row r="15700" spans="2:2 15693:15708" x14ac:dyDescent="0.3">
      <c r="B15700" s="16301"/>
      <c r="WER15700" s="15612"/>
    </row>
    <row r="15701" spans="2:2 15693:15708" x14ac:dyDescent="0.3">
      <c r="B15701" s="16301"/>
      <c r="WES15701" s="15613"/>
    </row>
    <row r="15702" spans="2:2 15693:15708" x14ac:dyDescent="0.3">
      <c r="B15702" s="16301"/>
      <c r="WET15702" s="15614"/>
    </row>
    <row r="15703" spans="2:2 15693:15708" x14ac:dyDescent="0.3">
      <c r="B15703" s="16301"/>
      <c r="WEU15703" s="15615"/>
    </row>
    <row r="15704" spans="2:2 15693:15708" x14ac:dyDescent="0.3">
      <c r="B15704" s="16301"/>
      <c r="WEV15704" s="15616"/>
    </row>
    <row r="15705" spans="2:2 15693:15708" x14ac:dyDescent="0.3">
      <c r="B15705" s="16301"/>
      <c r="WEW15705" s="15617"/>
    </row>
    <row r="15706" spans="2:2 15693:15708" x14ac:dyDescent="0.3">
      <c r="B15706" s="16301"/>
      <c r="WEX15706" s="15618"/>
    </row>
    <row r="15707" spans="2:2 15693:15708" x14ac:dyDescent="0.3">
      <c r="B15707" s="16301"/>
      <c r="WEY15707" s="15619"/>
    </row>
    <row r="15708" spans="2:2 15693:15708" x14ac:dyDescent="0.3">
      <c r="B15708" s="16301"/>
      <c r="WEZ15708" s="15620"/>
    </row>
    <row r="15709" spans="2:2 15693:15708" x14ac:dyDescent="0.3">
      <c r="B15709" s="16301"/>
      <c r="WFA15709" s="15621"/>
    </row>
    <row r="15710" spans="2:2 15693:15708" x14ac:dyDescent="0.3">
      <c r="B15710" s="16301"/>
      <c r="WFB15710" s="15622"/>
    </row>
    <row r="15711" spans="2:2 15693:15708" x14ac:dyDescent="0.3">
      <c r="B15711" s="16301"/>
      <c r="WFC15711" s="15623"/>
    </row>
    <row r="15712" spans="2:2 15693:15708" x14ac:dyDescent="0.3">
      <c r="B15712" s="16301"/>
      <c r="WFD15712" s="15624"/>
    </row>
    <row r="15713" spans="2:2 15709:15724" x14ac:dyDescent="0.3">
      <c r="B15713" s="16301"/>
      <c r="WFE15713" s="15625"/>
    </row>
    <row r="15714" spans="2:2 15709:15724" x14ac:dyDescent="0.3">
      <c r="B15714" s="16301"/>
      <c r="WFF15714" s="15626"/>
    </row>
    <row r="15715" spans="2:2 15709:15724" x14ac:dyDescent="0.3">
      <c r="B15715" s="16301"/>
      <c r="WFG15715" s="15627"/>
    </row>
    <row r="15716" spans="2:2 15709:15724" x14ac:dyDescent="0.3">
      <c r="B15716" s="16301"/>
      <c r="WFH15716" s="15628"/>
    </row>
    <row r="15717" spans="2:2 15709:15724" x14ac:dyDescent="0.3">
      <c r="B15717" s="16301"/>
      <c r="WFI15717" s="15629"/>
    </row>
    <row r="15718" spans="2:2 15709:15724" x14ac:dyDescent="0.3">
      <c r="B15718" s="16301"/>
      <c r="WFJ15718" s="15630"/>
    </row>
    <row r="15719" spans="2:2 15709:15724" x14ac:dyDescent="0.3">
      <c r="B15719" s="16301"/>
      <c r="WFK15719" s="15631"/>
    </row>
    <row r="15720" spans="2:2 15709:15724" x14ac:dyDescent="0.3">
      <c r="B15720" s="16301"/>
      <c r="WFL15720" s="15632"/>
    </row>
    <row r="15721" spans="2:2 15709:15724" x14ac:dyDescent="0.3">
      <c r="B15721" s="16301"/>
      <c r="WFM15721" s="15633"/>
    </row>
    <row r="15722" spans="2:2 15709:15724" x14ac:dyDescent="0.3">
      <c r="B15722" s="16301"/>
      <c r="WFN15722" s="15634"/>
    </row>
    <row r="15723" spans="2:2 15709:15724" x14ac:dyDescent="0.3">
      <c r="B15723" s="16301"/>
      <c r="WFO15723" s="15635"/>
    </row>
    <row r="15724" spans="2:2 15709:15724" x14ac:dyDescent="0.3">
      <c r="B15724" s="16301"/>
      <c r="WFP15724" s="15636"/>
    </row>
    <row r="15725" spans="2:2 15709:15724" x14ac:dyDescent="0.3">
      <c r="B15725" s="16301"/>
      <c r="WFQ15725" s="15637"/>
    </row>
    <row r="15726" spans="2:2 15709:15724" x14ac:dyDescent="0.3">
      <c r="B15726" s="16301"/>
      <c r="WFR15726" s="15638"/>
    </row>
    <row r="15727" spans="2:2 15709:15724" x14ac:dyDescent="0.3">
      <c r="B15727" s="16301"/>
      <c r="WFS15727" s="15639"/>
    </row>
    <row r="15728" spans="2:2 15709:15724" x14ac:dyDescent="0.3">
      <c r="B15728" s="16301"/>
      <c r="WFT15728" s="15640"/>
    </row>
    <row r="15729" spans="2:2 15725:15740" x14ac:dyDescent="0.3">
      <c r="B15729" s="16301"/>
      <c r="WFU15729" s="15641"/>
    </row>
    <row r="15730" spans="2:2 15725:15740" x14ac:dyDescent="0.3">
      <c r="B15730" s="16301"/>
      <c r="WFV15730" s="15642"/>
    </row>
    <row r="15731" spans="2:2 15725:15740" x14ac:dyDescent="0.3">
      <c r="B15731" s="16301"/>
      <c r="WFW15731" s="15643"/>
    </row>
    <row r="15732" spans="2:2 15725:15740" x14ac:dyDescent="0.3">
      <c r="B15732" s="16301"/>
      <c r="WFX15732" s="15644"/>
    </row>
    <row r="15733" spans="2:2 15725:15740" x14ac:dyDescent="0.3">
      <c r="B15733" s="16301"/>
      <c r="WFY15733" s="15645"/>
    </row>
    <row r="15734" spans="2:2 15725:15740" x14ac:dyDescent="0.3">
      <c r="B15734" s="16301"/>
      <c r="WFZ15734" s="15646"/>
    </row>
    <row r="15735" spans="2:2 15725:15740" x14ac:dyDescent="0.3">
      <c r="B15735" s="16301"/>
      <c r="WGA15735" s="15647"/>
    </row>
    <row r="15736" spans="2:2 15725:15740" x14ac:dyDescent="0.3">
      <c r="B15736" s="16301"/>
      <c r="WGB15736" s="15648"/>
    </row>
    <row r="15737" spans="2:2 15725:15740" x14ac:dyDescent="0.3">
      <c r="B15737" s="16301"/>
      <c r="WGC15737" s="15649"/>
    </row>
    <row r="15738" spans="2:2 15725:15740" x14ac:dyDescent="0.3">
      <c r="B15738" s="16301"/>
      <c r="WGD15738" s="15650"/>
    </row>
    <row r="15739" spans="2:2 15725:15740" x14ac:dyDescent="0.3">
      <c r="B15739" s="16301"/>
      <c r="WGE15739" s="15651"/>
    </row>
    <row r="15740" spans="2:2 15725:15740" x14ac:dyDescent="0.3">
      <c r="B15740" s="16301"/>
      <c r="WGF15740" s="15652"/>
    </row>
    <row r="15741" spans="2:2 15725:15740" x14ac:dyDescent="0.3">
      <c r="B15741" s="16301"/>
      <c r="WGG15741" s="15653"/>
    </row>
    <row r="15742" spans="2:2 15725:15740" x14ac:dyDescent="0.3">
      <c r="B15742" s="16301"/>
      <c r="WGH15742" s="15654"/>
    </row>
    <row r="15743" spans="2:2 15725:15740" x14ac:dyDescent="0.3">
      <c r="B15743" s="16301"/>
      <c r="WGI15743" s="15655"/>
    </row>
    <row r="15744" spans="2:2 15725:15740" x14ac:dyDescent="0.3">
      <c r="B15744" s="16301"/>
      <c r="WGJ15744" s="15656"/>
    </row>
    <row r="15745" spans="2:2 15741:15756" x14ac:dyDescent="0.3">
      <c r="B15745" s="16301"/>
      <c r="WGK15745" s="15657"/>
    </row>
    <row r="15746" spans="2:2 15741:15756" x14ac:dyDescent="0.3">
      <c r="B15746" s="16301"/>
      <c r="WGL15746" s="15658"/>
    </row>
    <row r="15747" spans="2:2 15741:15756" x14ac:dyDescent="0.3">
      <c r="B15747" s="16301"/>
      <c r="WGM15747" s="15659"/>
    </row>
    <row r="15748" spans="2:2 15741:15756" x14ac:dyDescent="0.3">
      <c r="B15748" s="16301"/>
      <c r="WGN15748" s="15660"/>
    </row>
    <row r="15749" spans="2:2 15741:15756" x14ac:dyDescent="0.3">
      <c r="B15749" s="16301"/>
      <c r="WGO15749" s="15661"/>
    </row>
    <row r="15750" spans="2:2 15741:15756" x14ac:dyDescent="0.3">
      <c r="B15750" s="16301"/>
      <c r="WGP15750" s="15662"/>
    </row>
    <row r="15751" spans="2:2 15741:15756" x14ac:dyDescent="0.3">
      <c r="B15751" s="16301"/>
      <c r="WGQ15751" s="15663"/>
    </row>
    <row r="15752" spans="2:2 15741:15756" x14ac:dyDescent="0.3">
      <c r="B15752" s="16301"/>
      <c r="WGR15752" s="15664"/>
    </row>
    <row r="15753" spans="2:2 15741:15756" x14ac:dyDescent="0.3">
      <c r="B15753" s="16301"/>
      <c r="WGS15753" s="15665"/>
    </row>
    <row r="15754" spans="2:2 15741:15756" x14ac:dyDescent="0.3">
      <c r="B15754" s="16301"/>
      <c r="WGT15754" s="15666"/>
    </row>
    <row r="15755" spans="2:2 15741:15756" x14ac:dyDescent="0.3">
      <c r="B15755" s="16301"/>
      <c r="WGU15755" s="15667"/>
    </row>
    <row r="15756" spans="2:2 15741:15756" x14ac:dyDescent="0.3">
      <c r="B15756" s="16301"/>
      <c r="WGV15756" s="15668"/>
    </row>
    <row r="15757" spans="2:2 15741:15756" x14ac:dyDescent="0.3">
      <c r="B15757" s="16301"/>
      <c r="WGW15757" s="15669"/>
    </row>
    <row r="15758" spans="2:2 15741:15756" x14ac:dyDescent="0.3">
      <c r="B15758" s="16301"/>
      <c r="WGX15758" s="15670"/>
    </row>
    <row r="15759" spans="2:2 15741:15756" x14ac:dyDescent="0.3">
      <c r="B15759" s="16301"/>
      <c r="WGY15759" s="15671"/>
    </row>
    <row r="15760" spans="2:2 15741:15756" x14ac:dyDescent="0.3">
      <c r="B15760" s="16301"/>
      <c r="WGZ15760" s="15672"/>
    </row>
    <row r="15761" spans="2:2 15757:15772" x14ac:dyDescent="0.3">
      <c r="B15761" s="16301"/>
      <c r="WHA15761" s="15673"/>
    </row>
    <row r="15762" spans="2:2 15757:15772" x14ac:dyDescent="0.3">
      <c r="B15762" s="16301"/>
      <c r="WHB15762" s="15674"/>
    </row>
    <row r="15763" spans="2:2 15757:15772" x14ac:dyDescent="0.3">
      <c r="B15763" s="16301"/>
      <c r="WHC15763" s="15675"/>
    </row>
    <row r="15764" spans="2:2 15757:15772" x14ac:dyDescent="0.3">
      <c r="B15764" s="16301"/>
      <c r="WHD15764" s="15676"/>
    </row>
    <row r="15765" spans="2:2 15757:15772" x14ac:dyDescent="0.3">
      <c r="B15765" s="16301"/>
      <c r="WHE15765" s="15677"/>
    </row>
    <row r="15766" spans="2:2 15757:15772" x14ac:dyDescent="0.3">
      <c r="B15766" s="16301"/>
      <c r="WHF15766" s="15678"/>
    </row>
    <row r="15767" spans="2:2 15757:15772" x14ac:dyDescent="0.3">
      <c r="B15767" s="16301"/>
      <c r="WHG15767" s="15679"/>
    </row>
    <row r="15768" spans="2:2 15757:15772" x14ac:dyDescent="0.3">
      <c r="B15768" s="16301"/>
      <c r="WHH15768" s="15680"/>
    </row>
    <row r="15769" spans="2:2 15757:15772" x14ac:dyDescent="0.3">
      <c r="B15769" s="16301"/>
      <c r="WHI15769" s="15681"/>
    </row>
    <row r="15770" spans="2:2 15757:15772" x14ac:dyDescent="0.3">
      <c r="B15770" s="16301"/>
      <c r="WHJ15770" s="15682"/>
    </row>
    <row r="15771" spans="2:2 15757:15772" x14ac:dyDescent="0.3">
      <c r="B15771" s="16301"/>
      <c r="WHK15771" s="15683"/>
    </row>
    <row r="15772" spans="2:2 15757:15772" x14ac:dyDescent="0.3">
      <c r="B15772" s="16301"/>
      <c r="WHL15772" s="15684"/>
    </row>
    <row r="15773" spans="2:2 15757:15772" x14ac:dyDescent="0.3">
      <c r="B15773" s="16301"/>
      <c r="WHM15773" s="15685"/>
    </row>
    <row r="15774" spans="2:2 15757:15772" x14ac:dyDescent="0.3">
      <c r="B15774" s="16301"/>
      <c r="WHN15774" s="15686"/>
    </row>
    <row r="15775" spans="2:2 15757:15772" x14ac:dyDescent="0.3">
      <c r="B15775" s="16301"/>
      <c r="WHO15775" s="15687"/>
    </row>
    <row r="15776" spans="2:2 15757:15772" x14ac:dyDescent="0.3">
      <c r="B15776" s="16301"/>
      <c r="WHP15776" s="15688"/>
    </row>
    <row r="15777" spans="2:2 15773:15788" x14ac:dyDescent="0.3">
      <c r="B15777" s="16301"/>
      <c r="WHQ15777" s="15689"/>
    </row>
    <row r="15778" spans="2:2 15773:15788" x14ac:dyDescent="0.3">
      <c r="B15778" s="16301"/>
      <c r="WHR15778" s="15690"/>
    </row>
    <row r="15779" spans="2:2 15773:15788" x14ac:dyDescent="0.3">
      <c r="B15779" s="16301"/>
      <c r="WHS15779" s="15691"/>
    </row>
    <row r="15780" spans="2:2 15773:15788" x14ac:dyDescent="0.3">
      <c r="B15780" s="16301"/>
      <c r="WHT15780" s="15692"/>
    </row>
    <row r="15781" spans="2:2 15773:15788" x14ac:dyDescent="0.3">
      <c r="B15781" s="16301"/>
      <c r="WHU15781" s="15693"/>
    </row>
    <row r="15782" spans="2:2 15773:15788" x14ac:dyDescent="0.3">
      <c r="B15782" s="16301"/>
      <c r="WHV15782" s="15694"/>
    </row>
    <row r="15783" spans="2:2 15773:15788" x14ac:dyDescent="0.3">
      <c r="B15783" s="16301"/>
      <c r="WHW15783" s="15695"/>
    </row>
    <row r="15784" spans="2:2 15773:15788" x14ac:dyDescent="0.3">
      <c r="B15784" s="16301"/>
      <c r="WHX15784" s="15696"/>
    </row>
    <row r="15785" spans="2:2 15773:15788" x14ac:dyDescent="0.3">
      <c r="B15785" s="16301"/>
      <c r="WHY15785" s="15697"/>
    </row>
    <row r="15786" spans="2:2 15773:15788" x14ac:dyDescent="0.3">
      <c r="B15786" s="16301"/>
      <c r="WHZ15786" s="15698"/>
    </row>
    <row r="15787" spans="2:2 15773:15788" x14ac:dyDescent="0.3">
      <c r="B15787" s="16301"/>
      <c r="WIA15787" s="15699"/>
    </row>
    <row r="15788" spans="2:2 15773:15788" x14ac:dyDescent="0.3">
      <c r="B15788" s="16301"/>
      <c r="WIB15788" s="15700"/>
    </row>
    <row r="15789" spans="2:2 15773:15788" x14ac:dyDescent="0.3">
      <c r="B15789" s="16301"/>
      <c r="WIC15789" s="15701"/>
    </row>
    <row r="15790" spans="2:2 15773:15788" x14ac:dyDescent="0.3">
      <c r="B15790" s="16301"/>
      <c r="WID15790" s="15702"/>
    </row>
    <row r="15791" spans="2:2 15773:15788" x14ac:dyDescent="0.3">
      <c r="B15791" s="16301"/>
      <c r="WIE15791" s="15703"/>
    </row>
    <row r="15792" spans="2:2 15773:15788" x14ac:dyDescent="0.3">
      <c r="B15792" s="16301"/>
      <c r="WIF15792" s="15704"/>
    </row>
    <row r="15793" spans="2:2 15789:15804" x14ac:dyDescent="0.3">
      <c r="B15793" s="16301"/>
      <c r="WIG15793" s="15705"/>
    </row>
    <row r="15794" spans="2:2 15789:15804" x14ac:dyDescent="0.3">
      <c r="B15794" s="16301"/>
      <c r="WIH15794" s="15706"/>
    </row>
    <row r="15795" spans="2:2 15789:15804" x14ac:dyDescent="0.3">
      <c r="B15795" s="16301"/>
      <c r="WII15795" s="15707"/>
    </row>
    <row r="15796" spans="2:2 15789:15804" x14ac:dyDescent="0.3">
      <c r="B15796" s="16301"/>
      <c r="WIJ15796" s="15708"/>
    </row>
    <row r="15797" spans="2:2 15789:15804" x14ac:dyDescent="0.3">
      <c r="B15797" s="16301"/>
      <c r="WIK15797" s="15709"/>
    </row>
    <row r="15798" spans="2:2 15789:15804" x14ac:dyDescent="0.3">
      <c r="B15798" s="16301"/>
      <c r="WIL15798" s="15710"/>
    </row>
    <row r="15799" spans="2:2 15789:15804" x14ac:dyDescent="0.3">
      <c r="B15799" s="16301"/>
      <c r="WIM15799" s="15711"/>
    </row>
    <row r="15800" spans="2:2 15789:15804" x14ac:dyDescent="0.3">
      <c r="B15800" s="16301"/>
      <c r="WIN15800" s="15712"/>
    </row>
    <row r="15801" spans="2:2 15789:15804" x14ac:dyDescent="0.3">
      <c r="B15801" s="16301"/>
      <c r="WIO15801" s="15713"/>
    </row>
    <row r="15802" spans="2:2 15789:15804" x14ac:dyDescent="0.3">
      <c r="B15802" s="16301"/>
      <c r="WIP15802" s="15714"/>
    </row>
    <row r="15803" spans="2:2 15789:15804" x14ac:dyDescent="0.3">
      <c r="B15803" s="16301"/>
      <c r="WIQ15803" s="15715"/>
    </row>
    <row r="15804" spans="2:2 15789:15804" x14ac:dyDescent="0.3">
      <c r="B15804" s="16301"/>
      <c r="WIR15804" s="15716"/>
    </row>
    <row r="15805" spans="2:2 15789:15804" x14ac:dyDescent="0.3">
      <c r="B15805" s="16301"/>
      <c r="WIS15805" s="15717"/>
    </row>
    <row r="15806" spans="2:2 15789:15804" x14ac:dyDescent="0.3">
      <c r="B15806" s="16301"/>
      <c r="WIT15806" s="15718"/>
    </row>
    <row r="15807" spans="2:2 15789:15804" x14ac:dyDescent="0.3">
      <c r="B15807" s="16301"/>
      <c r="WIU15807" s="15719"/>
    </row>
    <row r="15808" spans="2:2 15789:15804" x14ac:dyDescent="0.3">
      <c r="B15808" s="16301"/>
      <c r="WIV15808" s="15720"/>
    </row>
    <row r="15809" spans="2:2 15805:15820" x14ac:dyDescent="0.3">
      <c r="B15809" s="16301"/>
      <c r="WIW15809" s="15721"/>
    </row>
    <row r="15810" spans="2:2 15805:15820" x14ac:dyDescent="0.3">
      <c r="B15810" s="16301"/>
      <c r="WIX15810" s="15722"/>
    </row>
    <row r="15811" spans="2:2 15805:15820" x14ac:dyDescent="0.3">
      <c r="B15811" s="16301"/>
      <c r="WIY15811" s="15723"/>
    </row>
    <row r="15812" spans="2:2 15805:15820" x14ac:dyDescent="0.3">
      <c r="B15812" s="16301"/>
      <c r="WIZ15812" s="15724"/>
    </row>
    <row r="15813" spans="2:2 15805:15820" x14ac:dyDescent="0.3">
      <c r="B15813" s="16301"/>
      <c r="WJA15813" s="15725"/>
    </row>
    <row r="15814" spans="2:2 15805:15820" x14ac:dyDescent="0.3">
      <c r="B15814" s="16301"/>
      <c r="WJB15814" s="15726"/>
    </row>
    <row r="15815" spans="2:2 15805:15820" x14ac:dyDescent="0.3">
      <c r="B15815" s="16301"/>
      <c r="WJC15815" s="15727"/>
    </row>
    <row r="15816" spans="2:2 15805:15820" x14ac:dyDescent="0.3">
      <c r="B15816" s="16301"/>
      <c r="WJD15816" s="15728"/>
    </row>
    <row r="15817" spans="2:2 15805:15820" x14ac:dyDescent="0.3">
      <c r="B15817" s="16301"/>
      <c r="WJE15817" s="15729"/>
    </row>
    <row r="15818" spans="2:2 15805:15820" x14ac:dyDescent="0.3">
      <c r="B15818" s="16301"/>
      <c r="WJF15818" s="15730"/>
    </row>
    <row r="15819" spans="2:2 15805:15820" x14ac:dyDescent="0.3">
      <c r="B15819" s="16301"/>
      <c r="WJG15819" s="15731"/>
    </row>
    <row r="15820" spans="2:2 15805:15820" x14ac:dyDescent="0.3">
      <c r="B15820" s="16301"/>
      <c r="WJH15820" s="15732"/>
    </row>
    <row r="15821" spans="2:2 15805:15820" x14ac:dyDescent="0.3">
      <c r="B15821" s="16301"/>
      <c r="WJI15821" s="15733"/>
    </row>
    <row r="15822" spans="2:2 15805:15820" x14ac:dyDescent="0.3">
      <c r="B15822" s="16301"/>
      <c r="WJJ15822" s="15734"/>
    </row>
    <row r="15823" spans="2:2 15805:15820" x14ac:dyDescent="0.3">
      <c r="B15823" s="16301"/>
      <c r="WJK15823" s="15735"/>
    </row>
    <row r="15824" spans="2:2 15805:15820" x14ac:dyDescent="0.3">
      <c r="B15824" s="16301"/>
      <c r="WJL15824" s="15736"/>
    </row>
    <row r="15825" spans="2:2 15821:15836" x14ac:dyDescent="0.3">
      <c r="B15825" s="16301"/>
      <c r="WJM15825" s="15737"/>
    </row>
    <row r="15826" spans="2:2 15821:15836" x14ac:dyDescent="0.3">
      <c r="B15826" s="16301"/>
      <c r="WJN15826" s="15738"/>
    </row>
    <row r="15827" spans="2:2 15821:15836" x14ac:dyDescent="0.3">
      <c r="B15827" s="16301"/>
      <c r="WJO15827" s="15739"/>
    </row>
    <row r="15828" spans="2:2 15821:15836" x14ac:dyDescent="0.3">
      <c r="B15828" s="16301"/>
      <c r="WJP15828" s="15740"/>
    </row>
    <row r="15829" spans="2:2 15821:15836" x14ac:dyDescent="0.3">
      <c r="B15829" s="16301"/>
      <c r="WJQ15829" s="15741"/>
    </row>
    <row r="15830" spans="2:2 15821:15836" x14ac:dyDescent="0.3">
      <c r="B15830" s="16301"/>
      <c r="WJR15830" s="15742"/>
    </row>
    <row r="15831" spans="2:2 15821:15836" x14ac:dyDescent="0.3">
      <c r="B15831" s="16301"/>
      <c r="WJS15831" s="15743"/>
    </row>
    <row r="15832" spans="2:2 15821:15836" x14ac:dyDescent="0.3">
      <c r="B15832" s="16301"/>
      <c r="WJT15832" s="15744"/>
    </row>
    <row r="15833" spans="2:2 15821:15836" x14ac:dyDescent="0.3">
      <c r="B15833" s="16301"/>
      <c r="WJU15833" s="15745"/>
    </row>
    <row r="15834" spans="2:2 15821:15836" x14ac:dyDescent="0.3">
      <c r="B15834" s="16301"/>
      <c r="WJV15834" s="15746"/>
    </row>
    <row r="15835" spans="2:2 15821:15836" x14ac:dyDescent="0.3">
      <c r="B15835" s="16301"/>
      <c r="WJW15835" s="15747"/>
    </row>
    <row r="15836" spans="2:2 15821:15836" x14ac:dyDescent="0.3">
      <c r="B15836" s="16301"/>
      <c r="WJX15836" s="15748"/>
    </row>
    <row r="15837" spans="2:2 15821:15836" x14ac:dyDescent="0.3">
      <c r="B15837" s="16301"/>
      <c r="WJY15837" s="15749"/>
    </row>
    <row r="15838" spans="2:2 15821:15836" x14ac:dyDescent="0.3">
      <c r="B15838" s="16301"/>
      <c r="WJZ15838" s="15750"/>
    </row>
    <row r="15839" spans="2:2 15821:15836" x14ac:dyDescent="0.3">
      <c r="B15839" s="16301"/>
      <c r="WKA15839" s="15751"/>
    </row>
    <row r="15840" spans="2:2 15821:15836" x14ac:dyDescent="0.3">
      <c r="B15840" s="16301"/>
      <c r="WKB15840" s="15752"/>
    </row>
    <row r="15841" spans="2:2 15837:15852" x14ac:dyDescent="0.3">
      <c r="B15841" s="16301"/>
      <c r="WKC15841" s="15753"/>
    </row>
    <row r="15842" spans="2:2 15837:15852" x14ac:dyDescent="0.3">
      <c r="B15842" s="16301"/>
      <c r="WKD15842" s="15754"/>
    </row>
    <row r="15843" spans="2:2 15837:15852" x14ac:dyDescent="0.3">
      <c r="B15843" s="16301"/>
      <c r="WKE15843" s="15755"/>
    </row>
    <row r="15844" spans="2:2 15837:15852" x14ac:dyDescent="0.3">
      <c r="B15844" s="16301"/>
      <c r="WKF15844" s="15756"/>
    </row>
    <row r="15845" spans="2:2 15837:15852" x14ac:dyDescent="0.3">
      <c r="B15845" s="16301"/>
      <c r="WKG15845" s="15757"/>
    </row>
    <row r="15846" spans="2:2 15837:15852" x14ac:dyDescent="0.3">
      <c r="B15846" s="16301"/>
      <c r="WKH15846" s="15758"/>
    </row>
    <row r="15847" spans="2:2 15837:15852" x14ac:dyDescent="0.3">
      <c r="B15847" s="16301"/>
      <c r="WKI15847" s="15759"/>
    </row>
    <row r="15848" spans="2:2 15837:15852" x14ac:dyDescent="0.3">
      <c r="B15848" s="16301"/>
      <c r="WKJ15848" s="15760"/>
    </row>
    <row r="15849" spans="2:2 15837:15852" x14ac:dyDescent="0.3">
      <c r="B15849" s="16301"/>
      <c r="WKK15849" s="15761"/>
    </row>
    <row r="15850" spans="2:2 15837:15852" x14ac:dyDescent="0.3">
      <c r="B15850" s="16301"/>
      <c r="WKL15850" s="15762"/>
    </row>
    <row r="15851" spans="2:2 15837:15852" x14ac:dyDescent="0.3">
      <c r="B15851" s="16301"/>
      <c r="WKM15851" s="15763"/>
    </row>
    <row r="15852" spans="2:2 15837:15852" x14ac:dyDescent="0.3">
      <c r="B15852" s="16301"/>
      <c r="WKN15852" s="15764"/>
    </row>
    <row r="15853" spans="2:2 15837:15852" x14ac:dyDescent="0.3">
      <c r="B15853" s="16301"/>
      <c r="WKO15853" s="15765"/>
    </row>
    <row r="15854" spans="2:2 15837:15852" x14ac:dyDescent="0.3">
      <c r="B15854" s="16301"/>
      <c r="WKP15854" s="15766"/>
    </row>
    <row r="15855" spans="2:2 15837:15852" x14ac:dyDescent="0.3">
      <c r="B15855" s="16301"/>
      <c r="WKQ15855" s="15767"/>
    </row>
    <row r="15856" spans="2:2 15837:15852" x14ac:dyDescent="0.3">
      <c r="B15856" s="16301"/>
      <c r="WKR15856" s="15768"/>
    </row>
    <row r="15857" spans="2:2 15853:15868" x14ac:dyDescent="0.3">
      <c r="B15857" s="16301"/>
      <c r="WKS15857" s="15769"/>
    </row>
    <row r="15858" spans="2:2 15853:15868" x14ac:dyDescent="0.3">
      <c r="B15858" s="16301"/>
      <c r="WKT15858" s="15770"/>
    </row>
    <row r="15859" spans="2:2 15853:15868" x14ac:dyDescent="0.3">
      <c r="B15859" s="16301"/>
      <c r="WKU15859" s="15771"/>
    </row>
    <row r="15860" spans="2:2 15853:15868" x14ac:dyDescent="0.3">
      <c r="B15860" s="16301"/>
      <c r="WKV15860" s="15772"/>
    </row>
    <row r="15861" spans="2:2 15853:15868" x14ac:dyDescent="0.3">
      <c r="B15861" s="16301"/>
      <c r="WKW15861" s="15773"/>
    </row>
    <row r="15862" spans="2:2 15853:15868" x14ac:dyDescent="0.3">
      <c r="B15862" s="16301"/>
      <c r="WKX15862" s="15774"/>
    </row>
    <row r="15863" spans="2:2 15853:15868" x14ac:dyDescent="0.3">
      <c r="B15863" s="16301"/>
      <c r="WKY15863" s="15775"/>
    </row>
    <row r="15864" spans="2:2 15853:15868" x14ac:dyDescent="0.3">
      <c r="B15864" s="16301"/>
      <c r="WKZ15864" s="15776"/>
    </row>
    <row r="15865" spans="2:2 15853:15868" x14ac:dyDescent="0.3">
      <c r="B15865" s="16301"/>
      <c r="WLA15865" s="15777"/>
    </row>
    <row r="15866" spans="2:2 15853:15868" x14ac:dyDescent="0.3">
      <c r="B15866" s="16301"/>
      <c r="WLB15866" s="15778"/>
    </row>
    <row r="15867" spans="2:2 15853:15868" x14ac:dyDescent="0.3">
      <c r="B15867" s="16301"/>
      <c r="WLC15867" s="15779"/>
    </row>
    <row r="15868" spans="2:2 15853:15868" x14ac:dyDescent="0.3">
      <c r="B15868" s="16301"/>
      <c r="WLD15868" s="15780"/>
    </row>
    <row r="15869" spans="2:2 15853:15868" x14ac:dyDescent="0.3">
      <c r="B15869" s="16301"/>
      <c r="WLE15869" s="15781"/>
    </row>
    <row r="15870" spans="2:2 15853:15868" x14ac:dyDescent="0.3">
      <c r="B15870" s="16301"/>
      <c r="WLF15870" s="15782"/>
    </row>
    <row r="15871" spans="2:2 15853:15868" x14ac:dyDescent="0.3">
      <c r="B15871" s="16301"/>
      <c r="WLG15871" s="15783"/>
    </row>
    <row r="15872" spans="2:2 15853:15868" x14ac:dyDescent="0.3">
      <c r="B15872" s="16301"/>
      <c r="WLH15872" s="15784"/>
    </row>
    <row r="15873" spans="2:2 15869:15884" x14ac:dyDescent="0.3">
      <c r="B15873" s="16301"/>
      <c r="WLI15873" s="15785"/>
    </row>
    <row r="15874" spans="2:2 15869:15884" x14ac:dyDescent="0.3">
      <c r="B15874" s="16301"/>
      <c r="WLJ15874" s="15786"/>
    </row>
    <row r="15875" spans="2:2 15869:15884" x14ac:dyDescent="0.3">
      <c r="B15875" s="16301"/>
      <c r="WLK15875" s="15787"/>
    </row>
    <row r="15876" spans="2:2 15869:15884" x14ac:dyDescent="0.3">
      <c r="B15876" s="16301"/>
      <c r="WLL15876" s="15788"/>
    </row>
    <row r="15877" spans="2:2 15869:15884" x14ac:dyDescent="0.3">
      <c r="B15877" s="16301"/>
      <c r="WLM15877" s="15789"/>
    </row>
    <row r="15878" spans="2:2 15869:15884" x14ac:dyDescent="0.3">
      <c r="B15878" s="16301"/>
      <c r="WLN15878" s="15790"/>
    </row>
    <row r="15879" spans="2:2 15869:15884" x14ac:dyDescent="0.3">
      <c r="B15879" s="16301"/>
      <c r="WLO15879" s="15791"/>
    </row>
    <row r="15880" spans="2:2 15869:15884" x14ac:dyDescent="0.3">
      <c r="B15880" s="16301"/>
      <c r="WLP15880" s="15792"/>
    </row>
    <row r="15881" spans="2:2 15869:15884" x14ac:dyDescent="0.3">
      <c r="B15881" s="16301"/>
      <c r="WLQ15881" s="15793"/>
    </row>
    <row r="15882" spans="2:2 15869:15884" x14ac:dyDescent="0.3">
      <c r="B15882" s="16301"/>
      <c r="WLR15882" s="15794"/>
    </row>
    <row r="15883" spans="2:2 15869:15884" x14ac:dyDescent="0.3">
      <c r="B15883" s="16301"/>
      <c r="WLS15883" s="15795"/>
    </row>
    <row r="15884" spans="2:2 15869:15884" x14ac:dyDescent="0.3">
      <c r="B15884" s="16301"/>
      <c r="WLT15884" s="15796"/>
    </row>
    <row r="15885" spans="2:2 15869:15884" x14ac:dyDescent="0.3">
      <c r="B15885" s="16301"/>
      <c r="WLU15885" s="15797"/>
    </row>
    <row r="15886" spans="2:2 15869:15884" x14ac:dyDescent="0.3">
      <c r="B15886" s="16301"/>
      <c r="WLV15886" s="15798"/>
    </row>
    <row r="15887" spans="2:2 15869:15884" x14ac:dyDescent="0.3">
      <c r="B15887" s="16301"/>
      <c r="WLW15887" s="15799"/>
    </row>
    <row r="15888" spans="2:2 15869:15884" x14ac:dyDescent="0.3">
      <c r="B15888" s="16301"/>
      <c r="WLX15888" s="15800"/>
    </row>
    <row r="15889" spans="2:2 15885:15900" x14ac:dyDescent="0.3">
      <c r="B15889" s="16301"/>
      <c r="WLY15889" s="15801"/>
    </row>
    <row r="15890" spans="2:2 15885:15900" x14ac:dyDescent="0.3">
      <c r="B15890" s="16301"/>
      <c r="WLZ15890" s="15802"/>
    </row>
    <row r="15891" spans="2:2 15885:15900" x14ac:dyDescent="0.3">
      <c r="B15891" s="16301"/>
      <c r="WMA15891" s="15803"/>
    </row>
    <row r="15892" spans="2:2 15885:15900" x14ac:dyDescent="0.3">
      <c r="B15892" s="16301"/>
      <c r="WMB15892" s="15804"/>
    </row>
    <row r="15893" spans="2:2 15885:15900" x14ac:dyDescent="0.3">
      <c r="B15893" s="16301"/>
      <c r="WMC15893" s="15805"/>
    </row>
    <row r="15894" spans="2:2 15885:15900" x14ac:dyDescent="0.3">
      <c r="B15894" s="16301"/>
      <c r="WMD15894" s="15806"/>
    </row>
    <row r="15895" spans="2:2 15885:15900" x14ac:dyDescent="0.3">
      <c r="B15895" s="16301"/>
      <c r="WME15895" s="15807"/>
    </row>
    <row r="15896" spans="2:2 15885:15900" x14ac:dyDescent="0.3">
      <c r="B15896" s="16301"/>
      <c r="WMF15896" s="15808"/>
    </row>
    <row r="15897" spans="2:2 15885:15900" x14ac:dyDescent="0.3">
      <c r="B15897" s="16301"/>
      <c r="WMG15897" s="15809"/>
    </row>
    <row r="15898" spans="2:2 15885:15900" x14ac:dyDescent="0.3">
      <c r="B15898" s="16301"/>
      <c r="WMH15898" s="15810"/>
    </row>
    <row r="15899" spans="2:2 15885:15900" x14ac:dyDescent="0.3">
      <c r="B15899" s="16301"/>
      <c r="WMI15899" s="15811"/>
    </row>
    <row r="15900" spans="2:2 15885:15900" x14ac:dyDescent="0.3">
      <c r="B15900" s="16301"/>
      <c r="WMJ15900" s="15812"/>
    </row>
    <row r="15901" spans="2:2 15885:15900" x14ac:dyDescent="0.3">
      <c r="B15901" s="16301"/>
      <c r="WMK15901" s="15813"/>
    </row>
    <row r="15902" spans="2:2 15885:15900" x14ac:dyDescent="0.3">
      <c r="B15902" s="16301"/>
      <c r="WML15902" s="15814"/>
    </row>
    <row r="15903" spans="2:2 15885:15900" x14ac:dyDescent="0.3">
      <c r="B15903" s="16301"/>
      <c r="WMM15903" s="15815"/>
    </row>
    <row r="15904" spans="2:2 15885:15900" x14ac:dyDescent="0.3">
      <c r="B15904" s="16301"/>
      <c r="WMN15904" s="15816"/>
    </row>
    <row r="15905" spans="2:2 15901:15916" x14ac:dyDescent="0.3">
      <c r="B15905" s="16301"/>
      <c r="WMO15905" s="15817"/>
    </row>
    <row r="15906" spans="2:2 15901:15916" x14ac:dyDescent="0.3">
      <c r="B15906" s="16301"/>
      <c r="WMP15906" s="15818"/>
    </row>
    <row r="15907" spans="2:2 15901:15916" x14ac:dyDescent="0.3">
      <c r="B15907" s="16301"/>
      <c r="WMQ15907" s="15819"/>
    </row>
    <row r="15908" spans="2:2 15901:15916" x14ac:dyDescent="0.3">
      <c r="B15908" s="16301"/>
      <c r="WMR15908" s="15820"/>
    </row>
    <row r="15909" spans="2:2 15901:15916" x14ac:dyDescent="0.3">
      <c r="B15909" s="16301"/>
      <c r="WMS15909" s="15821"/>
    </row>
    <row r="15910" spans="2:2 15901:15916" x14ac:dyDescent="0.3">
      <c r="B15910" s="16301"/>
      <c r="WMT15910" s="15822"/>
    </row>
    <row r="15911" spans="2:2 15901:15916" x14ac:dyDescent="0.3">
      <c r="B15911" s="16301"/>
      <c r="WMU15911" s="15823"/>
    </row>
    <row r="15912" spans="2:2 15901:15916" x14ac:dyDescent="0.3">
      <c r="B15912" s="16301"/>
      <c r="WMV15912" s="15824"/>
    </row>
    <row r="15913" spans="2:2 15901:15916" x14ac:dyDescent="0.3">
      <c r="B15913" s="16301"/>
      <c r="WMW15913" s="15825"/>
    </row>
    <row r="15914" spans="2:2 15901:15916" x14ac:dyDescent="0.3">
      <c r="B15914" s="16301"/>
      <c r="WMX15914" s="15826"/>
    </row>
    <row r="15915" spans="2:2 15901:15916" x14ac:dyDescent="0.3">
      <c r="B15915" s="16301"/>
      <c r="WMY15915" s="15827"/>
    </row>
    <row r="15916" spans="2:2 15901:15916" x14ac:dyDescent="0.3">
      <c r="B15916" s="16301"/>
      <c r="WMZ15916" s="15828"/>
    </row>
    <row r="15917" spans="2:2 15901:15916" x14ac:dyDescent="0.3">
      <c r="B15917" s="16301"/>
      <c r="WNA15917" s="15829"/>
    </row>
    <row r="15918" spans="2:2 15901:15916" x14ac:dyDescent="0.3">
      <c r="B15918" s="16301"/>
      <c r="WNB15918" s="15830"/>
    </row>
    <row r="15919" spans="2:2 15901:15916" x14ac:dyDescent="0.3">
      <c r="B15919" s="16301"/>
      <c r="WNC15919" s="15831"/>
    </row>
    <row r="15920" spans="2:2 15901:15916" x14ac:dyDescent="0.3">
      <c r="B15920" s="16301"/>
      <c r="WND15920" s="15832"/>
    </row>
    <row r="15921" spans="2:2 15917:15932" x14ac:dyDescent="0.3">
      <c r="B15921" s="16301"/>
      <c r="WNE15921" s="15833"/>
    </row>
    <row r="15922" spans="2:2 15917:15932" x14ac:dyDescent="0.3">
      <c r="B15922" s="16301"/>
      <c r="WNF15922" s="15834"/>
    </row>
    <row r="15923" spans="2:2 15917:15932" x14ac:dyDescent="0.3">
      <c r="B15923" s="16301"/>
      <c r="WNG15923" s="15835"/>
    </row>
    <row r="15924" spans="2:2 15917:15932" x14ac:dyDescent="0.3">
      <c r="B15924" s="16301"/>
      <c r="WNH15924" s="15836"/>
    </row>
    <row r="15925" spans="2:2 15917:15932" x14ac:dyDescent="0.3">
      <c r="B15925" s="16301"/>
      <c r="WNI15925" s="15837"/>
    </row>
    <row r="15926" spans="2:2 15917:15932" x14ac:dyDescent="0.3">
      <c r="B15926" s="16301"/>
      <c r="WNJ15926" s="15838"/>
    </row>
    <row r="15927" spans="2:2 15917:15932" x14ac:dyDescent="0.3">
      <c r="B15927" s="16301"/>
      <c r="WNK15927" s="15839"/>
    </row>
    <row r="15928" spans="2:2 15917:15932" x14ac:dyDescent="0.3">
      <c r="B15928" s="16301"/>
      <c r="WNL15928" s="15840"/>
    </row>
    <row r="15929" spans="2:2 15917:15932" x14ac:dyDescent="0.3">
      <c r="B15929" s="16301"/>
      <c r="WNM15929" s="15841"/>
    </row>
    <row r="15930" spans="2:2 15917:15932" x14ac:dyDescent="0.3">
      <c r="B15930" s="16301"/>
      <c r="WNN15930" s="15842"/>
    </row>
    <row r="15931" spans="2:2 15917:15932" x14ac:dyDescent="0.3">
      <c r="B15931" s="16301"/>
      <c r="WNO15931" s="15843"/>
    </row>
    <row r="15932" spans="2:2 15917:15932" x14ac:dyDescent="0.3">
      <c r="B15932" s="16301"/>
      <c r="WNP15932" s="15844"/>
    </row>
    <row r="15933" spans="2:2 15917:15932" x14ac:dyDescent="0.3">
      <c r="B15933" s="16301"/>
      <c r="WNQ15933" s="15845"/>
    </row>
    <row r="15934" spans="2:2 15917:15932" x14ac:dyDescent="0.3">
      <c r="B15934" s="16301"/>
      <c r="WNR15934" s="15846"/>
    </row>
    <row r="15935" spans="2:2 15917:15932" x14ac:dyDescent="0.3">
      <c r="B15935" s="16301"/>
      <c r="WNS15935" s="15847"/>
    </row>
    <row r="15936" spans="2:2 15917:15932" x14ac:dyDescent="0.3">
      <c r="B15936" s="16301"/>
      <c r="WNT15936" s="15848"/>
    </row>
    <row r="15937" spans="2:2 15933:15948" x14ac:dyDescent="0.3">
      <c r="B15937" s="16301"/>
      <c r="WNU15937" s="15849"/>
    </row>
    <row r="15938" spans="2:2 15933:15948" x14ac:dyDescent="0.3">
      <c r="B15938" s="16301"/>
      <c r="WNV15938" s="15850"/>
    </row>
    <row r="15939" spans="2:2 15933:15948" x14ac:dyDescent="0.3">
      <c r="B15939" s="16301"/>
      <c r="WNW15939" s="15851"/>
    </row>
    <row r="15940" spans="2:2 15933:15948" x14ac:dyDescent="0.3">
      <c r="B15940" s="16301"/>
      <c r="WNX15940" s="15851"/>
    </row>
    <row r="15941" spans="2:2 15933:15948" x14ac:dyDescent="0.3">
      <c r="B15941" s="16301"/>
      <c r="WNY15941" s="15852"/>
    </row>
    <row r="15942" spans="2:2 15933:15948" x14ac:dyDescent="0.3">
      <c r="B15942" s="16301"/>
      <c r="WNZ15942" s="15853"/>
    </row>
    <row r="15943" spans="2:2 15933:15948" x14ac:dyDescent="0.3">
      <c r="B15943" s="16301"/>
      <c r="WOA15943" s="15854"/>
    </row>
    <row r="15944" spans="2:2 15933:15948" x14ac:dyDescent="0.3">
      <c r="B15944" s="16301"/>
      <c r="WOB15944" s="15855"/>
    </row>
    <row r="15945" spans="2:2 15933:15948" x14ac:dyDescent="0.3">
      <c r="B15945" s="16301"/>
      <c r="WOC15945" s="15856"/>
    </row>
    <row r="15946" spans="2:2 15933:15948" x14ac:dyDescent="0.3">
      <c r="B15946" s="16301"/>
      <c r="WOD15946" s="15857"/>
    </row>
    <row r="15947" spans="2:2 15933:15948" x14ac:dyDescent="0.3">
      <c r="B15947" s="16301"/>
      <c r="WOE15947" s="15858"/>
    </row>
    <row r="15948" spans="2:2 15933:15948" x14ac:dyDescent="0.3">
      <c r="B15948" s="16301"/>
      <c r="WOF15948" s="15859"/>
    </row>
    <row r="15949" spans="2:2 15933:15948" x14ac:dyDescent="0.3">
      <c r="B15949" s="16301"/>
      <c r="WOG15949" s="15860"/>
    </row>
    <row r="15950" spans="2:2 15933:15948" x14ac:dyDescent="0.3">
      <c r="B15950" s="16301"/>
      <c r="WOH15950" s="15861"/>
    </row>
    <row r="15951" spans="2:2 15933:15948" x14ac:dyDescent="0.3">
      <c r="B15951" s="16301"/>
      <c r="WOI15951" s="15862"/>
    </row>
    <row r="15952" spans="2:2 15933:15948" x14ac:dyDescent="0.3">
      <c r="B15952" s="16301"/>
      <c r="WOJ15952" s="15863"/>
    </row>
    <row r="15953" spans="2:2 15949:15964" x14ac:dyDescent="0.3">
      <c r="B15953" s="16301"/>
      <c r="WOK15953" s="15864"/>
    </row>
    <row r="15954" spans="2:2 15949:15964" x14ac:dyDescent="0.3">
      <c r="B15954" s="16301"/>
      <c r="WOL15954" s="15865"/>
    </row>
    <row r="15955" spans="2:2 15949:15964" x14ac:dyDescent="0.3">
      <c r="B15955" s="16301"/>
      <c r="WOM15955" s="15866"/>
    </row>
    <row r="15956" spans="2:2 15949:15964" x14ac:dyDescent="0.3">
      <c r="B15956" s="16301"/>
      <c r="WON15956" s="15867"/>
    </row>
    <row r="15957" spans="2:2 15949:15964" x14ac:dyDescent="0.3">
      <c r="B15957" s="16301"/>
      <c r="WOO15957" s="15868"/>
    </row>
    <row r="15958" spans="2:2 15949:15964" x14ac:dyDescent="0.3">
      <c r="B15958" s="16301"/>
      <c r="WOP15958" s="15869"/>
    </row>
    <row r="15959" spans="2:2 15949:15964" x14ac:dyDescent="0.3">
      <c r="B15959" s="16301"/>
      <c r="WOQ15959" s="15870"/>
    </row>
    <row r="15960" spans="2:2 15949:15964" x14ac:dyDescent="0.3">
      <c r="B15960" s="16301"/>
      <c r="WOR15960" s="15871"/>
    </row>
    <row r="15961" spans="2:2 15949:15964" x14ac:dyDescent="0.3">
      <c r="B15961" s="16301"/>
      <c r="WOS15961" s="15872"/>
    </row>
    <row r="15962" spans="2:2 15949:15964" x14ac:dyDescent="0.3">
      <c r="B15962" s="16301"/>
      <c r="WOT15962" s="15873"/>
    </row>
    <row r="15963" spans="2:2 15949:15964" x14ac:dyDescent="0.3">
      <c r="B15963" s="16301"/>
      <c r="WOU15963" s="15874"/>
    </row>
    <row r="15964" spans="2:2 15949:15964" x14ac:dyDescent="0.3">
      <c r="B15964" s="16301"/>
      <c r="WOV15964" s="15875"/>
    </row>
    <row r="15965" spans="2:2 15949:15964" x14ac:dyDescent="0.3">
      <c r="B15965" s="16301"/>
      <c r="WOW15965" s="15876"/>
    </row>
    <row r="15966" spans="2:2 15949:15964" x14ac:dyDescent="0.3">
      <c r="B15966" s="16301"/>
      <c r="WOX15966" s="15877"/>
    </row>
    <row r="15967" spans="2:2 15949:15964" x14ac:dyDescent="0.3">
      <c r="B15967" s="16301"/>
      <c r="WOY15967" s="15878"/>
    </row>
    <row r="15968" spans="2:2 15949:15964" x14ac:dyDescent="0.3">
      <c r="B15968" s="16301"/>
      <c r="WOZ15968" s="15879"/>
    </row>
    <row r="15969" spans="2:2 15965:15980" x14ac:dyDescent="0.3">
      <c r="B15969" s="16301"/>
      <c r="WPA15969" s="15880"/>
    </row>
    <row r="15970" spans="2:2 15965:15980" x14ac:dyDescent="0.3">
      <c r="B15970" s="16301"/>
      <c r="WPB15970" s="15881"/>
    </row>
    <row r="15971" spans="2:2 15965:15980" x14ac:dyDescent="0.3">
      <c r="B15971" s="16301"/>
      <c r="WPC15971" s="15882"/>
    </row>
    <row r="15972" spans="2:2 15965:15980" x14ac:dyDescent="0.3">
      <c r="B15972" s="16301"/>
      <c r="WPD15972" s="15883"/>
    </row>
    <row r="15973" spans="2:2 15965:15980" x14ac:dyDescent="0.3">
      <c r="B15973" s="16301"/>
      <c r="WPE15973" s="15884"/>
    </row>
    <row r="15974" spans="2:2 15965:15980" x14ac:dyDescent="0.3">
      <c r="B15974" s="16301"/>
      <c r="WPF15974" s="15885"/>
    </row>
    <row r="15975" spans="2:2 15965:15980" x14ac:dyDescent="0.3">
      <c r="B15975" s="16301"/>
      <c r="WPG15975" s="15886"/>
    </row>
    <row r="15976" spans="2:2 15965:15980" x14ac:dyDescent="0.3">
      <c r="B15976" s="16301"/>
      <c r="WPH15976" s="15887"/>
    </row>
    <row r="15977" spans="2:2 15965:15980" x14ac:dyDescent="0.3">
      <c r="B15977" s="16301"/>
      <c r="WPI15977" s="15888"/>
    </row>
    <row r="15978" spans="2:2 15965:15980" x14ac:dyDescent="0.3">
      <c r="B15978" s="16301"/>
      <c r="WPJ15978" s="15889"/>
    </row>
    <row r="15979" spans="2:2 15965:15980" x14ac:dyDescent="0.3">
      <c r="B15979" s="16301"/>
      <c r="WPK15979" s="15890"/>
    </row>
    <row r="15980" spans="2:2 15965:15980" x14ac:dyDescent="0.3">
      <c r="B15980" s="16301"/>
      <c r="WPL15980" s="15891"/>
    </row>
    <row r="15981" spans="2:2 15965:15980" x14ac:dyDescent="0.3">
      <c r="B15981" s="16301"/>
      <c r="WPM15981" s="15892"/>
    </row>
    <row r="15982" spans="2:2 15965:15980" x14ac:dyDescent="0.3">
      <c r="B15982" s="16301"/>
      <c r="WPN15982" s="15893"/>
    </row>
    <row r="15983" spans="2:2 15965:15980" x14ac:dyDescent="0.3">
      <c r="B15983" s="16301"/>
      <c r="WPO15983" s="15894"/>
    </row>
    <row r="15984" spans="2:2 15965:15980" x14ac:dyDescent="0.3">
      <c r="B15984" s="16301"/>
      <c r="WPP15984" s="15895"/>
    </row>
    <row r="15985" spans="2:2 15981:15996" x14ac:dyDescent="0.3">
      <c r="B15985" s="16301"/>
      <c r="WPQ15985" s="15896"/>
    </row>
    <row r="15986" spans="2:2 15981:15996" x14ac:dyDescent="0.3">
      <c r="B15986" s="16301"/>
      <c r="WPR15986" s="15897"/>
    </row>
    <row r="15987" spans="2:2 15981:15996" x14ac:dyDescent="0.3">
      <c r="B15987" s="16301"/>
      <c r="WPS15987" s="15898"/>
    </row>
    <row r="15988" spans="2:2 15981:15996" x14ac:dyDescent="0.3">
      <c r="B15988" s="16301"/>
      <c r="WPT15988" s="15899"/>
    </row>
    <row r="15989" spans="2:2 15981:15996" x14ac:dyDescent="0.3">
      <c r="B15989" s="16301"/>
      <c r="WPU15989" s="15900"/>
    </row>
    <row r="15990" spans="2:2 15981:15996" x14ac:dyDescent="0.3">
      <c r="B15990" s="16301"/>
      <c r="WPV15990" s="15901"/>
    </row>
    <row r="15991" spans="2:2 15981:15996" x14ac:dyDescent="0.3">
      <c r="B15991" s="16301"/>
      <c r="WPW15991" s="15902"/>
    </row>
    <row r="15992" spans="2:2 15981:15996" x14ac:dyDescent="0.3">
      <c r="B15992" s="16301"/>
      <c r="WPX15992" s="15903"/>
    </row>
    <row r="15993" spans="2:2 15981:15996" x14ac:dyDescent="0.3">
      <c r="B15993" s="16301"/>
      <c r="WPY15993" s="15904"/>
    </row>
    <row r="15994" spans="2:2 15981:15996" x14ac:dyDescent="0.3">
      <c r="B15994" s="16301"/>
      <c r="WPZ15994" s="15905"/>
    </row>
    <row r="15995" spans="2:2 15981:15996" x14ac:dyDescent="0.3">
      <c r="B15995" s="16301"/>
      <c r="WQA15995" s="15906"/>
    </row>
    <row r="15996" spans="2:2 15981:15996" x14ac:dyDescent="0.3">
      <c r="B15996" s="16301"/>
      <c r="WQB15996" s="15907"/>
    </row>
    <row r="15997" spans="2:2 15981:15996" x14ac:dyDescent="0.3">
      <c r="B15997" s="16301"/>
      <c r="WQC15997" s="15908"/>
    </row>
    <row r="15998" spans="2:2 15981:15996" x14ac:dyDescent="0.3">
      <c r="B15998" s="16301"/>
      <c r="WQD15998" s="15909"/>
    </row>
    <row r="15999" spans="2:2 15981:15996" x14ac:dyDescent="0.3">
      <c r="B15999" s="16301"/>
      <c r="WQE15999" s="15910"/>
    </row>
    <row r="16000" spans="2:2 15981:15996" x14ac:dyDescent="0.3">
      <c r="B16000" s="16301"/>
      <c r="WQF16000" s="15911"/>
    </row>
    <row r="16001" spans="2:2 15997:16012" x14ac:dyDescent="0.3">
      <c r="B16001" s="16301"/>
      <c r="WQG16001" s="15912"/>
    </row>
    <row r="16002" spans="2:2 15997:16012" x14ac:dyDescent="0.3">
      <c r="B16002" s="16301"/>
      <c r="WQH16002" s="15913"/>
    </row>
    <row r="16003" spans="2:2 15997:16012" x14ac:dyDescent="0.3">
      <c r="B16003" s="16301"/>
      <c r="WQI16003" s="15914"/>
    </row>
    <row r="16004" spans="2:2 15997:16012" x14ac:dyDescent="0.3">
      <c r="B16004" s="16301"/>
      <c r="WQJ16004" s="15915"/>
    </row>
    <row r="16005" spans="2:2 15997:16012" x14ac:dyDescent="0.3">
      <c r="B16005" s="16301"/>
      <c r="WQK16005" s="15916"/>
    </row>
    <row r="16006" spans="2:2 15997:16012" x14ac:dyDescent="0.3">
      <c r="B16006" s="16301"/>
      <c r="WQL16006" s="15917"/>
    </row>
    <row r="16007" spans="2:2 15997:16012" x14ac:dyDescent="0.3">
      <c r="B16007" s="16301"/>
      <c r="WQM16007" s="15918"/>
    </row>
    <row r="16008" spans="2:2 15997:16012" x14ac:dyDescent="0.3">
      <c r="B16008" s="16301"/>
      <c r="WQN16008" s="15919"/>
    </row>
    <row r="16009" spans="2:2 15997:16012" x14ac:dyDescent="0.3">
      <c r="B16009" s="16301"/>
      <c r="WQO16009" s="15920"/>
    </row>
    <row r="16010" spans="2:2 15997:16012" x14ac:dyDescent="0.3">
      <c r="B16010" s="16301"/>
      <c r="WQP16010" s="15921"/>
    </row>
    <row r="16011" spans="2:2 15997:16012" x14ac:dyDescent="0.3">
      <c r="B16011" s="16301"/>
      <c r="WQQ16011" s="15922"/>
    </row>
    <row r="16012" spans="2:2 15997:16012" x14ac:dyDescent="0.3">
      <c r="B16012" s="16301"/>
      <c r="WQR16012" s="15923"/>
    </row>
    <row r="16013" spans="2:2 15997:16012" x14ac:dyDescent="0.3">
      <c r="B16013" s="16301"/>
      <c r="WQS16013" s="15924"/>
    </row>
    <row r="16014" spans="2:2 15997:16012" x14ac:dyDescent="0.3">
      <c r="B16014" s="16301"/>
      <c r="WQT16014" s="15925"/>
    </row>
    <row r="16015" spans="2:2 15997:16012" x14ac:dyDescent="0.3">
      <c r="B16015" s="16301"/>
      <c r="WQU16015" s="15926"/>
    </row>
    <row r="16016" spans="2:2 15997:16012" x14ac:dyDescent="0.3">
      <c r="B16016" s="16301"/>
      <c r="WQV16016" s="15927"/>
    </row>
    <row r="16017" spans="2:2 16013:16028" x14ac:dyDescent="0.3">
      <c r="B16017" s="16301"/>
      <c r="WQW16017" s="15928"/>
    </row>
    <row r="16018" spans="2:2 16013:16028" x14ac:dyDescent="0.3">
      <c r="B16018" s="16301"/>
      <c r="WQX16018" s="15929"/>
    </row>
    <row r="16019" spans="2:2 16013:16028" x14ac:dyDescent="0.3">
      <c r="B16019" s="16301"/>
      <c r="WQY16019" s="15930"/>
    </row>
    <row r="16020" spans="2:2 16013:16028" x14ac:dyDescent="0.3">
      <c r="B16020" s="16301"/>
      <c r="WQZ16020" s="15931"/>
    </row>
    <row r="16021" spans="2:2 16013:16028" x14ac:dyDescent="0.3">
      <c r="B16021" s="16301"/>
      <c r="WRA16021" s="15932"/>
    </row>
    <row r="16022" spans="2:2 16013:16028" x14ac:dyDescent="0.3">
      <c r="B16022" s="16301"/>
      <c r="WRB16022" s="15933"/>
    </row>
    <row r="16023" spans="2:2 16013:16028" x14ac:dyDescent="0.3">
      <c r="B16023" s="16301"/>
      <c r="WRC16023" s="15934"/>
    </row>
    <row r="16024" spans="2:2 16013:16028" x14ac:dyDescent="0.3">
      <c r="B16024" s="16301"/>
      <c r="WRD16024" s="15935"/>
    </row>
    <row r="16025" spans="2:2 16013:16028" x14ac:dyDescent="0.3">
      <c r="B16025" s="16301"/>
      <c r="WRE16025" s="15936"/>
    </row>
    <row r="16026" spans="2:2 16013:16028" x14ac:dyDescent="0.3">
      <c r="B16026" s="16301"/>
      <c r="WRF16026" s="15937"/>
    </row>
    <row r="16027" spans="2:2 16013:16028" x14ac:dyDescent="0.3">
      <c r="B16027" s="16301"/>
      <c r="WRG16027" s="15938"/>
    </row>
    <row r="16028" spans="2:2 16013:16028" x14ac:dyDescent="0.3">
      <c r="B16028" s="16301"/>
      <c r="WRH16028" s="15939"/>
    </row>
    <row r="16029" spans="2:2 16013:16028" x14ac:dyDescent="0.3">
      <c r="B16029" s="16301"/>
      <c r="WRI16029" s="15940"/>
    </row>
    <row r="16030" spans="2:2 16013:16028" x14ac:dyDescent="0.3">
      <c r="B16030" s="16301"/>
      <c r="WRJ16030" s="15941"/>
    </row>
    <row r="16031" spans="2:2 16013:16028" x14ac:dyDescent="0.3">
      <c r="B16031" s="16301"/>
      <c r="WRK16031" s="15942"/>
    </row>
    <row r="16032" spans="2:2 16013:16028" x14ac:dyDescent="0.3">
      <c r="B16032" s="16301"/>
      <c r="WRL16032" s="15943"/>
    </row>
    <row r="16033" spans="2:2 16029:16044" x14ac:dyDescent="0.3">
      <c r="B16033" s="16301"/>
      <c r="WRM16033" s="15944"/>
    </row>
    <row r="16034" spans="2:2 16029:16044" x14ac:dyDescent="0.3">
      <c r="B16034" s="16301"/>
      <c r="WRN16034" s="15945"/>
    </row>
    <row r="16035" spans="2:2 16029:16044" x14ac:dyDescent="0.3">
      <c r="B16035" s="16301"/>
      <c r="WRO16035" s="15946"/>
    </row>
    <row r="16036" spans="2:2 16029:16044" x14ac:dyDescent="0.3">
      <c r="B16036" s="16301"/>
      <c r="WRP16036" s="15947"/>
    </row>
    <row r="16037" spans="2:2 16029:16044" x14ac:dyDescent="0.3">
      <c r="B16037" s="16301"/>
      <c r="WRQ16037" s="15948"/>
    </row>
    <row r="16038" spans="2:2 16029:16044" x14ac:dyDescent="0.3">
      <c r="B16038" s="16301"/>
      <c r="WRR16038" s="15949"/>
    </row>
    <row r="16039" spans="2:2 16029:16044" x14ac:dyDescent="0.3">
      <c r="B16039" s="16301"/>
      <c r="WRS16039" s="15950"/>
    </row>
    <row r="16040" spans="2:2 16029:16044" x14ac:dyDescent="0.3">
      <c r="B16040" s="16301"/>
      <c r="WRT16040" s="15951"/>
    </row>
    <row r="16041" spans="2:2 16029:16044" x14ac:dyDescent="0.3">
      <c r="B16041" s="16301"/>
      <c r="WRU16041" s="15952"/>
    </row>
    <row r="16042" spans="2:2 16029:16044" x14ac:dyDescent="0.3">
      <c r="B16042" s="16301"/>
      <c r="WRV16042" s="15953"/>
    </row>
    <row r="16043" spans="2:2 16029:16044" x14ac:dyDescent="0.3">
      <c r="B16043" s="16301"/>
      <c r="WRW16043" s="15954"/>
    </row>
    <row r="16044" spans="2:2 16029:16044" x14ac:dyDescent="0.3">
      <c r="B16044" s="16301"/>
      <c r="WRX16044" s="15955"/>
    </row>
    <row r="16045" spans="2:2 16029:16044" x14ac:dyDescent="0.3">
      <c r="B16045" s="16301"/>
      <c r="WRY16045" s="15956"/>
    </row>
    <row r="16046" spans="2:2 16029:16044" x14ac:dyDescent="0.3">
      <c r="B16046" s="16301"/>
      <c r="WRZ16046" s="15957"/>
    </row>
    <row r="16047" spans="2:2 16029:16044" x14ac:dyDescent="0.3">
      <c r="B16047" s="16301"/>
      <c r="WSA16047" s="15958"/>
    </row>
    <row r="16048" spans="2:2 16029:16044" x14ac:dyDescent="0.3">
      <c r="B16048" s="16301"/>
      <c r="WSB16048" s="15959"/>
    </row>
    <row r="16049" spans="2:2 16045:16060" x14ac:dyDescent="0.3">
      <c r="B16049" s="16301"/>
      <c r="WSC16049" s="15960"/>
    </row>
    <row r="16050" spans="2:2 16045:16060" x14ac:dyDescent="0.3">
      <c r="B16050" s="16301"/>
      <c r="WSD16050" s="15961"/>
    </row>
    <row r="16051" spans="2:2 16045:16060" x14ac:dyDescent="0.3">
      <c r="B16051" s="16301"/>
      <c r="WSE16051" s="15962"/>
    </row>
    <row r="16052" spans="2:2 16045:16060" x14ac:dyDescent="0.3">
      <c r="B16052" s="16301"/>
      <c r="WSF16052" s="15963"/>
    </row>
    <row r="16053" spans="2:2 16045:16060" x14ac:dyDescent="0.3">
      <c r="B16053" s="16301"/>
      <c r="WSG16053" s="15964"/>
    </row>
    <row r="16054" spans="2:2 16045:16060" x14ac:dyDescent="0.3">
      <c r="B16054" s="16301"/>
      <c r="WSH16054" s="15965"/>
    </row>
    <row r="16055" spans="2:2 16045:16060" x14ac:dyDescent="0.3">
      <c r="B16055" s="16301"/>
      <c r="WSI16055" s="15966"/>
    </row>
    <row r="16056" spans="2:2 16045:16060" x14ac:dyDescent="0.3">
      <c r="B16056" s="16301"/>
      <c r="WSJ16056" s="15967"/>
    </row>
    <row r="16057" spans="2:2 16045:16060" x14ac:dyDescent="0.3">
      <c r="B16057" s="16301"/>
      <c r="WSK16057" s="15968"/>
    </row>
    <row r="16058" spans="2:2 16045:16060" x14ac:dyDescent="0.3">
      <c r="B16058" s="16301"/>
      <c r="WSL16058" s="15969"/>
    </row>
    <row r="16059" spans="2:2 16045:16060" x14ac:dyDescent="0.3">
      <c r="B16059" s="16301"/>
      <c r="WSM16059" s="15970"/>
    </row>
    <row r="16060" spans="2:2 16045:16060" x14ac:dyDescent="0.3">
      <c r="B16060" s="16301"/>
      <c r="WSN16060" s="15971"/>
    </row>
    <row r="16061" spans="2:2 16045:16060" x14ac:dyDescent="0.3">
      <c r="B16061" s="16301"/>
      <c r="WSO16061" s="15972"/>
    </row>
    <row r="16062" spans="2:2 16045:16060" x14ac:dyDescent="0.3">
      <c r="B16062" s="16301"/>
      <c r="WSP16062" s="15973"/>
    </row>
    <row r="16063" spans="2:2 16045:16060" x14ac:dyDescent="0.3">
      <c r="B16063" s="16301"/>
      <c r="WSQ16063" s="15974"/>
    </row>
    <row r="16064" spans="2:2 16045:16060" x14ac:dyDescent="0.3">
      <c r="B16064" s="16301"/>
      <c r="WSR16064" s="15975"/>
    </row>
    <row r="16065" spans="2:2 16061:16076" x14ac:dyDescent="0.3">
      <c r="B16065" s="16301"/>
      <c r="WSS16065" s="15976"/>
    </row>
    <row r="16066" spans="2:2 16061:16076" x14ac:dyDescent="0.3">
      <c r="B16066" s="16301"/>
      <c r="WST16066" s="15977"/>
    </row>
    <row r="16067" spans="2:2 16061:16076" x14ac:dyDescent="0.3">
      <c r="B16067" s="16301"/>
      <c r="WSU16067" s="15978"/>
    </row>
    <row r="16068" spans="2:2 16061:16076" x14ac:dyDescent="0.3">
      <c r="B16068" s="16301"/>
      <c r="WSV16068" s="15979"/>
    </row>
    <row r="16069" spans="2:2 16061:16076" x14ac:dyDescent="0.3">
      <c r="B16069" s="16301"/>
      <c r="WSW16069" s="15980"/>
    </row>
    <row r="16070" spans="2:2 16061:16076" x14ac:dyDescent="0.3">
      <c r="B16070" s="16301"/>
      <c r="WSX16070" s="15981"/>
    </row>
    <row r="16071" spans="2:2 16061:16076" x14ac:dyDescent="0.3">
      <c r="B16071" s="16301"/>
      <c r="WSY16071" s="15982"/>
    </row>
    <row r="16072" spans="2:2 16061:16076" x14ac:dyDescent="0.3">
      <c r="B16072" s="16301"/>
      <c r="WSZ16072" s="15983"/>
    </row>
    <row r="16073" spans="2:2 16061:16076" x14ac:dyDescent="0.3">
      <c r="B16073" s="16301"/>
      <c r="WTA16073" s="15984"/>
    </row>
    <row r="16074" spans="2:2 16061:16076" x14ac:dyDescent="0.3">
      <c r="B16074" s="16301"/>
      <c r="WTB16074" s="15985"/>
    </row>
    <row r="16075" spans="2:2 16061:16076" x14ac:dyDescent="0.3">
      <c r="B16075" s="16301"/>
      <c r="WTC16075" s="15986"/>
    </row>
    <row r="16076" spans="2:2 16061:16076" x14ac:dyDescent="0.3">
      <c r="B16076" s="16301"/>
      <c r="WTD16076" s="15987"/>
    </row>
    <row r="16077" spans="2:2 16061:16076" x14ac:dyDescent="0.3">
      <c r="B16077" s="16301"/>
      <c r="WTE16077" s="15988"/>
    </row>
    <row r="16078" spans="2:2 16061:16076" x14ac:dyDescent="0.3">
      <c r="B16078" s="16301"/>
      <c r="WTF16078" s="15989"/>
    </row>
    <row r="16079" spans="2:2 16061:16076" x14ac:dyDescent="0.3">
      <c r="B16079" s="16301"/>
      <c r="WTG16079" s="15990"/>
    </row>
    <row r="16080" spans="2:2 16061:16076" x14ac:dyDescent="0.3">
      <c r="B16080" s="16301"/>
      <c r="WTH16080" s="15991"/>
    </row>
    <row r="16081" spans="2:2 16077:16092" x14ac:dyDescent="0.3">
      <c r="B16081" s="16301"/>
      <c r="WTI16081" s="15992"/>
    </row>
    <row r="16082" spans="2:2 16077:16092" x14ac:dyDescent="0.3">
      <c r="B16082" s="16301"/>
      <c r="WTJ16082" s="15993"/>
    </row>
    <row r="16083" spans="2:2 16077:16092" x14ac:dyDescent="0.3">
      <c r="B16083" s="16301"/>
      <c r="WTK16083" s="15994"/>
    </row>
    <row r="16084" spans="2:2 16077:16092" x14ac:dyDescent="0.3">
      <c r="B16084" s="16301"/>
      <c r="WTL16084" s="15995"/>
    </row>
    <row r="16085" spans="2:2 16077:16092" x14ac:dyDescent="0.3">
      <c r="B16085" s="16301"/>
      <c r="WTM16085" s="15996"/>
    </row>
    <row r="16086" spans="2:2 16077:16092" x14ac:dyDescent="0.3">
      <c r="B16086" s="16301"/>
      <c r="WTN16086" s="15997"/>
    </row>
    <row r="16087" spans="2:2 16077:16092" x14ac:dyDescent="0.3">
      <c r="B16087" s="16301"/>
      <c r="WTO16087" s="15998"/>
    </row>
    <row r="16088" spans="2:2 16077:16092" x14ac:dyDescent="0.3">
      <c r="B16088" s="16301"/>
      <c r="WTP16088" s="15999"/>
    </row>
    <row r="16089" spans="2:2 16077:16092" x14ac:dyDescent="0.3">
      <c r="B16089" s="16301"/>
      <c r="WTQ16089" s="16000"/>
    </row>
    <row r="16090" spans="2:2 16077:16092" x14ac:dyDescent="0.3">
      <c r="B16090" s="16301"/>
      <c r="WTR16090" s="16001"/>
    </row>
    <row r="16091" spans="2:2 16077:16092" x14ac:dyDescent="0.3">
      <c r="B16091" s="16301"/>
      <c r="WTS16091" s="16002"/>
    </row>
    <row r="16092" spans="2:2 16077:16092" x14ac:dyDescent="0.3">
      <c r="B16092" s="16301"/>
      <c r="WTT16092" s="16003"/>
    </row>
    <row r="16093" spans="2:2 16077:16092" x14ac:dyDescent="0.3">
      <c r="B16093" s="16301"/>
      <c r="WTU16093" s="16004"/>
    </row>
    <row r="16094" spans="2:2 16077:16092" x14ac:dyDescent="0.3">
      <c r="B16094" s="16301"/>
      <c r="WTV16094" s="16005"/>
    </row>
    <row r="16095" spans="2:2 16077:16092" x14ac:dyDescent="0.3">
      <c r="B16095" s="16301"/>
      <c r="WTW16095" s="16006"/>
    </row>
    <row r="16096" spans="2:2 16077:16092" x14ac:dyDescent="0.3">
      <c r="B16096" s="16301"/>
      <c r="WTX16096" s="16007"/>
    </row>
    <row r="16097" spans="2:2 16093:16108" x14ac:dyDescent="0.3">
      <c r="B16097" s="16301"/>
      <c r="WTY16097" s="16008"/>
    </row>
    <row r="16098" spans="2:2 16093:16108" x14ac:dyDescent="0.3">
      <c r="B16098" s="16301"/>
      <c r="WTZ16098" s="16009"/>
    </row>
    <row r="16099" spans="2:2 16093:16108" x14ac:dyDescent="0.3">
      <c r="B16099" s="16301"/>
      <c r="WUA16099" s="16010"/>
    </row>
    <row r="16100" spans="2:2 16093:16108" x14ac:dyDescent="0.3">
      <c r="B16100" s="16301"/>
      <c r="WUB16100" s="16011"/>
    </row>
    <row r="16101" spans="2:2 16093:16108" x14ac:dyDescent="0.3">
      <c r="B16101" s="16301"/>
      <c r="WUC16101" s="16012"/>
    </row>
    <row r="16102" spans="2:2 16093:16108" x14ac:dyDescent="0.3">
      <c r="B16102" s="16301"/>
      <c r="WUD16102" s="16013"/>
    </row>
    <row r="16103" spans="2:2 16093:16108" x14ac:dyDescent="0.3">
      <c r="B16103" s="16301"/>
      <c r="WUE16103" s="16014"/>
    </row>
    <row r="16104" spans="2:2 16093:16108" x14ac:dyDescent="0.3">
      <c r="B16104" s="16301"/>
      <c r="WUF16104" s="16015"/>
    </row>
    <row r="16105" spans="2:2 16093:16108" x14ac:dyDescent="0.3">
      <c r="B16105" s="16301"/>
      <c r="WUG16105" s="16016"/>
    </row>
    <row r="16106" spans="2:2 16093:16108" x14ac:dyDescent="0.3">
      <c r="B16106" s="16301"/>
      <c r="WUH16106" s="16017"/>
    </row>
    <row r="16107" spans="2:2 16093:16108" x14ac:dyDescent="0.3">
      <c r="B16107" s="16301"/>
      <c r="WUI16107" s="16018"/>
    </row>
    <row r="16108" spans="2:2 16093:16108" x14ac:dyDescent="0.3">
      <c r="B16108" s="16301"/>
      <c r="WUJ16108" s="16019"/>
    </row>
    <row r="16109" spans="2:2 16093:16108" x14ac:dyDescent="0.3">
      <c r="B16109" s="16301"/>
      <c r="WUK16109" s="16020"/>
    </row>
    <row r="16110" spans="2:2 16093:16108" x14ac:dyDescent="0.3">
      <c r="B16110" s="16301"/>
      <c r="WUL16110" s="16021"/>
    </row>
    <row r="16111" spans="2:2 16093:16108" x14ac:dyDescent="0.3">
      <c r="B16111" s="16301"/>
      <c r="WUM16111" s="16022"/>
    </row>
    <row r="16112" spans="2:2 16093:16108" x14ac:dyDescent="0.3">
      <c r="B16112" s="16301"/>
      <c r="WUN16112" s="16023"/>
    </row>
    <row r="16113" spans="2:2 16109:16124" x14ac:dyDescent="0.3">
      <c r="B16113" s="16301"/>
      <c r="WUO16113" s="16024"/>
    </row>
    <row r="16114" spans="2:2 16109:16124" x14ac:dyDescent="0.3">
      <c r="B16114" s="16301"/>
      <c r="WUP16114" s="16025"/>
    </row>
    <row r="16115" spans="2:2 16109:16124" x14ac:dyDescent="0.3">
      <c r="B16115" s="16301"/>
      <c r="WUQ16115" s="16026"/>
    </row>
    <row r="16116" spans="2:2 16109:16124" x14ac:dyDescent="0.3">
      <c r="B16116" s="16301"/>
      <c r="WUR16116" s="16027"/>
    </row>
    <row r="16117" spans="2:2 16109:16124" x14ac:dyDescent="0.3">
      <c r="B16117" s="16301"/>
      <c r="WUS16117" s="16028"/>
    </row>
    <row r="16118" spans="2:2 16109:16124" x14ac:dyDescent="0.3">
      <c r="B16118" s="16301"/>
      <c r="WUT16118" s="16029"/>
    </row>
    <row r="16119" spans="2:2 16109:16124" x14ac:dyDescent="0.3">
      <c r="B16119" s="16301"/>
      <c r="WUU16119" s="16030"/>
    </row>
    <row r="16120" spans="2:2 16109:16124" x14ac:dyDescent="0.3">
      <c r="B16120" s="16301"/>
      <c r="WUV16120" s="16031"/>
    </row>
    <row r="16121" spans="2:2 16109:16124" x14ac:dyDescent="0.3">
      <c r="B16121" s="16301"/>
      <c r="WUW16121" s="16032"/>
    </row>
    <row r="16122" spans="2:2 16109:16124" x14ac:dyDescent="0.3">
      <c r="B16122" s="16301"/>
      <c r="WUX16122" s="16033"/>
    </row>
    <row r="16123" spans="2:2 16109:16124" x14ac:dyDescent="0.3">
      <c r="B16123" s="16301"/>
      <c r="WUY16123" s="16034"/>
    </row>
    <row r="16124" spans="2:2 16109:16124" x14ac:dyDescent="0.3">
      <c r="B16124" s="16301"/>
      <c r="WUZ16124" s="16035"/>
    </row>
    <row r="16125" spans="2:2 16109:16124" x14ac:dyDescent="0.3">
      <c r="B16125" s="16301"/>
      <c r="WVA16125" s="16036"/>
    </row>
    <row r="16126" spans="2:2 16109:16124" x14ac:dyDescent="0.3">
      <c r="B16126" s="16301"/>
      <c r="WVB16126" s="16037"/>
    </row>
    <row r="16127" spans="2:2 16109:16124" x14ac:dyDescent="0.3">
      <c r="B16127" s="16301"/>
      <c r="WVC16127" s="16038"/>
    </row>
    <row r="16128" spans="2:2 16109:16124" x14ac:dyDescent="0.3">
      <c r="B16128" s="16301"/>
      <c r="WVD16128" s="16039"/>
    </row>
    <row r="16129" spans="2:2 16125:16140" x14ac:dyDescent="0.3">
      <c r="B16129" s="16301"/>
      <c r="WVE16129" s="16040"/>
    </row>
    <row r="16130" spans="2:2 16125:16140" x14ac:dyDescent="0.3">
      <c r="B16130" s="16301"/>
      <c r="WVF16130" s="16041"/>
    </row>
    <row r="16131" spans="2:2 16125:16140" x14ac:dyDescent="0.3">
      <c r="B16131" s="16301"/>
      <c r="WVG16131" s="16042"/>
    </row>
    <row r="16132" spans="2:2 16125:16140" x14ac:dyDescent="0.3">
      <c r="B16132" s="16301"/>
      <c r="WVH16132" s="16043"/>
    </row>
    <row r="16133" spans="2:2 16125:16140" x14ac:dyDescent="0.3">
      <c r="B16133" s="16301"/>
      <c r="WVI16133" s="16044"/>
    </row>
    <row r="16134" spans="2:2 16125:16140" x14ac:dyDescent="0.3">
      <c r="B16134" s="16301"/>
      <c r="WVJ16134" s="16045"/>
    </row>
    <row r="16135" spans="2:2 16125:16140" x14ac:dyDescent="0.3">
      <c r="B16135" s="16301"/>
      <c r="WVK16135" s="16046"/>
    </row>
    <row r="16136" spans="2:2 16125:16140" x14ac:dyDescent="0.3">
      <c r="B16136" s="16301"/>
      <c r="WVL16136" s="16047"/>
    </row>
    <row r="16137" spans="2:2 16125:16140" x14ac:dyDescent="0.3">
      <c r="B16137" s="16301"/>
      <c r="WVM16137" s="16048"/>
    </row>
    <row r="16138" spans="2:2 16125:16140" x14ac:dyDescent="0.3">
      <c r="B16138" s="16301"/>
      <c r="WVN16138" s="16049"/>
    </row>
    <row r="16139" spans="2:2 16125:16140" x14ac:dyDescent="0.3">
      <c r="B16139" s="16301"/>
      <c r="WVO16139" s="16050"/>
    </row>
    <row r="16140" spans="2:2 16125:16140" x14ac:dyDescent="0.3">
      <c r="B16140" s="16301"/>
      <c r="WVP16140" s="16051"/>
    </row>
    <row r="16141" spans="2:2 16125:16140" x14ac:dyDescent="0.3">
      <c r="B16141" s="16301"/>
      <c r="WVQ16141" s="16052"/>
    </row>
    <row r="16142" spans="2:2 16125:16140" x14ac:dyDescent="0.3">
      <c r="B16142" s="16301"/>
      <c r="WVR16142" s="16053"/>
    </row>
    <row r="16143" spans="2:2 16125:16140" x14ac:dyDescent="0.3">
      <c r="B16143" s="16301"/>
      <c r="WVS16143" s="16054"/>
    </row>
    <row r="16144" spans="2:2 16125:16140" x14ac:dyDescent="0.3">
      <c r="B16144" s="16301"/>
      <c r="WVT16144" s="16055"/>
    </row>
    <row r="16145" spans="2:2 16141:16156" x14ac:dyDescent="0.3">
      <c r="B16145" s="16301"/>
      <c r="WVU16145" s="16056"/>
    </row>
    <row r="16146" spans="2:2 16141:16156" x14ac:dyDescent="0.3">
      <c r="B16146" s="16301"/>
      <c r="WVV16146" s="16057"/>
    </row>
    <row r="16147" spans="2:2 16141:16156" x14ac:dyDescent="0.3">
      <c r="B16147" s="16301"/>
      <c r="WVW16147" s="16058"/>
    </row>
    <row r="16148" spans="2:2 16141:16156" x14ac:dyDescent="0.3">
      <c r="B16148" s="16301"/>
      <c r="WVX16148" s="16059"/>
    </row>
    <row r="16149" spans="2:2 16141:16156" x14ac:dyDescent="0.3">
      <c r="B16149" s="16301"/>
      <c r="WVY16149" s="16060"/>
    </row>
    <row r="16150" spans="2:2 16141:16156" x14ac:dyDescent="0.3">
      <c r="B16150" s="16301"/>
      <c r="WVZ16150" s="16061"/>
    </row>
    <row r="16151" spans="2:2 16141:16156" x14ac:dyDescent="0.3">
      <c r="B16151" s="16301"/>
      <c r="WWA16151" s="16062"/>
    </row>
    <row r="16152" spans="2:2 16141:16156" x14ac:dyDescent="0.3">
      <c r="B16152" s="16301"/>
      <c r="WWB16152" s="16063"/>
    </row>
    <row r="16153" spans="2:2 16141:16156" x14ac:dyDescent="0.3">
      <c r="B16153" s="16301"/>
      <c r="WWC16153" s="16064"/>
    </row>
    <row r="16154" spans="2:2 16141:16156" x14ac:dyDescent="0.3">
      <c r="B16154" s="16301"/>
      <c r="WWD16154" s="16065"/>
    </row>
    <row r="16155" spans="2:2 16141:16156" x14ac:dyDescent="0.3">
      <c r="B16155" s="16301"/>
      <c r="WWE16155" s="16066"/>
    </row>
    <row r="16156" spans="2:2 16141:16156" x14ac:dyDescent="0.3">
      <c r="B16156" s="16301"/>
      <c r="WWF16156" s="16067"/>
    </row>
    <row r="16157" spans="2:2 16141:16156" x14ac:dyDescent="0.3">
      <c r="B16157" s="16301"/>
      <c r="WWG16157" s="16068"/>
    </row>
    <row r="16158" spans="2:2 16141:16156" x14ac:dyDescent="0.3">
      <c r="B16158" s="16301"/>
      <c r="WWH16158" s="16069"/>
    </row>
    <row r="16159" spans="2:2 16141:16156" x14ac:dyDescent="0.3">
      <c r="B16159" s="16301"/>
      <c r="WWI16159" s="16070"/>
    </row>
    <row r="16160" spans="2:2 16141:16156" x14ac:dyDescent="0.3">
      <c r="B16160" s="16301"/>
      <c r="WWJ16160" s="16071"/>
    </row>
    <row r="16161" spans="2:2 16157:16172" x14ac:dyDescent="0.3">
      <c r="B16161" s="16301"/>
      <c r="WWK16161" s="16072"/>
    </row>
    <row r="16162" spans="2:2 16157:16172" x14ac:dyDescent="0.3">
      <c r="B16162" s="16301"/>
      <c r="WWL16162" s="16073"/>
    </row>
    <row r="16163" spans="2:2 16157:16172" x14ac:dyDescent="0.3">
      <c r="B16163" s="16301"/>
      <c r="WWM16163" s="16074"/>
    </row>
    <row r="16164" spans="2:2 16157:16172" x14ac:dyDescent="0.3">
      <c r="B16164" s="16301"/>
      <c r="WWN16164" s="16075"/>
    </row>
    <row r="16165" spans="2:2 16157:16172" x14ac:dyDescent="0.3">
      <c r="B16165" s="16301"/>
      <c r="WWO16165" s="16076"/>
    </row>
    <row r="16166" spans="2:2 16157:16172" x14ac:dyDescent="0.3">
      <c r="B16166" s="16301"/>
      <c r="WWP16166" s="16077"/>
    </row>
    <row r="16167" spans="2:2 16157:16172" x14ac:dyDescent="0.3">
      <c r="B16167" s="16301"/>
      <c r="WWQ16167" s="16078"/>
    </row>
    <row r="16168" spans="2:2 16157:16172" x14ac:dyDescent="0.3">
      <c r="B16168" s="16301"/>
      <c r="WWR16168" s="16079"/>
    </row>
    <row r="16169" spans="2:2 16157:16172" x14ac:dyDescent="0.3">
      <c r="B16169" s="16301"/>
      <c r="WWS16169" s="16080"/>
    </row>
    <row r="16170" spans="2:2 16157:16172" x14ac:dyDescent="0.3">
      <c r="B16170" s="16301"/>
      <c r="WWT16170" s="16081"/>
    </row>
    <row r="16171" spans="2:2 16157:16172" x14ac:dyDescent="0.3">
      <c r="B16171" s="16301"/>
      <c r="WWU16171" s="16082"/>
    </row>
    <row r="16172" spans="2:2 16157:16172" x14ac:dyDescent="0.3">
      <c r="B16172" s="16301"/>
      <c r="WWV16172" s="16083"/>
    </row>
    <row r="16173" spans="2:2 16157:16172" x14ac:dyDescent="0.3">
      <c r="B16173" s="16301"/>
      <c r="WWW16173" s="16084"/>
    </row>
    <row r="16174" spans="2:2 16157:16172" x14ac:dyDescent="0.3">
      <c r="B16174" s="16301"/>
      <c r="WWX16174" s="16085"/>
    </row>
    <row r="16175" spans="2:2 16157:16172" x14ac:dyDescent="0.3">
      <c r="B16175" s="16301"/>
      <c r="WWY16175" s="16086"/>
    </row>
    <row r="16176" spans="2:2 16157:16172" x14ac:dyDescent="0.3">
      <c r="B16176" s="16301"/>
      <c r="WWZ16176" s="16087"/>
    </row>
    <row r="16177" spans="2:2 16173:16188" x14ac:dyDescent="0.3">
      <c r="B16177" s="16301"/>
      <c r="WXA16177" s="16088"/>
    </row>
    <row r="16178" spans="2:2 16173:16188" x14ac:dyDescent="0.3">
      <c r="B16178" s="16301"/>
      <c r="WXB16178" s="16089"/>
    </row>
    <row r="16179" spans="2:2 16173:16188" x14ac:dyDescent="0.3">
      <c r="B16179" s="16301"/>
      <c r="WXC16179" s="16090"/>
    </row>
    <row r="16180" spans="2:2 16173:16188" x14ac:dyDescent="0.3">
      <c r="B16180" s="16301"/>
      <c r="WXD16180" s="16091"/>
    </row>
    <row r="16181" spans="2:2 16173:16188" x14ac:dyDescent="0.3">
      <c r="B16181" s="16301"/>
      <c r="WXE16181" s="16092"/>
    </row>
    <row r="16182" spans="2:2 16173:16188" x14ac:dyDescent="0.3">
      <c r="B16182" s="16301"/>
      <c r="WXF16182" s="16093"/>
    </row>
    <row r="16183" spans="2:2 16173:16188" x14ac:dyDescent="0.3">
      <c r="B16183" s="16301"/>
      <c r="WXG16183" s="16094"/>
    </row>
    <row r="16184" spans="2:2 16173:16188" x14ac:dyDescent="0.3">
      <c r="B16184" s="16301"/>
      <c r="WXH16184" s="16095"/>
    </row>
    <row r="16185" spans="2:2 16173:16188" x14ac:dyDescent="0.3">
      <c r="B16185" s="16301"/>
      <c r="WXI16185" s="16096"/>
    </row>
    <row r="16186" spans="2:2 16173:16188" x14ac:dyDescent="0.3">
      <c r="B16186" s="16301"/>
      <c r="WXJ16186" s="16097"/>
    </row>
    <row r="16187" spans="2:2 16173:16188" x14ac:dyDescent="0.3">
      <c r="B16187" s="16301"/>
      <c r="WXK16187" s="16098"/>
    </row>
    <row r="16188" spans="2:2 16173:16188" x14ac:dyDescent="0.3">
      <c r="B16188" s="16301"/>
      <c r="WXL16188" s="16099"/>
    </row>
    <row r="16189" spans="2:2 16173:16188" x14ac:dyDescent="0.3">
      <c r="B16189" s="16301"/>
      <c r="WXM16189" s="16100"/>
    </row>
    <row r="16190" spans="2:2 16173:16188" x14ac:dyDescent="0.3">
      <c r="B16190" s="16301"/>
      <c r="WXN16190" s="16101"/>
    </row>
    <row r="16191" spans="2:2 16173:16188" x14ac:dyDescent="0.3">
      <c r="B16191" s="16301"/>
      <c r="WXO16191" s="16102"/>
    </row>
    <row r="16192" spans="2:2 16173:16188" x14ac:dyDescent="0.3">
      <c r="B16192" s="16301"/>
      <c r="WXP16192" s="16103"/>
    </row>
    <row r="16193" spans="2:2 16189:16204" x14ac:dyDescent="0.3">
      <c r="B16193" s="16301"/>
      <c r="WXQ16193" s="16104"/>
    </row>
    <row r="16194" spans="2:2 16189:16204" x14ac:dyDescent="0.3">
      <c r="B16194" s="16301"/>
      <c r="WXR16194" s="16105"/>
    </row>
    <row r="16195" spans="2:2 16189:16204" x14ac:dyDescent="0.3">
      <c r="B16195" s="16301"/>
      <c r="WXS16195" s="16106"/>
    </row>
    <row r="16196" spans="2:2 16189:16204" x14ac:dyDescent="0.3">
      <c r="B16196" s="16301"/>
      <c r="WXT16196" s="16107"/>
    </row>
    <row r="16197" spans="2:2 16189:16204" x14ac:dyDescent="0.3">
      <c r="B16197" s="16301"/>
      <c r="WXU16197" s="16107"/>
    </row>
    <row r="16198" spans="2:2 16189:16204" x14ac:dyDescent="0.3">
      <c r="B16198" s="16301"/>
      <c r="WXV16198" s="16108"/>
    </row>
    <row r="16199" spans="2:2 16189:16204" x14ac:dyDescent="0.3">
      <c r="B16199" s="16301"/>
      <c r="WXW16199" s="16109"/>
    </row>
    <row r="16200" spans="2:2 16189:16204" x14ac:dyDescent="0.3">
      <c r="B16200" s="16301"/>
      <c r="WXX16200" s="16110"/>
    </row>
    <row r="16201" spans="2:2 16189:16204" x14ac:dyDescent="0.3">
      <c r="B16201" s="16301"/>
      <c r="WXY16201" s="16111"/>
    </row>
    <row r="16202" spans="2:2 16189:16204" x14ac:dyDescent="0.3">
      <c r="B16202" s="16301"/>
      <c r="WXZ16202" s="16112"/>
    </row>
    <row r="16203" spans="2:2 16189:16204" x14ac:dyDescent="0.3">
      <c r="B16203" s="16301"/>
      <c r="WYA16203" s="16113"/>
    </row>
    <row r="16204" spans="2:2 16189:16204" x14ac:dyDescent="0.3">
      <c r="B16204" s="16301"/>
      <c r="WYB16204" s="16114"/>
    </row>
    <row r="16205" spans="2:2 16189:16204" x14ac:dyDescent="0.3">
      <c r="B16205" s="16301"/>
      <c r="WYC16205" s="16115"/>
    </row>
    <row r="16206" spans="2:2 16189:16204" x14ac:dyDescent="0.3">
      <c r="B16206" s="16301"/>
      <c r="WYD16206" s="16116"/>
    </row>
    <row r="16207" spans="2:2 16189:16204" x14ac:dyDescent="0.3">
      <c r="B16207" s="16301"/>
      <c r="WYE16207" s="16117"/>
    </row>
    <row r="16208" spans="2:2 16189:16204" x14ac:dyDescent="0.3">
      <c r="B16208" s="16301"/>
      <c r="WYF16208" s="16118"/>
    </row>
    <row r="16209" spans="2:2 16205:16220" x14ac:dyDescent="0.3">
      <c r="B16209" s="16301"/>
      <c r="WYG16209" s="16119"/>
    </row>
    <row r="16210" spans="2:2 16205:16220" x14ac:dyDescent="0.3">
      <c r="B16210" s="16301"/>
      <c r="WYH16210" s="16120"/>
    </row>
    <row r="16211" spans="2:2 16205:16220" x14ac:dyDescent="0.3">
      <c r="B16211" s="16301"/>
      <c r="WYI16211" s="16121"/>
    </row>
    <row r="16212" spans="2:2 16205:16220" x14ac:dyDescent="0.3">
      <c r="B16212" s="16301"/>
      <c r="WYJ16212" s="16122"/>
    </row>
    <row r="16213" spans="2:2 16205:16220" x14ac:dyDescent="0.3">
      <c r="B16213" s="16301"/>
      <c r="WYK16213" s="16123"/>
    </row>
    <row r="16214" spans="2:2 16205:16220" x14ac:dyDescent="0.3">
      <c r="B16214" s="16301"/>
      <c r="WYL16214" s="16124"/>
    </row>
    <row r="16215" spans="2:2 16205:16220" x14ac:dyDescent="0.3">
      <c r="B16215" s="16301"/>
      <c r="WYM16215" s="16125"/>
    </row>
    <row r="16216" spans="2:2 16205:16220" x14ac:dyDescent="0.3">
      <c r="B16216" s="16301"/>
      <c r="WYN16216" s="16126"/>
    </row>
    <row r="16217" spans="2:2 16205:16220" x14ac:dyDescent="0.3">
      <c r="B16217" s="16301"/>
      <c r="WYO16217" s="16127"/>
    </row>
    <row r="16218" spans="2:2 16205:16220" x14ac:dyDescent="0.3">
      <c r="B16218" s="16301"/>
      <c r="WYP16218" s="16128"/>
    </row>
    <row r="16219" spans="2:2 16205:16220" x14ac:dyDescent="0.3">
      <c r="B16219" s="16301"/>
      <c r="WYQ16219" s="16129"/>
    </row>
    <row r="16220" spans="2:2 16205:16220" x14ac:dyDescent="0.3">
      <c r="B16220" s="16301"/>
      <c r="WYR16220" s="16130"/>
    </row>
    <row r="16221" spans="2:2 16205:16220" x14ac:dyDescent="0.3">
      <c r="B16221" s="16301"/>
      <c r="WYS16221" s="16131"/>
    </row>
    <row r="16222" spans="2:2 16205:16220" x14ac:dyDescent="0.3">
      <c r="B16222" s="16301"/>
      <c r="WYT16222" s="16132"/>
    </row>
    <row r="16223" spans="2:2 16205:16220" x14ac:dyDescent="0.3">
      <c r="B16223" s="16301"/>
      <c r="WYU16223" s="16133"/>
    </row>
    <row r="16224" spans="2:2 16205:16220" x14ac:dyDescent="0.3">
      <c r="B16224" s="16301"/>
      <c r="WYV16224" s="16134"/>
    </row>
    <row r="16225" spans="2:2 16221:16236" x14ac:dyDescent="0.3">
      <c r="B16225" s="16301"/>
      <c r="WYW16225" s="16135"/>
    </row>
    <row r="16226" spans="2:2 16221:16236" x14ac:dyDescent="0.3">
      <c r="B16226" s="16301"/>
      <c r="WYX16226" s="16136"/>
    </row>
    <row r="16227" spans="2:2 16221:16236" x14ac:dyDescent="0.3">
      <c r="B16227" s="16301"/>
      <c r="WYY16227" s="16137"/>
    </row>
    <row r="16228" spans="2:2 16221:16236" x14ac:dyDescent="0.3">
      <c r="B16228" s="16301"/>
      <c r="WYZ16228" s="16138"/>
    </row>
    <row r="16229" spans="2:2 16221:16236" x14ac:dyDescent="0.3">
      <c r="B16229" s="16301"/>
      <c r="WZA16229" s="16139"/>
    </row>
    <row r="16230" spans="2:2 16221:16236" x14ac:dyDescent="0.3">
      <c r="B16230" s="16301"/>
      <c r="WZB16230" s="16140"/>
    </row>
    <row r="16231" spans="2:2 16221:16236" x14ac:dyDescent="0.3">
      <c r="B16231" s="16301"/>
      <c r="WZC16231" s="16141"/>
    </row>
    <row r="16232" spans="2:2 16221:16236" x14ac:dyDescent="0.3">
      <c r="B16232" s="16301"/>
      <c r="WZD16232" s="16142"/>
    </row>
    <row r="16233" spans="2:2 16221:16236" x14ac:dyDescent="0.3">
      <c r="B16233" s="16301"/>
      <c r="WZE16233" s="16143"/>
    </row>
    <row r="16234" spans="2:2 16221:16236" x14ac:dyDescent="0.3">
      <c r="B16234" s="16301"/>
      <c r="WZF16234" s="16144"/>
    </row>
    <row r="16235" spans="2:2 16221:16236" x14ac:dyDescent="0.3">
      <c r="B16235" s="16301"/>
      <c r="WZG16235" s="16145"/>
    </row>
    <row r="16236" spans="2:2 16221:16236" x14ac:dyDescent="0.3">
      <c r="B16236" s="16301"/>
      <c r="WZH16236" s="16146"/>
    </row>
    <row r="16237" spans="2:2 16221:16236" x14ac:dyDescent="0.3">
      <c r="B16237" s="16301"/>
      <c r="WZI16237" s="16147"/>
    </row>
    <row r="16238" spans="2:2 16221:16236" x14ac:dyDescent="0.3">
      <c r="B16238" s="16301"/>
      <c r="WZJ16238" s="16148"/>
    </row>
    <row r="16239" spans="2:2 16221:16236" x14ac:dyDescent="0.3">
      <c r="B16239" s="16301"/>
      <c r="WZK16239" s="16149"/>
    </row>
    <row r="16240" spans="2:2 16221:16236" x14ac:dyDescent="0.3">
      <c r="B16240" s="16301"/>
      <c r="WZL16240" s="16150"/>
    </row>
    <row r="16241" spans="2:2 16237:16252" x14ac:dyDescent="0.3">
      <c r="B16241" s="16301"/>
      <c r="WZM16241" s="16151"/>
    </row>
    <row r="16242" spans="2:2 16237:16252" x14ac:dyDescent="0.3">
      <c r="B16242" s="16301"/>
      <c r="WZN16242" s="16152"/>
    </row>
    <row r="16243" spans="2:2 16237:16252" x14ac:dyDescent="0.3">
      <c r="B16243" s="16301"/>
      <c r="WZO16243" s="16153"/>
    </row>
    <row r="16244" spans="2:2 16237:16252" x14ac:dyDescent="0.3">
      <c r="B16244" s="16301"/>
      <c r="WZP16244" s="16154"/>
    </row>
    <row r="16245" spans="2:2 16237:16252" x14ac:dyDescent="0.3">
      <c r="B16245" s="16301"/>
      <c r="WZQ16245" s="16155"/>
    </row>
    <row r="16246" spans="2:2 16237:16252" x14ac:dyDescent="0.3">
      <c r="B16246" s="16301"/>
      <c r="WZR16246" s="16156"/>
    </row>
    <row r="16247" spans="2:2 16237:16252" x14ac:dyDescent="0.3">
      <c r="B16247" s="16301"/>
      <c r="WZS16247" s="16157"/>
    </row>
    <row r="16248" spans="2:2 16237:16252" x14ac:dyDescent="0.3">
      <c r="B16248" s="16301"/>
      <c r="WZT16248" s="16158"/>
    </row>
    <row r="16249" spans="2:2 16237:16252" x14ac:dyDescent="0.3">
      <c r="B16249" s="16301"/>
      <c r="WZU16249" s="16159"/>
    </row>
    <row r="16250" spans="2:2 16237:16252" x14ac:dyDescent="0.3">
      <c r="B16250" s="16301"/>
      <c r="WZV16250" s="16160"/>
    </row>
    <row r="16251" spans="2:2 16237:16252" x14ac:dyDescent="0.3">
      <c r="B16251" s="16301"/>
      <c r="WZW16251" s="16161"/>
    </row>
    <row r="16252" spans="2:2 16237:16252" x14ac:dyDescent="0.3">
      <c r="B16252" s="16301"/>
      <c r="WZX16252" s="16162"/>
    </row>
    <row r="16253" spans="2:2 16237:16252" x14ac:dyDescent="0.3">
      <c r="B16253" s="16301"/>
      <c r="WZY16253" s="16163"/>
    </row>
    <row r="16254" spans="2:2 16237:16252" x14ac:dyDescent="0.3">
      <c r="B16254" s="16301"/>
      <c r="WZZ16254" s="16164"/>
    </row>
    <row r="16255" spans="2:2 16237:16252" x14ac:dyDescent="0.3">
      <c r="B16255" s="16301"/>
      <c r="XAA16255" s="16165"/>
    </row>
    <row r="16256" spans="2:2 16237:16252" x14ac:dyDescent="0.3">
      <c r="B16256" s="16301"/>
      <c r="XAB16256" s="16166"/>
    </row>
    <row r="16257" spans="2:2 16253:16268" x14ac:dyDescent="0.3">
      <c r="B16257" s="16301"/>
      <c r="XAC16257" s="16167"/>
    </row>
    <row r="16258" spans="2:2 16253:16268" x14ac:dyDescent="0.3">
      <c r="B16258" s="16301"/>
      <c r="XAD16258" s="16168"/>
    </row>
    <row r="16259" spans="2:2 16253:16268" x14ac:dyDescent="0.3">
      <c r="B16259" s="16301"/>
      <c r="XAE16259" s="16169"/>
    </row>
    <row r="16260" spans="2:2 16253:16268" x14ac:dyDescent="0.3">
      <c r="B16260" s="16301"/>
      <c r="XAF16260" s="16170"/>
    </row>
    <row r="16261" spans="2:2 16253:16268" x14ac:dyDescent="0.3">
      <c r="B16261" s="16301"/>
      <c r="XAG16261" s="16171"/>
    </row>
    <row r="16262" spans="2:2 16253:16268" x14ac:dyDescent="0.3">
      <c r="B16262" s="16301"/>
      <c r="XAH16262" s="16172"/>
    </row>
    <row r="16263" spans="2:2 16253:16268" x14ac:dyDescent="0.3">
      <c r="B16263" s="16301"/>
      <c r="XAI16263" s="16173"/>
    </row>
    <row r="16264" spans="2:2 16253:16268" x14ac:dyDescent="0.3">
      <c r="B16264" s="16301"/>
      <c r="XAJ16264" s="16174"/>
    </row>
    <row r="16265" spans="2:2 16253:16268" x14ac:dyDescent="0.3">
      <c r="B16265" s="16301"/>
      <c r="XAK16265" s="16175"/>
    </row>
    <row r="16266" spans="2:2 16253:16268" x14ac:dyDescent="0.3">
      <c r="B16266" s="16301"/>
      <c r="XAL16266" s="16176"/>
    </row>
    <row r="16267" spans="2:2 16253:16268" x14ac:dyDescent="0.3">
      <c r="B16267" s="16301"/>
      <c r="XAM16267" s="16177"/>
    </row>
    <row r="16268" spans="2:2 16253:16268" x14ac:dyDescent="0.3">
      <c r="B16268" s="16301"/>
      <c r="XAN16268" s="16178"/>
    </row>
    <row r="16269" spans="2:2 16253:16268" x14ac:dyDescent="0.3">
      <c r="B16269" s="16301"/>
      <c r="XAO16269" s="16179"/>
    </row>
    <row r="16270" spans="2:2 16253:16268" x14ac:dyDescent="0.3">
      <c r="B16270" s="16301"/>
      <c r="XAP16270" s="16180"/>
    </row>
    <row r="16271" spans="2:2 16253:16268" x14ac:dyDescent="0.3">
      <c r="B16271" s="16301"/>
      <c r="XAQ16271" s="16181"/>
    </row>
    <row r="16272" spans="2:2 16253:16268" x14ac:dyDescent="0.3">
      <c r="B16272" s="16301"/>
      <c r="XAR16272" s="16182"/>
    </row>
    <row r="16273" spans="2:2 16269:16284" x14ac:dyDescent="0.3">
      <c r="B16273" s="16301"/>
      <c r="XAS16273" s="16183"/>
    </row>
    <row r="16274" spans="2:2 16269:16284" x14ac:dyDescent="0.3">
      <c r="B16274" s="16301"/>
      <c r="XAT16274" s="16184"/>
    </row>
    <row r="16275" spans="2:2 16269:16284" x14ac:dyDescent="0.3">
      <c r="B16275" s="16301"/>
      <c r="XAU16275" s="16185"/>
    </row>
    <row r="16276" spans="2:2 16269:16284" x14ac:dyDescent="0.3">
      <c r="B16276" s="16301"/>
      <c r="XAV16276" s="16186"/>
    </row>
    <row r="16277" spans="2:2 16269:16284" x14ac:dyDescent="0.3">
      <c r="B16277" s="16301"/>
      <c r="XAW16277" s="16187"/>
    </row>
    <row r="16278" spans="2:2 16269:16284" x14ac:dyDescent="0.3">
      <c r="B16278" s="16301"/>
      <c r="XAX16278" s="16188"/>
    </row>
    <row r="16279" spans="2:2 16269:16284" x14ac:dyDescent="0.3">
      <c r="B16279" s="16301"/>
      <c r="XAY16279" s="16189"/>
    </row>
    <row r="16280" spans="2:2 16269:16284" x14ac:dyDescent="0.3">
      <c r="B16280" s="16301"/>
      <c r="XAZ16280" s="16190"/>
    </row>
    <row r="16281" spans="2:2 16269:16284" x14ac:dyDescent="0.3">
      <c r="B16281" s="16301"/>
      <c r="XBA16281" s="16191"/>
    </row>
    <row r="16282" spans="2:2 16269:16284" x14ac:dyDescent="0.3">
      <c r="B16282" s="16301"/>
      <c r="XBB16282" s="16192"/>
    </row>
    <row r="16283" spans="2:2 16269:16284" x14ac:dyDescent="0.3">
      <c r="B16283" s="16301"/>
      <c r="XBC16283" s="16193"/>
    </row>
    <row r="16284" spans="2:2 16269:16284" x14ac:dyDescent="0.3">
      <c r="B16284" s="16301"/>
      <c r="XBD16284" s="16194"/>
    </row>
    <row r="16285" spans="2:2 16269:16284" x14ac:dyDescent="0.3">
      <c r="B16285" s="16301"/>
      <c r="XBE16285" s="16195"/>
    </row>
    <row r="16286" spans="2:2 16269:16284" x14ac:dyDescent="0.3">
      <c r="B16286" s="16301"/>
      <c r="XBF16286" s="16196"/>
    </row>
    <row r="16287" spans="2:2 16269:16284" x14ac:dyDescent="0.3">
      <c r="B16287" s="16301"/>
      <c r="XBG16287" s="16197"/>
    </row>
    <row r="16288" spans="2:2 16269:16284" x14ac:dyDescent="0.3">
      <c r="B16288" s="16301"/>
      <c r="XBH16288" s="16198"/>
    </row>
    <row r="16289" spans="2:2 16285:16300" x14ac:dyDescent="0.3">
      <c r="B16289" s="16301"/>
      <c r="XBI16289" s="16199"/>
    </row>
    <row r="16290" spans="2:2 16285:16300" x14ac:dyDescent="0.3">
      <c r="B16290" s="16301"/>
      <c r="XBJ16290" s="16200"/>
    </row>
    <row r="16291" spans="2:2 16285:16300" x14ac:dyDescent="0.3">
      <c r="B16291" s="16301"/>
      <c r="XBK16291" s="16201"/>
    </row>
    <row r="16292" spans="2:2 16285:16300" x14ac:dyDescent="0.3">
      <c r="B16292" s="16301"/>
      <c r="XBL16292" s="16202"/>
    </row>
    <row r="16293" spans="2:2 16285:16300" x14ac:dyDescent="0.3">
      <c r="B16293" s="16301"/>
      <c r="XBM16293" s="16203"/>
    </row>
    <row r="16294" spans="2:2 16285:16300" x14ac:dyDescent="0.3">
      <c r="B16294" s="16301"/>
      <c r="XBN16294" s="16204"/>
    </row>
    <row r="16295" spans="2:2 16285:16300" x14ac:dyDescent="0.3">
      <c r="B16295" s="16301"/>
      <c r="XBO16295" s="16205"/>
    </row>
    <row r="16296" spans="2:2 16285:16300" x14ac:dyDescent="0.3">
      <c r="B16296" s="16301"/>
      <c r="XBP16296" s="16206"/>
    </row>
    <row r="16297" spans="2:2 16285:16300" x14ac:dyDescent="0.3">
      <c r="B16297" s="16301"/>
      <c r="XBQ16297" s="16207"/>
    </row>
    <row r="16298" spans="2:2 16285:16300" x14ac:dyDescent="0.3">
      <c r="B16298" s="16301"/>
      <c r="XBR16298" s="16208"/>
    </row>
    <row r="16299" spans="2:2 16285:16300" x14ac:dyDescent="0.3">
      <c r="B16299" s="16301"/>
      <c r="XBS16299" s="16209"/>
    </row>
    <row r="16300" spans="2:2 16285:16300" x14ac:dyDescent="0.3">
      <c r="B16300" s="16301"/>
      <c r="XBT16300" s="16210"/>
    </row>
    <row r="16301" spans="2:2 16285:16300" x14ac:dyDescent="0.3">
      <c r="B16301" s="16301"/>
      <c r="XBU16301" s="16211"/>
    </row>
    <row r="16302" spans="2:2 16285:16300" x14ac:dyDescent="0.3">
      <c r="B16302" s="16301"/>
      <c r="XBV16302" s="16212"/>
    </row>
    <row r="16303" spans="2:2 16285:16300" x14ac:dyDescent="0.3">
      <c r="B16303" s="16301"/>
      <c r="XBW16303" s="16213"/>
    </row>
    <row r="16304" spans="2:2 16285:16300" x14ac:dyDescent="0.3">
      <c r="B16304" s="16301"/>
      <c r="XBX16304" s="16214"/>
    </row>
    <row r="16305" spans="2:2 16301:16316" x14ac:dyDescent="0.3">
      <c r="B16305" s="16301"/>
      <c r="XBY16305" s="16215"/>
    </row>
    <row r="16306" spans="2:2 16301:16316" x14ac:dyDescent="0.3">
      <c r="B16306" s="16301"/>
      <c r="XBZ16306" s="16216"/>
    </row>
    <row r="16307" spans="2:2 16301:16316" x14ac:dyDescent="0.3">
      <c r="B16307" s="16301"/>
      <c r="XCA16307" s="16217"/>
    </row>
    <row r="16308" spans="2:2 16301:16316" x14ac:dyDescent="0.3">
      <c r="B16308" s="16301"/>
      <c r="XCB16308" s="16218"/>
    </row>
    <row r="16309" spans="2:2 16301:16316" x14ac:dyDescent="0.3">
      <c r="B16309" s="16301"/>
      <c r="XCC16309" s="16219"/>
    </row>
    <row r="16310" spans="2:2 16301:16316" x14ac:dyDescent="0.3">
      <c r="B16310" s="16301"/>
      <c r="XCD16310" s="16220"/>
    </row>
    <row r="16311" spans="2:2 16301:16316" x14ac:dyDescent="0.3">
      <c r="B16311" s="16301"/>
      <c r="XCE16311" s="16221"/>
    </row>
    <row r="16312" spans="2:2 16301:16316" x14ac:dyDescent="0.3">
      <c r="B16312" s="16301"/>
      <c r="XCF16312" s="16222"/>
    </row>
    <row r="16313" spans="2:2 16301:16316" x14ac:dyDescent="0.3">
      <c r="B16313" s="16301"/>
      <c r="XCG16313" s="16223"/>
    </row>
    <row r="16314" spans="2:2 16301:16316" x14ac:dyDescent="0.3">
      <c r="B16314" s="16301"/>
      <c r="XCH16314" s="16224"/>
    </row>
    <row r="16315" spans="2:2 16301:16316" x14ac:dyDescent="0.3">
      <c r="B16315" s="16301"/>
      <c r="XCI16315" s="16225"/>
    </row>
    <row r="16316" spans="2:2 16301:16316" x14ac:dyDescent="0.3">
      <c r="B16316" s="16301"/>
      <c r="XCJ16316" s="16226"/>
    </row>
    <row r="16317" spans="2:2 16301:16316" x14ac:dyDescent="0.3">
      <c r="B16317" s="16301"/>
      <c r="XCK16317" s="16227"/>
    </row>
    <row r="16318" spans="2:2 16301:16316" x14ac:dyDescent="0.3">
      <c r="B16318" s="16301"/>
      <c r="XCL16318" s="16228"/>
    </row>
    <row r="16319" spans="2:2 16301:16316" x14ac:dyDescent="0.3">
      <c r="B16319" s="16301"/>
      <c r="XCM16319" s="16229"/>
    </row>
    <row r="16320" spans="2:2 16301:16316" x14ac:dyDescent="0.3">
      <c r="B16320" s="16301"/>
      <c r="XCN16320" s="16230"/>
    </row>
    <row r="16321" spans="2:2 16317:16332" x14ac:dyDescent="0.3">
      <c r="B16321" s="16301"/>
      <c r="XCO16321" s="16231"/>
    </row>
    <row r="16322" spans="2:2 16317:16332" x14ac:dyDescent="0.3">
      <c r="B16322" s="16301"/>
      <c r="XCP16322" s="16232"/>
    </row>
    <row r="16323" spans="2:2 16317:16332" x14ac:dyDescent="0.3">
      <c r="B16323" s="16301"/>
      <c r="XCQ16323" s="16233"/>
    </row>
    <row r="16324" spans="2:2 16317:16332" x14ac:dyDescent="0.3">
      <c r="B16324" s="16301"/>
      <c r="XCR16324" s="16234"/>
    </row>
    <row r="16325" spans="2:2 16317:16332" x14ac:dyDescent="0.3">
      <c r="B16325" s="16301"/>
      <c r="XCS16325" s="16235"/>
    </row>
    <row r="16326" spans="2:2 16317:16332" x14ac:dyDescent="0.3">
      <c r="B16326" s="16301"/>
      <c r="XCT16326" s="16236"/>
    </row>
    <row r="16327" spans="2:2 16317:16332" x14ac:dyDescent="0.3">
      <c r="B16327" s="16301"/>
      <c r="XCU16327" s="16237"/>
    </row>
    <row r="16328" spans="2:2 16317:16332" x14ac:dyDescent="0.3">
      <c r="B16328" s="16301"/>
      <c r="XCV16328" s="16238"/>
    </row>
    <row r="16329" spans="2:2 16317:16332" x14ac:dyDescent="0.3">
      <c r="B16329" s="16301"/>
      <c r="XCW16329" s="16239"/>
    </row>
    <row r="16330" spans="2:2 16317:16332" x14ac:dyDescent="0.3">
      <c r="B16330" s="16301"/>
      <c r="XCX16330" s="16240"/>
    </row>
    <row r="16331" spans="2:2 16317:16332" x14ac:dyDescent="0.3">
      <c r="B16331" s="16301"/>
      <c r="XCY16331" s="16241"/>
    </row>
    <row r="16332" spans="2:2 16317:16332" x14ac:dyDescent="0.3">
      <c r="B16332" s="16301"/>
      <c r="XCZ16332" s="16242"/>
    </row>
    <row r="16333" spans="2:2 16317:16332" x14ac:dyDescent="0.3">
      <c r="B16333" s="16301"/>
      <c r="XDA16333" s="16243"/>
    </row>
    <row r="16334" spans="2:2 16317:16332" x14ac:dyDescent="0.3">
      <c r="B16334" s="16301"/>
      <c r="XDB16334" s="16244"/>
    </row>
    <row r="16335" spans="2:2 16317:16332" x14ac:dyDescent="0.3">
      <c r="B16335" s="16301"/>
      <c r="XDC16335" s="16245"/>
    </row>
    <row r="16336" spans="2:2 16317:16332" x14ac:dyDescent="0.3">
      <c r="B16336" s="16301"/>
      <c r="XDD16336" s="16246"/>
    </row>
    <row r="16337" spans="2:2 16333:16348" x14ac:dyDescent="0.3">
      <c r="B16337" s="16301"/>
      <c r="XDE16337" s="16247"/>
    </row>
    <row r="16338" spans="2:2 16333:16348" x14ac:dyDescent="0.3">
      <c r="B16338" s="16301"/>
      <c r="XDF16338" s="16248"/>
    </row>
    <row r="16339" spans="2:2 16333:16348" x14ac:dyDescent="0.3">
      <c r="B16339" s="16301"/>
      <c r="XDG16339" s="16249"/>
    </row>
    <row r="16340" spans="2:2 16333:16348" x14ac:dyDescent="0.3">
      <c r="B16340" s="16301"/>
      <c r="XDH16340" s="16250"/>
    </row>
    <row r="16341" spans="2:2 16333:16348" x14ac:dyDescent="0.3">
      <c r="B16341" s="16301"/>
      <c r="XDI16341" s="16251"/>
    </row>
    <row r="16342" spans="2:2 16333:16348" x14ac:dyDescent="0.3">
      <c r="B16342" s="16301"/>
      <c r="XDJ16342" s="16252"/>
    </row>
    <row r="16343" spans="2:2 16333:16348" x14ac:dyDescent="0.3">
      <c r="B16343" s="16301"/>
      <c r="XDK16343" s="16253"/>
    </row>
    <row r="16344" spans="2:2 16333:16348" x14ac:dyDescent="0.3">
      <c r="B16344" s="16301"/>
      <c r="XDL16344" s="16254"/>
    </row>
    <row r="16345" spans="2:2 16333:16348" x14ac:dyDescent="0.3">
      <c r="B16345" s="16301"/>
      <c r="XDM16345" s="16255"/>
    </row>
    <row r="16346" spans="2:2 16333:16348" x14ac:dyDescent="0.3">
      <c r="B16346" s="16301"/>
      <c r="XDN16346" s="16256"/>
    </row>
    <row r="16347" spans="2:2 16333:16348" x14ac:dyDescent="0.3">
      <c r="B16347" s="16301"/>
      <c r="XDO16347" s="16257"/>
    </row>
    <row r="16348" spans="2:2 16333:16348" x14ac:dyDescent="0.3">
      <c r="B16348" s="16301"/>
      <c r="XDP16348" s="16258"/>
    </row>
    <row r="16349" spans="2:2 16333:16348" x14ac:dyDescent="0.3">
      <c r="B16349" s="16301"/>
      <c r="XDQ16349" s="16259"/>
    </row>
    <row r="16350" spans="2:2 16333:16348" x14ac:dyDescent="0.3">
      <c r="B16350" s="16301"/>
      <c r="XDR16350" s="16260"/>
    </row>
    <row r="16351" spans="2:2 16333:16348" x14ac:dyDescent="0.3">
      <c r="B16351" s="16301"/>
      <c r="XDS16351" s="16261"/>
    </row>
    <row r="16352" spans="2:2 16333:16348" x14ac:dyDescent="0.3">
      <c r="B16352" s="16301"/>
      <c r="XDT16352" s="16262"/>
    </row>
    <row r="16353" spans="2:2 16349:16364" x14ac:dyDescent="0.3">
      <c r="B16353" s="16301"/>
      <c r="XDU16353" s="16263"/>
    </row>
    <row r="16354" spans="2:2 16349:16364" x14ac:dyDescent="0.3">
      <c r="B16354" s="16301"/>
      <c r="XDV16354" s="16264"/>
    </row>
    <row r="16355" spans="2:2 16349:16364" x14ac:dyDescent="0.3">
      <c r="B16355" s="16301"/>
      <c r="XDW16355" s="16265"/>
    </row>
    <row r="16356" spans="2:2 16349:16364" x14ac:dyDescent="0.3">
      <c r="B16356" s="16301"/>
      <c r="XDX16356" s="16266"/>
    </row>
    <row r="16357" spans="2:2 16349:16364" x14ac:dyDescent="0.3">
      <c r="B16357" s="16301"/>
      <c r="XDY16357" s="16267"/>
    </row>
    <row r="16358" spans="2:2 16349:16364" x14ac:dyDescent="0.3">
      <c r="B16358" s="16301"/>
      <c r="XDZ16358" s="16268"/>
    </row>
    <row r="16359" spans="2:2 16349:16364" x14ac:dyDescent="0.3">
      <c r="B16359" s="16301"/>
      <c r="XEA16359" s="16269"/>
    </row>
    <row r="16360" spans="2:2 16349:16364" x14ac:dyDescent="0.3">
      <c r="B16360" s="16301"/>
      <c r="XEB16360" s="16270"/>
    </row>
    <row r="16361" spans="2:2 16349:16364" x14ac:dyDescent="0.3">
      <c r="B16361" s="16301"/>
      <c r="XEC16361" s="16271"/>
    </row>
    <row r="16362" spans="2:2 16349:16364" x14ac:dyDescent="0.3">
      <c r="B16362" s="16301"/>
      <c r="XED16362" s="16272"/>
    </row>
    <row r="16363" spans="2:2 16349:16364" x14ac:dyDescent="0.3">
      <c r="B16363" s="16301"/>
      <c r="XEE16363" s="16273"/>
    </row>
    <row r="16364" spans="2:2 16349:16364" x14ac:dyDescent="0.3">
      <c r="B16364" s="16301"/>
      <c r="XEF16364" s="16274"/>
    </row>
    <row r="16365" spans="2:2 16349:16364" x14ac:dyDescent="0.3">
      <c r="B16365" s="16301"/>
      <c r="XEG16365" s="16275"/>
    </row>
    <row r="16366" spans="2:2 16349:16364" x14ac:dyDescent="0.3">
      <c r="B16366" s="16301"/>
      <c r="XEH16366" s="16276"/>
    </row>
    <row r="16367" spans="2:2 16349:16364" x14ac:dyDescent="0.3">
      <c r="B16367" s="16301"/>
      <c r="XEI16367" s="16277"/>
    </row>
    <row r="16368" spans="2:2 16349:16364" x14ac:dyDescent="0.3">
      <c r="B16368" s="16301"/>
      <c r="XEJ16368" s="16278"/>
    </row>
    <row r="16369" spans="2:2 16365:16380" x14ac:dyDescent="0.3">
      <c r="B16369" s="16301"/>
      <c r="XEK16369" s="16279"/>
    </row>
    <row r="16370" spans="2:2 16365:16380" x14ac:dyDescent="0.3">
      <c r="B16370" s="16301"/>
      <c r="XEL16370" s="16280"/>
    </row>
    <row r="16371" spans="2:2 16365:16380" x14ac:dyDescent="0.3">
      <c r="B16371" s="16301"/>
      <c r="XEM16371" s="16281"/>
    </row>
    <row r="16372" spans="2:2 16365:16380" x14ac:dyDescent="0.3">
      <c r="B16372" s="16301"/>
      <c r="XEN16372" s="16282"/>
    </row>
    <row r="16373" spans="2:2 16365:16380" x14ac:dyDescent="0.3">
      <c r="B16373" s="16301"/>
      <c r="XEO16373" s="16283"/>
    </row>
    <row r="16374" spans="2:2 16365:16380" x14ac:dyDescent="0.3">
      <c r="B16374" s="16301"/>
      <c r="XEP16374" s="16284"/>
    </row>
    <row r="16375" spans="2:2 16365:16380" x14ac:dyDescent="0.3">
      <c r="B16375" s="16301"/>
      <c r="XEQ16375" s="16285"/>
    </row>
    <row r="16376" spans="2:2 16365:16380" x14ac:dyDescent="0.3">
      <c r="B16376" s="16301"/>
      <c r="XER16376" s="16286"/>
    </row>
    <row r="16377" spans="2:2 16365:16380" x14ac:dyDescent="0.3">
      <c r="B16377" s="16301"/>
      <c r="XES16377" s="16287"/>
    </row>
    <row r="16378" spans="2:2 16365:16380" x14ac:dyDescent="0.3">
      <c r="B16378" s="16301"/>
      <c r="XET16378" s="16288"/>
    </row>
    <row r="16379" spans="2:2 16365:16380" x14ac:dyDescent="0.3">
      <c r="B16379" s="16301"/>
      <c r="XEU16379" s="16289"/>
    </row>
    <row r="16380" spans="2:2 16365:16380" x14ac:dyDescent="0.3">
      <c r="B16380" s="16301"/>
      <c r="XEV16380" s="16290"/>
    </row>
    <row r="16381" spans="2:2 16365:16380" x14ac:dyDescent="0.3">
      <c r="B16381" s="16301"/>
      <c r="XEW16381" s="16291"/>
    </row>
    <row r="16382" spans="2:2 16365:16380" x14ac:dyDescent="0.3">
      <c r="B16382" s="16301"/>
      <c r="XEX16382" s="16292"/>
    </row>
    <row r="16383" spans="2:2 16365:16380" x14ac:dyDescent="0.3">
      <c r="B16383" s="16301"/>
      <c r="XEY16383" s="16293"/>
    </row>
    <row r="16384" spans="2:2 16365:16380" x14ac:dyDescent="0.3">
      <c r="B16384" s="16301"/>
      <c r="XEZ16384" s="16294"/>
    </row>
    <row r="16385" spans="2:2 16381:16384" x14ac:dyDescent="0.3">
      <c r="B16385" s="16301"/>
      <c r="XFA16385" s="16295"/>
    </row>
    <row r="16386" spans="2:2 16381:16384" x14ac:dyDescent="0.3">
      <c r="B16386" s="16301"/>
      <c r="XFB16386" s="16296"/>
    </row>
    <row r="16387" spans="2:2 16381:16384" x14ac:dyDescent="0.3">
      <c r="B16387" s="16301"/>
      <c r="XFC16387" s="16297"/>
    </row>
    <row r="16388" spans="2:2 16381:16384" x14ac:dyDescent="0.3">
      <c r="B16388" s="16301"/>
      <c r="XFD16388" s="16298"/>
    </row>
    <row r="16389" spans="2:2 16381:16384" x14ac:dyDescent="0.3">
      <c r="B16389" s="16301"/>
    </row>
  </sheetData>
  <mergeCells count="1">
    <mergeCell ref="C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PortfOptProcess">
                <anchor moveWithCells="1" sizeWithCells="1">
                  <from>
                    <xdr:col>8</xdr:col>
                    <xdr:colOff>784860</xdr:colOff>
                    <xdr:row>0</xdr:row>
                    <xdr:rowOff>167640</xdr:rowOff>
                  </from>
                  <to>
                    <xdr:col>10</xdr:col>
                    <xdr:colOff>556260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ransferCov">
                <anchor moveWithCells="1" sizeWithCells="1">
                  <from>
                    <xdr:col>11</xdr:col>
                    <xdr:colOff>228600</xdr:colOff>
                    <xdr:row>0</xdr:row>
                    <xdr:rowOff>99060</xdr:rowOff>
                  </from>
                  <to>
                    <xdr:col>13</xdr:col>
                    <xdr:colOff>495300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GoToOutputs">
                <anchor moveWithCells="1" sizeWithCells="1">
                  <from>
                    <xdr:col>14</xdr:col>
                    <xdr:colOff>320040</xdr:colOff>
                    <xdr:row>0</xdr:row>
                    <xdr:rowOff>114300</xdr:rowOff>
                  </from>
                  <to>
                    <xdr:col>16</xdr:col>
                    <xdr:colOff>137160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GoToTickers">
                <anchor moveWithCells="1" sizeWithCells="1">
                  <from>
                    <xdr:col>16</xdr:col>
                    <xdr:colOff>670560</xdr:colOff>
                    <xdr:row>0</xdr:row>
                    <xdr:rowOff>114300</xdr:rowOff>
                  </from>
                  <to>
                    <xdr:col>18</xdr:col>
                    <xdr:colOff>358140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ChangeMain">
                <anchor moveWithCells="1" sizeWithCells="1">
                  <from>
                    <xdr:col>4</xdr:col>
                    <xdr:colOff>213360</xdr:colOff>
                    <xdr:row>2</xdr:row>
                    <xdr:rowOff>15240</xdr:rowOff>
                  </from>
                  <to>
                    <xdr:col>5</xdr:col>
                    <xdr:colOff>518160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0E5F-9BC4-46D4-A713-2DF8EBDDE7C7}">
  <sheetPr codeName="Feuil14">
    <tabColor indexed="11"/>
  </sheetPr>
  <dimension ref="A1:CV5004"/>
  <sheetViews>
    <sheetView showGridLines="0" workbookViewId="0">
      <selection activeCell="H11" sqref="H11"/>
    </sheetView>
  </sheetViews>
  <sheetFormatPr baseColWidth="10" defaultRowHeight="17.399999999999999" x14ac:dyDescent="0.35"/>
  <cols>
    <col min="2" max="2" width="11.44140625" style="16327"/>
    <col min="3" max="3" width="11.44140625" customWidth="1"/>
    <col min="4" max="4" width="13.77734375" customWidth="1"/>
    <col min="5" max="5" width="17.33203125" customWidth="1"/>
    <col min="6" max="6" width="19.44140625" customWidth="1"/>
    <col min="10" max="10" width="17.44140625" style="7" bestFit="1" customWidth="1"/>
    <col min="11" max="11" width="15.109375" customWidth="1"/>
    <col min="12" max="12" width="13.109375" style="10" customWidth="1"/>
    <col min="13" max="13" width="16.33203125" bestFit="1" customWidth="1"/>
  </cols>
  <sheetData>
    <row r="1" spans="1:100" ht="18" thickBot="1" x14ac:dyDescent="0.4">
      <c r="J1"/>
      <c r="L1"/>
      <c r="CV1">
        <v>1175</v>
      </c>
    </row>
    <row r="2" spans="1:100" ht="33" customHeight="1" thickBot="1" x14ac:dyDescent="0.75">
      <c r="C2" s="16336" t="s">
        <v>35</v>
      </c>
      <c r="D2" s="16337"/>
      <c r="E2" s="16337"/>
      <c r="F2" s="16338"/>
      <c r="J2" s="16342" t="s">
        <v>29</v>
      </c>
      <c r="K2" s="16343"/>
      <c r="L2" s="16343"/>
      <c r="M2" s="16344"/>
    </row>
    <row r="3" spans="1:100" x14ac:dyDescent="0.35">
      <c r="C3" s="16306"/>
      <c r="D3" s="16306"/>
      <c r="E3" s="16306"/>
      <c r="F3" s="16306"/>
      <c r="J3"/>
      <c r="L3"/>
    </row>
    <row r="4" spans="1:100" ht="18" thickBot="1" x14ac:dyDescent="0.4">
      <c r="C4" s="16300"/>
      <c r="D4" s="16300"/>
      <c r="E4" s="16307"/>
      <c r="F4" s="16307"/>
      <c r="J4" s="16324" t="s">
        <v>7</v>
      </c>
      <c r="K4" s="16324" t="s">
        <v>32</v>
      </c>
      <c r="L4" s="16324" t="s">
        <v>27</v>
      </c>
      <c r="M4" s="16324" t="s">
        <v>45</v>
      </c>
    </row>
    <row r="5" spans="1:100" ht="18" thickTop="1" x14ac:dyDescent="0.35">
      <c r="A5" t="s">
        <v>2</v>
      </c>
      <c r="B5" s="16328">
        <v>0.19664321839809418</v>
      </c>
      <c r="I5">
        <v>1</v>
      </c>
      <c r="J5" s="7">
        <v>5.6189630180597305E-2</v>
      </c>
      <c r="K5">
        <v>2.3523520678281784E-2</v>
      </c>
      <c r="L5">
        <v>0.36525458097457886</v>
      </c>
      <c r="M5" s="10">
        <v>2.4040417939973469E-2</v>
      </c>
    </row>
    <row r="6" spans="1:100" x14ac:dyDescent="0.35">
      <c r="A6" t="s">
        <v>34</v>
      </c>
      <c r="B6" s="16329">
        <v>0.14008051156997681</v>
      </c>
      <c r="I6">
        <v>2</v>
      </c>
      <c r="J6" s="7">
        <v>6.3849180936813354E-2</v>
      </c>
      <c r="K6">
        <v>2.4832909926772118E-2</v>
      </c>
      <c r="L6">
        <v>0.34194502234458923</v>
      </c>
      <c r="M6" s="10">
        <v>2.6908565468716894E-2</v>
      </c>
    </row>
    <row r="7" spans="1:100" x14ac:dyDescent="0.35">
      <c r="A7" t="s">
        <v>3</v>
      </c>
      <c r="B7" s="16329">
        <v>0.34481167793273926</v>
      </c>
      <c r="I7">
        <v>3</v>
      </c>
      <c r="J7" s="7">
        <v>5.8192644268274307E-2</v>
      </c>
      <c r="K7">
        <v>2.4667162448167801E-2</v>
      </c>
      <c r="L7">
        <v>0.37233507633209229</v>
      </c>
      <c r="M7" s="10">
        <v>2.4790454082882607E-2</v>
      </c>
    </row>
    <row r="8" spans="1:100" ht="18" thickBot="1" x14ac:dyDescent="0.4">
      <c r="A8" t="s">
        <v>18</v>
      </c>
      <c r="B8" s="16348">
        <v>0.31846454739570618</v>
      </c>
      <c r="I8">
        <v>4</v>
      </c>
      <c r="J8" s="7">
        <v>6.196502223610878E-2</v>
      </c>
      <c r="K8">
        <v>2.5417912751436234E-2</v>
      </c>
      <c r="L8">
        <v>0.36178332567214966</v>
      </c>
      <c r="M8" s="10">
        <v>2.6203035171551536E-2</v>
      </c>
    </row>
    <row r="9" spans="1:100" ht="18" thickTop="1" x14ac:dyDescent="0.35">
      <c r="A9" t="s">
        <v>0</v>
      </c>
      <c r="B9" s="16333">
        <v>1</v>
      </c>
      <c r="I9">
        <v>5</v>
      </c>
      <c r="J9" s="7">
        <v>6.1192955821752548E-2</v>
      </c>
      <c r="K9">
        <v>2.5689434260129929E-2</v>
      </c>
      <c r="L9">
        <v>0.37078505754470825</v>
      </c>
      <c r="M9" s="10">
        <v>2.5913932004950735E-2</v>
      </c>
    </row>
    <row r="10" spans="1:100" x14ac:dyDescent="0.35">
      <c r="B10" s="16330"/>
      <c r="I10">
        <v>6</v>
      </c>
      <c r="J10" s="7">
        <v>5.9281133115291595E-2</v>
      </c>
      <c r="K10">
        <v>2.3939521983265877E-2</v>
      </c>
      <c r="L10">
        <v>0.35322403907775879</v>
      </c>
      <c r="M10" s="10">
        <v>2.5198042817000443E-2</v>
      </c>
    </row>
    <row r="11" spans="1:100" x14ac:dyDescent="0.35">
      <c r="B11" s="16330"/>
      <c r="I11">
        <v>7</v>
      </c>
      <c r="J11" s="7">
        <v>5.0909843295812607E-2</v>
      </c>
      <c r="K11">
        <v>2.2014303132891655E-2</v>
      </c>
      <c r="L11">
        <v>0.37348970770835876</v>
      </c>
      <c r="M11" s="10">
        <v>2.2063381924695702E-2</v>
      </c>
    </row>
    <row r="12" spans="1:100" x14ac:dyDescent="0.35">
      <c r="B12" s="16330"/>
      <c r="I12">
        <v>8</v>
      </c>
      <c r="J12" s="7">
        <v>5.346968024969101E-2</v>
      </c>
      <c r="K12">
        <v>2.2394834086298943E-2</v>
      </c>
      <c r="L12">
        <v>0.36272582411766052</v>
      </c>
      <c r="M12" s="10">
        <v>2.3021922479739887E-2</v>
      </c>
    </row>
    <row r="13" spans="1:100" ht="18" thickBot="1" x14ac:dyDescent="0.4">
      <c r="B13" s="16330"/>
      <c r="I13">
        <v>9</v>
      </c>
      <c r="J13" s="7">
        <v>5.2486691623926163E-2</v>
      </c>
      <c r="K13">
        <v>2.2046439349651337E-2</v>
      </c>
      <c r="L13">
        <v>0.36288130283355713</v>
      </c>
      <c r="M13" s="10">
        <v>2.2653838699436935E-2</v>
      </c>
    </row>
    <row r="14" spans="1:100" x14ac:dyDescent="0.35">
      <c r="B14" s="16330"/>
      <c r="C14" s="16317" t="s">
        <v>26</v>
      </c>
      <c r="D14" s="16318" t="s">
        <v>27</v>
      </c>
      <c r="E14" s="16318" t="s">
        <v>28</v>
      </c>
      <c r="F14" s="16319" t="s">
        <v>7</v>
      </c>
      <c r="I14">
        <v>10</v>
      </c>
      <c r="J14" s="7">
        <v>6.1402477324008942E-2</v>
      </c>
      <c r="K14">
        <v>2.4856416508555412E-2</v>
      </c>
      <c r="L14">
        <v>0.35595333576202393</v>
      </c>
      <c r="M14" s="10">
        <v>2.5992388117853649E-2</v>
      </c>
    </row>
    <row r="15" spans="1:100" ht="18" thickBot="1" x14ac:dyDescent="0.4">
      <c r="C15" s="16325">
        <v>1500</v>
      </c>
      <c r="D15" s="16326">
        <v>0.37445375323295593</v>
      </c>
      <c r="E15" s="16331">
        <v>2.3098988458514214E-2</v>
      </c>
      <c r="F15" s="16332">
        <v>5.3675491362810135E-2</v>
      </c>
      <c r="I15">
        <v>11</v>
      </c>
      <c r="J15" s="7">
        <v>6.3528217375278473E-2</v>
      </c>
      <c r="K15">
        <v>2.4442967027425766E-2</v>
      </c>
      <c r="L15">
        <v>0.33753451704978943</v>
      </c>
      <c r="M15" s="10">
        <v>2.6788379458449141E-2</v>
      </c>
    </row>
    <row r="16" spans="1:100" ht="18" thickBot="1" x14ac:dyDescent="0.4">
      <c r="I16">
        <v>12</v>
      </c>
      <c r="J16" s="7">
        <v>4.7589238733053207E-2</v>
      </c>
      <c r="K16">
        <v>2.053559198975563E-2</v>
      </c>
      <c r="L16">
        <v>0.36847808957099915</v>
      </c>
      <c r="M16" s="10">
        <v>2.0819969083167966E-2</v>
      </c>
    </row>
    <row r="17" spans="3:13" ht="29.4" thickBot="1" x14ac:dyDescent="0.6">
      <c r="C17" s="16339" t="s">
        <v>36</v>
      </c>
      <c r="D17" s="16340"/>
      <c r="E17" s="16340"/>
      <c r="F17" s="16341"/>
      <c r="I17">
        <v>13</v>
      </c>
      <c r="J17" s="7">
        <v>6.7798309028148651E-2</v>
      </c>
      <c r="K17">
        <v>2.6541117578744888E-2</v>
      </c>
      <c r="L17">
        <v>0.34722277522087097</v>
      </c>
      <c r="M17" s="10">
        <v>2.8387331304515095E-2</v>
      </c>
    </row>
    <row r="18" spans="3:13" x14ac:dyDescent="0.35">
      <c r="I18">
        <v>14</v>
      </c>
      <c r="J18" s="7">
        <v>6.6784076392650604E-2</v>
      </c>
      <c r="K18">
        <v>2.7337314561009407E-2</v>
      </c>
      <c r="L18">
        <v>0.3644179105758667</v>
      </c>
      <c r="M18" s="10">
        <v>2.8007548087501499E-2</v>
      </c>
    </row>
    <row r="19" spans="3:13" x14ac:dyDescent="0.35">
      <c r="I19">
        <v>15</v>
      </c>
      <c r="J19" s="7">
        <v>4.878610372543335E-2</v>
      </c>
      <c r="K19">
        <v>2.0745787769556046E-2</v>
      </c>
      <c r="L19">
        <v>0.3637467622756958</v>
      </c>
      <c r="M19" s="10">
        <v>2.1268139671677844E-2</v>
      </c>
    </row>
    <row r="20" spans="3:13" x14ac:dyDescent="0.35">
      <c r="I20">
        <v>16</v>
      </c>
      <c r="J20" s="7">
        <v>6.2130358070135117E-2</v>
      </c>
      <c r="K20">
        <v>2.4552628397941589E-2</v>
      </c>
      <c r="L20">
        <v>0.34689366817474365</v>
      </c>
      <c r="M20" s="10">
        <v>2.6264945795146599E-2</v>
      </c>
    </row>
    <row r="21" spans="3:13" x14ac:dyDescent="0.35">
      <c r="I21">
        <v>17</v>
      </c>
      <c r="J21" s="7">
        <v>6.618015468120575E-2</v>
      </c>
      <c r="K21">
        <v>2.6764469221234322E-2</v>
      </c>
      <c r="L21">
        <v>0.35908755660057068</v>
      </c>
      <c r="M21" s="10">
        <v>2.7781407335992103E-2</v>
      </c>
    </row>
    <row r="22" spans="3:13" x14ac:dyDescent="0.35">
      <c r="I22">
        <v>18</v>
      </c>
      <c r="J22" s="7">
        <v>4.404924064874649E-2</v>
      </c>
      <c r="K22">
        <v>1.8460145220160484E-2</v>
      </c>
      <c r="L22">
        <v>0.35097417235374451</v>
      </c>
      <c r="M22" s="10">
        <v>1.9494403514061842E-2</v>
      </c>
    </row>
    <row r="23" spans="3:13" x14ac:dyDescent="0.35">
      <c r="I23">
        <v>19</v>
      </c>
      <c r="J23" s="7">
        <v>5.7165153324604034E-2</v>
      </c>
      <c r="K23">
        <v>2.3446528241038322E-2</v>
      </c>
      <c r="L23">
        <v>0.35767468810081482</v>
      </c>
      <c r="M23" s="10">
        <v>2.4405706242612402E-2</v>
      </c>
    </row>
    <row r="24" spans="3:13" x14ac:dyDescent="0.35">
      <c r="I24">
        <v>20</v>
      </c>
      <c r="J24" s="7">
        <v>5.0773847848176956E-2</v>
      </c>
      <c r="K24">
        <v>2.1036181598901749E-2</v>
      </c>
      <c r="L24">
        <v>0.3552258312702179</v>
      </c>
      <c r="M24" s="10">
        <v>2.2012457918905937E-2</v>
      </c>
    </row>
    <row r="25" spans="3:13" x14ac:dyDescent="0.35">
      <c r="I25">
        <v>21</v>
      </c>
      <c r="J25" s="7">
        <v>6.8916246294975281E-2</v>
      </c>
      <c r="K25">
        <v>2.6500556617975235E-2</v>
      </c>
      <c r="L25">
        <v>0.34100168943405151</v>
      </c>
      <c r="M25" s="10">
        <v>2.8805947109957319E-2</v>
      </c>
    </row>
    <row r="26" spans="3:13" x14ac:dyDescent="0.35">
      <c r="I26">
        <v>22</v>
      </c>
      <c r="J26" s="7">
        <v>5.3583864122629166E-2</v>
      </c>
      <c r="K26">
        <v>2.2859238088130951E-2</v>
      </c>
      <c r="L26">
        <v>0.37061974406242371</v>
      </c>
      <c r="M26" s="10">
        <v>2.3064679059520254E-2</v>
      </c>
    </row>
    <row r="27" spans="3:13" x14ac:dyDescent="0.35">
      <c r="I27">
        <v>23</v>
      </c>
      <c r="J27" s="7">
        <v>6.003083661198616E-2</v>
      </c>
      <c r="K27">
        <v>2.3765429854393005E-2</v>
      </c>
      <c r="L27">
        <v>0.34591272473335266</v>
      </c>
      <c r="M27" s="10">
        <v>2.5478772105149594E-2</v>
      </c>
    </row>
    <row r="28" spans="3:13" x14ac:dyDescent="0.35">
      <c r="I28">
        <v>24</v>
      </c>
      <c r="J28" s="7">
        <v>6.1732862144708633E-2</v>
      </c>
      <c r="K28">
        <v>2.4352971464395523E-2</v>
      </c>
      <c r="L28">
        <v>0.34589311480522156</v>
      </c>
      <c r="M28" s="10">
        <v>2.6116101953975845E-2</v>
      </c>
    </row>
    <row r="29" spans="3:13" x14ac:dyDescent="0.35">
      <c r="I29">
        <v>25</v>
      </c>
      <c r="J29" s="7">
        <v>5.3918581455945969E-2</v>
      </c>
      <c r="K29">
        <v>2.292272262275219E-2</v>
      </c>
      <c r="L29">
        <v>0.36949640512466431</v>
      </c>
      <c r="M29" s="10">
        <v>2.3190015221252858E-2</v>
      </c>
    </row>
    <row r="30" spans="3:13" x14ac:dyDescent="0.35">
      <c r="I30">
        <v>26</v>
      </c>
      <c r="J30" s="7">
        <v>6.5533563494682312E-2</v>
      </c>
      <c r="K30">
        <v>2.6915639638900757E-2</v>
      </c>
      <c r="L30">
        <v>0.36493727564811707</v>
      </c>
      <c r="M30" s="10">
        <v>2.7539288839391052E-2</v>
      </c>
    </row>
    <row r="31" spans="3:13" x14ac:dyDescent="0.35">
      <c r="I31">
        <v>27</v>
      </c>
      <c r="J31" s="7">
        <v>5.1871675997972488E-2</v>
      </c>
      <c r="K31">
        <v>2.2115975618362427E-2</v>
      </c>
      <c r="L31">
        <v>0.36852434277534485</v>
      </c>
      <c r="M31" s="10">
        <v>2.2423543790001665E-2</v>
      </c>
    </row>
    <row r="32" spans="3:13" x14ac:dyDescent="0.35">
      <c r="I32">
        <v>28</v>
      </c>
      <c r="J32" s="7">
        <v>6.0138743370771408E-2</v>
      </c>
      <c r="K32">
        <v>2.4706162512302399E-2</v>
      </c>
      <c r="L32">
        <v>0.36093476414680481</v>
      </c>
      <c r="M32" s="10">
        <v>2.5519178195975933E-2</v>
      </c>
    </row>
    <row r="33" spans="9:13" x14ac:dyDescent="0.35">
      <c r="I33">
        <v>29</v>
      </c>
      <c r="J33" s="7">
        <v>6.0640640556812286E-2</v>
      </c>
      <c r="K33">
        <v>2.456965297460556E-2</v>
      </c>
      <c r="L33">
        <v>0.35569632053375244</v>
      </c>
      <c r="M33" s="10">
        <v>2.5707115481025999E-2</v>
      </c>
    </row>
    <row r="34" spans="9:13" x14ac:dyDescent="0.35">
      <c r="I34">
        <v>30</v>
      </c>
      <c r="J34" s="7">
        <v>6.5221711993217468E-2</v>
      </c>
      <c r="K34">
        <v>2.6779582723975182E-2</v>
      </c>
      <c r="L34">
        <v>0.36459609866142273</v>
      </c>
      <c r="M34" s="10">
        <v>2.7422514874216208E-2</v>
      </c>
    </row>
    <row r="35" spans="9:13" x14ac:dyDescent="0.35">
      <c r="I35">
        <v>31</v>
      </c>
      <c r="J35" s="7">
        <v>9.6279606223106384E-2</v>
      </c>
      <c r="K35">
        <v>3.2246958464384079E-2</v>
      </c>
      <c r="L35">
        <v>0.30377107858657837</v>
      </c>
      <c r="M35" s="10">
        <v>3.9052259936110278E-2</v>
      </c>
    </row>
    <row r="36" spans="9:13" x14ac:dyDescent="0.35">
      <c r="I36">
        <v>32</v>
      </c>
      <c r="J36" s="7">
        <v>5.424836277961731E-2</v>
      </c>
      <c r="K36">
        <v>2.209729328751564E-2</v>
      </c>
      <c r="L36">
        <v>0.35203444957733154</v>
      </c>
      <c r="M36" s="10">
        <v>2.3313503075647724E-2</v>
      </c>
    </row>
    <row r="37" spans="9:13" x14ac:dyDescent="0.35">
      <c r="I37">
        <v>33</v>
      </c>
      <c r="J37" s="7">
        <v>4.7888446599245071E-2</v>
      </c>
      <c r="K37">
        <v>2.0153315737843513E-2</v>
      </c>
      <c r="L37">
        <v>0.35819318890571594</v>
      </c>
      <c r="M37" s="10">
        <v>2.0932008591660334E-2</v>
      </c>
    </row>
    <row r="38" spans="9:13" x14ac:dyDescent="0.35">
      <c r="I38">
        <v>34</v>
      </c>
      <c r="J38" s="7">
        <v>6.1700314283370972E-2</v>
      </c>
      <c r="K38">
        <v>2.546730637550354E-2</v>
      </c>
      <c r="L38">
        <v>0.36413601040840149</v>
      </c>
      <c r="M38" s="10">
        <v>2.6103914285138252E-2</v>
      </c>
    </row>
    <row r="39" spans="9:13" x14ac:dyDescent="0.35">
      <c r="I39">
        <v>35</v>
      </c>
      <c r="J39" s="7">
        <v>7.0288777351379395E-2</v>
      </c>
      <c r="K39">
        <v>2.641741931438446E-2</v>
      </c>
      <c r="L39">
        <v>0.33316013216972351</v>
      </c>
      <c r="M39" s="10">
        <v>2.9319896515456634E-2</v>
      </c>
    </row>
    <row r="40" spans="9:13" x14ac:dyDescent="0.35">
      <c r="I40">
        <v>36</v>
      </c>
      <c r="J40" s="7">
        <v>4.5288920402526855E-2</v>
      </c>
      <c r="K40">
        <v>1.8706809729337692E-2</v>
      </c>
      <c r="L40">
        <v>0.34681352972984314</v>
      </c>
      <c r="M40" s="10">
        <v>1.9958606250671806E-2</v>
      </c>
    </row>
    <row r="41" spans="9:13" x14ac:dyDescent="0.35">
      <c r="I41">
        <v>37</v>
      </c>
      <c r="J41" s="7">
        <v>5.9098836034536362E-2</v>
      </c>
      <c r="K41">
        <v>2.4566780775785446E-2</v>
      </c>
      <c r="L41">
        <v>0.36492732167243958</v>
      </c>
      <c r="M41" s="10">
        <v>2.5129780990908235E-2</v>
      </c>
    </row>
    <row r="42" spans="9:13" x14ac:dyDescent="0.35">
      <c r="I42">
        <v>38</v>
      </c>
      <c r="J42" s="7">
        <v>5.2176874130964279E-2</v>
      </c>
      <c r="K42">
        <v>2.2281134501099586E-2</v>
      </c>
      <c r="L42">
        <v>0.36953410506248474</v>
      </c>
      <c r="M42" s="10">
        <v>2.2537826376380132E-2</v>
      </c>
    </row>
    <row r="43" spans="9:13" x14ac:dyDescent="0.35">
      <c r="I43">
        <v>39</v>
      </c>
      <c r="J43" s="7">
        <v>5.1850266754627228E-2</v>
      </c>
      <c r="K43">
        <v>2.2107869386672974E-2</v>
      </c>
      <c r="L43">
        <v>0.36852017045021057</v>
      </c>
      <c r="M43" s="10">
        <v>2.2415527018477155E-2</v>
      </c>
    </row>
    <row r="44" spans="9:13" x14ac:dyDescent="0.35">
      <c r="I44">
        <v>40</v>
      </c>
      <c r="J44" s="7">
        <v>4.4218998402357101E-2</v>
      </c>
      <c r="K44">
        <v>1.8759174272418022E-2</v>
      </c>
      <c r="L44">
        <v>0.35638922452926636</v>
      </c>
      <c r="M44" s="10">
        <v>1.9557969942041731E-2</v>
      </c>
    </row>
    <row r="45" spans="9:13" x14ac:dyDescent="0.35">
      <c r="I45">
        <v>41</v>
      </c>
      <c r="J45" s="7">
        <v>6.9275498390197754E-2</v>
      </c>
      <c r="K45">
        <v>2.7020083740353584E-2</v>
      </c>
      <c r="L45">
        <v>0.3467327356338501</v>
      </c>
      <c r="M45" s="10">
        <v>2.8940470405370178E-2</v>
      </c>
    </row>
    <row r="46" spans="9:13" x14ac:dyDescent="0.35">
      <c r="I46">
        <v>42</v>
      </c>
      <c r="J46" s="7">
        <v>6.3738040626049042E-2</v>
      </c>
      <c r="K46">
        <v>2.6091005653142929E-2</v>
      </c>
      <c r="L46">
        <v>0.36227980256080627</v>
      </c>
      <c r="M46" s="10">
        <v>2.686694856221572E-2</v>
      </c>
    </row>
    <row r="47" spans="9:13" x14ac:dyDescent="0.35">
      <c r="I47">
        <v>43</v>
      </c>
      <c r="J47" s="7">
        <v>5.2739661186933517E-2</v>
      </c>
      <c r="K47">
        <v>2.0459702238440514E-2</v>
      </c>
      <c r="L47">
        <v>0.33105450868606567</v>
      </c>
      <c r="M47" s="10">
        <v>2.2748564101758739E-2</v>
      </c>
    </row>
    <row r="48" spans="9:13" x14ac:dyDescent="0.35">
      <c r="I48">
        <v>44</v>
      </c>
      <c r="J48" s="7">
        <v>5.671512708067894E-2</v>
      </c>
      <c r="K48">
        <v>2.3683484643697739E-2</v>
      </c>
      <c r="L48">
        <v>0.36469078063964844</v>
      </c>
      <c r="M48" s="10">
        <v>2.423719222652132E-2</v>
      </c>
    </row>
    <row r="49" spans="9:13" x14ac:dyDescent="0.35">
      <c r="I49">
        <v>45</v>
      </c>
      <c r="J49" s="7">
        <v>4.4888544827699661E-2</v>
      </c>
      <c r="K49">
        <v>1.8835017457604408E-2</v>
      </c>
      <c r="L49">
        <v>0.35276299715042114</v>
      </c>
      <c r="M49" s="10">
        <v>1.9808684113974961E-2</v>
      </c>
    </row>
    <row r="50" spans="9:13" x14ac:dyDescent="0.35">
      <c r="I50">
        <v>46</v>
      </c>
      <c r="J50" s="7">
        <v>6.6147699952125549E-2</v>
      </c>
      <c r="K50">
        <v>2.6329336687922478E-2</v>
      </c>
      <c r="L50">
        <v>0.35268554091453552</v>
      </c>
      <c r="M50" s="10">
        <v>2.7769254540877863E-2</v>
      </c>
    </row>
    <row r="51" spans="9:13" x14ac:dyDescent="0.35">
      <c r="I51">
        <v>47</v>
      </c>
      <c r="J51" s="7">
        <v>5.1992859691381454E-2</v>
      </c>
      <c r="K51">
        <v>2.1999344229698181E-2</v>
      </c>
      <c r="L51">
        <v>0.36542218923568726</v>
      </c>
      <c r="M51" s="10">
        <v>2.2468921478829285E-2</v>
      </c>
    </row>
    <row r="52" spans="9:13" x14ac:dyDescent="0.35">
      <c r="I52">
        <v>48</v>
      </c>
      <c r="J52" s="7">
        <v>5.4454341530799866E-2</v>
      </c>
      <c r="K52">
        <v>2.3306591436266899E-2</v>
      </c>
      <c r="L52">
        <v>0.37291041016578674</v>
      </c>
      <c r="M52" s="10">
        <v>2.3390632592114269E-2</v>
      </c>
    </row>
    <row r="53" spans="9:13" x14ac:dyDescent="0.35">
      <c r="I53">
        <v>49</v>
      </c>
      <c r="J53" s="7">
        <v>5.9676721692085266E-2</v>
      </c>
      <c r="K53">
        <v>2.5159312412142754E-2</v>
      </c>
      <c r="L53">
        <v>0.37132254242897034</v>
      </c>
      <c r="M53" s="10">
        <v>2.5346172444316917E-2</v>
      </c>
    </row>
    <row r="54" spans="9:13" x14ac:dyDescent="0.35">
      <c r="I54">
        <v>50</v>
      </c>
      <c r="J54" s="7">
        <v>5.0520379096269608E-2</v>
      </c>
      <c r="K54">
        <v>2.156132273375988E-2</v>
      </c>
      <c r="L54">
        <v>0.36740267276763916</v>
      </c>
      <c r="M54" s="10">
        <v>2.1917545593426957E-2</v>
      </c>
    </row>
    <row r="55" spans="9:13" x14ac:dyDescent="0.35">
      <c r="I55">
        <v>51</v>
      </c>
      <c r="J55" s="7">
        <v>5.6429024785757065E-2</v>
      </c>
      <c r="K55">
        <v>2.2060273215174675E-2</v>
      </c>
      <c r="L55">
        <v>0.33777427673339844</v>
      </c>
      <c r="M55" s="10">
        <v>2.4130060148379262E-2</v>
      </c>
    </row>
    <row r="56" spans="9:13" x14ac:dyDescent="0.35">
      <c r="I56">
        <v>52</v>
      </c>
      <c r="J56" s="7">
        <v>4.7595325857400894E-2</v>
      </c>
      <c r="K56">
        <v>2.0108450204133987E-2</v>
      </c>
      <c r="L56">
        <v>0.35945650935173035</v>
      </c>
      <c r="M56" s="10">
        <v>2.0822248429726353E-2</v>
      </c>
    </row>
    <row r="57" spans="9:13" x14ac:dyDescent="0.35">
      <c r="I57">
        <v>53</v>
      </c>
      <c r="J57" s="7">
        <v>6.9208070635795593E-2</v>
      </c>
      <c r="K57">
        <v>2.7527917176485062E-2</v>
      </c>
      <c r="L57">
        <v>0.35440832376480103</v>
      </c>
      <c r="M57" s="10">
        <v>2.8915221829662219E-2</v>
      </c>
    </row>
    <row r="58" spans="9:13" x14ac:dyDescent="0.35">
      <c r="I58">
        <v>54</v>
      </c>
      <c r="J58" s="7">
        <v>4.7752957791090012E-2</v>
      </c>
      <c r="K58">
        <v>2.0191187039017677E-2</v>
      </c>
      <c r="L58">
        <v>0.3600025475025177</v>
      </c>
      <c r="M58" s="10">
        <v>2.0881274298925612E-2</v>
      </c>
    </row>
    <row r="59" spans="9:13" x14ac:dyDescent="0.35">
      <c r="I59">
        <v>55</v>
      </c>
      <c r="J59" s="7">
        <v>5.9634760022163391E-2</v>
      </c>
      <c r="K59">
        <v>2.5012139230966568E-2</v>
      </c>
      <c r="L59">
        <v>0.3691159188747406</v>
      </c>
      <c r="M59" s="10">
        <v>2.5330459739522748E-2</v>
      </c>
    </row>
    <row r="60" spans="9:13" x14ac:dyDescent="0.35">
      <c r="I60">
        <v>56</v>
      </c>
      <c r="J60" s="7">
        <v>5.1148004829883575E-2</v>
      </c>
      <c r="K60">
        <v>2.1169811487197876E-2</v>
      </c>
      <c r="L60">
        <v>0.35523989796638489</v>
      </c>
      <c r="M60" s="10">
        <v>2.2152562405004295E-2</v>
      </c>
    </row>
    <row r="61" spans="9:13" x14ac:dyDescent="0.35">
      <c r="I61">
        <v>57</v>
      </c>
      <c r="J61" s="7">
        <v>4.9796301871538162E-2</v>
      </c>
      <c r="K61">
        <v>2.1443156525492668E-2</v>
      </c>
      <c r="L61">
        <v>0.37037199735641479</v>
      </c>
      <c r="M61" s="10">
        <v>2.1646412158995765E-2</v>
      </c>
    </row>
    <row r="62" spans="9:13" x14ac:dyDescent="0.35">
      <c r="I62">
        <v>58</v>
      </c>
      <c r="J62" s="7">
        <v>5.4101672023534775E-2</v>
      </c>
      <c r="K62">
        <v>2.2417573258280754E-2</v>
      </c>
      <c r="L62">
        <v>0.35890892148017883</v>
      </c>
      <c r="M62" s="10">
        <v>2.3258574171468038E-2</v>
      </c>
    </row>
    <row r="63" spans="9:13" x14ac:dyDescent="0.35">
      <c r="I63">
        <v>59</v>
      </c>
      <c r="J63" s="7">
        <v>6.7870482802391052E-2</v>
      </c>
      <c r="K63">
        <v>2.6621216908097267E-2</v>
      </c>
      <c r="L63">
        <v>0.34803372621536255</v>
      </c>
      <c r="M63" s="10">
        <v>2.8414357045165151E-2</v>
      </c>
    </row>
    <row r="64" spans="9:13" x14ac:dyDescent="0.35">
      <c r="I64">
        <v>60</v>
      </c>
      <c r="J64" s="7">
        <v>7.8343555331230164E-2</v>
      </c>
      <c r="K64">
        <v>2.776864729821682E-2</v>
      </c>
      <c r="L64">
        <v>0.31615424156188965</v>
      </c>
      <c r="M64" s="10">
        <v>3.2336038361469921E-2</v>
      </c>
    </row>
    <row r="65" spans="9:13" x14ac:dyDescent="0.35">
      <c r="I65">
        <v>61</v>
      </c>
      <c r="J65" s="7">
        <v>7.5659863650798798E-2</v>
      </c>
      <c r="K65">
        <v>2.8486095368862152E-2</v>
      </c>
      <c r="L65">
        <v>0.33685094118118286</v>
      </c>
      <c r="M65" s="10">
        <v>3.1331119939212337E-2</v>
      </c>
    </row>
    <row r="66" spans="9:13" x14ac:dyDescent="0.35">
      <c r="I66">
        <v>62</v>
      </c>
      <c r="J66" s="7">
        <v>5.0997138023376465E-2</v>
      </c>
      <c r="K66">
        <v>2.1526627242565155E-2</v>
      </c>
      <c r="L66">
        <v>0.36328759789466858</v>
      </c>
      <c r="M66" s="10">
        <v>2.2096069763069437E-2</v>
      </c>
    </row>
    <row r="67" spans="9:13" x14ac:dyDescent="0.35">
      <c r="I67">
        <v>63</v>
      </c>
      <c r="J67" s="7">
        <v>5.2196070551872253E-2</v>
      </c>
      <c r="K67">
        <v>2.1827427670359612E-2</v>
      </c>
      <c r="L67">
        <v>0.36070585250854492</v>
      </c>
      <c r="M67" s="10">
        <v>2.2545014548237763E-2</v>
      </c>
    </row>
    <row r="68" spans="9:13" x14ac:dyDescent="0.35">
      <c r="I68">
        <v>64</v>
      </c>
      <c r="J68" s="7">
        <v>6.3676699995994568E-2</v>
      </c>
      <c r="K68">
        <v>2.5900047272443771E-2</v>
      </c>
      <c r="L68">
        <v>0.35962992906570435</v>
      </c>
      <c r="M68" s="10">
        <v>2.6843979333066148E-2</v>
      </c>
    </row>
    <row r="69" spans="9:13" x14ac:dyDescent="0.35">
      <c r="I69">
        <v>65</v>
      </c>
      <c r="J69" s="7">
        <v>4.9312222748994827E-2</v>
      </c>
      <c r="K69">
        <v>2.1142998710274696E-2</v>
      </c>
      <c r="L69">
        <v>0.36792093515396118</v>
      </c>
      <c r="M69" s="10">
        <v>2.1465146914697697E-2</v>
      </c>
    </row>
    <row r="70" spans="9:13" x14ac:dyDescent="0.35">
      <c r="I70">
        <v>66</v>
      </c>
      <c r="J70" s="7">
        <v>6.8038210272789001E-2</v>
      </c>
      <c r="K70">
        <v>2.7570007368922234E-2</v>
      </c>
      <c r="L70">
        <v>0.36112073063850403</v>
      </c>
      <c r="M70" s="10">
        <v>2.8477163225975932E-2</v>
      </c>
    </row>
    <row r="71" spans="9:13" x14ac:dyDescent="0.35">
      <c r="I71">
        <v>67</v>
      </c>
      <c r="J71" s="7">
        <v>7.0500925183296204E-2</v>
      </c>
      <c r="K71">
        <v>2.7924610301852226E-2</v>
      </c>
      <c r="L71">
        <v>0.35353592038154602</v>
      </c>
      <c r="M71" s="10">
        <v>2.9399336067358117E-2</v>
      </c>
    </row>
    <row r="72" spans="9:13" x14ac:dyDescent="0.35">
      <c r="I72">
        <v>68</v>
      </c>
      <c r="J72" s="7">
        <v>4.0678836405277252E-2</v>
      </c>
      <c r="K72">
        <v>1.6315342858433723E-2</v>
      </c>
      <c r="L72">
        <v>0.32732850313186646</v>
      </c>
      <c r="M72" s="10">
        <v>1.8232342995182504E-2</v>
      </c>
    </row>
    <row r="73" spans="9:13" x14ac:dyDescent="0.35">
      <c r="I73">
        <v>69</v>
      </c>
      <c r="J73" s="7">
        <v>6.512896716594696E-2</v>
      </c>
      <c r="K73">
        <v>2.350192703306675E-2</v>
      </c>
      <c r="L73">
        <v>0.31478968262672424</v>
      </c>
      <c r="M73" s="10">
        <v>2.7387786225551825E-2</v>
      </c>
    </row>
    <row r="74" spans="9:13" x14ac:dyDescent="0.35">
      <c r="I74">
        <v>70</v>
      </c>
      <c r="J74" s="7">
        <v>4.6653930097818375E-2</v>
      </c>
      <c r="K74">
        <v>1.9577091559767723E-2</v>
      </c>
      <c r="L74">
        <v>0.35532036423683167</v>
      </c>
      <c r="M74" s="10">
        <v>2.0469739254273089E-2</v>
      </c>
    </row>
    <row r="75" spans="9:13" x14ac:dyDescent="0.35">
      <c r="I75">
        <v>71</v>
      </c>
      <c r="J75" s="7">
        <v>6.7812725901603699E-2</v>
      </c>
      <c r="K75">
        <v>2.7289293706417084E-2</v>
      </c>
      <c r="L75">
        <v>0.35818195343017578</v>
      </c>
      <c r="M75" s="10">
        <v>2.8392729756890223E-2</v>
      </c>
    </row>
    <row r="76" spans="9:13" x14ac:dyDescent="0.35">
      <c r="I76">
        <v>72</v>
      </c>
      <c r="J76" s="7">
        <v>7.1267373859882355E-2</v>
      </c>
      <c r="K76">
        <v>2.7802919968962669E-2</v>
      </c>
      <c r="L76">
        <v>0.34802630543708801</v>
      </c>
      <c r="M76" s="10">
        <v>2.9686335650966234E-2</v>
      </c>
    </row>
    <row r="77" spans="9:13" x14ac:dyDescent="0.35">
      <c r="I77">
        <v>73</v>
      </c>
      <c r="J77" s="7">
        <v>6.5544523298740387E-2</v>
      </c>
      <c r="K77">
        <v>2.5841303169727325E-2</v>
      </c>
      <c r="L77">
        <v>0.34848529100418091</v>
      </c>
      <c r="M77" s="10">
        <v>2.7543392779155296E-2</v>
      </c>
    </row>
    <row r="78" spans="9:13" x14ac:dyDescent="0.35">
      <c r="I78">
        <v>74</v>
      </c>
      <c r="J78" s="7">
        <v>6.4303703606128693E-2</v>
      </c>
      <c r="K78">
        <v>2.6265569031238556E-2</v>
      </c>
      <c r="L78">
        <v>0.36180761456489563</v>
      </c>
      <c r="M78" s="10">
        <v>2.7078763188171484E-2</v>
      </c>
    </row>
    <row r="79" spans="9:13" x14ac:dyDescent="0.35">
      <c r="I79">
        <v>75</v>
      </c>
      <c r="J79" s="7">
        <v>6.3836261630058289E-2</v>
      </c>
      <c r="K79">
        <v>2.6069892570376396E-2</v>
      </c>
      <c r="L79">
        <v>0.36139166355133057</v>
      </c>
      <c r="M79" s="10">
        <v>2.6903727785813292E-2</v>
      </c>
    </row>
    <row r="80" spans="9:13" x14ac:dyDescent="0.35">
      <c r="I80">
        <v>76</v>
      </c>
      <c r="J80" s="7">
        <v>6.9201156497001648E-2</v>
      </c>
      <c r="K80">
        <v>2.7510760352015495E-2</v>
      </c>
      <c r="L80">
        <v>0.35419583320617676</v>
      </c>
      <c r="M80" s="10">
        <v>2.8912632804440452E-2</v>
      </c>
    </row>
    <row r="81" spans="9:13" x14ac:dyDescent="0.35">
      <c r="I81">
        <v>77</v>
      </c>
      <c r="J81" s="7">
        <v>6.2957495450973511E-2</v>
      </c>
      <c r="K81">
        <v>2.5587422773241997E-2</v>
      </c>
      <c r="L81">
        <v>0.35877257585525513</v>
      </c>
      <c r="M81" s="10">
        <v>2.6574670491840813E-2</v>
      </c>
    </row>
    <row r="82" spans="9:13" x14ac:dyDescent="0.35">
      <c r="I82">
        <v>78</v>
      </c>
      <c r="J82" s="7">
        <v>5.3525425493717194E-2</v>
      </c>
      <c r="K82">
        <v>2.2927911952137947E-2</v>
      </c>
      <c r="L82">
        <v>0.37230738997459412</v>
      </c>
      <c r="M82" s="10">
        <v>2.3042796495590379E-2</v>
      </c>
    </row>
    <row r="83" spans="9:13" x14ac:dyDescent="0.35">
      <c r="I83">
        <v>79</v>
      </c>
      <c r="J83" s="7">
        <v>6.7181095480918884E-2</v>
      </c>
      <c r="K83">
        <v>2.7299791574478149E-2</v>
      </c>
      <c r="L83">
        <v>0.36170580983161926</v>
      </c>
      <c r="M83" s="10">
        <v>2.8156213375208683E-2</v>
      </c>
    </row>
    <row r="84" spans="9:13" x14ac:dyDescent="0.35">
      <c r="I84">
        <v>80</v>
      </c>
      <c r="J84" s="7">
        <v>4.8710078001022339E-2</v>
      </c>
      <c r="K84">
        <v>1.8682936206459999E-2</v>
      </c>
      <c r="L84">
        <v>0.32196491956710815</v>
      </c>
      <c r="M84" s="10">
        <v>2.1239671553829886E-2</v>
      </c>
    </row>
    <row r="85" spans="9:13" x14ac:dyDescent="0.35">
      <c r="I85">
        <v>81</v>
      </c>
      <c r="J85" s="7">
        <v>4.8372495919466019E-2</v>
      </c>
      <c r="K85">
        <v>1.8921146169304848E-2</v>
      </c>
      <c r="L85">
        <v>0.32913634181022644</v>
      </c>
      <c r="M85" s="10">
        <v>2.1113262676366928E-2</v>
      </c>
    </row>
    <row r="86" spans="9:13" x14ac:dyDescent="0.35">
      <c r="I86">
        <v>82</v>
      </c>
      <c r="J86" s="7">
        <v>5.8560583740472794E-2</v>
      </c>
      <c r="K86">
        <v>2.3056585341691971E-2</v>
      </c>
      <c r="L86">
        <v>0.34249290823936462</v>
      </c>
      <c r="M86" s="10">
        <v>2.4928230399209883E-2</v>
      </c>
    </row>
    <row r="87" spans="9:13" x14ac:dyDescent="0.35">
      <c r="I87">
        <v>83</v>
      </c>
      <c r="J87" s="7">
        <v>5.0263594835996628E-2</v>
      </c>
      <c r="K87">
        <v>2.1236186847090721E-2</v>
      </c>
      <c r="L87">
        <v>0.36281102895736694</v>
      </c>
      <c r="M87" s="10">
        <v>2.1821391763396591E-2</v>
      </c>
    </row>
    <row r="88" spans="9:13" x14ac:dyDescent="0.35">
      <c r="I88">
        <v>84</v>
      </c>
      <c r="J88" s="7">
        <v>5.5930595844984055E-2</v>
      </c>
      <c r="K88">
        <v>2.3537561297416687E-2</v>
      </c>
      <c r="L88">
        <v>0.36719724535942078</v>
      </c>
      <c r="M88" s="10">
        <v>2.3943421560786882E-2</v>
      </c>
    </row>
    <row r="89" spans="9:13" x14ac:dyDescent="0.35">
      <c r="I89">
        <v>85</v>
      </c>
      <c r="J89" s="7">
        <v>6.702616810798645E-2</v>
      </c>
      <c r="K89">
        <v>2.579088881611824E-2</v>
      </c>
      <c r="L89">
        <v>0.34002971649169922</v>
      </c>
      <c r="M89" s="10">
        <v>2.8098200238935611E-2</v>
      </c>
    </row>
    <row r="90" spans="9:13" x14ac:dyDescent="0.35">
      <c r="I90">
        <v>86</v>
      </c>
      <c r="J90" s="7">
        <v>6.1590984463691711E-2</v>
      </c>
      <c r="K90">
        <v>2.4261880666017532E-2</v>
      </c>
      <c r="L90">
        <v>0.34521090984344482</v>
      </c>
      <c r="M90" s="10">
        <v>2.6062975323819071E-2</v>
      </c>
    </row>
    <row r="91" spans="9:13" x14ac:dyDescent="0.35">
      <c r="I91">
        <v>87</v>
      </c>
      <c r="J91" s="7">
        <v>6.1388835310935974E-2</v>
      </c>
      <c r="K91">
        <v>2.4922966957092285E-2</v>
      </c>
      <c r="L91">
        <v>0.35711652040481567</v>
      </c>
      <c r="M91" s="10">
        <v>2.5987279814856823E-2</v>
      </c>
    </row>
    <row r="92" spans="9:13" x14ac:dyDescent="0.35">
      <c r="I92">
        <v>88</v>
      </c>
      <c r="J92" s="7">
        <v>5.208885669708252E-2</v>
      </c>
      <c r="K92">
        <v>2.2382905706763268E-2</v>
      </c>
      <c r="L92">
        <v>0.37211233377456665</v>
      </c>
      <c r="M92" s="10">
        <v>2.2504867917913174E-2</v>
      </c>
    </row>
    <row r="93" spans="9:13" x14ac:dyDescent="0.35">
      <c r="I93">
        <v>89</v>
      </c>
      <c r="J93" s="7">
        <v>4.7004628926515579E-2</v>
      </c>
      <c r="K93">
        <v>1.9358713179826736E-2</v>
      </c>
      <c r="L93">
        <v>0.34802344441413879</v>
      </c>
      <c r="M93" s="10">
        <v>2.0601059746933159E-2</v>
      </c>
    </row>
    <row r="94" spans="9:13" x14ac:dyDescent="0.35">
      <c r="I94">
        <v>90</v>
      </c>
      <c r="J94" s="7">
        <v>5.9410065412521362E-2</v>
      </c>
      <c r="K94">
        <v>2.4728802964091301E-2</v>
      </c>
      <c r="L94">
        <v>0.36574277281761169</v>
      </c>
      <c r="M94" s="10">
        <v>2.5246321999611077E-2</v>
      </c>
    </row>
    <row r="95" spans="9:13" x14ac:dyDescent="0.35">
      <c r="I95">
        <v>91</v>
      </c>
      <c r="J95" s="7">
        <v>6.170942634344101E-2</v>
      </c>
      <c r="K95">
        <v>2.4276215583086014E-2</v>
      </c>
      <c r="L95">
        <v>0.34478065371513367</v>
      </c>
      <c r="M95" s="10">
        <v>2.6107326330231162E-2</v>
      </c>
    </row>
    <row r="96" spans="9:13" x14ac:dyDescent="0.35">
      <c r="I96">
        <v>92</v>
      </c>
      <c r="J96" s="7">
        <v>5.0543200224637985E-2</v>
      </c>
      <c r="K96">
        <v>2.1859321743249893E-2</v>
      </c>
      <c r="L96">
        <v>0.37313270568847656</v>
      </c>
      <c r="M96" s="10">
        <v>2.1926091050597507E-2</v>
      </c>
    </row>
    <row r="97" spans="9:13" x14ac:dyDescent="0.35">
      <c r="I97">
        <v>93</v>
      </c>
      <c r="J97" s="7">
        <v>6.0298088937997818E-2</v>
      </c>
      <c r="K97">
        <v>2.4200392886996269E-2</v>
      </c>
      <c r="L97">
        <v>0.35159310698509216</v>
      </c>
      <c r="M97" s="10">
        <v>2.5578845741684897E-2</v>
      </c>
    </row>
    <row r="98" spans="9:13" x14ac:dyDescent="0.35">
      <c r="I98">
        <v>94</v>
      </c>
      <c r="J98" s="7">
        <v>6.397603452205658E-2</v>
      </c>
      <c r="K98">
        <v>2.5271639227867126E-2</v>
      </c>
      <c r="L98">
        <v>0.34812471270561218</v>
      </c>
      <c r="M98" s="10">
        <v>2.6956066269822276E-2</v>
      </c>
    </row>
    <row r="99" spans="9:13" x14ac:dyDescent="0.35">
      <c r="I99">
        <v>95</v>
      </c>
      <c r="J99" s="7">
        <v>5.3664140403270721E-2</v>
      </c>
      <c r="K99">
        <v>2.2665360942482948E-2</v>
      </c>
      <c r="L99">
        <v>0.36645254492759705</v>
      </c>
      <c r="M99" s="10">
        <v>2.3094738814102067E-2</v>
      </c>
    </row>
    <row r="100" spans="9:13" x14ac:dyDescent="0.35">
      <c r="I100">
        <v>96</v>
      </c>
      <c r="J100" s="7">
        <v>6.2691777944564819E-2</v>
      </c>
      <c r="K100">
        <v>2.5800665840506554E-2</v>
      </c>
      <c r="L100">
        <v>0.36369466781616211</v>
      </c>
      <c r="M100" s="10">
        <v>2.6475171574266376E-2</v>
      </c>
    </row>
    <row r="101" spans="9:13" x14ac:dyDescent="0.35">
      <c r="I101">
        <v>97</v>
      </c>
      <c r="J101" s="7">
        <v>4.9123756587505341E-2</v>
      </c>
      <c r="K101">
        <v>2.1249923855066299E-2</v>
      </c>
      <c r="L101">
        <v>0.3715091347694397</v>
      </c>
      <c r="M101" s="10">
        <v>2.139457505317055E-2</v>
      </c>
    </row>
    <row r="102" spans="9:13" x14ac:dyDescent="0.35">
      <c r="I102">
        <v>98</v>
      </c>
      <c r="J102" s="7">
        <v>5.8164287358522415E-2</v>
      </c>
      <c r="K102">
        <v>2.3858334869146347E-2</v>
      </c>
      <c r="L102">
        <v>0.35861068964004517</v>
      </c>
      <c r="M102" s="10">
        <v>2.4779835731595923E-2</v>
      </c>
    </row>
    <row r="103" spans="9:13" x14ac:dyDescent="0.35">
      <c r="I103">
        <v>99</v>
      </c>
      <c r="J103" s="7">
        <v>5.5363383144140244E-2</v>
      </c>
      <c r="K103">
        <v>2.2472081705927849E-2</v>
      </c>
      <c r="L103">
        <v>0.35171407461166382</v>
      </c>
      <c r="M103" s="10">
        <v>2.3731026636074515E-2</v>
      </c>
    </row>
    <row r="104" spans="9:13" x14ac:dyDescent="0.35">
      <c r="I104">
        <v>100</v>
      </c>
      <c r="J104" s="7">
        <v>6.271979957818985E-2</v>
      </c>
      <c r="K104">
        <v>2.496720664203167E-2</v>
      </c>
      <c r="L104">
        <v>0.35024356842041016</v>
      </c>
      <c r="M104" s="10">
        <v>2.6485664380148988E-2</v>
      </c>
    </row>
    <row r="105" spans="9:13" x14ac:dyDescent="0.35">
      <c r="I105">
        <v>101</v>
      </c>
      <c r="J105" s="7">
        <v>4.6712886542081833E-2</v>
      </c>
      <c r="K105">
        <v>1.9287478178739548E-2</v>
      </c>
      <c r="L105">
        <v>0.34867206215858459</v>
      </c>
      <c r="M105" s="10">
        <v>2.0491815716104811E-2</v>
      </c>
    </row>
    <row r="106" spans="9:13" x14ac:dyDescent="0.35">
      <c r="I106">
        <v>102</v>
      </c>
      <c r="J106" s="7">
        <v>5.756436288356781E-2</v>
      </c>
      <c r="K106">
        <v>2.379891648888588E-2</v>
      </c>
      <c r="L106">
        <v>0.36131584644317627</v>
      </c>
      <c r="M106" s="10">
        <v>2.455519176029286E-2</v>
      </c>
    </row>
    <row r="107" spans="9:13" x14ac:dyDescent="0.35">
      <c r="I107">
        <v>103</v>
      </c>
      <c r="J107" s="7">
        <v>5.0221256911754608E-2</v>
      </c>
      <c r="K107">
        <v>2.15884018689394E-2</v>
      </c>
      <c r="L107">
        <v>0.37013015151023865</v>
      </c>
      <c r="M107" s="10">
        <v>2.1805538168760075E-2</v>
      </c>
    </row>
    <row r="108" spans="9:13" x14ac:dyDescent="0.35">
      <c r="I108">
        <v>104</v>
      </c>
      <c r="J108" s="7">
        <v>6.4221113920211792E-2</v>
      </c>
      <c r="K108">
        <v>2.5012169033288956E-2</v>
      </c>
      <c r="L108">
        <v>0.34275594353675842</v>
      </c>
      <c r="M108" s="10">
        <v>2.704783717030157E-2</v>
      </c>
    </row>
    <row r="109" spans="9:13" x14ac:dyDescent="0.35">
      <c r="I109">
        <v>105</v>
      </c>
      <c r="J109" s="7">
        <v>4.4831208884716034E-2</v>
      </c>
      <c r="K109">
        <v>1.9256671890616417E-2</v>
      </c>
      <c r="L109">
        <v>0.36261951923370361</v>
      </c>
      <c r="M109" s="10">
        <v>1.9787214454929591E-2</v>
      </c>
    </row>
    <row r="110" spans="9:13" x14ac:dyDescent="0.35">
      <c r="I110">
        <v>106</v>
      </c>
      <c r="J110" s="7">
        <v>5.8429934084415436E-2</v>
      </c>
      <c r="K110">
        <v>2.4017093703150749E-2</v>
      </c>
      <c r="L110">
        <v>0.3596973717212677</v>
      </c>
      <c r="M110" s="10">
        <v>2.4879308145140611E-2</v>
      </c>
    </row>
    <row r="111" spans="9:13" x14ac:dyDescent="0.35">
      <c r="I111">
        <v>107</v>
      </c>
      <c r="J111" s="7">
        <v>5.7474896311759949E-2</v>
      </c>
      <c r="K111">
        <v>2.3341981694102287E-2</v>
      </c>
      <c r="L111">
        <v>0.35392811894416809</v>
      </c>
      <c r="M111" s="10">
        <v>2.4521690666690521E-2</v>
      </c>
    </row>
    <row r="112" spans="9:13" x14ac:dyDescent="0.35">
      <c r="I112">
        <v>108</v>
      </c>
      <c r="J112" s="7">
        <v>5.5319428443908691E-2</v>
      </c>
      <c r="K112">
        <v>2.2686423733830452E-2</v>
      </c>
      <c r="L112">
        <v>0.35586816072463989</v>
      </c>
      <c r="M112" s="10">
        <v>2.3714567633600581E-2</v>
      </c>
    </row>
    <row r="113" spans="9:13" x14ac:dyDescent="0.35">
      <c r="I113">
        <v>109</v>
      </c>
      <c r="J113" s="7">
        <v>9.9766507744789124E-2</v>
      </c>
      <c r="K113">
        <v>3.2801810652017593E-2</v>
      </c>
      <c r="L113">
        <v>0.29871559143066406</v>
      </c>
      <c r="M113" s="10">
        <v>4.0357943298058085E-2</v>
      </c>
    </row>
    <row r="114" spans="9:13" x14ac:dyDescent="0.35">
      <c r="I114">
        <v>110</v>
      </c>
      <c r="J114" s="7">
        <v>4.6893581748008728E-2</v>
      </c>
      <c r="K114">
        <v>1.9847052171826363E-2</v>
      </c>
      <c r="L114">
        <v>0.35926136374473572</v>
      </c>
      <c r="M114" s="10">
        <v>2.0559477714155339E-2</v>
      </c>
    </row>
    <row r="115" spans="9:13" x14ac:dyDescent="0.35">
      <c r="I115">
        <v>111</v>
      </c>
      <c r="J115" s="7">
        <v>6.0557842254638672E-2</v>
      </c>
      <c r="K115">
        <v>2.4977145716547966E-2</v>
      </c>
      <c r="L115">
        <v>0.3629116415977478</v>
      </c>
      <c r="M115" s="10">
        <v>2.5676111346015773E-2</v>
      </c>
    </row>
    <row r="116" spans="9:13" x14ac:dyDescent="0.35">
      <c r="I116">
        <v>112</v>
      </c>
      <c r="J116" s="7">
        <v>4.8729397356510162E-2</v>
      </c>
      <c r="K116">
        <v>1.994861476123333E-2</v>
      </c>
      <c r="L116">
        <v>0.34781089425086975</v>
      </c>
      <c r="M116" s="10">
        <v>2.1246905759002344E-2</v>
      </c>
    </row>
    <row r="117" spans="9:13" x14ac:dyDescent="0.35">
      <c r="I117">
        <v>113</v>
      </c>
      <c r="J117" s="7">
        <v>7.3888465762138367E-2</v>
      </c>
      <c r="K117">
        <v>2.9387582093477249E-2</v>
      </c>
      <c r="L117">
        <v>0.35712721943855286</v>
      </c>
      <c r="M117" s="10">
        <v>3.0667813351334505E-2</v>
      </c>
    </row>
    <row r="118" spans="9:13" x14ac:dyDescent="0.35">
      <c r="I118">
        <v>114</v>
      </c>
      <c r="J118" s="7">
        <v>6.9955587387084961E-2</v>
      </c>
      <c r="K118">
        <v>2.6840982958674431E-2</v>
      </c>
      <c r="L118">
        <v>0.34080168604850769</v>
      </c>
      <c r="M118" s="10">
        <v>2.9195132282787029E-2</v>
      </c>
    </row>
    <row r="119" spans="9:13" x14ac:dyDescent="0.35">
      <c r="I119">
        <v>115</v>
      </c>
      <c r="J119" s="7">
        <v>5.6308384984731674E-2</v>
      </c>
      <c r="K119">
        <v>2.3816794157028198E-2</v>
      </c>
      <c r="L119">
        <v>0.36969262361526489</v>
      </c>
      <c r="M119" s="10">
        <v>2.4084886122096028E-2</v>
      </c>
    </row>
    <row r="120" spans="9:13" x14ac:dyDescent="0.35">
      <c r="I120">
        <v>116</v>
      </c>
      <c r="J120" s="7">
        <v>5.7480070739984512E-2</v>
      </c>
      <c r="K120">
        <v>2.3927703499794006E-2</v>
      </c>
      <c r="L120">
        <v>0.36408624053001404</v>
      </c>
      <c r="M120" s="10">
        <v>2.4523628250760043E-2</v>
      </c>
    </row>
    <row r="121" spans="9:13" x14ac:dyDescent="0.35">
      <c r="I121">
        <v>117</v>
      </c>
      <c r="J121" s="7">
        <v>6.5024293959140778E-2</v>
      </c>
      <c r="K121">
        <v>2.5033643469214439E-2</v>
      </c>
      <c r="L121">
        <v>0.33885249495506287</v>
      </c>
      <c r="M121" s="10">
        <v>2.734859095040032E-2</v>
      </c>
    </row>
    <row r="122" spans="9:13" x14ac:dyDescent="0.35">
      <c r="I122">
        <v>118</v>
      </c>
      <c r="J122" s="7">
        <v>5.6272130459547043E-2</v>
      </c>
      <c r="K122">
        <v>2.350977249443531E-2</v>
      </c>
      <c r="L122">
        <v>0.36447477340698242</v>
      </c>
      <c r="M122" s="10">
        <v>2.4071310479068964E-2</v>
      </c>
    </row>
    <row r="123" spans="9:13" x14ac:dyDescent="0.35">
      <c r="I123">
        <v>119</v>
      </c>
      <c r="J123" s="7">
        <v>6.6747352480888367E-2</v>
      </c>
      <c r="K123">
        <v>2.6614410802721977E-2</v>
      </c>
      <c r="L123">
        <v>0.35378798842430115</v>
      </c>
      <c r="M123" s="10">
        <v>2.7993796680908734E-2</v>
      </c>
    </row>
    <row r="124" spans="9:13" x14ac:dyDescent="0.35">
      <c r="I124">
        <v>120</v>
      </c>
      <c r="J124" s="7">
        <v>6.6264152526855469E-2</v>
      </c>
      <c r="K124">
        <v>2.7194390073418617E-2</v>
      </c>
      <c r="L124">
        <v>0.36512035131454468</v>
      </c>
      <c r="M124" s="10">
        <v>2.7812860644559123E-2</v>
      </c>
    </row>
    <row r="125" spans="9:13" x14ac:dyDescent="0.35">
      <c r="I125">
        <v>121</v>
      </c>
      <c r="J125" s="7">
        <v>5.0697207450866699E-2</v>
      </c>
      <c r="K125">
        <v>2.0832043141126633E-2</v>
      </c>
      <c r="L125">
        <v>0.35173618793487549</v>
      </c>
      <c r="M125" s="10">
        <v>2.1983759634483846E-2</v>
      </c>
    </row>
    <row r="126" spans="9:13" x14ac:dyDescent="0.35">
      <c r="I126">
        <v>122</v>
      </c>
      <c r="J126" s="7">
        <v>8.2227051258087158E-2</v>
      </c>
      <c r="K126">
        <v>2.8458558022975922E-2</v>
      </c>
      <c r="L126">
        <v>0.3096129298210144</v>
      </c>
      <c r="M126" s="10">
        <v>3.3790227986946419E-2</v>
      </c>
    </row>
    <row r="127" spans="9:13" x14ac:dyDescent="0.35">
      <c r="I127">
        <v>123</v>
      </c>
      <c r="J127" s="7">
        <v>5.8859724551439285E-2</v>
      </c>
      <c r="K127">
        <v>2.3562755435705185E-2</v>
      </c>
      <c r="L127">
        <v>0.34935188293457031</v>
      </c>
      <c r="M127" s="10">
        <v>2.5040244798621436E-2</v>
      </c>
    </row>
    <row r="128" spans="9:13" x14ac:dyDescent="0.35">
      <c r="I128">
        <v>124</v>
      </c>
      <c r="J128" s="7">
        <v>5.7660236954689026E-2</v>
      </c>
      <c r="K128">
        <v>2.4292083457112312E-2</v>
      </c>
      <c r="L128">
        <v>0.36926805973052979</v>
      </c>
      <c r="M128" s="10">
        <v>2.4591092166061923E-2</v>
      </c>
    </row>
    <row r="129" spans="9:13" x14ac:dyDescent="0.35">
      <c r="I129">
        <v>125</v>
      </c>
      <c r="J129" s="7">
        <v>5.4899647831916809E-2</v>
      </c>
      <c r="K129">
        <v>2.1831519901752472E-2</v>
      </c>
      <c r="L129">
        <v>0.34301713109016418</v>
      </c>
      <c r="M129" s="10">
        <v>2.3557379207905793E-2</v>
      </c>
    </row>
    <row r="130" spans="9:13" x14ac:dyDescent="0.35">
      <c r="I130">
        <v>126</v>
      </c>
      <c r="J130" s="7">
        <v>5.4154630750417709E-2</v>
      </c>
      <c r="K130">
        <v>2.3044237866997719E-2</v>
      </c>
      <c r="L130">
        <v>0.37012970447540283</v>
      </c>
      <c r="M130" s="10">
        <v>2.3278404765515792E-2</v>
      </c>
    </row>
    <row r="131" spans="9:13" x14ac:dyDescent="0.35">
      <c r="I131">
        <v>127</v>
      </c>
      <c r="J131" s="7">
        <v>5.2716922014951706E-2</v>
      </c>
      <c r="K131">
        <v>2.1859226748347282E-2</v>
      </c>
      <c r="L131">
        <v>0.35774523019790649</v>
      </c>
      <c r="M131" s="10">
        <v>2.274004933346474E-2</v>
      </c>
    </row>
    <row r="132" spans="9:13" x14ac:dyDescent="0.35">
      <c r="I132">
        <v>128</v>
      </c>
      <c r="J132" s="7">
        <v>6.2383558601140976E-2</v>
      </c>
      <c r="K132">
        <v>2.5487776845693588E-2</v>
      </c>
      <c r="L132">
        <v>0.36047601699829102</v>
      </c>
      <c r="M132" s="10">
        <v>2.6359757684302321E-2</v>
      </c>
    </row>
    <row r="133" spans="9:13" x14ac:dyDescent="0.35">
      <c r="I133">
        <v>129</v>
      </c>
      <c r="J133" s="7">
        <v>5.9811249375343323E-2</v>
      </c>
      <c r="K133">
        <v>2.4445317685604095E-2</v>
      </c>
      <c r="L133">
        <v>0.35854989290237427</v>
      </c>
      <c r="M133" s="10">
        <v>2.539654684022663E-2</v>
      </c>
    </row>
    <row r="134" spans="9:13" x14ac:dyDescent="0.35">
      <c r="I134">
        <v>130</v>
      </c>
      <c r="J134" s="7">
        <v>5.6060586124658585E-2</v>
      </c>
      <c r="K134">
        <v>2.3613754659891129E-2</v>
      </c>
      <c r="L134">
        <v>0.36770495772361755</v>
      </c>
      <c r="M134" s="10">
        <v>2.3992096908894811E-2</v>
      </c>
    </row>
    <row r="135" spans="9:13" x14ac:dyDescent="0.35">
      <c r="I135">
        <v>131</v>
      </c>
      <c r="J135" s="7">
        <v>5.9800770133733749E-2</v>
      </c>
      <c r="K135">
        <v>2.5132520124316216E-2</v>
      </c>
      <c r="L135">
        <v>0.37010425329208374</v>
      </c>
      <c r="M135" s="10">
        <v>2.5392622848874891E-2</v>
      </c>
    </row>
    <row r="136" spans="9:13" x14ac:dyDescent="0.35">
      <c r="I136">
        <v>132</v>
      </c>
      <c r="J136" s="7">
        <v>7.3310106992721558E-2</v>
      </c>
      <c r="K136">
        <v>2.8821650892496109E-2</v>
      </c>
      <c r="L136">
        <v>0.35222497582435608</v>
      </c>
      <c r="M136" s="10">
        <v>3.0451244739411187E-2</v>
      </c>
    </row>
    <row r="137" spans="9:13" x14ac:dyDescent="0.35">
      <c r="I137">
        <v>133</v>
      </c>
      <c r="J137" s="7">
        <v>4.9465958029031754E-2</v>
      </c>
      <c r="K137">
        <v>2.1289370954036713E-2</v>
      </c>
      <c r="L137">
        <v>0.36973652243614197</v>
      </c>
      <c r="M137" s="10">
        <v>2.1522713667311844E-2</v>
      </c>
    </row>
    <row r="138" spans="9:13" x14ac:dyDescent="0.35">
      <c r="I138">
        <v>134</v>
      </c>
      <c r="J138" s="7">
        <v>5.2964426577091217E-2</v>
      </c>
      <c r="K138">
        <v>2.1207408979535103E-2</v>
      </c>
      <c r="L138">
        <v>0.34376674890518188</v>
      </c>
      <c r="M138" s="10">
        <v>2.283272834570016E-2</v>
      </c>
    </row>
    <row r="139" spans="9:13" x14ac:dyDescent="0.35">
      <c r="I139">
        <v>135</v>
      </c>
      <c r="J139" s="7">
        <v>6.4269423484802246E-2</v>
      </c>
      <c r="K139">
        <v>2.6212666183710098E-2</v>
      </c>
      <c r="L139">
        <v>0.36117744445800781</v>
      </c>
      <c r="M139" s="10">
        <v>2.7065926868079515E-2</v>
      </c>
    </row>
    <row r="140" spans="9:13" x14ac:dyDescent="0.35">
      <c r="I140">
        <v>136</v>
      </c>
      <c r="J140" s="7">
        <v>5.0808779895305634E-2</v>
      </c>
      <c r="K140">
        <v>2.1239573135972023E-2</v>
      </c>
      <c r="L140">
        <v>0.35898467898368835</v>
      </c>
      <c r="M140" s="10">
        <v>2.202553835506138E-2</v>
      </c>
    </row>
    <row r="141" spans="9:13" x14ac:dyDescent="0.35">
      <c r="I141">
        <v>137</v>
      </c>
      <c r="J141" s="7">
        <v>5.1319971680641174E-2</v>
      </c>
      <c r="K141">
        <v>2.1814951673150063E-2</v>
      </c>
      <c r="L141">
        <v>0.36662045121192932</v>
      </c>
      <c r="M141" s="10">
        <v>2.2216956037702129E-2</v>
      </c>
    </row>
    <row r="142" spans="9:13" x14ac:dyDescent="0.35">
      <c r="I142">
        <v>138</v>
      </c>
      <c r="J142" s="7">
        <v>5.6214507669210434E-2</v>
      </c>
      <c r="K142">
        <v>2.3688578978180885E-2</v>
      </c>
      <c r="L142">
        <v>0.36802917718887329</v>
      </c>
      <c r="M142" s="10">
        <v>2.4049733408955665E-2</v>
      </c>
    </row>
    <row r="143" spans="9:13" x14ac:dyDescent="0.35">
      <c r="I143">
        <v>139</v>
      </c>
      <c r="J143" s="7">
        <v>5.4784607142210007E-2</v>
      </c>
      <c r="K143">
        <v>2.2631298750638962E-2</v>
      </c>
      <c r="L143">
        <v>0.35833603143692017</v>
      </c>
      <c r="M143" s="10">
        <v>2.3514301789870573E-2</v>
      </c>
    </row>
    <row r="144" spans="9:13" x14ac:dyDescent="0.35">
      <c r="I144">
        <v>140</v>
      </c>
      <c r="J144" s="7">
        <v>6.3266187906265259E-2</v>
      </c>
      <c r="K144">
        <v>2.4380570277571678E-2</v>
      </c>
      <c r="L144">
        <v>0.33794623613357544</v>
      </c>
      <c r="M144" s="10">
        <v>2.6690261540319504E-2</v>
      </c>
    </row>
    <row r="145" spans="9:13" x14ac:dyDescent="0.35">
      <c r="I145">
        <v>141</v>
      </c>
      <c r="J145" s="7">
        <v>5.9931959956884384E-2</v>
      </c>
      <c r="K145">
        <v>2.4085324257612228E-2</v>
      </c>
      <c r="L145">
        <v>0.35182103514671326</v>
      </c>
      <c r="M145" s="10">
        <v>2.5441747370539614E-2</v>
      </c>
    </row>
    <row r="146" spans="9:13" x14ac:dyDescent="0.35">
      <c r="I146">
        <v>142</v>
      </c>
      <c r="J146" s="7">
        <v>5.6299511343240738E-2</v>
      </c>
      <c r="K146">
        <v>2.2958347573876381E-2</v>
      </c>
      <c r="L146">
        <v>0.35450303554534912</v>
      </c>
      <c r="M146" s="10">
        <v>2.4081563353734903E-2</v>
      </c>
    </row>
    <row r="147" spans="9:13" x14ac:dyDescent="0.35">
      <c r="I147">
        <v>143</v>
      </c>
      <c r="J147" s="7">
        <v>5.5209334939718246E-2</v>
      </c>
      <c r="K147">
        <v>2.2965991869568825E-2</v>
      </c>
      <c r="L147">
        <v>0.36164158582687378</v>
      </c>
      <c r="M147" s="10">
        <v>2.36733427077499E-2</v>
      </c>
    </row>
    <row r="148" spans="9:13" x14ac:dyDescent="0.35">
      <c r="I148">
        <v>144</v>
      </c>
      <c r="J148" s="7">
        <v>6.9345720112323761E-2</v>
      </c>
      <c r="K148">
        <v>2.7576582506299019E-2</v>
      </c>
      <c r="L148">
        <v>0.35440662503242493</v>
      </c>
      <c r="M148" s="10">
        <v>2.8966765192778743E-2</v>
      </c>
    </row>
    <row r="149" spans="9:13" x14ac:dyDescent="0.35">
      <c r="I149">
        <v>145</v>
      </c>
      <c r="J149" s="7">
        <v>6.7902065813541412E-2</v>
      </c>
      <c r="K149">
        <v>2.754918672144413E-2</v>
      </c>
      <c r="L149">
        <v>0.36153814196586609</v>
      </c>
      <c r="M149" s="10">
        <v>2.8426183422228801E-2</v>
      </c>
    </row>
    <row r="150" spans="9:13" x14ac:dyDescent="0.35">
      <c r="I150">
        <v>146</v>
      </c>
      <c r="J150" s="7">
        <v>5.358833447098732E-2</v>
      </c>
      <c r="K150">
        <v>2.2386046126484871E-2</v>
      </c>
      <c r="L150">
        <v>0.36175870895385742</v>
      </c>
      <c r="M150" s="10">
        <v>2.3066352998241224E-2</v>
      </c>
    </row>
    <row r="151" spans="9:13" x14ac:dyDescent="0.35">
      <c r="I151">
        <v>147</v>
      </c>
      <c r="J151" s="7">
        <v>6.3220895826816559E-2</v>
      </c>
      <c r="K151">
        <v>2.5888396427035332E-2</v>
      </c>
      <c r="L151">
        <v>0.36203846335411072</v>
      </c>
      <c r="M151" s="10">
        <v>2.6673301751178213E-2</v>
      </c>
    </row>
    <row r="152" spans="9:13" x14ac:dyDescent="0.35">
      <c r="I152">
        <v>148</v>
      </c>
      <c r="J152" s="7">
        <v>4.8842411488294601E-2</v>
      </c>
      <c r="K152">
        <v>2.0216051489114761E-2</v>
      </c>
      <c r="L152">
        <v>0.35248160362243652</v>
      </c>
      <c r="M152" s="10">
        <v>2.1289224324817391E-2</v>
      </c>
    </row>
    <row r="153" spans="9:13" x14ac:dyDescent="0.35">
      <c r="I153">
        <v>149</v>
      </c>
      <c r="J153" s="7">
        <v>6.3112914562225342E-2</v>
      </c>
      <c r="K153">
        <v>2.5754699483513832E-2</v>
      </c>
      <c r="L153">
        <v>0.36053952574729919</v>
      </c>
      <c r="M153" s="10">
        <v>2.6632867761373191E-2</v>
      </c>
    </row>
    <row r="154" spans="9:13" x14ac:dyDescent="0.35">
      <c r="I154">
        <v>150</v>
      </c>
      <c r="J154" s="7">
        <v>5.3077727556228638E-2</v>
      </c>
      <c r="K154">
        <v>2.255576103925705E-2</v>
      </c>
      <c r="L154">
        <v>0.36843627691268921</v>
      </c>
      <c r="M154" s="10">
        <v>2.2875154322583136E-2</v>
      </c>
    </row>
    <row r="155" spans="9:13" x14ac:dyDescent="0.35">
      <c r="I155">
        <v>151</v>
      </c>
      <c r="J155" s="7">
        <v>5.9868928045034409E-2</v>
      </c>
      <c r="K155">
        <v>2.5086663663387299E-2</v>
      </c>
      <c r="L155">
        <v>0.36891695857048035</v>
      </c>
      <c r="M155" s="10">
        <v>2.5418144834573941E-2</v>
      </c>
    </row>
    <row r="156" spans="9:13" x14ac:dyDescent="0.35">
      <c r="I156">
        <v>152</v>
      </c>
      <c r="J156" s="7">
        <v>6.7110054194927216E-2</v>
      </c>
      <c r="K156">
        <v>2.4954656139016151E-2</v>
      </c>
      <c r="L156">
        <v>0.32714405655860901</v>
      </c>
      <c r="M156" s="10">
        <v>2.8129611699034607E-2</v>
      </c>
    </row>
    <row r="157" spans="9:13" x14ac:dyDescent="0.35">
      <c r="I157">
        <v>153</v>
      </c>
      <c r="J157" s="7">
        <v>5.2474841475486755E-2</v>
      </c>
      <c r="K157">
        <v>2.2264910861849785E-2</v>
      </c>
      <c r="L157">
        <v>0.36712661385536194</v>
      </c>
      <c r="M157" s="10">
        <v>2.2649401366877431E-2</v>
      </c>
    </row>
    <row r="158" spans="9:13" x14ac:dyDescent="0.35">
      <c r="I158">
        <v>154</v>
      </c>
      <c r="J158" s="7">
        <v>6.015627458691597E-2</v>
      </c>
      <c r="K158">
        <v>2.4765944108366966E-2</v>
      </c>
      <c r="L158">
        <v>0.36182335019111633</v>
      </c>
      <c r="M158" s="10">
        <v>2.5525742825660003E-2</v>
      </c>
    </row>
    <row r="159" spans="9:13" x14ac:dyDescent="0.35">
      <c r="I159">
        <v>155</v>
      </c>
      <c r="J159" s="7">
        <v>5.5868368595838547E-2</v>
      </c>
      <c r="K159">
        <v>2.3792441934347153E-2</v>
      </c>
      <c r="L159">
        <v>0.37216842174530029</v>
      </c>
      <c r="M159" s="10">
        <v>2.3920120333790984E-2</v>
      </c>
    </row>
    <row r="160" spans="9:13" x14ac:dyDescent="0.35">
      <c r="I160">
        <v>156</v>
      </c>
      <c r="J160" s="7">
        <v>5.4523136466741562E-2</v>
      </c>
      <c r="K160">
        <v>2.336832694709301E-2</v>
      </c>
      <c r="L160">
        <v>0.37357217073440552</v>
      </c>
      <c r="M160" s="10">
        <v>2.3416393114081058E-2</v>
      </c>
    </row>
    <row r="161" spans="9:13" x14ac:dyDescent="0.35">
      <c r="I161">
        <v>157</v>
      </c>
      <c r="J161" s="7">
        <v>5.1971152424812317E-2</v>
      </c>
      <c r="K161">
        <v>2.2329669445753098E-2</v>
      </c>
      <c r="L161">
        <v>0.37193074822425842</v>
      </c>
      <c r="M161" s="10">
        <v>2.2460793111390043E-2</v>
      </c>
    </row>
    <row r="162" spans="9:13" x14ac:dyDescent="0.35">
      <c r="I162">
        <v>158</v>
      </c>
      <c r="J162" s="7">
        <v>4.7470167279243469E-2</v>
      </c>
      <c r="K162">
        <v>2.0293217152357101E-2</v>
      </c>
      <c r="L162">
        <v>0.36429652571678162</v>
      </c>
      <c r="M162" s="10">
        <v>2.0775382330386005E-2</v>
      </c>
    </row>
    <row r="163" spans="9:13" x14ac:dyDescent="0.35">
      <c r="I163">
        <v>159</v>
      </c>
      <c r="J163" s="7">
        <v>5.4624583572149277E-2</v>
      </c>
      <c r="K163">
        <v>2.302907221019268E-2</v>
      </c>
      <c r="L163">
        <v>0.36666771769523621</v>
      </c>
      <c r="M163" s="10">
        <v>2.3454380363455596E-2</v>
      </c>
    </row>
    <row r="164" spans="9:13" x14ac:dyDescent="0.35">
      <c r="I164">
        <v>160</v>
      </c>
      <c r="J164" s="7">
        <v>5.7354111224412918E-2</v>
      </c>
      <c r="K164">
        <v>2.4308476597070694E-2</v>
      </c>
      <c r="L164">
        <v>0.37152484059333801</v>
      </c>
      <c r="M164" s="10">
        <v>2.4476462237398855E-2</v>
      </c>
    </row>
    <row r="165" spans="9:13" x14ac:dyDescent="0.35">
      <c r="I165">
        <v>161</v>
      </c>
      <c r="J165" s="7">
        <v>4.8071503639221191E-2</v>
      </c>
      <c r="K165">
        <v>1.9295293837785721E-2</v>
      </c>
      <c r="L165">
        <v>0.33898031711578369</v>
      </c>
      <c r="M165" s="10">
        <v>2.1000554987335107E-2</v>
      </c>
    </row>
    <row r="166" spans="9:13" x14ac:dyDescent="0.35">
      <c r="I166">
        <v>162</v>
      </c>
      <c r="J166" s="7">
        <v>5.4169915616512299E-2</v>
      </c>
      <c r="K166">
        <v>2.3098954930901527E-2</v>
      </c>
      <c r="L166">
        <v>0.3710353672504425</v>
      </c>
      <c r="M166" s="10">
        <v>2.3284128240992574E-2</v>
      </c>
    </row>
    <row r="167" spans="9:13" x14ac:dyDescent="0.35">
      <c r="I167">
        <v>163</v>
      </c>
      <c r="J167" s="7">
        <v>6.4174018800258636E-2</v>
      </c>
      <c r="K167">
        <v>2.663789875805378E-2</v>
      </c>
      <c r="L167">
        <v>0.36834064126014709</v>
      </c>
      <c r="M167" s="10">
        <v>2.7030202225876154E-2</v>
      </c>
    </row>
    <row r="168" spans="9:13" x14ac:dyDescent="0.35">
      <c r="I168">
        <v>164</v>
      </c>
      <c r="J168" s="7">
        <v>4.432683065533638E-2</v>
      </c>
      <c r="K168">
        <v>1.8927369266748428E-2</v>
      </c>
      <c r="L168">
        <v>0.35931667685508728</v>
      </c>
      <c r="M168" s="10">
        <v>1.9598348133889387E-2</v>
      </c>
    </row>
    <row r="169" spans="9:13" x14ac:dyDescent="0.35">
      <c r="I169">
        <v>165</v>
      </c>
      <c r="J169" s="7">
        <v>6.0762222856283188E-2</v>
      </c>
      <c r="K169">
        <v>2.5474727153778076E-2</v>
      </c>
      <c r="L169">
        <v>0.36987993121147156</v>
      </c>
      <c r="M169" s="10">
        <v>2.5752642429389572E-2</v>
      </c>
    </row>
    <row r="170" spans="9:13" x14ac:dyDescent="0.35">
      <c r="I170">
        <v>166</v>
      </c>
      <c r="J170" s="7">
        <v>6.7870624363422394E-2</v>
      </c>
      <c r="K170">
        <v>2.714131586253643E-2</v>
      </c>
      <c r="L170">
        <v>0.35569608211517334</v>
      </c>
      <c r="M170" s="10">
        <v>2.8414410053224648E-2</v>
      </c>
    </row>
    <row r="171" spans="9:13" x14ac:dyDescent="0.35">
      <c r="I171">
        <v>167</v>
      </c>
      <c r="J171" s="7">
        <v>6.7890986800193787E-2</v>
      </c>
      <c r="K171">
        <v>2.6584217324852943E-2</v>
      </c>
      <c r="L171">
        <v>0.34738361835479736</v>
      </c>
      <c r="M171" s="10">
        <v>2.8422034844098665E-2</v>
      </c>
    </row>
    <row r="172" spans="9:13" x14ac:dyDescent="0.35">
      <c r="I172">
        <v>168</v>
      </c>
      <c r="J172" s="7">
        <v>4.4306207448244095E-2</v>
      </c>
      <c r="K172">
        <v>1.8679177388548851E-2</v>
      </c>
      <c r="L172">
        <v>0.35388219356536865</v>
      </c>
      <c r="M172" s="10">
        <v>1.9590625696589981E-2</v>
      </c>
    </row>
    <row r="173" spans="9:13" x14ac:dyDescent="0.35">
      <c r="I173">
        <v>169</v>
      </c>
      <c r="J173" s="7">
        <v>7.3608338832855225E-2</v>
      </c>
      <c r="K173">
        <v>2.8446108102798462E-2</v>
      </c>
      <c r="L173">
        <v>0.34569600224494934</v>
      </c>
      <c r="M173" s="10">
        <v>3.056291877128281E-2</v>
      </c>
    </row>
    <row r="174" spans="9:13" x14ac:dyDescent="0.35">
      <c r="I174">
        <v>170</v>
      </c>
      <c r="J174" s="7">
        <v>5.3735539317131042E-2</v>
      </c>
      <c r="K174">
        <v>2.2971628233790398E-2</v>
      </c>
      <c r="L174">
        <v>0.37166517972946167</v>
      </c>
      <c r="M174" s="10">
        <v>2.3121474405373821E-2</v>
      </c>
    </row>
    <row r="175" spans="9:13" x14ac:dyDescent="0.35">
      <c r="I175">
        <v>171</v>
      </c>
      <c r="J175" s="7">
        <v>5.413549393415451E-2</v>
      </c>
      <c r="K175">
        <v>2.2709619253873825E-2</v>
      </c>
      <c r="L175">
        <v>0.36407941579818726</v>
      </c>
      <c r="M175" s="10">
        <v>2.3271238912841108E-2</v>
      </c>
    </row>
    <row r="176" spans="9:13" x14ac:dyDescent="0.35">
      <c r="I176">
        <v>172</v>
      </c>
      <c r="J176" s="7">
        <v>6.6592305898666382E-2</v>
      </c>
      <c r="K176">
        <v>2.6329139247536659E-2</v>
      </c>
      <c r="L176">
        <v>0.35032784938812256</v>
      </c>
      <c r="M176" s="10">
        <v>2.7935738906269769E-2</v>
      </c>
    </row>
    <row r="177" spans="9:13" x14ac:dyDescent="0.35">
      <c r="I177">
        <v>173</v>
      </c>
      <c r="J177" s="7">
        <v>8.6211018264293671E-2</v>
      </c>
      <c r="K177">
        <v>2.9615869745612144E-2</v>
      </c>
      <c r="L177">
        <v>0.30872932076454163</v>
      </c>
      <c r="M177" s="10">
        <v>3.5282039385176711E-2</v>
      </c>
    </row>
    <row r="178" spans="9:13" x14ac:dyDescent="0.35">
      <c r="I178">
        <v>174</v>
      </c>
      <c r="J178" s="7">
        <v>6.0093149542808533E-2</v>
      </c>
      <c r="K178">
        <v>2.531147375702858E-2</v>
      </c>
      <c r="L178">
        <v>0.37128147482872009</v>
      </c>
      <c r="M178" s="10">
        <v>2.5502105415970977E-2</v>
      </c>
    </row>
    <row r="179" spans="9:13" x14ac:dyDescent="0.35">
      <c r="I179">
        <v>175</v>
      </c>
      <c r="J179" s="7">
        <v>5.9864796698093414E-2</v>
      </c>
      <c r="K179">
        <v>2.3728804662823677E-2</v>
      </c>
      <c r="L179">
        <v>0.34626033902168274</v>
      </c>
      <c r="M179" s="10">
        <v>2.5416597836205979E-2</v>
      </c>
    </row>
    <row r="180" spans="9:13" x14ac:dyDescent="0.35">
      <c r="I180">
        <v>176</v>
      </c>
      <c r="J180" s="7">
        <v>5.4034929722547531E-2</v>
      </c>
      <c r="K180">
        <v>2.1400492638349533E-2</v>
      </c>
      <c r="L180">
        <v>0.34052959084510803</v>
      </c>
      <c r="M180" s="10">
        <v>2.3233582266363961E-2</v>
      </c>
    </row>
    <row r="181" spans="9:13" x14ac:dyDescent="0.35">
      <c r="I181">
        <v>177</v>
      </c>
      <c r="J181" s="7">
        <v>5.5075198411941528E-2</v>
      </c>
      <c r="K181">
        <v>2.3462910205125809E-2</v>
      </c>
      <c r="L181">
        <v>0.37154492735862732</v>
      </c>
      <c r="M181" s="10">
        <v>2.3623114781478272E-2</v>
      </c>
    </row>
    <row r="182" spans="9:13" x14ac:dyDescent="0.35">
      <c r="I182">
        <v>178</v>
      </c>
      <c r="J182" s="7">
        <v>4.7971144318580627E-2</v>
      </c>
      <c r="K182">
        <v>2.028120681643486E-2</v>
      </c>
      <c r="L182">
        <v>0.36024171113967896</v>
      </c>
      <c r="M182" s="10">
        <v>2.0962975063049338E-2</v>
      </c>
    </row>
    <row r="183" spans="9:13" x14ac:dyDescent="0.35">
      <c r="I183">
        <v>179</v>
      </c>
      <c r="J183" s="7">
        <v>6.0206525027751923E-2</v>
      </c>
      <c r="K183">
        <v>2.5195958092808723E-2</v>
      </c>
      <c r="L183">
        <v>0.36866366863250732</v>
      </c>
      <c r="M183" s="10">
        <v>2.5544559291832636E-2</v>
      </c>
    </row>
    <row r="184" spans="9:13" x14ac:dyDescent="0.35">
      <c r="I184">
        <v>180</v>
      </c>
      <c r="J184" s="7">
        <v>4.92277592420578E-2</v>
      </c>
      <c r="K184">
        <v>2.1214218810200691E-2</v>
      </c>
      <c r="L184">
        <v>0.36999893188476563</v>
      </c>
      <c r="M184" s="10">
        <v>2.1433519237513909E-2</v>
      </c>
    </row>
    <row r="185" spans="9:13" x14ac:dyDescent="0.35">
      <c r="I185">
        <v>181</v>
      </c>
      <c r="J185" s="7">
        <v>4.8288952559232712E-2</v>
      </c>
      <c r="K185">
        <v>2.0357750356197357E-2</v>
      </c>
      <c r="L185">
        <v>0.35945594310760498</v>
      </c>
      <c r="M185" s="10">
        <v>2.1081979551569874E-2</v>
      </c>
    </row>
    <row r="186" spans="9:13" x14ac:dyDescent="0.35">
      <c r="I186">
        <v>182</v>
      </c>
      <c r="J186" s="7">
        <v>8.1291720271110535E-2</v>
      </c>
      <c r="K186">
        <v>2.9970718547701836E-2</v>
      </c>
      <c r="L186">
        <v>0.3317769467830658</v>
      </c>
      <c r="M186" s="10">
        <v>3.3439989788357938E-2</v>
      </c>
    </row>
    <row r="187" spans="9:13" x14ac:dyDescent="0.35">
      <c r="I187">
        <v>183</v>
      </c>
      <c r="J187" s="7">
        <v>6.0590784996747971E-2</v>
      </c>
      <c r="K187">
        <v>2.424122579395771E-2</v>
      </c>
      <c r="L187">
        <v>0.35056859254837036</v>
      </c>
      <c r="M187" s="10">
        <v>2.5688446879440385E-2</v>
      </c>
    </row>
    <row r="188" spans="9:13" x14ac:dyDescent="0.35">
      <c r="I188">
        <v>184</v>
      </c>
      <c r="J188" s="7">
        <v>5.2308142185211182E-2</v>
      </c>
      <c r="K188">
        <v>2.2030597552657127E-2</v>
      </c>
      <c r="L188">
        <v>0.36381712555885315</v>
      </c>
      <c r="M188" s="10">
        <v>2.2586980191972472E-2</v>
      </c>
    </row>
    <row r="189" spans="9:13" x14ac:dyDescent="0.35">
      <c r="I189">
        <v>185</v>
      </c>
      <c r="J189" s="7">
        <v>6.5944015979766846E-2</v>
      </c>
      <c r="K189">
        <v>2.6538865640759468E-2</v>
      </c>
      <c r="L189">
        <v>0.3569522500038147</v>
      </c>
      <c r="M189" s="10">
        <v>2.7692984312954749E-2</v>
      </c>
    </row>
    <row r="190" spans="9:13" x14ac:dyDescent="0.35">
      <c r="I190">
        <v>186</v>
      </c>
      <c r="J190" s="7">
        <v>6.571313738822937E-2</v>
      </c>
      <c r="K190">
        <v>2.7100613340735435E-2</v>
      </c>
      <c r="L190">
        <v>0.36675485968589783</v>
      </c>
      <c r="M190" s="10">
        <v>2.7606530957812403E-2</v>
      </c>
    </row>
    <row r="191" spans="9:13" x14ac:dyDescent="0.35">
      <c r="I191">
        <v>187</v>
      </c>
      <c r="J191" s="7">
        <v>5.1483474671840668E-2</v>
      </c>
      <c r="K191">
        <v>2.1876141428947449E-2</v>
      </c>
      <c r="L191">
        <v>0.36664468050003052</v>
      </c>
      <c r="M191" s="10">
        <v>2.2278180346421594E-2</v>
      </c>
    </row>
    <row r="192" spans="9:13" x14ac:dyDescent="0.35">
      <c r="I192">
        <v>188</v>
      </c>
      <c r="J192" s="7">
        <v>5.8341309428215027E-2</v>
      </c>
      <c r="K192">
        <v>2.3932542651891708E-2</v>
      </c>
      <c r="L192">
        <v>0.35879454016685486</v>
      </c>
      <c r="M192" s="10">
        <v>2.4846122309997387E-2</v>
      </c>
    </row>
    <row r="193" spans="9:13" x14ac:dyDescent="0.35">
      <c r="I193">
        <v>189</v>
      </c>
      <c r="J193" s="7">
        <v>6.3549421727657318E-2</v>
      </c>
      <c r="K193">
        <v>2.4666167795658112E-2</v>
      </c>
      <c r="L193">
        <v>0.340934157371521</v>
      </c>
      <c r="M193" s="10">
        <v>2.6796319507782274E-2</v>
      </c>
    </row>
    <row r="194" spans="9:13" x14ac:dyDescent="0.35">
      <c r="I194">
        <v>190</v>
      </c>
      <c r="J194" s="7">
        <v>4.3236248195171356E-2</v>
      </c>
      <c r="K194">
        <v>1.792297326028347E-2</v>
      </c>
      <c r="L194">
        <v>0.34514957666397095</v>
      </c>
      <c r="M194" s="10">
        <v>1.9189975438470563E-2</v>
      </c>
    </row>
    <row r="195" spans="9:13" x14ac:dyDescent="0.35">
      <c r="I195">
        <v>191</v>
      </c>
      <c r="J195" s="7">
        <v>4.455726221203804E-2</v>
      </c>
      <c r="K195">
        <v>1.8871856853365898E-2</v>
      </c>
      <c r="L195">
        <v>0.3562125563621521</v>
      </c>
      <c r="M195" s="10">
        <v>1.9684634095159637E-2</v>
      </c>
    </row>
    <row r="196" spans="9:13" x14ac:dyDescent="0.35">
      <c r="I196">
        <v>192</v>
      </c>
      <c r="J196" s="7">
        <v>5.0859071314334869E-2</v>
      </c>
      <c r="K196">
        <v>2.0682938396930695E-2</v>
      </c>
      <c r="L196">
        <v>0.34768503904342651</v>
      </c>
      <c r="M196" s="10">
        <v>2.2044370165672289E-2</v>
      </c>
    </row>
    <row r="197" spans="9:13" x14ac:dyDescent="0.35">
      <c r="I197">
        <v>193</v>
      </c>
      <c r="J197" s="7">
        <v>6.1087928712368011E-2</v>
      </c>
      <c r="K197">
        <v>2.4904768913984299E-2</v>
      </c>
      <c r="L197">
        <v>0.35857769846916199</v>
      </c>
      <c r="M197" s="10">
        <v>2.5874604209650487E-2</v>
      </c>
    </row>
    <row r="198" spans="9:13" x14ac:dyDescent="0.35">
      <c r="I198">
        <v>194</v>
      </c>
      <c r="J198" s="7">
        <v>4.9439441412687302E-2</v>
      </c>
      <c r="K198">
        <v>2.1245120093226433E-2</v>
      </c>
      <c r="L198">
        <v>0.36903977394104004</v>
      </c>
      <c r="M198" s="10">
        <v>2.1512784420798625E-2</v>
      </c>
    </row>
    <row r="199" spans="9:13" x14ac:dyDescent="0.35">
      <c r="I199">
        <v>195</v>
      </c>
      <c r="J199" s="7">
        <v>5.0008993595838547E-2</v>
      </c>
      <c r="K199">
        <v>1.9669489935040474E-2</v>
      </c>
      <c r="L199">
        <v>0.33332985639572144</v>
      </c>
      <c r="M199" s="10">
        <v>2.1726055373441633E-2</v>
      </c>
    </row>
    <row r="200" spans="9:13" x14ac:dyDescent="0.35">
      <c r="I200">
        <v>196</v>
      </c>
      <c r="J200" s="7">
        <v>7.5389117002487183E-2</v>
      </c>
      <c r="K200">
        <v>2.955118753015995E-2</v>
      </c>
      <c r="L200">
        <v>0.3521885871887207</v>
      </c>
      <c r="M200" s="10">
        <v>3.122973784057681E-2</v>
      </c>
    </row>
    <row r="201" spans="9:13" x14ac:dyDescent="0.35">
      <c r="I201">
        <v>197</v>
      </c>
      <c r="J201" s="7">
        <v>5.9736091643571854E-2</v>
      </c>
      <c r="K201">
        <v>2.4977525696158409E-2</v>
      </c>
      <c r="L201">
        <v>0.36791032552719116</v>
      </c>
      <c r="M201" s="10">
        <v>2.5368403745480328E-2</v>
      </c>
    </row>
    <row r="202" spans="9:13" x14ac:dyDescent="0.35">
      <c r="I202">
        <v>198</v>
      </c>
      <c r="J202" s="7">
        <v>6.0293730348348618E-2</v>
      </c>
      <c r="K202">
        <v>2.4112386628985405E-2</v>
      </c>
      <c r="L202">
        <v>0.35015890002250671</v>
      </c>
      <c r="M202" s="10">
        <v>2.5577213651431951E-2</v>
      </c>
    </row>
    <row r="203" spans="9:13" x14ac:dyDescent="0.35">
      <c r="I203">
        <v>199</v>
      </c>
      <c r="J203" s="7">
        <v>9.0351231396198273E-2</v>
      </c>
      <c r="K203">
        <v>3.0662691220641136E-2</v>
      </c>
      <c r="L203">
        <v>0.30616837739944458</v>
      </c>
      <c r="M203" s="10">
        <v>3.6832357731602761E-2</v>
      </c>
    </row>
    <row r="204" spans="9:13" x14ac:dyDescent="0.35">
      <c r="I204">
        <v>200</v>
      </c>
      <c r="J204" s="7">
        <v>5.5336117744445801E-2</v>
      </c>
      <c r="K204">
        <v>2.2539447993040085E-2</v>
      </c>
      <c r="L204">
        <v>0.35310479998588562</v>
      </c>
      <c r="M204" s="10">
        <v>2.3720817004825534E-2</v>
      </c>
    </row>
    <row r="205" spans="9:13" x14ac:dyDescent="0.35">
      <c r="I205">
        <v>201</v>
      </c>
      <c r="J205" s="7">
        <v>6.8689145147800446E-2</v>
      </c>
      <c r="K205">
        <v>2.7737237513065338E-2</v>
      </c>
      <c r="L205">
        <v>0.36013314127922058</v>
      </c>
      <c r="M205" s="10">
        <v>2.8720908233034192E-2</v>
      </c>
    </row>
    <row r="206" spans="9:13" x14ac:dyDescent="0.35">
      <c r="I206">
        <v>202</v>
      </c>
      <c r="J206" s="7">
        <v>5.0680015236139297E-2</v>
      </c>
      <c r="K206">
        <v>2.1879695355892181E-2</v>
      </c>
      <c r="L206">
        <v>0.37252742052078247</v>
      </c>
      <c r="M206" s="10">
        <v>2.1977321945152783E-2</v>
      </c>
    </row>
    <row r="207" spans="9:13" x14ac:dyDescent="0.35">
      <c r="I207">
        <v>203</v>
      </c>
      <c r="J207" s="7">
        <v>4.7660630196332932E-2</v>
      </c>
      <c r="K207">
        <v>2.0554415881633759E-2</v>
      </c>
      <c r="L207">
        <v>0.36832109093666077</v>
      </c>
      <c r="M207" s="10">
        <v>2.0846701884541852E-2</v>
      </c>
    </row>
    <row r="208" spans="9:13" x14ac:dyDescent="0.35">
      <c r="I208">
        <v>204</v>
      </c>
      <c r="J208" s="7">
        <v>5.5476058274507523E-2</v>
      </c>
      <c r="K208">
        <v>2.363278716802597E-2</v>
      </c>
      <c r="L208">
        <v>0.37192237377166748</v>
      </c>
      <c r="M208" s="10">
        <v>2.3773218261536555E-2</v>
      </c>
    </row>
    <row r="209" spans="9:13" x14ac:dyDescent="0.35">
      <c r="I209">
        <v>205</v>
      </c>
      <c r="J209" s="7">
        <v>4.420163482427597E-2</v>
      </c>
      <c r="K209">
        <v>1.7978189513087273E-2</v>
      </c>
      <c r="L209">
        <v>0.33886054158210754</v>
      </c>
      <c r="M209" s="10">
        <v>1.9551468085059698E-2</v>
      </c>
    </row>
    <row r="210" spans="9:13" x14ac:dyDescent="0.35">
      <c r="I210">
        <v>206</v>
      </c>
      <c r="J210" s="7">
        <v>6.7937314510345459E-2</v>
      </c>
      <c r="K210">
        <v>2.713870070874691E-2</v>
      </c>
      <c r="L210">
        <v>0.35530844330787659</v>
      </c>
      <c r="M210" s="10">
        <v>2.8439382429043647E-2</v>
      </c>
    </row>
    <row r="211" spans="9:13" x14ac:dyDescent="0.35">
      <c r="I211">
        <v>207</v>
      </c>
      <c r="J211" s="7">
        <v>5.5900748819112778E-2</v>
      </c>
      <c r="K211">
        <v>2.2574665024876595E-2</v>
      </c>
      <c r="L211">
        <v>0.35016819834709167</v>
      </c>
      <c r="M211" s="10">
        <v>2.3932245229926541E-2</v>
      </c>
    </row>
    <row r="212" spans="9:13" x14ac:dyDescent="0.35">
      <c r="I212">
        <v>208</v>
      </c>
      <c r="J212" s="7">
        <v>7.0398487150669098E-2</v>
      </c>
      <c r="K212">
        <v>2.7859354391694069E-2</v>
      </c>
      <c r="L212">
        <v>0.35312342643737793</v>
      </c>
      <c r="M212" s="10">
        <v>2.9360977761567097E-2</v>
      </c>
    </row>
    <row r="213" spans="9:13" x14ac:dyDescent="0.35">
      <c r="I213">
        <v>209</v>
      </c>
      <c r="J213" s="7">
        <v>5.2764575928449631E-2</v>
      </c>
      <c r="K213">
        <v>2.1871967241168022E-2</v>
      </c>
      <c r="L213">
        <v>0.35766357183456421</v>
      </c>
      <c r="M213" s="10">
        <v>2.2757893520230277E-2</v>
      </c>
    </row>
    <row r="214" spans="9:13" x14ac:dyDescent="0.35">
      <c r="I214">
        <v>210</v>
      </c>
      <c r="J214" s="7">
        <v>4.7077294439077377E-2</v>
      </c>
      <c r="K214">
        <v>1.9806118682026863E-2</v>
      </c>
      <c r="L214">
        <v>0.35698989033699036</v>
      </c>
      <c r="M214" s="10">
        <v>2.0628269620842521E-2</v>
      </c>
    </row>
    <row r="215" spans="9:13" x14ac:dyDescent="0.35">
      <c r="I215">
        <v>211</v>
      </c>
      <c r="J215" s="7">
        <v>5.6379165500402451E-2</v>
      </c>
      <c r="K215">
        <v>2.2391960024833679E-2</v>
      </c>
      <c r="L215">
        <v>0.34395614266395569</v>
      </c>
      <c r="M215" s="10">
        <v>2.4111390151844714E-2</v>
      </c>
    </row>
    <row r="216" spans="9:13" x14ac:dyDescent="0.35">
      <c r="I216">
        <v>212</v>
      </c>
      <c r="J216" s="7">
        <v>5.9275716543197632E-2</v>
      </c>
      <c r="K216">
        <v>2.4592513218522072E-2</v>
      </c>
      <c r="L216">
        <v>0.36427250504493713</v>
      </c>
      <c r="M216" s="10">
        <v>2.5196014561250202E-2</v>
      </c>
    </row>
    <row r="217" spans="9:13" x14ac:dyDescent="0.35">
      <c r="I217">
        <v>213</v>
      </c>
      <c r="J217" s="7">
        <v>5.9384748339653015E-2</v>
      </c>
      <c r="K217">
        <v>2.4824220687150955E-2</v>
      </c>
      <c r="L217">
        <v>0.36750549077987671</v>
      </c>
      <c r="M217" s="10">
        <v>2.5236841926654652E-2</v>
      </c>
    </row>
    <row r="218" spans="9:13" x14ac:dyDescent="0.35">
      <c r="I218">
        <v>214</v>
      </c>
      <c r="J218" s="7">
        <v>6.3056357204914093E-2</v>
      </c>
      <c r="K218">
        <v>2.4721043184399605E-2</v>
      </c>
      <c r="L218">
        <v>0.3444703221321106</v>
      </c>
      <c r="M218" s="10">
        <v>2.6611689646655057E-2</v>
      </c>
    </row>
    <row r="219" spans="9:13" x14ac:dyDescent="0.35">
      <c r="I219">
        <v>215</v>
      </c>
      <c r="J219" s="7">
        <v>5.5249985307455063E-2</v>
      </c>
      <c r="K219">
        <v>2.3259704932570457E-2</v>
      </c>
      <c r="L219">
        <v>0.36669158935546875</v>
      </c>
      <c r="M219" s="10">
        <v>2.3688564390519251E-2</v>
      </c>
    </row>
    <row r="220" spans="9:13" x14ac:dyDescent="0.35">
      <c r="I220">
        <v>216</v>
      </c>
      <c r="J220" s="7">
        <v>6.8207249045372009E-2</v>
      </c>
      <c r="K220">
        <v>2.7017433196306229E-2</v>
      </c>
      <c r="L220">
        <v>0.35212436318397522</v>
      </c>
      <c r="M220" s="10">
        <v>2.8540460428811532E-2</v>
      </c>
    </row>
    <row r="221" spans="9:13" x14ac:dyDescent="0.35">
      <c r="I221">
        <v>217</v>
      </c>
      <c r="J221" s="7">
        <v>6.0106068849563599E-2</v>
      </c>
      <c r="K221">
        <v>2.5323258712887764E-2</v>
      </c>
      <c r="L221">
        <v>0.37139776349067688</v>
      </c>
      <c r="M221" s="10">
        <v>2.5506943098874579E-2</v>
      </c>
    </row>
    <row r="222" spans="9:13" x14ac:dyDescent="0.35">
      <c r="I222">
        <v>218</v>
      </c>
      <c r="J222" s="7">
        <v>5.1354318857192993E-2</v>
      </c>
      <c r="K222">
        <v>2.2129382938146591E-2</v>
      </c>
      <c r="L222">
        <v>0.3724980354309082</v>
      </c>
      <c r="M222" s="10">
        <v>2.2229817466874913E-2</v>
      </c>
    </row>
    <row r="223" spans="9:13" x14ac:dyDescent="0.35">
      <c r="I223">
        <v>219</v>
      </c>
      <c r="J223" s="7">
        <v>6.9367349147796631E-2</v>
      </c>
      <c r="K223">
        <v>2.8173875063657761E-2</v>
      </c>
      <c r="L223">
        <v>0.36290669441223145</v>
      </c>
      <c r="M223" s="10">
        <v>2.8974864266290368E-2</v>
      </c>
    </row>
    <row r="224" spans="9:13" x14ac:dyDescent="0.35">
      <c r="I224">
        <v>220</v>
      </c>
      <c r="J224" s="7">
        <v>6.3310116529464722E-2</v>
      </c>
      <c r="K224">
        <v>2.4021944031119347E-2</v>
      </c>
      <c r="L224">
        <v>0.33204716444015503</v>
      </c>
      <c r="M224" s="10">
        <v>2.6706710778150899E-2</v>
      </c>
    </row>
    <row r="225" spans="9:13" x14ac:dyDescent="0.35">
      <c r="I225">
        <v>221</v>
      </c>
      <c r="J225" s="7">
        <v>4.8571556806564331E-2</v>
      </c>
      <c r="K225">
        <v>2.0697092637419701E-2</v>
      </c>
      <c r="L225">
        <v>0.36435094475746155</v>
      </c>
      <c r="M225" s="10">
        <v>2.1187801772662773E-2</v>
      </c>
    </row>
    <row r="226" spans="9:13" x14ac:dyDescent="0.35">
      <c r="I226">
        <v>222</v>
      </c>
      <c r="J226" s="7">
        <v>6.402132660150528E-2</v>
      </c>
      <c r="K226">
        <v>2.6011992245912552E-2</v>
      </c>
      <c r="L226">
        <v>0.35944259166717529</v>
      </c>
      <c r="M226" s="10">
        <v>2.6973026058963567E-2</v>
      </c>
    </row>
    <row r="227" spans="9:13" x14ac:dyDescent="0.35">
      <c r="I227">
        <v>223</v>
      </c>
      <c r="J227" s="7">
        <v>5.3248804062604904E-2</v>
      </c>
      <c r="K227">
        <v>2.2485431283712387E-2</v>
      </c>
      <c r="L227">
        <v>0.36593180894851685</v>
      </c>
      <c r="M227" s="10">
        <v>2.293921456248571E-2</v>
      </c>
    </row>
    <row r="228" spans="9:13" x14ac:dyDescent="0.35">
      <c r="I228">
        <v>224</v>
      </c>
      <c r="J228" s="7">
        <v>7.0435024797916412E-2</v>
      </c>
      <c r="K228">
        <v>2.8259851038455963E-2</v>
      </c>
      <c r="L228">
        <v>0.35862627625465393</v>
      </c>
      <c r="M228" s="10">
        <v>2.9374659420713156E-2</v>
      </c>
    </row>
    <row r="229" spans="9:13" x14ac:dyDescent="0.35">
      <c r="I229">
        <v>225</v>
      </c>
      <c r="J229" s="7">
        <v>7.1031428873538971E-2</v>
      </c>
      <c r="K229">
        <v>2.7877461165189743E-2</v>
      </c>
      <c r="L229">
        <v>0.35023173689842224</v>
      </c>
      <c r="M229" s="10">
        <v>2.9597985165273455E-2</v>
      </c>
    </row>
    <row r="230" spans="9:13" x14ac:dyDescent="0.35">
      <c r="I230">
        <v>226</v>
      </c>
      <c r="J230" s="7">
        <v>5.3535901010036469E-2</v>
      </c>
      <c r="K230">
        <v>2.2324470803141594E-2</v>
      </c>
      <c r="L230">
        <v>0.36096283793449402</v>
      </c>
      <c r="M230" s="10">
        <v>2.3046719091993184E-2</v>
      </c>
    </row>
    <row r="231" spans="9:13" x14ac:dyDescent="0.35">
      <c r="I231">
        <v>227</v>
      </c>
      <c r="J231" s="7">
        <v>6.0626637190580368E-2</v>
      </c>
      <c r="K231">
        <v>2.4509591981768608E-2</v>
      </c>
      <c r="L231">
        <v>0.35478782653808594</v>
      </c>
      <c r="M231" s="10">
        <v>2.5701871867982562E-2</v>
      </c>
    </row>
    <row r="232" spans="9:13" x14ac:dyDescent="0.35">
      <c r="I232">
        <v>228</v>
      </c>
      <c r="J232" s="7">
        <v>6.9746442139148712E-2</v>
      </c>
      <c r="K232">
        <v>2.5910930708050728E-2</v>
      </c>
      <c r="L232">
        <v>0.32848888635635376</v>
      </c>
      <c r="M232" s="10">
        <v>2.9116817059726463E-2</v>
      </c>
    </row>
    <row r="233" spans="9:13" x14ac:dyDescent="0.35">
      <c r="I233">
        <v>229</v>
      </c>
      <c r="J233" s="7">
        <v>4.1841689497232437E-2</v>
      </c>
      <c r="K233">
        <v>1.7072930932044983E-2</v>
      </c>
      <c r="L233">
        <v>0.33633753657341003</v>
      </c>
      <c r="M233" s="10">
        <v>1.8667777699923671E-2</v>
      </c>
    </row>
    <row r="234" spans="9:13" x14ac:dyDescent="0.35">
      <c r="I234">
        <v>230</v>
      </c>
      <c r="J234" s="7">
        <v>8.1801041960716248E-2</v>
      </c>
      <c r="K234">
        <v>3.0327862128615379E-2</v>
      </c>
      <c r="L234">
        <v>0.33407717943191528</v>
      </c>
      <c r="M234" s="10">
        <v>3.3630707206633748E-2</v>
      </c>
    </row>
    <row r="235" spans="9:13" x14ac:dyDescent="0.35">
      <c r="I235">
        <v>231</v>
      </c>
      <c r="J235" s="7">
        <v>6.2413949519395828E-2</v>
      </c>
      <c r="K235">
        <v>2.4988694116473198E-2</v>
      </c>
      <c r="L235">
        <v>0.35230416059494019</v>
      </c>
      <c r="M235" s="10">
        <v>2.6371137677707046E-2</v>
      </c>
    </row>
    <row r="236" spans="9:13" x14ac:dyDescent="0.35">
      <c r="I236">
        <v>232</v>
      </c>
      <c r="J236" s="7">
        <v>7.1732215583324432E-2</v>
      </c>
      <c r="K236">
        <v>2.5847757235169411E-2</v>
      </c>
      <c r="L236">
        <v>0.31851458549499512</v>
      </c>
      <c r="M236" s="10">
        <v>2.9860397378968395E-2</v>
      </c>
    </row>
    <row r="237" spans="9:13" x14ac:dyDescent="0.35">
      <c r="I237">
        <v>233</v>
      </c>
      <c r="J237" s="7">
        <v>5.6923869997262955E-2</v>
      </c>
      <c r="K237">
        <v>2.3249257355928421E-2</v>
      </c>
      <c r="L237">
        <v>0.35572522878646851</v>
      </c>
      <c r="M237" s="10">
        <v>2.4315356795096998E-2</v>
      </c>
    </row>
    <row r="238" spans="9:13" x14ac:dyDescent="0.35">
      <c r="I238">
        <v>234</v>
      </c>
      <c r="J238" s="7">
        <v>5.3151875734329224E-2</v>
      </c>
      <c r="K238">
        <v>2.1832646802067757E-2</v>
      </c>
      <c r="L238">
        <v>0.35431763529777527</v>
      </c>
      <c r="M238" s="10">
        <v>2.2902919386168286E-2</v>
      </c>
    </row>
    <row r="239" spans="9:13" x14ac:dyDescent="0.35">
      <c r="I239">
        <v>235</v>
      </c>
      <c r="J239" s="7">
        <v>5.0561521202325821E-2</v>
      </c>
      <c r="K239">
        <v>2.1259097382426262E-2</v>
      </c>
      <c r="L239">
        <v>0.36112633347511292</v>
      </c>
      <c r="M239" s="10">
        <v>2.1932951409455614E-2</v>
      </c>
    </row>
    <row r="240" spans="9:13" x14ac:dyDescent="0.35">
      <c r="I240">
        <v>236</v>
      </c>
      <c r="J240" s="7">
        <v>6.3159547746181488E-2</v>
      </c>
      <c r="K240">
        <v>2.6179436594247818E-2</v>
      </c>
      <c r="L240">
        <v>0.36699813604354858</v>
      </c>
      <c r="M240" s="10">
        <v>2.6650329732130773E-2</v>
      </c>
    </row>
    <row r="241" spans="9:13" x14ac:dyDescent="0.35">
      <c r="I241">
        <v>237</v>
      </c>
      <c r="J241" s="7">
        <v>5.4676767438650131E-2</v>
      </c>
      <c r="K241">
        <v>2.2301215678453445E-2</v>
      </c>
      <c r="L241">
        <v>0.3530057966709137</v>
      </c>
      <c r="M241" s="10">
        <v>2.3473920808125048E-2</v>
      </c>
    </row>
    <row r="242" spans="9:13" x14ac:dyDescent="0.35">
      <c r="I242">
        <v>238</v>
      </c>
      <c r="J242" s="7">
        <v>6.3564978539943695E-2</v>
      </c>
      <c r="K242">
        <v>2.5246996432542801E-2</v>
      </c>
      <c r="L242">
        <v>0.34998825192451477</v>
      </c>
      <c r="M242" s="10">
        <v>2.6802144814531248E-2</v>
      </c>
    </row>
    <row r="243" spans="9:13" x14ac:dyDescent="0.35">
      <c r="I243">
        <v>239</v>
      </c>
      <c r="J243" s="7">
        <v>5.3748283535242081E-2</v>
      </c>
      <c r="K243">
        <v>2.2129058837890625E-2</v>
      </c>
      <c r="L243">
        <v>0.35590082406997681</v>
      </c>
      <c r="M243" s="10">
        <v>2.3126246525677518E-2</v>
      </c>
    </row>
    <row r="244" spans="9:13" x14ac:dyDescent="0.35">
      <c r="I244">
        <v>240</v>
      </c>
      <c r="J244" s="7">
        <v>5.3377486765384674E-2</v>
      </c>
      <c r="K244">
        <v>2.2867284715175629E-2</v>
      </c>
      <c r="L244">
        <v>0.37220343947410583</v>
      </c>
      <c r="M244" s="10">
        <v>2.2987400283517756E-2</v>
      </c>
    </row>
    <row r="245" spans="9:13" x14ac:dyDescent="0.35">
      <c r="I245">
        <v>241</v>
      </c>
      <c r="J245" s="7">
        <v>6.4331576228141785E-2</v>
      </c>
      <c r="K245">
        <v>2.4852178990840912E-2</v>
      </c>
      <c r="L245">
        <v>0.33968046307563782</v>
      </c>
      <c r="M245" s="10">
        <v>2.708920019609673E-2</v>
      </c>
    </row>
    <row r="246" spans="9:13" x14ac:dyDescent="0.35">
      <c r="I246">
        <v>242</v>
      </c>
      <c r="J246" s="7">
        <v>5.7487931102514267E-2</v>
      </c>
      <c r="K246">
        <v>2.4225546047091484E-2</v>
      </c>
      <c r="L246">
        <v>0.36921742558479309</v>
      </c>
      <c r="M246" s="10">
        <v>2.4526571593011082E-2</v>
      </c>
    </row>
    <row r="247" spans="9:13" x14ac:dyDescent="0.35">
      <c r="I247">
        <v>243</v>
      </c>
      <c r="J247" s="7">
        <v>6.7684784531593323E-2</v>
      </c>
      <c r="K247">
        <v>2.6886884123086929E-2</v>
      </c>
      <c r="L247">
        <v>0.35291364789009094</v>
      </c>
      <c r="M247" s="10">
        <v>2.8344821630696071E-2</v>
      </c>
    </row>
    <row r="248" spans="9:13" x14ac:dyDescent="0.35">
      <c r="I248">
        <v>244</v>
      </c>
      <c r="J248" s="7">
        <v>5.6442618370056152E-2</v>
      </c>
      <c r="K248">
        <v>2.3949729278683662E-2</v>
      </c>
      <c r="L248">
        <v>0.37116864323616028</v>
      </c>
      <c r="M248" s="10">
        <v>2.4135150317039944E-2</v>
      </c>
    </row>
    <row r="249" spans="9:13" x14ac:dyDescent="0.35">
      <c r="I249">
        <v>245</v>
      </c>
      <c r="J249" s="7">
        <v>5.298960953950882E-2</v>
      </c>
      <c r="K249">
        <v>2.2383999079465866E-2</v>
      </c>
      <c r="L249">
        <v>0.36580753326416016</v>
      </c>
      <c r="M249" s="10">
        <v>2.2842158200494955E-2</v>
      </c>
    </row>
    <row r="250" spans="9:13" x14ac:dyDescent="0.35">
      <c r="I250">
        <v>246</v>
      </c>
      <c r="J250" s="7">
        <v>5.1717247813940048E-2</v>
      </c>
      <c r="K250">
        <v>2.2222219035029411E-2</v>
      </c>
      <c r="L250">
        <v>0.37167906761169434</v>
      </c>
      <c r="M250" s="10">
        <v>2.2365717576885769E-2</v>
      </c>
    </row>
    <row r="251" spans="9:13" x14ac:dyDescent="0.35">
      <c r="I251">
        <v>247</v>
      </c>
      <c r="J251" s="7">
        <v>6.4883038401603699E-2</v>
      </c>
      <c r="K251">
        <v>2.6627328246831894E-2</v>
      </c>
      <c r="L251">
        <v>0.36415261030197144</v>
      </c>
      <c r="M251" s="10">
        <v>2.7295697276715547E-2</v>
      </c>
    </row>
    <row r="252" spans="9:13" x14ac:dyDescent="0.35">
      <c r="I252">
        <v>248</v>
      </c>
      <c r="J252" s="7">
        <v>6.6333696246147156E-2</v>
      </c>
      <c r="K252">
        <v>2.647014893591404E-2</v>
      </c>
      <c r="L252">
        <v>0.35381940007209778</v>
      </c>
      <c r="M252" s="10">
        <v>2.7838901551261674E-2</v>
      </c>
    </row>
    <row r="253" spans="9:13" x14ac:dyDescent="0.35">
      <c r="I253">
        <v>249</v>
      </c>
      <c r="J253" s="7">
        <v>4.1571557521820068E-2</v>
      </c>
      <c r="K253">
        <v>1.7003472894430161E-2</v>
      </c>
      <c r="L253">
        <v>0.33685225248336792</v>
      </c>
      <c r="M253" s="10">
        <v>1.8566625767862277E-2</v>
      </c>
    </row>
    <row r="254" spans="9:13" x14ac:dyDescent="0.35">
      <c r="I254">
        <v>250</v>
      </c>
      <c r="J254" s="7">
        <v>5.7359080761671066E-2</v>
      </c>
      <c r="K254">
        <v>2.4277152493596077E-2</v>
      </c>
      <c r="L254">
        <v>0.37094652652740479</v>
      </c>
      <c r="M254" s="10">
        <v>2.4478323099277E-2</v>
      </c>
    </row>
    <row r="255" spans="9:13" x14ac:dyDescent="0.35">
      <c r="I255">
        <v>251</v>
      </c>
      <c r="J255" s="7">
        <v>6.4599782228469849E-2</v>
      </c>
      <c r="K255">
        <v>2.6691297069191933E-2</v>
      </c>
      <c r="L255">
        <v>0.36673957109451294</v>
      </c>
      <c r="M255" s="10">
        <v>2.7189630939559173E-2</v>
      </c>
    </row>
    <row r="256" spans="9:13" x14ac:dyDescent="0.35">
      <c r="I256">
        <v>252</v>
      </c>
      <c r="J256" s="7">
        <v>4.3133433908224106E-2</v>
      </c>
      <c r="K256">
        <v>1.8037082627415657E-2</v>
      </c>
      <c r="L256">
        <v>0.3486177921295166</v>
      </c>
      <c r="M256" s="10">
        <v>1.9151476242837195E-2</v>
      </c>
    </row>
    <row r="257" spans="9:13" x14ac:dyDescent="0.35">
      <c r="I257">
        <v>253</v>
      </c>
      <c r="J257" s="7">
        <v>6.3721790909767151E-2</v>
      </c>
      <c r="K257">
        <v>2.6306511834263802E-2</v>
      </c>
      <c r="L257">
        <v>0.36575418710708618</v>
      </c>
      <c r="M257" s="10">
        <v>2.6860863794964995E-2</v>
      </c>
    </row>
    <row r="258" spans="9:13" x14ac:dyDescent="0.35">
      <c r="I258">
        <v>254</v>
      </c>
      <c r="J258" s="7">
        <v>5.1589373499155045E-2</v>
      </c>
      <c r="K258">
        <v>2.2083977237343788E-2</v>
      </c>
      <c r="L258">
        <v>0.36992070078849792</v>
      </c>
      <c r="M258" s="10">
        <v>2.2317834559772431E-2</v>
      </c>
    </row>
    <row r="259" spans="9:13" x14ac:dyDescent="0.35">
      <c r="I259">
        <v>255</v>
      </c>
      <c r="J259" s="7">
        <v>5.108979344367981E-2</v>
      </c>
      <c r="K259">
        <v>2.0994676277041435E-2</v>
      </c>
      <c r="L259">
        <v>0.35221666097640991</v>
      </c>
      <c r="M259" s="10">
        <v>2.2130764932959401E-2</v>
      </c>
    </row>
    <row r="260" spans="9:13" x14ac:dyDescent="0.35">
      <c r="I260">
        <v>256</v>
      </c>
      <c r="J260" s="7">
        <v>6.3825339078903198E-2</v>
      </c>
      <c r="K260">
        <v>2.4844454601407051E-2</v>
      </c>
      <c r="L260">
        <v>0.34225362539291382</v>
      </c>
      <c r="M260" s="10">
        <v>2.6899637795538389E-2</v>
      </c>
    </row>
    <row r="261" spans="9:13" x14ac:dyDescent="0.35">
      <c r="I261">
        <v>257</v>
      </c>
      <c r="J261" s="7">
        <v>5.1454085856676102E-2</v>
      </c>
      <c r="K261">
        <v>2.1494470536708832E-2</v>
      </c>
      <c r="L261">
        <v>0.35943639278411865</v>
      </c>
      <c r="M261" s="10">
        <v>2.2267175594280153E-2</v>
      </c>
    </row>
    <row r="262" spans="9:13" x14ac:dyDescent="0.35">
      <c r="I262">
        <v>258</v>
      </c>
      <c r="J262" s="7">
        <v>6.4641937613487244E-2</v>
      </c>
      <c r="K262">
        <v>2.643745020031929E-2</v>
      </c>
      <c r="L262">
        <v>0.36257344484329224</v>
      </c>
      <c r="M262" s="10">
        <v>2.7205416181697917E-2</v>
      </c>
    </row>
    <row r="263" spans="9:13" x14ac:dyDescent="0.35">
      <c r="I263">
        <v>259</v>
      </c>
      <c r="J263" s="7">
        <v>6.0163687914609909E-2</v>
      </c>
      <c r="K263">
        <v>2.441105805337429E-2</v>
      </c>
      <c r="L263">
        <v>0.35588008165359497</v>
      </c>
      <c r="M263" s="10">
        <v>2.5528518774038944E-2</v>
      </c>
    </row>
    <row r="264" spans="9:13" x14ac:dyDescent="0.35">
      <c r="I264">
        <v>260</v>
      </c>
      <c r="J264" s="7">
        <v>4.6928200870752335E-2</v>
      </c>
      <c r="K264">
        <v>1.9957065582275391E-2</v>
      </c>
      <c r="L264">
        <v>0.36134064197540283</v>
      </c>
      <c r="M264" s="10">
        <v>2.0572440974600315E-2</v>
      </c>
    </row>
    <row r="265" spans="9:13" x14ac:dyDescent="0.35">
      <c r="I265">
        <v>261</v>
      </c>
      <c r="J265" s="7">
        <v>7.2911113500595093E-2</v>
      </c>
      <c r="K265">
        <v>2.7646519243717194E-2</v>
      </c>
      <c r="L265">
        <v>0.33803513646125793</v>
      </c>
      <c r="M265" s="10">
        <v>3.0301840128768909E-2</v>
      </c>
    </row>
    <row r="266" spans="9:13" x14ac:dyDescent="0.35">
      <c r="I266">
        <v>262</v>
      </c>
      <c r="J266" s="7">
        <v>5.1878616213798523E-2</v>
      </c>
      <c r="K266">
        <v>2.2246023640036583E-2</v>
      </c>
      <c r="L266">
        <v>0.37098181247711182</v>
      </c>
      <c r="M266" s="10">
        <v>2.2426142579865971E-2</v>
      </c>
    </row>
    <row r="267" spans="9:13" x14ac:dyDescent="0.35">
      <c r="I267">
        <v>263</v>
      </c>
      <c r="J267" s="7">
        <v>5.5775325745344162E-2</v>
      </c>
      <c r="K267">
        <v>2.3720135912299156E-2</v>
      </c>
      <c r="L267">
        <v>0.37149286270141602</v>
      </c>
      <c r="M267" s="10">
        <v>2.3885280089211869E-2</v>
      </c>
    </row>
    <row r="268" spans="9:13" x14ac:dyDescent="0.35">
      <c r="I268">
        <v>264</v>
      </c>
      <c r="J268" s="7">
        <v>5.0107333809137344E-2</v>
      </c>
      <c r="K268">
        <v>2.1623371168971062E-2</v>
      </c>
      <c r="L268">
        <v>0.37166956067085266</v>
      </c>
      <c r="M268" s="10">
        <v>2.1762879235405097E-2</v>
      </c>
    </row>
    <row r="269" spans="9:13" x14ac:dyDescent="0.35">
      <c r="I269">
        <v>265</v>
      </c>
      <c r="J269" s="7">
        <v>6.4685344696044922E-2</v>
      </c>
      <c r="K269">
        <v>2.3757092654705048E-2</v>
      </c>
      <c r="L269">
        <v>0.32089328765869141</v>
      </c>
      <c r="M269" s="10">
        <v>2.7221670126678532E-2</v>
      </c>
    </row>
    <row r="270" spans="9:13" x14ac:dyDescent="0.35">
      <c r="I270">
        <v>266</v>
      </c>
      <c r="J270" s="7">
        <v>6.2020789831876755E-2</v>
      </c>
      <c r="K270">
        <v>2.5603668764233589E-2</v>
      </c>
      <c r="L270">
        <v>0.36445310711860657</v>
      </c>
      <c r="M270" s="10">
        <v>2.6223917557095633E-2</v>
      </c>
    </row>
    <row r="271" spans="9:13" x14ac:dyDescent="0.35">
      <c r="I271">
        <v>267</v>
      </c>
      <c r="J271" s="7">
        <v>4.8162698745727539E-2</v>
      </c>
      <c r="K271">
        <v>2.0405486226081848E-2</v>
      </c>
      <c r="L271">
        <v>0.36138933897018433</v>
      </c>
      <c r="M271" s="10">
        <v>2.1034703337242888E-2</v>
      </c>
    </row>
    <row r="272" spans="9:13" x14ac:dyDescent="0.35">
      <c r="I272">
        <v>268</v>
      </c>
      <c r="J272" s="7">
        <v>5.1406946033239365E-2</v>
      </c>
      <c r="K272">
        <v>2.1173618733882904E-2</v>
      </c>
      <c r="L272">
        <v>0.35352456569671631</v>
      </c>
      <c r="M272" s="10">
        <v>2.2249523910467528E-2</v>
      </c>
    </row>
    <row r="273" spans="9:13" x14ac:dyDescent="0.35">
      <c r="I273">
        <v>269</v>
      </c>
      <c r="J273" s="7">
        <v>6.0759715735912323E-2</v>
      </c>
      <c r="K273">
        <v>2.3912753909826279E-2</v>
      </c>
      <c r="L273">
        <v>0.34418782591819763</v>
      </c>
      <c r="M273" s="10">
        <v>2.5751703628756895E-2</v>
      </c>
    </row>
    <row r="274" spans="9:13" x14ac:dyDescent="0.35">
      <c r="I274">
        <v>270</v>
      </c>
      <c r="J274" s="7">
        <v>4.9230016767978668E-2</v>
      </c>
      <c r="K274">
        <v>1.9981933757662773E-2</v>
      </c>
      <c r="L274">
        <v>0.34495079517364502</v>
      </c>
      <c r="M274" s="10">
        <v>2.1434364576567999E-2</v>
      </c>
    </row>
    <row r="275" spans="9:13" x14ac:dyDescent="0.35">
      <c r="I275">
        <v>271</v>
      </c>
      <c r="J275" s="7">
        <v>6.0332726687192917E-2</v>
      </c>
      <c r="K275">
        <v>2.4060918018221855E-2</v>
      </c>
      <c r="L275">
        <v>0.34907948970794678</v>
      </c>
      <c r="M275" s="10">
        <v>2.5591815976874543E-2</v>
      </c>
    </row>
    <row r="276" spans="9:13" x14ac:dyDescent="0.35">
      <c r="I276">
        <v>272</v>
      </c>
      <c r="J276" s="7">
        <v>5.6926414370536804E-2</v>
      </c>
      <c r="K276">
        <v>2.4095717817544937E-2</v>
      </c>
      <c r="L276">
        <v>0.37057870626449585</v>
      </c>
      <c r="M276" s="10">
        <v>2.4316309545219017E-2</v>
      </c>
    </row>
    <row r="277" spans="9:13" x14ac:dyDescent="0.35">
      <c r="I277">
        <v>273</v>
      </c>
      <c r="J277" s="7">
        <v>5.9715647250413895E-2</v>
      </c>
      <c r="K277">
        <v>2.4704422801733017E-2</v>
      </c>
      <c r="L277">
        <v>0.363462895154953</v>
      </c>
      <c r="M277" s="10">
        <v>2.536074826572976E-2</v>
      </c>
    </row>
    <row r="278" spans="9:13" x14ac:dyDescent="0.35">
      <c r="I278">
        <v>274</v>
      </c>
      <c r="J278" s="7">
        <v>6.8750366568565369E-2</v>
      </c>
      <c r="K278">
        <v>2.5993078947067261E-2</v>
      </c>
      <c r="L278">
        <v>0.33444300293922424</v>
      </c>
      <c r="M278" s="10">
        <v>2.8743832823817872E-2</v>
      </c>
    </row>
    <row r="279" spans="9:13" x14ac:dyDescent="0.35">
      <c r="I279">
        <v>275</v>
      </c>
      <c r="J279" s="7">
        <v>5.0291653722524643E-2</v>
      </c>
      <c r="K279">
        <v>2.1743541583418846E-2</v>
      </c>
      <c r="L279">
        <v>0.37269687652587891</v>
      </c>
      <c r="M279" s="10">
        <v>2.1831898518768544E-2</v>
      </c>
    </row>
    <row r="280" spans="9:13" x14ac:dyDescent="0.35">
      <c r="I280">
        <v>276</v>
      </c>
      <c r="J280" s="7">
        <v>6.3842244446277618E-2</v>
      </c>
      <c r="K280">
        <v>2.6387846097350121E-2</v>
      </c>
      <c r="L280">
        <v>0.3663381040096283</v>
      </c>
      <c r="M280" s="10">
        <v>2.6905968073801523E-2</v>
      </c>
    </row>
    <row r="281" spans="9:13" x14ac:dyDescent="0.35">
      <c r="I281">
        <v>277</v>
      </c>
      <c r="J281" s="7">
        <v>4.9309533089399338E-2</v>
      </c>
      <c r="K281">
        <v>2.0230351015925407E-2</v>
      </c>
      <c r="L281">
        <v>0.34943243861198425</v>
      </c>
      <c r="M281" s="10">
        <v>2.1464139761567247E-2</v>
      </c>
    </row>
    <row r="282" spans="9:13" x14ac:dyDescent="0.35">
      <c r="I282">
        <v>278</v>
      </c>
      <c r="J282" s="7">
        <v>6.4911328256130219E-2</v>
      </c>
      <c r="K282">
        <v>2.6742789894342422E-2</v>
      </c>
      <c r="L282">
        <v>0.36577266454696655</v>
      </c>
      <c r="M282" s="10">
        <v>2.7306290518921417E-2</v>
      </c>
    </row>
    <row r="283" spans="9:13" x14ac:dyDescent="0.35">
      <c r="I283">
        <v>279</v>
      </c>
      <c r="J283" s="7">
        <v>5.6023906916379929E-2</v>
      </c>
      <c r="K283">
        <v>2.3945920169353485E-2</v>
      </c>
      <c r="L283">
        <v>0.37387466430664063</v>
      </c>
      <c r="M283" s="10">
        <v>2.3978362241689255E-2</v>
      </c>
    </row>
    <row r="284" spans="9:13" x14ac:dyDescent="0.35">
      <c r="I284">
        <v>280</v>
      </c>
      <c r="J284" s="7">
        <v>5.8744020760059357E-2</v>
      </c>
      <c r="K284">
        <v>2.3347092792391777E-2</v>
      </c>
      <c r="L284">
        <v>0.34636875987052917</v>
      </c>
      <c r="M284" s="10">
        <v>2.4996919079675939E-2</v>
      </c>
    </row>
    <row r="285" spans="9:13" x14ac:dyDescent="0.35">
      <c r="I285">
        <v>281</v>
      </c>
      <c r="J285" s="7">
        <v>6.8379461765289307E-2</v>
      </c>
      <c r="K285">
        <v>2.6124969124794006E-2</v>
      </c>
      <c r="L285">
        <v>0.3381858766078949</v>
      </c>
      <c r="M285" s="10">
        <v>2.8604946128139019E-2</v>
      </c>
    </row>
    <row r="286" spans="9:13" x14ac:dyDescent="0.35">
      <c r="I286">
        <v>282</v>
      </c>
      <c r="J286" s="7">
        <v>4.8304688185453415E-2</v>
      </c>
      <c r="K286">
        <v>2.0740117877721786E-2</v>
      </c>
      <c r="L286">
        <v>0.3672545850276947</v>
      </c>
      <c r="M286" s="10">
        <v>2.1087871815867687E-2</v>
      </c>
    </row>
    <row r="287" spans="9:13" x14ac:dyDescent="0.35">
      <c r="I287">
        <v>283</v>
      </c>
      <c r="J287" s="7">
        <v>4.1902158409357071E-2</v>
      </c>
      <c r="K287">
        <v>1.697239838540554E-2</v>
      </c>
      <c r="L287">
        <v>0.33345293998718262</v>
      </c>
      <c r="M287" s="10">
        <v>1.8690420511022654E-2</v>
      </c>
    </row>
    <row r="288" spans="9:13" x14ac:dyDescent="0.35">
      <c r="I288">
        <v>284</v>
      </c>
      <c r="J288" s="7">
        <v>6.2539517879486084E-2</v>
      </c>
      <c r="K288">
        <v>2.5277275592088699E-2</v>
      </c>
      <c r="L288">
        <v>0.35621118545532227</v>
      </c>
      <c r="M288" s="10">
        <v>2.641815722143015E-2</v>
      </c>
    </row>
    <row r="289" spans="9:13" x14ac:dyDescent="0.35">
      <c r="I289">
        <v>285</v>
      </c>
      <c r="J289" s="7">
        <v>7.5650796294212341E-2</v>
      </c>
      <c r="K289">
        <v>2.8361620381474495E-2</v>
      </c>
      <c r="L289">
        <v>0.33524590730667114</v>
      </c>
      <c r="M289" s="10">
        <v>3.1327724633506637E-2</v>
      </c>
    </row>
    <row r="290" spans="9:13" x14ac:dyDescent="0.35">
      <c r="I290">
        <v>286</v>
      </c>
      <c r="J290" s="7">
        <v>5.5434271693229675E-2</v>
      </c>
      <c r="K290">
        <v>2.312290295958519E-2</v>
      </c>
      <c r="L290">
        <v>0.36300474405288696</v>
      </c>
      <c r="M290" s="10">
        <v>2.3757571119342291E-2</v>
      </c>
    </row>
    <row r="291" spans="9:13" x14ac:dyDescent="0.35">
      <c r="I291">
        <v>287</v>
      </c>
      <c r="J291" s="7">
        <v>7.5598321855068207E-2</v>
      </c>
      <c r="K291">
        <v>2.8035057708621025E-2</v>
      </c>
      <c r="L291">
        <v>0.33115890622138977</v>
      </c>
      <c r="M291" s="10">
        <v>3.1308075382820322E-2</v>
      </c>
    </row>
    <row r="292" spans="9:13" x14ac:dyDescent="0.35">
      <c r="I292">
        <v>288</v>
      </c>
      <c r="J292" s="7">
        <v>8.5130617022514343E-2</v>
      </c>
      <c r="K292">
        <v>2.9009949415922165E-2</v>
      </c>
      <c r="L292">
        <v>0.3055298924446106</v>
      </c>
      <c r="M292" s="10">
        <v>3.4877479085194896E-2</v>
      </c>
    </row>
    <row r="293" spans="9:13" x14ac:dyDescent="0.35">
      <c r="I293">
        <v>289</v>
      </c>
      <c r="J293" s="7">
        <v>5.3380481898784637E-2</v>
      </c>
      <c r="K293">
        <v>2.2253083065152168E-2</v>
      </c>
      <c r="L293">
        <v>0.36067646741867065</v>
      </c>
      <c r="M293" s="10">
        <v>2.2988521822460806E-2</v>
      </c>
    </row>
    <row r="294" spans="9:13" x14ac:dyDescent="0.35">
      <c r="I294">
        <v>290</v>
      </c>
      <c r="J294" s="7">
        <v>6.1554249376058578E-2</v>
      </c>
      <c r="K294">
        <v>2.44444590061903E-2</v>
      </c>
      <c r="L294">
        <v>0.34838306903839111</v>
      </c>
      <c r="M294" s="10">
        <v>2.6049219732379503E-2</v>
      </c>
    </row>
    <row r="295" spans="9:13" x14ac:dyDescent="0.35">
      <c r="I295">
        <v>291</v>
      </c>
      <c r="J295" s="7">
        <v>6.1568502336740494E-2</v>
      </c>
      <c r="K295">
        <v>2.3892324417829514E-2</v>
      </c>
      <c r="L295">
        <v>0.33933460712432861</v>
      </c>
      <c r="M295" s="10">
        <v>2.6054556807001528E-2</v>
      </c>
    </row>
    <row r="296" spans="9:13" x14ac:dyDescent="0.35">
      <c r="I296">
        <v>292</v>
      </c>
      <c r="J296" s="7">
        <v>4.4358290731906891E-2</v>
      </c>
      <c r="K296">
        <v>1.8238158896565437E-2</v>
      </c>
      <c r="L296">
        <v>0.34352448582649231</v>
      </c>
      <c r="M296" s="10">
        <v>1.9610128477638211E-2</v>
      </c>
    </row>
    <row r="297" spans="9:13" x14ac:dyDescent="0.35">
      <c r="I297">
        <v>293</v>
      </c>
      <c r="J297" s="7">
        <v>5.9747844934463501E-2</v>
      </c>
      <c r="K297">
        <v>2.5123871862888336E-2</v>
      </c>
      <c r="L297">
        <v>0.37028735876083374</v>
      </c>
      <c r="M297" s="10">
        <v>2.5372804809367544E-2</v>
      </c>
    </row>
    <row r="298" spans="9:13" x14ac:dyDescent="0.35">
      <c r="I298">
        <v>294</v>
      </c>
      <c r="J298" s="7">
        <v>5.0707325339317322E-2</v>
      </c>
      <c r="K298">
        <v>2.0723294466733932E-2</v>
      </c>
      <c r="L298">
        <v>0.34952136874198914</v>
      </c>
      <c r="M298" s="10">
        <v>2.1987548315788974E-2</v>
      </c>
    </row>
    <row r="299" spans="9:13" x14ac:dyDescent="0.35">
      <c r="I299">
        <v>295</v>
      </c>
      <c r="J299" s="7">
        <v>7.2818301618099213E-2</v>
      </c>
      <c r="K299">
        <v>2.8261158615350723E-2</v>
      </c>
      <c r="L299">
        <v>0.34690672159194946</v>
      </c>
      <c r="M299" s="10">
        <v>3.026708637102371E-2</v>
      </c>
    </row>
    <row r="300" spans="9:13" x14ac:dyDescent="0.35">
      <c r="I300">
        <v>296</v>
      </c>
      <c r="J300" s="7">
        <v>4.2300820350646973E-2</v>
      </c>
      <c r="K300">
        <v>1.7592301592230797E-2</v>
      </c>
      <c r="L300">
        <v>0.34496498107910156</v>
      </c>
      <c r="M300" s="10">
        <v>1.8839700971209794E-2</v>
      </c>
    </row>
    <row r="301" spans="9:13" x14ac:dyDescent="0.35">
      <c r="I301">
        <v>297</v>
      </c>
      <c r="J301" s="7">
        <v>6.8769596517086029E-2</v>
      </c>
      <c r="K301">
        <v>2.5914203375577927E-2</v>
      </c>
      <c r="L301">
        <v>0.3332025408744812</v>
      </c>
      <c r="M301" s="10">
        <v>2.875103355021591E-2</v>
      </c>
    </row>
    <row r="302" spans="9:13" x14ac:dyDescent="0.35">
      <c r="I302">
        <v>298</v>
      </c>
      <c r="J302" s="7">
        <v>6.0982722789049149E-2</v>
      </c>
      <c r="K302">
        <v>2.5629404932260513E-2</v>
      </c>
      <c r="L302">
        <v>0.37107893824577332</v>
      </c>
      <c r="M302" s="10">
        <v>2.58352094568014E-2</v>
      </c>
    </row>
    <row r="303" spans="9:13" x14ac:dyDescent="0.35">
      <c r="I303">
        <v>299</v>
      </c>
      <c r="J303" s="7">
        <v>6.3515029847621918E-2</v>
      </c>
      <c r="K303">
        <v>2.5194484740495682E-2</v>
      </c>
      <c r="L303">
        <v>0.34943673014640808</v>
      </c>
      <c r="M303" s="10">
        <v>2.678344133922228E-2</v>
      </c>
    </row>
    <row r="304" spans="9:13" x14ac:dyDescent="0.35">
      <c r="I304">
        <v>300</v>
      </c>
      <c r="J304" s="7">
        <v>5.4093863815069199E-2</v>
      </c>
      <c r="K304">
        <v>2.2457899525761604E-2</v>
      </c>
      <c r="L304">
        <v>0.35970622301101685</v>
      </c>
      <c r="M304" s="10">
        <v>2.3255650358502078E-2</v>
      </c>
    </row>
    <row r="305" spans="9:13" x14ac:dyDescent="0.35">
      <c r="I305">
        <v>301</v>
      </c>
      <c r="J305" s="7">
        <v>5.4221801459789276E-2</v>
      </c>
      <c r="K305">
        <v>2.3290965706110001E-2</v>
      </c>
      <c r="L305">
        <v>0.37422153353691101</v>
      </c>
      <c r="M305" s="10">
        <v>2.3303557089747295E-2</v>
      </c>
    </row>
    <row r="306" spans="9:13" x14ac:dyDescent="0.35">
      <c r="I306">
        <v>302</v>
      </c>
      <c r="J306" s="7">
        <v>5.1373343914747238E-2</v>
      </c>
      <c r="K306">
        <v>2.1658668294548988E-2</v>
      </c>
      <c r="L306">
        <v>0.36319747567176819</v>
      </c>
      <c r="M306" s="10">
        <v>2.2236941471081573E-2</v>
      </c>
    </row>
    <row r="307" spans="9:13" x14ac:dyDescent="0.35">
      <c r="I307">
        <v>303</v>
      </c>
      <c r="J307" s="7">
        <v>5.7889524847269058E-2</v>
      </c>
      <c r="K307">
        <v>2.3757012560963631E-2</v>
      </c>
      <c r="L307">
        <v>0.35856249928474426</v>
      </c>
      <c r="M307" s="10">
        <v>2.4676949878009391E-2</v>
      </c>
    </row>
    <row r="308" spans="9:13" x14ac:dyDescent="0.35">
      <c r="I308">
        <v>304</v>
      </c>
      <c r="J308" s="7">
        <v>5.0713915377855301E-2</v>
      </c>
      <c r="K308">
        <v>2.1226871758699417E-2</v>
      </c>
      <c r="L308">
        <v>0.35940572619438171</v>
      </c>
      <c r="M308" s="10">
        <v>2.199001598045347E-2</v>
      </c>
    </row>
    <row r="309" spans="9:13" x14ac:dyDescent="0.35">
      <c r="I309">
        <v>305</v>
      </c>
      <c r="J309" s="7">
        <v>6.2386211007833481E-2</v>
      </c>
      <c r="K309">
        <v>2.5366231799125671E-2</v>
      </c>
      <c r="L309">
        <v>0.35851243138313293</v>
      </c>
      <c r="M309" s="10">
        <v>2.6360750887943429E-2</v>
      </c>
    </row>
    <row r="310" spans="9:13" x14ac:dyDescent="0.35">
      <c r="I310">
        <v>306</v>
      </c>
      <c r="J310" s="7">
        <v>5.1517188549041748E-2</v>
      </c>
      <c r="K310">
        <v>2.1934185177087784E-2</v>
      </c>
      <c r="L310">
        <v>0.367531418800354</v>
      </c>
      <c r="M310" s="10">
        <v>2.2290804634275574E-2</v>
      </c>
    </row>
    <row r="311" spans="9:13" x14ac:dyDescent="0.35">
      <c r="I311">
        <v>307</v>
      </c>
      <c r="J311" s="7">
        <v>5.2178431302309036E-2</v>
      </c>
      <c r="K311">
        <v>2.1943852305412292E-2</v>
      </c>
      <c r="L311">
        <v>0.36305907368659973</v>
      </c>
      <c r="M311" s="10">
        <v>2.2538409465034603E-2</v>
      </c>
    </row>
    <row r="312" spans="9:13" x14ac:dyDescent="0.35">
      <c r="I312">
        <v>308</v>
      </c>
      <c r="J312" s="7">
        <v>7.7539987862110138E-2</v>
      </c>
      <c r="K312">
        <v>2.7644876390695572E-2</v>
      </c>
      <c r="L312">
        <v>0.31783440709114075</v>
      </c>
      <c r="M312" s="10">
        <v>3.203513950668202E-2</v>
      </c>
    </row>
    <row r="313" spans="9:13" x14ac:dyDescent="0.35">
      <c r="I313">
        <v>309</v>
      </c>
      <c r="J313" s="7">
        <v>6.5138846635818481E-2</v>
      </c>
      <c r="K313">
        <v>2.3545853793621063E-2</v>
      </c>
      <c r="L313">
        <v>0.31541630625724792</v>
      </c>
      <c r="M313" s="10">
        <v>2.7391485630125167E-2</v>
      </c>
    </row>
    <row r="314" spans="9:13" x14ac:dyDescent="0.35">
      <c r="I314">
        <v>310</v>
      </c>
      <c r="J314" s="7">
        <v>5.6763660162687302E-2</v>
      </c>
      <c r="K314">
        <v>2.3409385234117508E-2</v>
      </c>
      <c r="L314">
        <v>0.35955020785331726</v>
      </c>
      <c r="M314" s="10">
        <v>2.4255365621235314E-2</v>
      </c>
    </row>
    <row r="315" spans="9:13" x14ac:dyDescent="0.35">
      <c r="I315">
        <v>311</v>
      </c>
      <c r="J315" s="7">
        <v>5.7431478053331375E-2</v>
      </c>
      <c r="K315">
        <v>2.3867389187216759E-2</v>
      </c>
      <c r="L315">
        <v>0.36334410309791565</v>
      </c>
      <c r="M315" s="10">
        <v>2.4505432536863103E-2</v>
      </c>
    </row>
    <row r="316" spans="9:13" x14ac:dyDescent="0.35">
      <c r="I316">
        <v>312</v>
      </c>
      <c r="J316" s="7">
        <v>5.1234669983386993E-2</v>
      </c>
      <c r="K316">
        <v>2.152244932949543E-2</v>
      </c>
      <c r="L316">
        <v>0.36152178049087524</v>
      </c>
      <c r="M316" s="10">
        <v>2.218501449700816E-2</v>
      </c>
    </row>
    <row r="317" spans="9:13" x14ac:dyDescent="0.35">
      <c r="I317">
        <v>313</v>
      </c>
      <c r="J317" s="7">
        <v>4.7286387532949448E-2</v>
      </c>
      <c r="K317">
        <v>1.9894896075129509E-2</v>
      </c>
      <c r="L317">
        <v>0.35728877782821655</v>
      </c>
      <c r="M317" s="10">
        <v>2.0706565314618008E-2</v>
      </c>
    </row>
    <row r="318" spans="9:13" x14ac:dyDescent="0.35">
      <c r="I318">
        <v>314</v>
      </c>
      <c r="J318" s="7">
        <v>8.4963776171207428E-2</v>
      </c>
      <c r="K318">
        <v>3.1138230115175247E-2</v>
      </c>
      <c r="L318">
        <v>0.33117914199829102</v>
      </c>
      <c r="M318" s="10">
        <v>3.481500490223044E-2</v>
      </c>
    </row>
    <row r="319" spans="9:13" x14ac:dyDescent="0.35">
      <c r="I319">
        <v>315</v>
      </c>
      <c r="J319" s="7">
        <v>6.0085583478212357E-2</v>
      </c>
      <c r="K319">
        <v>2.3894449695944786E-2</v>
      </c>
      <c r="L319">
        <v>0.34774482250213623</v>
      </c>
      <c r="M319" s="10">
        <v>2.5499272274685736E-2</v>
      </c>
    </row>
    <row r="320" spans="9:13" x14ac:dyDescent="0.35">
      <c r="I320">
        <v>316</v>
      </c>
      <c r="J320" s="7">
        <v>7.7243223786354065E-2</v>
      </c>
      <c r="K320">
        <v>2.8035864233970642E-2</v>
      </c>
      <c r="L320">
        <v>0.3241172730922699</v>
      </c>
      <c r="M320" s="10">
        <v>3.1924015084690449E-2</v>
      </c>
    </row>
    <row r="321" spans="9:13" x14ac:dyDescent="0.35">
      <c r="I321">
        <v>317</v>
      </c>
      <c r="J321" s="7">
        <v>5.6608233600854874E-2</v>
      </c>
      <c r="K321">
        <v>2.3958966135978699E-2</v>
      </c>
      <c r="L321">
        <v>0.37024590373039246</v>
      </c>
      <c r="M321" s="10">
        <v>2.4197165561805067E-2</v>
      </c>
    </row>
    <row r="322" spans="9:13" x14ac:dyDescent="0.35">
      <c r="I322">
        <v>318</v>
      </c>
      <c r="J322" s="7">
        <v>6.7466229200363159E-2</v>
      </c>
      <c r="K322">
        <v>2.6692232117056847E-2</v>
      </c>
      <c r="L322">
        <v>0.35117173194885254</v>
      </c>
      <c r="M322" s="10">
        <v>2.8262982766627864E-2</v>
      </c>
    </row>
    <row r="323" spans="9:13" x14ac:dyDescent="0.35">
      <c r="I323">
        <v>319</v>
      </c>
      <c r="J323" s="7">
        <v>5.7048812508583069E-2</v>
      </c>
      <c r="K323">
        <v>2.3905828595161438E-2</v>
      </c>
      <c r="L323">
        <v>0.36645510792732239</v>
      </c>
      <c r="M323" s="10">
        <v>2.4362141987399166E-2</v>
      </c>
    </row>
    <row r="324" spans="9:13" x14ac:dyDescent="0.35">
      <c r="I324">
        <v>320</v>
      </c>
      <c r="J324" s="7">
        <v>5.8340121060609818E-2</v>
      </c>
      <c r="K324">
        <v>2.3566557094454765E-2</v>
      </c>
      <c r="L324">
        <v>0.35252854228019714</v>
      </c>
      <c r="M324" s="10">
        <v>2.4845677321287396E-2</v>
      </c>
    </row>
    <row r="325" spans="9:13" x14ac:dyDescent="0.35">
      <c r="I325">
        <v>321</v>
      </c>
      <c r="J325" s="7">
        <v>6.0845226049423218E-2</v>
      </c>
      <c r="K325">
        <v>2.4462888017296791E-2</v>
      </c>
      <c r="L325">
        <v>0.35274562239646912</v>
      </c>
      <c r="M325" s="10">
        <v>2.5783723286591176E-2</v>
      </c>
    </row>
    <row r="326" spans="9:13" x14ac:dyDescent="0.35">
      <c r="I326">
        <v>322</v>
      </c>
      <c r="J326" s="7">
        <v>4.2790681123733521E-2</v>
      </c>
      <c r="K326">
        <v>1.7664236947894096E-2</v>
      </c>
      <c r="L326">
        <v>0.34269696474075317</v>
      </c>
      <c r="M326" s="10">
        <v>1.9023131176253649E-2</v>
      </c>
    </row>
    <row r="327" spans="9:13" x14ac:dyDescent="0.35">
      <c r="I327">
        <v>323</v>
      </c>
      <c r="J327" s="7">
        <v>5.7852957397699356E-2</v>
      </c>
      <c r="K327">
        <v>2.4434886872768402E-2</v>
      </c>
      <c r="L327">
        <v>0.37050631642341614</v>
      </c>
      <c r="M327" s="10">
        <v>2.4663257059271859E-2</v>
      </c>
    </row>
    <row r="328" spans="9:13" x14ac:dyDescent="0.35">
      <c r="I328">
        <v>324</v>
      </c>
      <c r="J328" s="7">
        <v>6.6239453852176666E-2</v>
      </c>
      <c r="K328">
        <v>2.50054020434618E-2</v>
      </c>
      <c r="L328">
        <v>0.33220988512039185</v>
      </c>
      <c r="M328" s="10">
        <v>2.7803612133125766E-2</v>
      </c>
    </row>
    <row r="329" spans="9:13" x14ac:dyDescent="0.35">
      <c r="I329">
        <v>325</v>
      </c>
      <c r="J329" s="7">
        <v>6.1218328773975372E-2</v>
      </c>
      <c r="K329">
        <v>2.5420725345611572E-2</v>
      </c>
      <c r="L329">
        <v>0.36624202132225037</v>
      </c>
      <c r="M329" s="10">
        <v>2.5923433002141172E-2</v>
      </c>
    </row>
    <row r="330" spans="9:13" x14ac:dyDescent="0.35">
      <c r="I330">
        <v>326</v>
      </c>
      <c r="J330" s="7">
        <v>5.4925538599491119E-2</v>
      </c>
      <c r="K330">
        <v>2.1851006895303726E-2</v>
      </c>
      <c r="L330">
        <v>0.34321022033691406</v>
      </c>
      <c r="M330" s="10">
        <v>2.3567074102998076E-2</v>
      </c>
    </row>
    <row r="331" spans="9:13" x14ac:dyDescent="0.35">
      <c r="I331">
        <v>327</v>
      </c>
      <c r="J331" s="7">
        <v>5.9024829417467117E-2</v>
      </c>
      <c r="K331">
        <v>2.3317841812968254E-2</v>
      </c>
      <c r="L331">
        <v>0.34422534704208374</v>
      </c>
      <c r="M331" s="10">
        <v>2.5102068935382582E-2</v>
      </c>
    </row>
    <row r="332" spans="9:13" x14ac:dyDescent="0.35">
      <c r="I332">
        <v>328</v>
      </c>
      <c r="J332" s="7">
        <v>6.4168691635131836E-2</v>
      </c>
      <c r="K332">
        <v>2.6015777140855789E-2</v>
      </c>
      <c r="L332">
        <v>0.35867610573768616</v>
      </c>
      <c r="M332" s="10">
        <v>2.7028207448900332E-2</v>
      </c>
    </row>
    <row r="333" spans="9:13" x14ac:dyDescent="0.35">
      <c r="I333">
        <v>329</v>
      </c>
      <c r="J333" s="7">
        <v>6.4136132597923279E-2</v>
      </c>
      <c r="K333">
        <v>2.5992365553975105E-2</v>
      </c>
      <c r="L333">
        <v>0.35849317908287048</v>
      </c>
      <c r="M333" s="10">
        <v>2.7016015595215936E-2</v>
      </c>
    </row>
    <row r="334" spans="9:13" x14ac:dyDescent="0.35">
      <c r="I334">
        <v>330</v>
      </c>
      <c r="J334" s="7">
        <v>5.5381815880537033E-2</v>
      </c>
      <c r="K334">
        <v>2.3058362305164337E-2</v>
      </c>
      <c r="L334">
        <v>0.36218318343162537</v>
      </c>
      <c r="M334" s="10">
        <v>2.3737928843400646E-2</v>
      </c>
    </row>
    <row r="335" spans="9:13" x14ac:dyDescent="0.35">
      <c r="I335">
        <v>331</v>
      </c>
      <c r="J335" s="7">
        <v>8.239089697599411E-2</v>
      </c>
      <c r="K335">
        <v>3.0721381306648254E-2</v>
      </c>
      <c r="L335">
        <v>0.33646169304847717</v>
      </c>
      <c r="M335" s="10">
        <v>3.3851580630967826E-2</v>
      </c>
    </row>
    <row r="336" spans="9:13" x14ac:dyDescent="0.35">
      <c r="I336">
        <v>332</v>
      </c>
      <c r="J336" s="7">
        <v>5.99946528673172E-2</v>
      </c>
      <c r="K336">
        <v>2.485540509223938E-2</v>
      </c>
      <c r="L336">
        <v>0.36428922414779663</v>
      </c>
      <c r="M336" s="10">
        <v>2.5465222966152279E-2</v>
      </c>
    </row>
    <row r="337" spans="9:13" x14ac:dyDescent="0.35">
      <c r="I337">
        <v>333</v>
      </c>
      <c r="J337" s="7">
        <v>5.0547681748867035E-2</v>
      </c>
      <c r="K337">
        <v>2.1705817431211472E-2</v>
      </c>
      <c r="L337">
        <v>0.37006282806396484</v>
      </c>
      <c r="M337" s="10">
        <v>2.1927769174165279E-2</v>
      </c>
    </row>
    <row r="338" spans="9:13" x14ac:dyDescent="0.35">
      <c r="I338">
        <v>334</v>
      </c>
      <c r="J338" s="7">
        <v>5.9617631137371063E-2</v>
      </c>
      <c r="K338">
        <v>2.5225723162293434E-2</v>
      </c>
      <c r="L338">
        <v>0.37280452251434326</v>
      </c>
      <c r="M338" s="10">
        <v>2.5324045764323566E-2</v>
      </c>
    </row>
    <row r="339" spans="9:13" x14ac:dyDescent="0.35">
      <c r="I339">
        <v>335</v>
      </c>
      <c r="J339" s="7">
        <v>5.8263737708330154E-2</v>
      </c>
      <c r="K339">
        <v>2.4586020037531853E-2</v>
      </c>
      <c r="L339">
        <v>0.37048807740211487</v>
      </c>
      <c r="M339" s="10">
        <v>2.4817075288341761E-2</v>
      </c>
    </row>
    <row r="340" spans="9:13" x14ac:dyDescent="0.35">
      <c r="I340">
        <v>336</v>
      </c>
      <c r="J340" s="7">
        <v>6.9031082093715668E-2</v>
      </c>
      <c r="K340">
        <v>2.4457523599267006E-2</v>
      </c>
      <c r="L340">
        <v>0.31083858013153076</v>
      </c>
      <c r="M340" s="10">
        <v>2.8848947805801162E-2</v>
      </c>
    </row>
    <row r="341" spans="9:13" x14ac:dyDescent="0.35">
      <c r="I341">
        <v>337</v>
      </c>
      <c r="J341" s="7">
        <v>5.8986350893974304E-2</v>
      </c>
      <c r="K341">
        <v>2.223297581076622E-2</v>
      </c>
      <c r="L341">
        <v>0.32605805993080139</v>
      </c>
      <c r="M341" s="10">
        <v>2.5087660507841836E-2</v>
      </c>
    </row>
    <row r="342" spans="9:13" x14ac:dyDescent="0.35">
      <c r="I342">
        <v>338</v>
      </c>
      <c r="J342" s="7">
        <v>5.5418573319911957E-2</v>
      </c>
      <c r="K342">
        <v>2.311427891254425E-2</v>
      </c>
      <c r="L342">
        <v>0.36295193433761597</v>
      </c>
      <c r="M342" s="10">
        <v>2.3751692804533819E-2</v>
      </c>
    </row>
    <row r="343" spans="9:13" x14ac:dyDescent="0.35">
      <c r="I343">
        <v>339</v>
      </c>
      <c r="J343" s="7">
        <v>6.1870556324720383E-2</v>
      </c>
      <c r="K343">
        <v>2.594340592622757E-2</v>
      </c>
      <c r="L343">
        <v>0.37082916498184204</v>
      </c>
      <c r="M343" s="10">
        <v>2.6167662056479579E-2</v>
      </c>
    </row>
    <row r="344" spans="9:13" x14ac:dyDescent="0.35">
      <c r="I344">
        <v>340</v>
      </c>
      <c r="J344" s="7">
        <v>7.1591630578041077E-2</v>
      </c>
      <c r="K344">
        <v>2.8195774182677269E-2</v>
      </c>
      <c r="L344">
        <v>0.35193741321563721</v>
      </c>
      <c r="M344" s="10">
        <v>2.9807754796091768E-2</v>
      </c>
    </row>
    <row r="345" spans="9:13" x14ac:dyDescent="0.35">
      <c r="I345">
        <v>341</v>
      </c>
      <c r="J345" s="7">
        <v>6.6787682473659515E-2</v>
      </c>
      <c r="K345">
        <v>2.5812286883592606E-2</v>
      </c>
      <c r="L345">
        <v>0.34156426787376404</v>
      </c>
      <c r="M345" s="10">
        <v>2.8008898398069748E-2</v>
      </c>
    </row>
    <row r="346" spans="9:13" x14ac:dyDescent="0.35">
      <c r="I346">
        <v>342</v>
      </c>
      <c r="J346" s="7">
        <v>4.3304409831762314E-2</v>
      </c>
      <c r="K346">
        <v>1.7957268282771111E-2</v>
      </c>
      <c r="L346">
        <v>0.34539827704429626</v>
      </c>
      <c r="M346" s="10">
        <v>1.9215498819118548E-2</v>
      </c>
    </row>
    <row r="347" spans="9:13" x14ac:dyDescent="0.35">
      <c r="I347">
        <v>343</v>
      </c>
      <c r="J347" s="7">
        <v>6.1497189104557037E-2</v>
      </c>
      <c r="K347">
        <v>2.3218384012579918E-2</v>
      </c>
      <c r="L347">
        <v>0.32876923680305481</v>
      </c>
      <c r="M347" s="10">
        <v>2.6027853299555259E-2</v>
      </c>
    </row>
    <row r="348" spans="9:13" x14ac:dyDescent="0.35">
      <c r="I348">
        <v>344</v>
      </c>
      <c r="J348" s="7">
        <v>6.6308505833148956E-2</v>
      </c>
      <c r="K348">
        <v>2.725040540099144E-2</v>
      </c>
      <c r="L348">
        <v>0.36572089791297913</v>
      </c>
      <c r="M348" s="10">
        <v>2.782946890656901E-2</v>
      </c>
    </row>
    <row r="349" spans="9:13" x14ac:dyDescent="0.35">
      <c r="I349">
        <v>345</v>
      </c>
      <c r="J349" s="7">
        <v>5.3687874227762222E-2</v>
      </c>
      <c r="K349">
        <v>2.1677074953913689E-2</v>
      </c>
      <c r="L349">
        <v>0.34788256883621216</v>
      </c>
      <c r="M349" s="10">
        <v>2.3103626033761482E-2</v>
      </c>
    </row>
    <row r="350" spans="9:13" x14ac:dyDescent="0.35">
      <c r="I350">
        <v>346</v>
      </c>
      <c r="J350" s="7">
        <v>5.7573698461055756E-2</v>
      </c>
      <c r="K350">
        <v>2.4437125772237778E-2</v>
      </c>
      <c r="L350">
        <v>0.37234234809875488</v>
      </c>
      <c r="M350" s="10">
        <v>2.4558687502321819E-2</v>
      </c>
    </row>
    <row r="351" spans="9:13" x14ac:dyDescent="0.35">
      <c r="I351">
        <v>347</v>
      </c>
      <c r="J351" s="7">
        <v>5.7398192584514618E-2</v>
      </c>
      <c r="K351">
        <v>2.4339478462934494E-2</v>
      </c>
      <c r="L351">
        <v>0.37177962064743042</v>
      </c>
      <c r="M351" s="10">
        <v>2.449296866813655E-2</v>
      </c>
    </row>
    <row r="352" spans="9:13" x14ac:dyDescent="0.35">
      <c r="I352">
        <v>348</v>
      </c>
      <c r="J352" s="7">
        <v>5.3230889141559601E-2</v>
      </c>
      <c r="K352">
        <v>2.0796783268451691E-2</v>
      </c>
      <c r="L352">
        <v>0.33433187007904053</v>
      </c>
      <c r="M352" s="10">
        <v>2.2932506253061424E-2</v>
      </c>
    </row>
    <row r="353" spans="9:13" x14ac:dyDescent="0.35">
      <c r="I353">
        <v>349</v>
      </c>
      <c r="J353" s="7">
        <v>5.3057152777910233E-2</v>
      </c>
      <c r="K353">
        <v>2.1831637248396873E-2</v>
      </c>
      <c r="L353">
        <v>0.35493117570877075</v>
      </c>
      <c r="M353" s="10">
        <v>2.2867450019619873E-2</v>
      </c>
    </row>
    <row r="354" spans="9:13" x14ac:dyDescent="0.35">
      <c r="I354">
        <v>350</v>
      </c>
      <c r="J354" s="7">
        <v>7.2045989334583282E-2</v>
      </c>
      <c r="K354">
        <v>2.8162868693470955E-2</v>
      </c>
      <c r="L354">
        <v>0.34926119446754456</v>
      </c>
      <c r="M354" s="10">
        <v>2.9977891137793256E-2</v>
      </c>
    </row>
    <row r="355" spans="9:13" x14ac:dyDescent="0.35">
      <c r="I355">
        <v>351</v>
      </c>
      <c r="J355" s="7">
        <v>5.9226386249065399E-2</v>
      </c>
      <c r="K355">
        <v>2.4028941988945007E-2</v>
      </c>
      <c r="L355">
        <v>0.35506036877632141</v>
      </c>
      <c r="M355" s="10">
        <v>2.5177542647464302E-2</v>
      </c>
    </row>
    <row r="356" spans="9:13" x14ac:dyDescent="0.35">
      <c r="I356">
        <v>352</v>
      </c>
      <c r="J356" s="7">
        <v>6.1718873679637909E-2</v>
      </c>
      <c r="K356">
        <v>2.403990738093853E-2</v>
      </c>
      <c r="L356">
        <v>0.34089908003807068</v>
      </c>
      <c r="M356" s="10">
        <v>2.6110863920728145E-2</v>
      </c>
    </row>
    <row r="357" spans="9:13" x14ac:dyDescent="0.35">
      <c r="I357">
        <v>353</v>
      </c>
      <c r="J357" s="7">
        <v>4.8963919281959534E-2</v>
      </c>
      <c r="K357">
        <v>1.9083740189671516E-2</v>
      </c>
      <c r="L357">
        <v>0.32848146557807922</v>
      </c>
      <c r="M357" s="10">
        <v>2.133472337420228E-2</v>
      </c>
    </row>
    <row r="358" spans="9:13" x14ac:dyDescent="0.35">
      <c r="I358">
        <v>354</v>
      </c>
      <c r="J358" s="7">
        <v>5.2435778081417084E-2</v>
      </c>
      <c r="K358">
        <v>2.2151606157422066E-2</v>
      </c>
      <c r="L358">
        <v>0.36523929238319397</v>
      </c>
      <c r="M358" s="10">
        <v>2.2634773932354024E-2</v>
      </c>
    </row>
    <row r="359" spans="9:13" x14ac:dyDescent="0.35">
      <c r="I359">
        <v>355</v>
      </c>
      <c r="J359" s="7">
        <v>5.1178727298974991E-2</v>
      </c>
      <c r="K359">
        <v>2.1952928975224495E-2</v>
      </c>
      <c r="L359">
        <v>0.37032824754714966</v>
      </c>
      <c r="M359" s="10">
        <v>2.2164066548864159E-2</v>
      </c>
    </row>
    <row r="360" spans="9:13" x14ac:dyDescent="0.35">
      <c r="I360">
        <v>356</v>
      </c>
      <c r="J360" s="7">
        <v>6.1588414013385773E-2</v>
      </c>
      <c r="K360">
        <v>2.4520678445696831E-2</v>
      </c>
      <c r="L360">
        <v>0.34942737221717834</v>
      </c>
      <c r="M360" s="10">
        <v>2.6062012809054513E-2</v>
      </c>
    </row>
    <row r="361" spans="9:13" x14ac:dyDescent="0.35">
      <c r="I361">
        <v>357</v>
      </c>
      <c r="J361" s="7">
        <v>5.8748077601194382E-2</v>
      </c>
      <c r="K361">
        <v>2.2984504699707031E-2</v>
      </c>
      <c r="L361">
        <v>0.34017291665077209</v>
      </c>
      <c r="M361" s="10">
        <v>2.4998438179065219E-2</v>
      </c>
    </row>
    <row r="362" spans="9:13" x14ac:dyDescent="0.35">
      <c r="I362">
        <v>358</v>
      </c>
      <c r="J362" s="7">
        <v>5.290631577372551E-2</v>
      </c>
      <c r="K362">
        <v>2.1992700174450874E-2</v>
      </c>
      <c r="L362">
        <v>0.35898739099502563</v>
      </c>
      <c r="M362" s="10">
        <v>2.2810968537276488E-2</v>
      </c>
    </row>
    <row r="363" spans="9:13" x14ac:dyDescent="0.35">
      <c r="I363">
        <v>359</v>
      </c>
      <c r="J363" s="7">
        <v>6.7723236978054047E-2</v>
      </c>
      <c r="K363">
        <v>2.678336389362812E-2</v>
      </c>
      <c r="L363">
        <v>0.35118469595909119</v>
      </c>
      <c r="M363" s="10">
        <v>2.8359220293594278E-2</v>
      </c>
    </row>
    <row r="364" spans="9:13" x14ac:dyDescent="0.35">
      <c r="I364">
        <v>360</v>
      </c>
      <c r="J364" s="7">
        <v>6.1793122440576553E-2</v>
      </c>
      <c r="K364">
        <v>2.4251749739050865E-2</v>
      </c>
      <c r="L364">
        <v>0.34391772747039795</v>
      </c>
      <c r="M364" s="10">
        <v>2.6138666647934516E-2</v>
      </c>
    </row>
    <row r="365" spans="9:13" x14ac:dyDescent="0.35">
      <c r="I365">
        <v>361</v>
      </c>
      <c r="J365" s="7">
        <v>8.7700381875038147E-2</v>
      </c>
      <c r="K365">
        <v>3.0969956889748573E-2</v>
      </c>
      <c r="L365">
        <v>0.31892627477645874</v>
      </c>
      <c r="M365" s="10">
        <v>3.5839737179148567E-2</v>
      </c>
    </row>
    <row r="366" spans="9:13" x14ac:dyDescent="0.35">
      <c r="I366">
        <v>362</v>
      </c>
      <c r="J366" s="7">
        <v>4.9077503383159637E-2</v>
      </c>
      <c r="K366">
        <v>2.0295089110732079E-2</v>
      </c>
      <c r="L366">
        <v>0.35240361094474792</v>
      </c>
      <c r="M366" s="10">
        <v>2.1377255367204251E-2</v>
      </c>
    </row>
    <row r="367" spans="9:13" x14ac:dyDescent="0.35">
      <c r="I367">
        <v>363</v>
      </c>
      <c r="J367" s="7">
        <v>6.5417580306529999E-2</v>
      </c>
      <c r="K367">
        <v>2.3756310343742371E-2</v>
      </c>
      <c r="L367">
        <v>0.31728947162628174</v>
      </c>
      <c r="M367" s="10">
        <v>2.7495858499275494E-2</v>
      </c>
    </row>
    <row r="368" spans="9:13" x14ac:dyDescent="0.35">
      <c r="I368">
        <v>364</v>
      </c>
      <c r="J368" s="7">
        <v>4.4732414186000824E-2</v>
      </c>
      <c r="K368">
        <v>1.8306907266378403E-2</v>
      </c>
      <c r="L368">
        <v>0.3421882688999176</v>
      </c>
      <c r="M368" s="10">
        <v>1.9750220409196162E-2</v>
      </c>
    </row>
    <row r="369" spans="9:13" x14ac:dyDescent="0.35">
      <c r="I369">
        <v>365</v>
      </c>
      <c r="J369" s="7">
        <v>5.4711628705263138E-2</v>
      </c>
      <c r="K369">
        <v>2.3222560063004494E-2</v>
      </c>
      <c r="L369">
        <v>0.36962085962295532</v>
      </c>
      <c r="M369" s="10">
        <v>2.3486974740250743E-2</v>
      </c>
    </row>
    <row r="370" spans="9:13" x14ac:dyDescent="0.35">
      <c r="I370">
        <v>366</v>
      </c>
      <c r="J370" s="7">
        <v>4.9467969685792923E-2</v>
      </c>
      <c r="K370">
        <v>2.1080976352095604E-2</v>
      </c>
      <c r="L370">
        <v>0.36550876498222351</v>
      </c>
      <c r="M370" s="10">
        <v>2.152346693973628E-2</v>
      </c>
    </row>
    <row r="371" spans="9:13" x14ac:dyDescent="0.35">
      <c r="I371">
        <v>367</v>
      </c>
      <c r="J371" s="7">
        <v>4.6728901565074921E-2</v>
      </c>
      <c r="K371">
        <v>1.979123055934906E-2</v>
      </c>
      <c r="L371">
        <v>0.35933288931846619</v>
      </c>
      <c r="M371" s="10">
        <v>2.0497812601572685E-2</v>
      </c>
    </row>
    <row r="372" spans="9:13" x14ac:dyDescent="0.35">
      <c r="I372">
        <v>368</v>
      </c>
      <c r="J372" s="7">
        <v>5.524396151304245E-2</v>
      </c>
      <c r="K372">
        <v>2.297627367079258E-2</v>
      </c>
      <c r="L372">
        <v>0.36160102486610413</v>
      </c>
      <c r="M372" s="10">
        <v>2.3686308758092744E-2</v>
      </c>
    </row>
    <row r="373" spans="9:13" x14ac:dyDescent="0.35">
      <c r="I373">
        <v>369</v>
      </c>
      <c r="J373" s="7">
        <v>5.0453078001737595E-2</v>
      </c>
      <c r="K373">
        <v>2.1561257541179657E-2</v>
      </c>
      <c r="L373">
        <v>0.36789149045944214</v>
      </c>
      <c r="M373" s="10">
        <v>2.1892344445982759E-2</v>
      </c>
    </row>
    <row r="374" spans="9:13" x14ac:dyDescent="0.35">
      <c r="I374">
        <v>370</v>
      </c>
      <c r="J374" s="7">
        <v>6.2156729400157928E-2</v>
      </c>
      <c r="K374">
        <v>2.5866368785500526E-2</v>
      </c>
      <c r="L374">
        <v>0.36788243055343628</v>
      </c>
      <c r="M374" s="10">
        <v>2.6274820638651386E-2</v>
      </c>
    </row>
    <row r="375" spans="9:13" x14ac:dyDescent="0.35">
      <c r="I375">
        <v>371</v>
      </c>
      <c r="J375" s="7">
        <v>4.7528736293315887E-2</v>
      </c>
      <c r="K375">
        <v>1.9989235326647758E-2</v>
      </c>
      <c r="L375">
        <v>0.35745185613632202</v>
      </c>
      <c r="M375" s="10">
        <v>2.0797313717528576E-2</v>
      </c>
    </row>
    <row r="376" spans="9:13" x14ac:dyDescent="0.35">
      <c r="I376">
        <v>372</v>
      </c>
      <c r="J376" s="7">
        <v>6.7985430359840393E-2</v>
      </c>
      <c r="K376">
        <v>2.7427595108747482E-2</v>
      </c>
      <c r="L376">
        <v>0.35930633544921875</v>
      </c>
      <c r="M376" s="10">
        <v>2.8457399589477017E-2</v>
      </c>
    </row>
    <row r="377" spans="9:13" x14ac:dyDescent="0.35">
      <c r="I377">
        <v>373</v>
      </c>
      <c r="J377" s="7">
        <v>7.1489281952381134E-2</v>
      </c>
      <c r="K377">
        <v>2.5243630632758141E-2</v>
      </c>
      <c r="L377">
        <v>0.31114637851715088</v>
      </c>
      <c r="M377" s="10">
        <v>2.9769429969075167E-2</v>
      </c>
    </row>
    <row r="378" spans="9:13" x14ac:dyDescent="0.35">
      <c r="I378">
        <v>374</v>
      </c>
      <c r="J378" s="7">
        <v>6.4097650349140167E-2</v>
      </c>
      <c r="K378">
        <v>2.6657268404960632E-2</v>
      </c>
      <c r="L378">
        <v>0.36908167600631714</v>
      </c>
      <c r="M378" s="10">
        <v>2.7001605772726256E-2</v>
      </c>
    </row>
    <row r="379" spans="9:13" x14ac:dyDescent="0.35">
      <c r="I379">
        <v>375</v>
      </c>
      <c r="J379" s="7">
        <v>6.4597293734550476E-2</v>
      </c>
      <c r="K379">
        <v>2.6345815509557724E-2</v>
      </c>
      <c r="L379">
        <v>0.36140546202659607</v>
      </c>
      <c r="M379" s="10">
        <v>2.7188699113671166E-2</v>
      </c>
    </row>
    <row r="380" spans="9:13" x14ac:dyDescent="0.35">
      <c r="I380">
        <v>376</v>
      </c>
      <c r="J380" s="7">
        <v>5.8640055358409882E-2</v>
      </c>
      <c r="K380">
        <v>2.2581573575735092E-2</v>
      </c>
      <c r="L380">
        <v>0.33392828702926636</v>
      </c>
      <c r="M380" s="10">
        <v>2.4957988844821921E-2</v>
      </c>
    </row>
    <row r="381" spans="9:13" x14ac:dyDescent="0.35">
      <c r="I381">
        <v>377</v>
      </c>
      <c r="J381" s="7">
        <v>5.7414311915636063E-2</v>
      </c>
      <c r="K381">
        <v>2.4111205711960793E-2</v>
      </c>
      <c r="L381">
        <v>0.36769935488700867</v>
      </c>
      <c r="M381" s="10">
        <v>2.449900461217458E-2</v>
      </c>
    </row>
    <row r="382" spans="9:13" x14ac:dyDescent="0.35">
      <c r="I382">
        <v>378</v>
      </c>
      <c r="J382" s="7">
        <v>6.5187364816665649E-2</v>
      </c>
      <c r="K382">
        <v>2.6287099346518517E-2</v>
      </c>
      <c r="L382">
        <v>0.35723331570625305</v>
      </c>
      <c r="M382" s="10">
        <v>2.7409653445043425E-2</v>
      </c>
    </row>
    <row r="383" spans="9:13" x14ac:dyDescent="0.35">
      <c r="I383">
        <v>379</v>
      </c>
      <c r="J383" s="7">
        <v>6.2522351741790771E-2</v>
      </c>
      <c r="K383">
        <v>2.5396574288606644E-2</v>
      </c>
      <c r="L383">
        <v>0.35821709036827087</v>
      </c>
      <c r="M383" s="10">
        <v>2.6411729296741626E-2</v>
      </c>
    </row>
    <row r="384" spans="9:13" x14ac:dyDescent="0.35">
      <c r="I384">
        <v>380</v>
      </c>
      <c r="J384" s="7">
        <v>6.7552909255027771E-2</v>
      </c>
      <c r="K384">
        <v>2.5900760665535927E-2</v>
      </c>
      <c r="L384">
        <v>0.33900481462478638</v>
      </c>
      <c r="M384" s="10">
        <v>2.8295440438427466E-2</v>
      </c>
    </row>
    <row r="385" spans="9:13" x14ac:dyDescent="0.35">
      <c r="I385">
        <v>381</v>
      </c>
      <c r="J385" s="7">
        <v>5.9464685618877411E-2</v>
      </c>
      <c r="K385">
        <v>2.5003518909215927E-2</v>
      </c>
      <c r="L385">
        <v>0.37002664804458618</v>
      </c>
      <c r="M385" s="10">
        <v>2.5266774740883458E-2</v>
      </c>
    </row>
    <row r="386" spans="9:13" x14ac:dyDescent="0.35">
      <c r="I386">
        <v>382</v>
      </c>
      <c r="J386" s="7">
        <v>5.5310089141130447E-2</v>
      </c>
      <c r="K386">
        <v>2.3051885887980461E-2</v>
      </c>
      <c r="L386">
        <v>0.36253577470779419</v>
      </c>
      <c r="M386" s="10">
        <v>2.3711070496622688E-2</v>
      </c>
    </row>
    <row r="387" spans="9:13" x14ac:dyDescent="0.35">
      <c r="I387">
        <v>383</v>
      </c>
      <c r="J387" s="7">
        <v>6.223655492067337E-2</v>
      </c>
      <c r="K387">
        <v>2.5583837181329727E-2</v>
      </c>
      <c r="L387">
        <v>0.36287093162536621</v>
      </c>
      <c r="M387" s="10">
        <v>2.6304711604412168E-2</v>
      </c>
    </row>
    <row r="388" spans="9:13" x14ac:dyDescent="0.35">
      <c r="I388">
        <v>384</v>
      </c>
      <c r="J388" s="7">
        <v>5.3323127329349518E-2</v>
      </c>
      <c r="K388">
        <v>2.2200804203748703E-2</v>
      </c>
      <c r="L388">
        <v>0.36008399724960327</v>
      </c>
      <c r="M388" s="10">
        <v>2.2967045188670765E-2</v>
      </c>
    </row>
    <row r="389" spans="9:13" x14ac:dyDescent="0.35">
      <c r="I389">
        <v>385</v>
      </c>
      <c r="J389" s="7">
        <v>4.6560242772102356E-2</v>
      </c>
      <c r="K389">
        <v>2.0006593316793442E-2</v>
      </c>
      <c r="L389">
        <v>0.36525997519493103</v>
      </c>
      <c r="M389" s="10">
        <v>2.0434657683528368E-2</v>
      </c>
    </row>
    <row r="390" spans="9:13" x14ac:dyDescent="0.35">
      <c r="I390">
        <v>386</v>
      </c>
      <c r="J390" s="7">
        <v>5.5432181805372238E-2</v>
      </c>
      <c r="K390">
        <v>2.2940261289477348E-2</v>
      </c>
      <c r="L390">
        <v>0.3597235381603241</v>
      </c>
      <c r="M390" s="10">
        <v>2.3756788552990238E-2</v>
      </c>
    </row>
    <row r="391" spans="9:13" x14ac:dyDescent="0.35">
      <c r="I391">
        <v>387</v>
      </c>
      <c r="J391" s="7">
        <v>5.3008943796157837E-2</v>
      </c>
      <c r="K391">
        <v>2.2068900987505913E-2</v>
      </c>
      <c r="L391">
        <v>0.35972988605499268</v>
      </c>
      <c r="M391" s="10">
        <v>2.2849397985463149E-2</v>
      </c>
    </row>
    <row r="392" spans="9:13" x14ac:dyDescent="0.35">
      <c r="I392">
        <v>388</v>
      </c>
      <c r="J392" s="7">
        <v>6.4808107912540436E-2</v>
      </c>
      <c r="K392">
        <v>2.6389852166175842E-2</v>
      </c>
      <c r="L392">
        <v>0.36090934276580811</v>
      </c>
      <c r="M392" s="10">
        <v>2.7267639273854227E-2</v>
      </c>
    </row>
    <row r="393" spans="9:13" x14ac:dyDescent="0.35">
      <c r="I393">
        <v>389</v>
      </c>
      <c r="J393" s="7">
        <v>6.1615761369466782E-2</v>
      </c>
      <c r="K393">
        <v>2.5608686730265617E-2</v>
      </c>
      <c r="L393">
        <v>0.36693024635314941</v>
      </c>
      <c r="M393" s="10">
        <v>2.6072253129180045E-2</v>
      </c>
    </row>
    <row r="394" spans="9:13" x14ac:dyDescent="0.35">
      <c r="I394">
        <v>390</v>
      </c>
      <c r="J394" s="7">
        <v>5.6797057390213013E-2</v>
      </c>
      <c r="K394">
        <v>2.4060588330030441E-2</v>
      </c>
      <c r="L394">
        <v>0.37080422043800354</v>
      </c>
      <c r="M394" s="10">
        <v>2.4267871338429892E-2</v>
      </c>
    </row>
    <row r="395" spans="9:13" x14ac:dyDescent="0.35">
      <c r="I395">
        <v>391</v>
      </c>
      <c r="J395" s="7">
        <v>6.8360120058059692E-2</v>
      </c>
      <c r="K395">
        <v>2.6869894936680794E-2</v>
      </c>
      <c r="L395">
        <v>0.34917867183685303</v>
      </c>
      <c r="M395" s="10">
        <v>2.8597703553272957E-2</v>
      </c>
    </row>
    <row r="396" spans="9:13" x14ac:dyDescent="0.35">
      <c r="I396">
        <v>392</v>
      </c>
      <c r="J396" s="7">
        <v>5.9657365083694458E-2</v>
      </c>
      <c r="K396">
        <v>2.4978229776024818E-2</v>
      </c>
      <c r="L396">
        <v>0.36840763688087463</v>
      </c>
      <c r="M396" s="10">
        <v>2.5338924289655118E-2</v>
      </c>
    </row>
    <row r="397" spans="9:13" x14ac:dyDescent="0.35">
      <c r="I397">
        <v>393</v>
      </c>
      <c r="J397" s="7">
        <v>6.9337375462055206E-2</v>
      </c>
      <c r="K397">
        <v>2.4645593017339706E-2</v>
      </c>
      <c r="L397">
        <v>0.3121778666973114</v>
      </c>
      <c r="M397" s="10">
        <v>2.8963640507166266E-2</v>
      </c>
    </row>
    <row r="398" spans="9:13" x14ac:dyDescent="0.35">
      <c r="I398">
        <v>394</v>
      </c>
      <c r="J398" s="7">
        <v>5.4126854985952377E-2</v>
      </c>
      <c r="K398">
        <v>2.2590905427932739E-2</v>
      </c>
      <c r="L398">
        <v>0.3619442880153656</v>
      </c>
      <c r="M398" s="10">
        <v>2.3268004026262834E-2</v>
      </c>
    </row>
    <row r="399" spans="9:13" x14ac:dyDescent="0.35">
      <c r="I399">
        <v>395</v>
      </c>
      <c r="J399" s="7">
        <v>5.2999071776866913E-2</v>
      </c>
      <c r="K399">
        <v>2.2729182615876198E-2</v>
      </c>
      <c r="L399">
        <v>0.37225523591041565</v>
      </c>
      <c r="M399" s="10">
        <v>2.2845701370787674E-2</v>
      </c>
    </row>
    <row r="400" spans="9:13" x14ac:dyDescent="0.35">
      <c r="I400">
        <v>396</v>
      </c>
      <c r="J400" s="7">
        <v>7.0107199251651764E-2</v>
      </c>
      <c r="K400">
        <v>2.7729380875825882E-2</v>
      </c>
      <c r="L400">
        <v>0.35273668169975281</v>
      </c>
      <c r="M400" s="10">
        <v>2.9251903914508715E-2</v>
      </c>
    </row>
    <row r="401" spans="9:13" x14ac:dyDescent="0.35">
      <c r="I401">
        <v>397</v>
      </c>
      <c r="J401" s="7">
        <v>5.9146948158740997E-2</v>
      </c>
      <c r="K401">
        <v>2.5063289329409599E-2</v>
      </c>
      <c r="L401">
        <v>0.37302497029304504</v>
      </c>
      <c r="M401" s="10">
        <v>2.5147796756392671E-2</v>
      </c>
    </row>
    <row r="402" spans="9:13" x14ac:dyDescent="0.35">
      <c r="I402">
        <v>398</v>
      </c>
      <c r="J402" s="7">
        <v>5.6146726012229919E-2</v>
      </c>
      <c r="K402">
        <v>2.3587698116898537E-2</v>
      </c>
      <c r="L402">
        <v>0.36667674779891968</v>
      </c>
      <c r="M402" s="10">
        <v>2.4024352313098962E-2</v>
      </c>
    </row>
    <row r="403" spans="9:13" x14ac:dyDescent="0.35">
      <c r="I403">
        <v>399</v>
      </c>
      <c r="J403" s="7">
        <v>5.6487433612346649E-2</v>
      </c>
      <c r="K403">
        <v>2.3701554164290428E-2</v>
      </c>
      <c r="L403">
        <v>0.36648070812225342</v>
      </c>
      <c r="M403" s="10">
        <v>2.4151931552717665E-2</v>
      </c>
    </row>
    <row r="404" spans="9:13" x14ac:dyDescent="0.35">
      <c r="I404">
        <v>400</v>
      </c>
      <c r="J404" s="7">
        <v>6.2767274677753448E-2</v>
      </c>
      <c r="K404">
        <v>2.6188602671027184E-2</v>
      </c>
      <c r="L404">
        <v>0.36943778395652771</v>
      </c>
      <c r="M404" s="10">
        <v>2.6503441609365685E-2</v>
      </c>
    </row>
    <row r="405" spans="9:13" x14ac:dyDescent="0.35">
      <c r="I405">
        <v>401</v>
      </c>
      <c r="J405" s="7">
        <v>7.734990119934082E-2</v>
      </c>
      <c r="K405">
        <v>2.7674639597535133E-2</v>
      </c>
      <c r="L405">
        <v>0.31900027394294739</v>
      </c>
      <c r="M405" s="10">
        <v>3.1963960842368522E-2</v>
      </c>
    </row>
    <row r="406" spans="9:13" x14ac:dyDescent="0.35">
      <c r="I406">
        <v>402</v>
      </c>
      <c r="J406" s="7">
        <v>5.5221527814865112E-2</v>
      </c>
      <c r="K406">
        <v>2.1949561312794685E-2</v>
      </c>
      <c r="L406">
        <v>0.34315532445907593</v>
      </c>
      <c r="M406" s="10">
        <v>2.3677908375611345E-2</v>
      </c>
    </row>
    <row r="407" spans="9:13" x14ac:dyDescent="0.35">
      <c r="I407">
        <v>403</v>
      </c>
      <c r="J407" s="7">
        <v>5.9256356209516525E-2</v>
      </c>
      <c r="K407">
        <v>2.3904820904135704E-2</v>
      </c>
      <c r="L407">
        <v>0.35278612375259399</v>
      </c>
      <c r="M407" s="10">
        <v>2.5188765011639469E-2</v>
      </c>
    </row>
    <row r="408" spans="9:13" x14ac:dyDescent="0.35">
      <c r="I408">
        <v>404</v>
      </c>
      <c r="J408" s="7">
        <v>6.1183393001556396E-2</v>
      </c>
      <c r="K408">
        <v>2.4976314976811409E-2</v>
      </c>
      <c r="L408">
        <v>0.35918757319450378</v>
      </c>
      <c r="M408" s="10">
        <v>2.5910351171036794E-2</v>
      </c>
    </row>
    <row r="409" spans="9:13" x14ac:dyDescent="0.35">
      <c r="I409">
        <v>405</v>
      </c>
      <c r="J409" s="7">
        <v>5.5984023958444595E-2</v>
      </c>
      <c r="K409">
        <v>2.3947028443217278E-2</v>
      </c>
      <c r="L409">
        <v>0.37416082620620728</v>
      </c>
      <c r="M409" s="10">
        <v>2.3963427918400337E-2</v>
      </c>
    </row>
    <row r="410" spans="9:13" x14ac:dyDescent="0.35">
      <c r="I410">
        <v>406</v>
      </c>
      <c r="J410" s="7">
        <v>5.3402278572320938E-2</v>
      </c>
      <c r="K410">
        <v>2.2438934072852135E-2</v>
      </c>
      <c r="L410">
        <v>0.36400943994522095</v>
      </c>
      <c r="M410" s="10">
        <v>2.2996683668674467E-2</v>
      </c>
    </row>
    <row r="411" spans="9:13" x14ac:dyDescent="0.35">
      <c r="I411">
        <v>407</v>
      </c>
      <c r="J411" s="7">
        <v>5.7288404554128647E-2</v>
      </c>
      <c r="K411">
        <v>2.2469688206911087E-2</v>
      </c>
      <c r="L411">
        <v>0.3398539125919342</v>
      </c>
      <c r="M411" s="10">
        <v>2.4451858128098469E-2</v>
      </c>
    </row>
    <row r="412" spans="9:13" x14ac:dyDescent="0.35">
      <c r="I412">
        <v>408</v>
      </c>
      <c r="J412" s="7">
        <v>5.7320136576890945E-2</v>
      </c>
      <c r="K412">
        <v>2.2491997107863426E-2</v>
      </c>
      <c r="L412">
        <v>0.3400549590587616</v>
      </c>
      <c r="M412" s="10">
        <v>2.4463740303119486E-2</v>
      </c>
    </row>
    <row r="413" spans="9:13" x14ac:dyDescent="0.35">
      <c r="I413">
        <v>409</v>
      </c>
      <c r="J413" s="7">
        <v>5.9759777039289474E-2</v>
      </c>
      <c r="K413">
        <v>2.4535812437534332E-2</v>
      </c>
      <c r="L413">
        <v>0.36037304997444153</v>
      </c>
      <c r="M413" s="10">
        <v>2.5377272830803599E-2</v>
      </c>
    </row>
    <row r="414" spans="9:13" x14ac:dyDescent="0.35">
      <c r="I414">
        <v>410</v>
      </c>
      <c r="J414" s="7">
        <v>5.2351415157318115E-2</v>
      </c>
      <c r="K414">
        <v>2.2409182041883469E-2</v>
      </c>
      <c r="L414">
        <v>0.37074798345565796</v>
      </c>
      <c r="M414" s="10">
        <v>2.2603183918791458E-2</v>
      </c>
    </row>
    <row r="415" spans="9:13" x14ac:dyDescent="0.35">
      <c r="I415">
        <v>411</v>
      </c>
      <c r="J415" s="7">
        <v>6.2139999121427536E-2</v>
      </c>
      <c r="K415">
        <v>2.5051962584257126E-2</v>
      </c>
      <c r="L415">
        <v>0.35487547516822815</v>
      </c>
      <c r="M415" s="10">
        <v>2.6268555922988157E-2</v>
      </c>
    </row>
    <row r="416" spans="9:13" x14ac:dyDescent="0.35">
      <c r="I416">
        <v>412</v>
      </c>
      <c r="J416" s="7">
        <v>6.3269540667533875E-2</v>
      </c>
      <c r="K416">
        <v>2.5338685140013695E-2</v>
      </c>
      <c r="L416">
        <v>0.35307171940803528</v>
      </c>
      <c r="M416" s="10">
        <v>2.6691516994360232E-2</v>
      </c>
    </row>
    <row r="417" spans="9:13" x14ac:dyDescent="0.35">
      <c r="I417">
        <v>413</v>
      </c>
      <c r="J417" s="7">
        <v>5.7489491999149323E-2</v>
      </c>
      <c r="K417">
        <v>2.4486925452947617E-2</v>
      </c>
      <c r="L417">
        <v>0.37375396490097046</v>
      </c>
      <c r="M417" s="10">
        <v>2.4527156076614487E-2</v>
      </c>
    </row>
    <row r="418" spans="9:13" x14ac:dyDescent="0.35">
      <c r="I418">
        <v>414</v>
      </c>
      <c r="J418" s="7">
        <v>4.7079969197511673E-2</v>
      </c>
      <c r="K418">
        <v>1.8570559099316597E-2</v>
      </c>
      <c r="L418">
        <v>0.33072575926780701</v>
      </c>
      <c r="M418" s="10">
        <v>2.0629271194177234E-2</v>
      </c>
    </row>
    <row r="419" spans="9:13" x14ac:dyDescent="0.35">
      <c r="I419">
        <v>415</v>
      </c>
      <c r="J419" s="7">
        <v>5.9014070779085159E-2</v>
      </c>
      <c r="K419">
        <v>2.4542337283492088E-2</v>
      </c>
      <c r="L419">
        <v>0.36503729224205017</v>
      </c>
      <c r="M419" s="10">
        <v>2.5098040322860782E-2</v>
      </c>
    </row>
    <row r="420" spans="9:13" x14ac:dyDescent="0.35">
      <c r="I420">
        <v>416</v>
      </c>
      <c r="J420" s="7">
        <v>5.4215282201766968E-2</v>
      </c>
      <c r="K420">
        <v>2.2264612838625908E-2</v>
      </c>
      <c r="L420">
        <v>0.35533547401428223</v>
      </c>
      <c r="M420" s="10">
        <v>2.3301115929112548E-2</v>
      </c>
    </row>
    <row r="421" spans="9:13" x14ac:dyDescent="0.35">
      <c r="I421">
        <v>417</v>
      </c>
      <c r="J421" s="7">
        <v>4.8498362302780151E-2</v>
      </c>
      <c r="K421">
        <v>2.044130302965641E-2</v>
      </c>
      <c r="L421">
        <v>0.3596266508102417</v>
      </c>
      <c r="M421" s="10">
        <v>2.1160393816004763E-2</v>
      </c>
    </row>
    <row r="422" spans="9:13" x14ac:dyDescent="0.35">
      <c r="I422">
        <v>418</v>
      </c>
      <c r="J422" s="7">
        <v>5.0983238965272903E-2</v>
      </c>
      <c r="K422">
        <v>2.1388685330748558E-2</v>
      </c>
      <c r="L422">
        <v>0.36068099737167358</v>
      </c>
      <c r="M422" s="10">
        <v>2.2090865208596155E-2</v>
      </c>
    </row>
    <row r="423" spans="9:13" x14ac:dyDescent="0.35">
      <c r="I423">
        <v>419</v>
      </c>
      <c r="J423" s="7">
        <v>7.2917819023132324E-2</v>
      </c>
      <c r="K423">
        <v>2.8831291943788528E-2</v>
      </c>
      <c r="L423">
        <v>0.35425212979316711</v>
      </c>
      <c r="M423" s="10">
        <v>3.0304351036850363E-2</v>
      </c>
    </row>
    <row r="424" spans="9:13" x14ac:dyDescent="0.35">
      <c r="I424">
        <v>420</v>
      </c>
      <c r="J424" s="7">
        <v>6.9755859673023224E-2</v>
      </c>
      <c r="K424">
        <v>2.811802364885807E-2</v>
      </c>
      <c r="L424">
        <v>0.36008477210998535</v>
      </c>
      <c r="M424" s="10">
        <v>2.9120343490631972E-2</v>
      </c>
    </row>
    <row r="425" spans="9:13" x14ac:dyDescent="0.35">
      <c r="I425">
        <v>421</v>
      </c>
      <c r="J425" s="7">
        <v>6.0906410217285156E-2</v>
      </c>
      <c r="K425">
        <v>2.3820884525775909E-2</v>
      </c>
      <c r="L425">
        <v>0.34185045957565308</v>
      </c>
      <c r="M425" s="10">
        <v>2.5806633927885514E-2</v>
      </c>
    </row>
    <row r="426" spans="9:13" x14ac:dyDescent="0.35">
      <c r="I426">
        <v>422</v>
      </c>
      <c r="J426" s="7">
        <v>5.021141842007637E-2</v>
      </c>
      <c r="K426">
        <v>2.1650828421115875E-2</v>
      </c>
      <c r="L426">
        <v>0.37144595384597778</v>
      </c>
      <c r="M426" s="10">
        <v>2.1801854108625007E-2</v>
      </c>
    </row>
    <row r="427" spans="9:13" x14ac:dyDescent="0.35">
      <c r="I427">
        <v>423</v>
      </c>
      <c r="J427" s="7">
        <v>4.900854080915451E-2</v>
      </c>
      <c r="K427">
        <v>1.858803816139698E-2</v>
      </c>
      <c r="L427">
        <v>0.31806778907775879</v>
      </c>
      <c r="M427" s="10">
        <v>2.1351432072535426E-2</v>
      </c>
    </row>
    <row r="428" spans="9:13" x14ac:dyDescent="0.35">
      <c r="I428">
        <v>424</v>
      </c>
      <c r="J428" s="7">
        <v>7.0709019899368286E-2</v>
      </c>
      <c r="K428">
        <v>2.802516333758831E-2</v>
      </c>
      <c r="L428">
        <v>0.35391753911972046</v>
      </c>
      <c r="M428" s="10">
        <v>2.9477257914819255E-2</v>
      </c>
    </row>
    <row r="429" spans="9:13" x14ac:dyDescent="0.35">
      <c r="I429">
        <v>425</v>
      </c>
      <c r="J429" s="7">
        <v>7.1339108049869537E-2</v>
      </c>
      <c r="K429">
        <v>2.7855927124619484E-2</v>
      </c>
      <c r="L429">
        <v>0.34841936826705933</v>
      </c>
      <c r="M429" s="10">
        <v>2.971319678764206E-2</v>
      </c>
    </row>
    <row r="430" spans="9:13" x14ac:dyDescent="0.35">
      <c r="I430">
        <v>426</v>
      </c>
      <c r="J430" s="7">
        <v>6.6475018858909607E-2</v>
      </c>
      <c r="K430">
        <v>2.6092285290360451E-2</v>
      </c>
      <c r="L430">
        <v>0.34738290309906006</v>
      </c>
      <c r="M430" s="10">
        <v>2.7891820334027262E-2</v>
      </c>
    </row>
    <row r="431" spans="9:13" x14ac:dyDescent="0.35">
      <c r="I431">
        <v>427</v>
      </c>
      <c r="J431" s="7">
        <v>5.4730549454689026E-2</v>
      </c>
      <c r="K431">
        <v>2.1688178181648254E-2</v>
      </c>
      <c r="L431">
        <v>0.34145790338516235</v>
      </c>
      <c r="M431" s="10">
        <v>2.3494059685887247E-2</v>
      </c>
    </row>
    <row r="432" spans="9:13" x14ac:dyDescent="0.35">
      <c r="I432">
        <v>428</v>
      </c>
      <c r="J432" s="7">
        <v>7.4173517525196075E-2</v>
      </c>
      <c r="K432">
        <v>2.8212236240506172E-2</v>
      </c>
      <c r="L432">
        <v>0.33990886807441711</v>
      </c>
      <c r="M432" s="10">
        <v>3.0774552053877136E-2</v>
      </c>
    </row>
    <row r="433" spans="9:13" x14ac:dyDescent="0.35">
      <c r="I433">
        <v>429</v>
      </c>
      <c r="J433" s="7">
        <v>5.5126361548900604E-2</v>
      </c>
      <c r="K433">
        <v>2.3386381566524506E-2</v>
      </c>
      <c r="L433">
        <v>0.36981183290481567</v>
      </c>
      <c r="M433" s="10">
        <v>2.3642273010139769E-2</v>
      </c>
    </row>
    <row r="434" spans="9:13" x14ac:dyDescent="0.35">
      <c r="I434">
        <v>430</v>
      </c>
      <c r="J434" s="7">
        <v>7.0567503571510315E-2</v>
      </c>
      <c r="K434">
        <v>2.711130864918232E-2</v>
      </c>
      <c r="L434">
        <v>0.3416772186756134</v>
      </c>
      <c r="M434" s="10">
        <v>2.9424266594709092E-2</v>
      </c>
    </row>
    <row r="435" spans="9:13" x14ac:dyDescent="0.35">
      <c r="I435">
        <v>431</v>
      </c>
      <c r="J435" s="7">
        <v>5.8794442564249039E-2</v>
      </c>
      <c r="K435">
        <v>2.3648949339985847E-2</v>
      </c>
      <c r="L435">
        <v>0.35120579600334167</v>
      </c>
      <c r="M435" s="10">
        <v>2.5015799713499542E-2</v>
      </c>
    </row>
    <row r="436" spans="9:13" x14ac:dyDescent="0.35">
      <c r="I436">
        <v>432</v>
      </c>
      <c r="J436" s="7">
        <v>6.0306336730718613E-2</v>
      </c>
      <c r="K436">
        <v>2.4549635127186775E-2</v>
      </c>
      <c r="L436">
        <v>0.35733616352081299</v>
      </c>
      <c r="M436" s="10">
        <v>2.5581934158625086E-2</v>
      </c>
    </row>
    <row r="437" spans="9:13" x14ac:dyDescent="0.35">
      <c r="I437">
        <v>433</v>
      </c>
      <c r="J437" s="7">
        <v>5.3093168884515762E-2</v>
      </c>
      <c r="K437">
        <v>2.2618401795625687E-2</v>
      </c>
      <c r="L437">
        <v>0.36950895190238953</v>
      </c>
      <c r="M437" s="10">
        <v>2.2880936385915152E-2</v>
      </c>
    </row>
    <row r="438" spans="9:13" x14ac:dyDescent="0.35">
      <c r="I438">
        <v>434</v>
      </c>
      <c r="J438" s="7">
        <v>5.3448017686605453E-2</v>
      </c>
      <c r="K438">
        <v>2.2698722779750824E-2</v>
      </c>
      <c r="L438">
        <v>0.36855852603912354</v>
      </c>
      <c r="M438" s="10">
        <v>2.3013810851687855E-2</v>
      </c>
    </row>
    <row r="439" spans="9:13" x14ac:dyDescent="0.35">
      <c r="I439">
        <v>435</v>
      </c>
      <c r="J439" s="7">
        <v>5.210273340344429E-2</v>
      </c>
      <c r="K439">
        <v>2.2127527743577957E-2</v>
      </c>
      <c r="L439">
        <v>0.36711180210113525</v>
      </c>
      <c r="M439" s="10">
        <v>2.2510064102692851E-2</v>
      </c>
    </row>
    <row r="440" spans="9:13" x14ac:dyDescent="0.35">
      <c r="I440">
        <v>436</v>
      </c>
      <c r="J440" s="7">
        <v>5.6733425706624985E-2</v>
      </c>
      <c r="K440">
        <v>2.3461932316422462E-2</v>
      </c>
      <c r="L440">
        <v>0.36066803336143494</v>
      </c>
      <c r="M440" s="10">
        <v>2.4244044215685823E-2</v>
      </c>
    </row>
    <row r="441" spans="9:13" x14ac:dyDescent="0.35">
      <c r="I441">
        <v>437</v>
      </c>
      <c r="J441" s="7">
        <v>5.7406201958656311E-2</v>
      </c>
      <c r="K441">
        <v>2.3530874401330948E-2</v>
      </c>
      <c r="L441">
        <v>0.35764208436012268</v>
      </c>
      <c r="M441" s="10">
        <v>2.4495967808344954E-2</v>
      </c>
    </row>
    <row r="442" spans="9:13" x14ac:dyDescent="0.35">
      <c r="I442">
        <v>438</v>
      </c>
      <c r="J442" s="7">
        <v>6.8645782768726349E-2</v>
      </c>
      <c r="K442">
        <v>2.715190127491951E-2</v>
      </c>
      <c r="L442">
        <v>0.35183373093605042</v>
      </c>
      <c r="M442" s="10">
        <v>2.8704671027440787E-2</v>
      </c>
    </row>
    <row r="443" spans="9:13" x14ac:dyDescent="0.35">
      <c r="I443">
        <v>439</v>
      </c>
      <c r="J443" s="7">
        <v>5.4881393909454346E-2</v>
      </c>
      <c r="K443">
        <v>2.2986952215433121E-2</v>
      </c>
      <c r="L443">
        <v>0.36418449878692627</v>
      </c>
      <c r="M443" s="10">
        <v>2.35505439581285E-2</v>
      </c>
    </row>
    <row r="444" spans="9:13" x14ac:dyDescent="0.35">
      <c r="I444">
        <v>440</v>
      </c>
      <c r="J444" s="7">
        <v>6.4980961382389069E-2</v>
      </c>
      <c r="K444">
        <v>2.649541012942791E-2</v>
      </c>
      <c r="L444">
        <v>0.36157375574111938</v>
      </c>
      <c r="M444" s="10">
        <v>2.7332364904398387E-2</v>
      </c>
    </row>
    <row r="445" spans="9:13" x14ac:dyDescent="0.35">
      <c r="I445">
        <v>441</v>
      </c>
      <c r="J445" s="7">
        <v>4.7227077186107635E-2</v>
      </c>
      <c r="K445">
        <v>2.0362719893455505E-2</v>
      </c>
      <c r="L445">
        <v>0.3676433265209198</v>
      </c>
      <c r="M445" s="10">
        <v>2.0684356332637543E-2</v>
      </c>
    </row>
    <row r="446" spans="9:13" x14ac:dyDescent="0.35">
      <c r="I446">
        <v>442</v>
      </c>
      <c r="J446" s="7">
        <v>8.314061164855957E-2</v>
      </c>
      <c r="K446">
        <v>3.0542166903614998E-2</v>
      </c>
      <c r="L446">
        <v>0.33127212524414063</v>
      </c>
      <c r="M446" s="10">
        <v>3.4132314103963779E-2</v>
      </c>
    </row>
    <row r="447" spans="9:13" x14ac:dyDescent="0.35">
      <c r="I447">
        <v>443</v>
      </c>
      <c r="J447" s="7">
        <v>6.4241118729114532E-2</v>
      </c>
      <c r="K447">
        <v>2.5997534394264221E-2</v>
      </c>
      <c r="L447">
        <v>0.35798776149749756</v>
      </c>
      <c r="M447" s="10">
        <v>2.7055328046077909E-2</v>
      </c>
    </row>
    <row r="448" spans="9:13" x14ac:dyDescent="0.35">
      <c r="I448">
        <v>444</v>
      </c>
      <c r="J448" s="7">
        <v>4.9241267144680023E-2</v>
      </c>
      <c r="K448">
        <v>1.9161392003297806E-2</v>
      </c>
      <c r="L448">
        <v>0.32820829749107361</v>
      </c>
      <c r="M448" s="10">
        <v>2.1438577322349106E-2</v>
      </c>
    </row>
    <row r="449" spans="9:13" x14ac:dyDescent="0.35">
      <c r="I449">
        <v>445</v>
      </c>
      <c r="J449" s="7">
        <v>6.1083171516656876E-2</v>
      </c>
      <c r="K449">
        <v>2.5316257029771805E-2</v>
      </c>
      <c r="L449">
        <v>0.36534214019775391</v>
      </c>
      <c r="M449" s="10">
        <v>2.5872822859861588E-2</v>
      </c>
    </row>
    <row r="450" spans="9:13" x14ac:dyDescent="0.35">
      <c r="I450">
        <v>446</v>
      </c>
      <c r="J450" s="7">
        <v>6.5052658319473267E-2</v>
      </c>
      <c r="K450">
        <v>2.6779931038618088E-2</v>
      </c>
      <c r="L450">
        <v>0.36554893851280212</v>
      </c>
      <c r="M450" s="10">
        <v>2.7359212091584872E-2</v>
      </c>
    </row>
    <row r="451" spans="9:13" x14ac:dyDescent="0.35">
      <c r="I451">
        <v>447</v>
      </c>
      <c r="J451" s="7">
        <v>5.0729867070913315E-2</v>
      </c>
      <c r="K451">
        <v>2.1604651585221291E-2</v>
      </c>
      <c r="L451">
        <v>0.36673960089683533</v>
      </c>
      <c r="M451" s="10">
        <v>2.1995989151789463E-2</v>
      </c>
    </row>
    <row r="452" spans="9:13" x14ac:dyDescent="0.35">
      <c r="I452">
        <v>448</v>
      </c>
      <c r="J452" s="7">
        <v>5.9555798768997192E-2</v>
      </c>
      <c r="K452">
        <v>2.3994341492652893E-2</v>
      </c>
      <c r="L452">
        <v>0.35251548886299133</v>
      </c>
      <c r="M452" s="10">
        <v>2.5300892401914687E-2</v>
      </c>
    </row>
    <row r="453" spans="9:13" x14ac:dyDescent="0.35">
      <c r="I453">
        <v>449</v>
      </c>
      <c r="J453" s="7">
        <v>5.0167307257652283E-2</v>
      </c>
      <c r="K453">
        <v>2.1056722849607468E-2</v>
      </c>
      <c r="L453">
        <v>0.35993006825447083</v>
      </c>
      <c r="M453" s="10">
        <v>2.1785336518295839E-2</v>
      </c>
    </row>
    <row r="454" spans="9:13" x14ac:dyDescent="0.35">
      <c r="I454">
        <v>450</v>
      </c>
      <c r="J454" s="7">
        <v>6.0797553509473801E-2</v>
      </c>
      <c r="K454">
        <v>2.5261892005801201E-2</v>
      </c>
      <c r="L454">
        <v>0.36616426706314087</v>
      </c>
      <c r="M454" s="10">
        <v>2.5765872125080969E-2</v>
      </c>
    </row>
    <row r="455" spans="9:13" x14ac:dyDescent="0.35">
      <c r="I455">
        <v>451</v>
      </c>
      <c r="J455" s="7">
        <v>6.6145032644271851E-2</v>
      </c>
      <c r="K455">
        <v>2.628440223634243E-2</v>
      </c>
      <c r="L455">
        <v>0.35202041268348694</v>
      </c>
      <c r="M455" s="10">
        <v>2.7768255757441018E-2</v>
      </c>
    </row>
    <row r="456" spans="9:13" x14ac:dyDescent="0.35">
      <c r="I456">
        <v>452</v>
      </c>
      <c r="J456" s="7">
        <v>5.4494522511959076E-2</v>
      </c>
      <c r="K456">
        <v>2.3214325308799744E-2</v>
      </c>
      <c r="L456">
        <v>0.37094232439994812</v>
      </c>
      <c r="M456" s="10">
        <v>2.3405678511317918E-2</v>
      </c>
    </row>
    <row r="457" spans="9:13" x14ac:dyDescent="0.35">
      <c r="I457">
        <v>453</v>
      </c>
      <c r="J457" s="7">
        <v>5.1074903458356857E-2</v>
      </c>
      <c r="K457">
        <v>2.2028978914022446E-2</v>
      </c>
      <c r="L457">
        <v>0.37257003784179688</v>
      </c>
      <c r="M457" s="10">
        <v>2.2125189322069638E-2</v>
      </c>
    </row>
    <row r="458" spans="9:13" x14ac:dyDescent="0.35">
      <c r="I458">
        <v>454</v>
      </c>
      <c r="J458" s="7">
        <v>6.7987367510795593E-2</v>
      </c>
      <c r="K458">
        <v>2.556162141263485E-2</v>
      </c>
      <c r="L458">
        <v>0.33185020089149475</v>
      </c>
      <c r="M458" s="10">
        <v>2.8458124962922771E-2</v>
      </c>
    </row>
    <row r="459" spans="9:13" x14ac:dyDescent="0.35">
      <c r="I459">
        <v>455</v>
      </c>
      <c r="J459" s="7">
        <v>7.3901988565921783E-2</v>
      </c>
      <c r="K459">
        <v>2.7143832296133041E-2</v>
      </c>
      <c r="L459">
        <v>0.32670071721076965</v>
      </c>
      <c r="M459" s="10">
        <v>3.0672877015965438E-2</v>
      </c>
    </row>
    <row r="460" spans="9:13" x14ac:dyDescent="0.35">
      <c r="I460">
        <v>456</v>
      </c>
      <c r="J460" s="7">
        <v>5.1583733409643173E-2</v>
      </c>
      <c r="K460">
        <v>2.1804468706250191E-2</v>
      </c>
      <c r="L460">
        <v>0.36454260349273682</v>
      </c>
      <c r="M460" s="10">
        <v>2.2315722607086141E-2</v>
      </c>
    </row>
    <row r="461" spans="9:13" x14ac:dyDescent="0.35">
      <c r="I461">
        <v>457</v>
      </c>
      <c r="J461" s="7">
        <v>5.7080492377281189E-2</v>
      </c>
      <c r="K461">
        <v>2.3739255964756012E-2</v>
      </c>
      <c r="L461">
        <v>0.36333352327346802</v>
      </c>
      <c r="M461" s="10">
        <v>2.4374004633135105E-2</v>
      </c>
    </row>
    <row r="462" spans="9:13" x14ac:dyDescent="0.35">
      <c r="I462">
        <v>458</v>
      </c>
      <c r="J462" s="7">
        <v>5.8636553585529327E-2</v>
      </c>
      <c r="K462">
        <v>2.4389522150158882E-2</v>
      </c>
      <c r="L462">
        <v>0.36478137969970703</v>
      </c>
      <c r="M462" s="10">
        <v>2.4956677592823828E-2</v>
      </c>
    </row>
    <row r="463" spans="9:13" x14ac:dyDescent="0.35">
      <c r="I463">
        <v>459</v>
      </c>
      <c r="J463" s="7">
        <v>6.0603678226470947E-2</v>
      </c>
      <c r="K463">
        <v>2.5112360715866089E-2</v>
      </c>
      <c r="L463">
        <v>0.36486828327178955</v>
      </c>
      <c r="M463" s="10">
        <v>2.5693274797701449E-2</v>
      </c>
    </row>
    <row r="464" spans="9:13" x14ac:dyDescent="0.35">
      <c r="I464">
        <v>460</v>
      </c>
      <c r="J464" s="7">
        <v>4.5254886150360107E-2</v>
      </c>
      <c r="K464">
        <v>1.9339423626661301E-2</v>
      </c>
      <c r="L464">
        <v>0.36105325818061829</v>
      </c>
      <c r="M464" s="10">
        <v>1.9945861997209491E-2</v>
      </c>
    </row>
    <row r="465" spans="9:13" x14ac:dyDescent="0.35">
      <c r="I465">
        <v>461</v>
      </c>
      <c r="J465" s="7">
        <v>5.3910769522190094E-2</v>
      </c>
      <c r="K465">
        <v>2.2604329511523247E-2</v>
      </c>
      <c r="L465">
        <v>0.36364403367042542</v>
      </c>
      <c r="M465" s="10">
        <v>2.3187090013337963E-2</v>
      </c>
    </row>
    <row r="466" spans="9:13" x14ac:dyDescent="0.35">
      <c r="I466">
        <v>462</v>
      </c>
      <c r="J466" s="7">
        <v>7.6710514724254608E-2</v>
      </c>
      <c r="K466">
        <v>2.8063578531146049E-2</v>
      </c>
      <c r="L466">
        <v>0.32672938704490662</v>
      </c>
      <c r="M466" s="10">
        <v>3.17245401770061E-2</v>
      </c>
    </row>
    <row r="467" spans="9:13" x14ac:dyDescent="0.35">
      <c r="I467">
        <v>463</v>
      </c>
      <c r="J467" s="7">
        <v>5.5727217346429825E-2</v>
      </c>
      <c r="K467">
        <v>2.2954931482672691E-2</v>
      </c>
      <c r="L467">
        <v>0.35808232426643372</v>
      </c>
      <c r="M467" s="10">
        <v>2.3867265718676367E-2</v>
      </c>
    </row>
    <row r="468" spans="9:13" x14ac:dyDescent="0.35">
      <c r="I468">
        <v>464</v>
      </c>
      <c r="J468" s="7">
        <v>7.0053771138191223E-2</v>
      </c>
      <c r="K468">
        <v>2.7579342946410179E-2</v>
      </c>
      <c r="L468">
        <v>0.35086396336555481</v>
      </c>
      <c r="M468" s="10">
        <v>2.9231897556895259E-2</v>
      </c>
    </row>
    <row r="469" spans="9:13" x14ac:dyDescent="0.35">
      <c r="I469">
        <v>465</v>
      </c>
      <c r="J469" s="7">
        <v>4.392494261264801E-2</v>
      </c>
      <c r="K469">
        <v>1.8700955435633659E-2</v>
      </c>
      <c r="L469">
        <v>0.35744965076446533</v>
      </c>
      <c r="M469" s="10">
        <v>1.9447859647925281E-2</v>
      </c>
    </row>
    <row r="470" spans="9:13" x14ac:dyDescent="0.35">
      <c r="I470">
        <v>466</v>
      </c>
      <c r="J470" s="7">
        <v>5.6261740624904633E-2</v>
      </c>
      <c r="K470">
        <v>2.2410795092582703E-2</v>
      </c>
      <c r="L470">
        <v>0.34500879049301147</v>
      </c>
      <c r="M470" s="10">
        <v>2.4067419966491643E-2</v>
      </c>
    </row>
    <row r="471" spans="9:13" x14ac:dyDescent="0.35">
      <c r="I471">
        <v>467</v>
      </c>
      <c r="J471" s="7">
        <v>7.7283039689064026E-2</v>
      </c>
      <c r="K471">
        <v>3.0039997771382332E-2</v>
      </c>
      <c r="L471">
        <v>0.34988269209861755</v>
      </c>
      <c r="M471" s="10">
        <v>3.1938924298898552E-2</v>
      </c>
    </row>
    <row r="472" spans="9:13" x14ac:dyDescent="0.35">
      <c r="I472">
        <v>468</v>
      </c>
      <c r="J472" s="7">
        <v>6.3288614153862E-2</v>
      </c>
      <c r="K472">
        <v>2.5691019371151924E-2</v>
      </c>
      <c r="L472">
        <v>0.35853239893913269</v>
      </c>
      <c r="M472" s="10">
        <v>2.6698659132903035E-2</v>
      </c>
    </row>
    <row r="473" spans="9:13" x14ac:dyDescent="0.35">
      <c r="I473">
        <v>469</v>
      </c>
      <c r="J473" s="7">
        <v>7.0121079683303833E-2</v>
      </c>
      <c r="K473">
        <v>2.8016252443194389E-2</v>
      </c>
      <c r="L473">
        <v>0.35675793886184692</v>
      </c>
      <c r="M473" s="10">
        <v>2.9257101494237325E-2</v>
      </c>
    </row>
    <row r="474" spans="9:13" x14ac:dyDescent="0.35">
      <c r="I474">
        <v>470</v>
      </c>
      <c r="J474" s="7">
        <v>5.3586643189191818E-2</v>
      </c>
      <c r="K474">
        <v>2.1704770624637604E-2</v>
      </c>
      <c r="L474">
        <v>0.34905657172203064</v>
      </c>
      <c r="M474" s="10">
        <v>2.3065719691425124E-2</v>
      </c>
    </row>
    <row r="475" spans="9:13" x14ac:dyDescent="0.35">
      <c r="I475">
        <v>471</v>
      </c>
      <c r="J475" s="7">
        <v>4.7970522195100784E-2</v>
      </c>
      <c r="K475">
        <v>1.9982343539595604E-2</v>
      </c>
      <c r="L475">
        <v>0.35401624441146851</v>
      </c>
      <c r="M475" s="10">
        <v>2.0962742106577337E-2</v>
      </c>
    </row>
    <row r="476" spans="9:13" x14ac:dyDescent="0.35">
      <c r="I476">
        <v>472</v>
      </c>
      <c r="J476" s="7">
        <v>5.7593218982219696E-2</v>
      </c>
      <c r="K476">
        <v>2.3008033633232117E-2</v>
      </c>
      <c r="L476">
        <v>0.34740260243415833</v>
      </c>
      <c r="M476" s="10">
        <v>2.456599703473672E-2</v>
      </c>
    </row>
    <row r="477" spans="9:13" x14ac:dyDescent="0.35">
      <c r="I477">
        <v>473</v>
      </c>
      <c r="J477" s="7">
        <v>4.9566250294446945E-2</v>
      </c>
      <c r="K477">
        <v>2.0960096269845963E-2</v>
      </c>
      <c r="L477">
        <v>0.36234527826309204</v>
      </c>
      <c r="M477" s="10">
        <v>2.1560268482516798E-2</v>
      </c>
    </row>
    <row r="478" spans="9:13" x14ac:dyDescent="0.35">
      <c r="I478">
        <v>474</v>
      </c>
      <c r="J478" s="7">
        <v>5.650705099105835E-2</v>
      </c>
      <c r="K478">
        <v>2.3529300466179848E-2</v>
      </c>
      <c r="L478">
        <v>0.36330512166023254</v>
      </c>
      <c r="M478" s="10">
        <v>2.4159277353804853E-2</v>
      </c>
    </row>
    <row r="479" spans="9:13" x14ac:dyDescent="0.35">
      <c r="I479">
        <v>475</v>
      </c>
      <c r="J479" s="7">
        <v>5.4156724363565445E-2</v>
      </c>
      <c r="K479">
        <v>2.3180995136499405E-2</v>
      </c>
      <c r="L479">
        <v>0.37264060974121094</v>
      </c>
      <c r="M479" s="10">
        <v>2.327918872681678E-2</v>
      </c>
    </row>
    <row r="480" spans="9:13" x14ac:dyDescent="0.35">
      <c r="I480">
        <v>476</v>
      </c>
      <c r="J480" s="7">
        <v>4.0831785649061203E-2</v>
      </c>
      <c r="K480">
        <v>1.6413610428571701E-2</v>
      </c>
      <c r="L480">
        <v>0.32850903272628784</v>
      </c>
      <c r="M480" s="10">
        <v>1.8289615413571547E-2</v>
      </c>
    </row>
    <row r="481" spans="9:13" x14ac:dyDescent="0.35">
      <c r="I481">
        <v>477</v>
      </c>
      <c r="J481" s="7">
        <v>4.7671709209680557E-2</v>
      </c>
      <c r="K481">
        <v>1.9659360870718956E-2</v>
      </c>
      <c r="L481">
        <v>0.34946012496948242</v>
      </c>
      <c r="M481" s="10">
        <v>2.0850850462671988E-2</v>
      </c>
    </row>
    <row r="482" spans="9:13" x14ac:dyDescent="0.35">
      <c r="I482">
        <v>478</v>
      </c>
      <c r="J482" s="7">
        <v>6.4773961901664734E-2</v>
      </c>
      <c r="K482">
        <v>2.5439845398068428E-2</v>
      </c>
      <c r="L482">
        <v>0.34643310308456421</v>
      </c>
      <c r="M482" s="10">
        <v>2.7254853171923887E-2</v>
      </c>
    </row>
    <row r="483" spans="9:13" x14ac:dyDescent="0.35">
      <c r="I483">
        <v>479</v>
      </c>
      <c r="J483" s="7">
        <v>4.6704314649105072E-2</v>
      </c>
      <c r="K483">
        <v>1.8424378708004951E-2</v>
      </c>
      <c r="L483">
        <v>0.33025595545768738</v>
      </c>
      <c r="M483" s="10">
        <v>2.0488605938607352E-2</v>
      </c>
    </row>
    <row r="484" spans="9:13" x14ac:dyDescent="0.35">
      <c r="I484">
        <v>480</v>
      </c>
      <c r="J484" s="7">
        <v>5.8821246027946472E-2</v>
      </c>
      <c r="K484">
        <v>2.3042516782879829E-2</v>
      </c>
      <c r="L484">
        <v>0.34073600172996521</v>
      </c>
      <c r="M484" s="10">
        <v>2.502583637108069E-2</v>
      </c>
    </row>
    <row r="485" spans="9:13" x14ac:dyDescent="0.35">
      <c r="I485">
        <v>481</v>
      </c>
      <c r="J485" s="7">
        <v>6.1207085847854614E-2</v>
      </c>
      <c r="K485">
        <v>2.5647677481174469E-2</v>
      </c>
      <c r="L485">
        <v>0.37001726031303406</v>
      </c>
      <c r="M485" s="10">
        <v>2.5919223046257933E-2</v>
      </c>
    </row>
    <row r="486" spans="9:13" x14ac:dyDescent="0.35">
      <c r="I486">
        <v>482</v>
      </c>
      <c r="J486" s="7">
        <v>6.032930314540863E-2</v>
      </c>
      <c r="K486">
        <v>2.3046283051371574E-2</v>
      </c>
      <c r="L486">
        <v>0.33228102326393127</v>
      </c>
      <c r="M486" s="10">
        <v>2.5590534018804068E-2</v>
      </c>
    </row>
    <row r="487" spans="9:13" x14ac:dyDescent="0.35">
      <c r="I487">
        <v>483</v>
      </c>
      <c r="J487" s="7">
        <v>5.855545774102211E-2</v>
      </c>
      <c r="K487">
        <v>2.3686407133936882E-2</v>
      </c>
      <c r="L487">
        <v>0.35327887535095215</v>
      </c>
      <c r="M487" s="10">
        <v>2.4926310949476504E-2</v>
      </c>
    </row>
    <row r="488" spans="9:13" x14ac:dyDescent="0.35">
      <c r="I488">
        <v>484</v>
      </c>
      <c r="J488" s="7">
        <v>4.7171950340270996E-2</v>
      </c>
      <c r="K488">
        <v>1.9975556060671806E-2</v>
      </c>
      <c r="L488">
        <v>0.3598654568195343</v>
      </c>
      <c r="M488" s="10">
        <v>2.0663713878310119E-2</v>
      </c>
    </row>
    <row r="489" spans="9:13" x14ac:dyDescent="0.35">
      <c r="I489">
        <v>485</v>
      </c>
      <c r="J489" s="7">
        <v>5.3666643798351288E-2</v>
      </c>
      <c r="K489">
        <v>2.1490715444087982E-2</v>
      </c>
      <c r="L489">
        <v>0.34454762935638428</v>
      </c>
      <c r="M489" s="10">
        <v>2.309567621978581E-2</v>
      </c>
    </row>
    <row r="490" spans="9:13" x14ac:dyDescent="0.35">
      <c r="I490">
        <v>486</v>
      </c>
      <c r="J490" s="7">
        <v>5.2269726991653442E-2</v>
      </c>
      <c r="K490">
        <v>2.2392302751541138E-2</v>
      </c>
      <c r="L490">
        <v>0.37100446224212646</v>
      </c>
      <c r="M490" s="10">
        <v>2.2572595478563606E-2</v>
      </c>
    </row>
    <row r="491" spans="9:13" x14ac:dyDescent="0.35">
      <c r="I491">
        <v>487</v>
      </c>
      <c r="J491" s="7">
        <v>5.0335679203271866E-2</v>
      </c>
      <c r="K491">
        <v>2.1710865199565887E-2</v>
      </c>
      <c r="L491">
        <v>0.37172171473503113</v>
      </c>
      <c r="M491" s="10">
        <v>2.1848384025272227E-2</v>
      </c>
    </row>
    <row r="492" spans="9:13" x14ac:dyDescent="0.35">
      <c r="I492">
        <v>488</v>
      </c>
      <c r="J492" s="7">
        <v>5.066024512052536E-2</v>
      </c>
      <c r="K492">
        <v>2.1908920258283615E-2</v>
      </c>
      <c r="L492">
        <v>0.37324967980384827</v>
      </c>
      <c r="M492" s="10">
        <v>2.1969918951159295E-2</v>
      </c>
    </row>
    <row r="493" spans="9:13" x14ac:dyDescent="0.35">
      <c r="I493">
        <v>489</v>
      </c>
      <c r="J493" s="7">
        <v>5.2382778376340866E-2</v>
      </c>
      <c r="K493">
        <v>2.1047685295343399E-2</v>
      </c>
      <c r="L493">
        <v>0.34453469514846802</v>
      </c>
      <c r="M493" s="10">
        <v>2.2614927993867995E-2</v>
      </c>
    </row>
    <row r="494" spans="9:13" x14ac:dyDescent="0.35">
      <c r="I494">
        <v>490</v>
      </c>
      <c r="J494" s="7">
        <v>5.7926494628190994E-2</v>
      </c>
      <c r="K494">
        <v>2.3856194689869881E-2</v>
      </c>
      <c r="L494">
        <v>0.36004585027694702</v>
      </c>
      <c r="M494" s="10">
        <v>2.469079335123181E-2</v>
      </c>
    </row>
    <row r="495" spans="9:13" x14ac:dyDescent="0.35">
      <c r="I495">
        <v>491</v>
      </c>
      <c r="J495" s="7">
        <v>6.346999853849411E-2</v>
      </c>
      <c r="K495">
        <v>2.4117395281791687E-2</v>
      </c>
      <c r="L495">
        <v>0.33271458745002747</v>
      </c>
      <c r="M495" s="10">
        <v>2.6766579196506379E-2</v>
      </c>
    </row>
    <row r="496" spans="9:13" x14ac:dyDescent="0.35">
      <c r="I496">
        <v>492</v>
      </c>
      <c r="J496" s="7">
        <v>6.6016368567943573E-2</v>
      </c>
      <c r="K496">
        <v>2.5793790817260742E-2</v>
      </c>
      <c r="L496">
        <v>0.34527483582496643</v>
      </c>
      <c r="M496" s="10">
        <v>2.7720077011153643E-2</v>
      </c>
    </row>
    <row r="497" spans="9:13" x14ac:dyDescent="0.35">
      <c r="I497">
        <v>493</v>
      </c>
      <c r="J497" s="7">
        <v>5.1573954522609711E-2</v>
      </c>
      <c r="K497">
        <v>2.1971341222524643E-2</v>
      </c>
      <c r="L497">
        <v>0.36784732341766357</v>
      </c>
      <c r="M497" s="10">
        <v>2.231206086613402E-2</v>
      </c>
    </row>
    <row r="498" spans="9:13" x14ac:dyDescent="0.35">
      <c r="I498">
        <v>494</v>
      </c>
      <c r="J498" s="7">
        <v>5.7145867496728897E-2</v>
      </c>
      <c r="K498">
        <v>2.3180343210697174E-2</v>
      </c>
      <c r="L498">
        <v>0.35313740372657776</v>
      </c>
      <c r="M498" s="10">
        <v>2.4398484591980352E-2</v>
      </c>
    </row>
    <row r="499" spans="9:13" x14ac:dyDescent="0.35">
      <c r="I499">
        <v>495</v>
      </c>
      <c r="J499" s="7">
        <v>7.7189698815345764E-2</v>
      </c>
      <c r="K499">
        <v>2.724408358335495E-2</v>
      </c>
      <c r="L499">
        <v>0.31408444046974182</v>
      </c>
      <c r="M499" s="10">
        <v>3.1903972458404706E-2</v>
      </c>
    </row>
    <row r="500" spans="9:13" x14ac:dyDescent="0.35">
      <c r="I500">
        <v>496</v>
      </c>
      <c r="J500" s="7">
        <v>5.9153005480766296E-2</v>
      </c>
      <c r="K500">
        <v>2.282271720468998E-2</v>
      </c>
      <c r="L500">
        <v>0.33510920405387878</v>
      </c>
      <c r="M500" s="10">
        <v>2.5150064943359585E-2</v>
      </c>
    </row>
    <row r="501" spans="9:13" x14ac:dyDescent="0.35">
      <c r="I501">
        <v>497</v>
      </c>
      <c r="J501" s="7">
        <v>5.5316172540187836E-2</v>
      </c>
      <c r="K501">
        <v>2.24276352673769E-2</v>
      </c>
      <c r="L501">
        <v>0.35121077299118042</v>
      </c>
      <c r="M501" s="10">
        <v>2.3713348448232141E-2</v>
      </c>
    </row>
    <row r="502" spans="9:13" x14ac:dyDescent="0.35">
      <c r="I502">
        <v>498</v>
      </c>
      <c r="J502" s="7">
        <v>5.9575889259576797E-2</v>
      </c>
      <c r="K502">
        <v>2.3686157539486885E-2</v>
      </c>
      <c r="L502">
        <v>0.34722363948822021</v>
      </c>
      <c r="M502" s="10">
        <v>2.5308415361516512E-2</v>
      </c>
    </row>
    <row r="503" spans="9:13" x14ac:dyDescent="0.35">
      <c r="I503">
        <v>499</v>
      </c>
      <c r="J503" s="7">
        <v>5.3841464221477509E-2</v>
      </c>
      <c r="K503">
        <v>2.2750616073608398E-2</v>
      </c>
      <c r="L503">
        <v>0.36682909727096558</v>
      </c>
      <c r="M503" s="10">
        <v>2.3161138383367197E-2</v>
      </c>
    </row>
    <row r="504" spans="9:13" x14ac:dyDescent="0.35">
      <c r="I504">
        <v>500</v>
      </c>
      <c r="J504" s="7">
        <v>6.7294389009475708E-2</v>
      </c>
      <c r="K504">
        <v>2.7218310162425041E-2</v>
      </c>
      <c r="L504">
        <v>0.35988602042198181</v>
      </c>
      <c r="M504" s="10">
        <v>2.8198636562193791E-2</v>
      </c>
    </row>
    <row r="505" spans="9:13" x14ac:dyDescent="0.35">
      <c r="I505">
        <v>501</v>
      </c>
      <c r="J505" s="7">
        <v>5.8387327939271927E-2</v>
      </c>
      <c r="K505">
        <v>2.4543683975934982E-2</v>
      </c>
      <c r="L505">
        <v>0.36897876858711243</v>
      </c>
      <c r="M505" s="10">
        <v>2.4863354114180836E-2</v>
      </c>
    </row>
    <row r="506" spans="9:13" x14ac:dyDescent="0.35">
      <c r="I506">
        <v>502</v>
      </c>
      <c r="J506" s="7">
        <v>5.071721225976944E-2</v>
      </c>
      <c r="K506">
        <v>2.0627152174711227E-2</v>
      </c>
      <c r="L506">
        <v>0.34755760431289673</v>
      </c>
      <c r="M506" s="10">
        <v>2.1991250510260185E-2</v>
      </c>
    </row>
    <row r="507" spans="9:13" x14ac:dyDescent="0.35">
      <c r="I507">
        <v>503</v>
      </c>
      <c r="J507" s="7">
        <v>6.3429214060306549E-2</v>
      </c>
      <c r="K507">
        <v>2.5719739496707916E-2</v>
      </c>
      <c r="L507">
        <v>0.35819044709205627</v>
      </c>
      <c r="M507" s="10">
        <v>2.6751307295575399E-2</v>
      </c>
    </row>
    <row r="508" spans="9:13" x14ac:dyDescent="0.35">
      <c r="I508">
        <v>504</v>
      </c>
      <c r="J508" s="7">
        <v>6.4713083207607269E-2</v>
      </c>
      <c r="K508">
        <v>2.64547448605299E-2</v>
      </c>
      <c r="L508">
        <v>0.36244207620620728</v>
      </c>
      <c r="M508" s="10">
        <v>2.7232056916442149E-2</v>
      </c>
    </row>
    <row r="509" spans="9:13" x14ac:dyDescent="0.35">
      <c r="I509">
        <v>505</v>
      </c>
      <c r="J509" s="7">
        <v>5.2225571125745773E-2</v>
      </c>
      <c r="K509">
        <v>2.1657159551978111E-2</v>
      </c>
      <c r="L509">
        <v>0.35724183917045593</v>
      </c>
      <c r="M509" s="10">
        <v>2.2556061148847228E-2</v>
      </c>
    </row>
    <row r="510" spans="9:13" x14ac:dyDescent="0.35">
      <c r="I510">
        <v>506</v>
      </c>
      <c r="J510" s="7">
        <v>6.0372296720743179E-2</v>
      </c>
      <c r="K510">
        <v>2.4823570623993874E-2</v>
      </c>
      <c r="L510">
        <v>0.36148318648338318</v>
      </c>
      <c r="M510" s="10">
        <v>2.5606633124452993E-2</v>
      </c>
    </row>
    <row r="511" spans="9:13" x14ac:dyDescent="0.35">
      <c r="I511">
        <v>507</v>
      </c>
      <c r="J511" s="7">
        <v>5.4598424583673477E-2</v>
      </c>
      <c r="K511">
        <v>1.9430281594395638E-2</v>
      </c>
      <c r="L511">
        <v>0.30092957615852356</v>
      </c>
      <c r="M511" s="10">
        <v>2.3444585032040055E-2</v>
      </c>
    </row>
    <row r="512" spans="9:13" x14ac:dyDescent="0.35">
      <c r="I512">
        <v>508</v>
      </c>
      <c r="J512" s="7">
        <v>4.6189837157726288E-2</v>
      </c>
      <c r="K512">
        <v>1.9672559574246407E-2</v>
      </c>
      <c r="L512">
        <v>0.36095732450485229</v>
      </c>
      <c r="M512" s="10">
        <v>2.029595791100669E-2</v>
      </c>
    </row>
    <row r="513" spans="9:13" x14ac:dyDescent="0.35">
      <c r="I513">
        <v>509</v>
      </c>
      <c r="J513" s="7">
        <v>4.6377111226320267E-2</v>
      </c>
      <c r="K513">
        <v>2.0001281052827835E-2</v>
      </c>
      <c r="L513">
        <v>0.36658775806427002</v>
      </c>
      <c r="M513" s="10">
        <v>2.0366083388874912E-2</v>
      </c>
    </row>
    <row r="514" spans="9:13" x14ac:dyDescent="0.35">
      <c r="I514">
        <v>510</v>
      </c>
      <c r="J514" s="7">
        <v>6.08786940574646E-2</v>
      </c>
      <c r="K514">
        <v>2.3846074938774109E-2</v>
      </c>
      <c r="L514">
        <v>0.34241986274719238</v>
      </c>
      <c r="M514" s="10">
        <v>2.5796255507815502E-2</v>
      </c>
    </row>
    <row r="515" spans="9:13" x14ac:dyDescent="0.35">
      <c r="I515">
        <v>511</v>
      </c>
      <c r="J515" s="7">
        <v>4.7615155577659607E-2</v>
      </c>
      <c r="K515">
        <v>1.990114152431488E-2</v>
      </c>
      <c r="L515">
        <v>0.35495299100875854</v>
      </c>
      <c r="M515" s="10">
        <v>2.0829673742902788E-2</v>
      </c>
    </row>
    <row r="516" spans="9:13" x14ac:dyDescent="0.35">
      <c r="I516">
        <v>512</v>
      </c>
      <c r="J516" s="7">
        <v>8.0530837178230286E-2</v>
      </c>
      <c r="K516">
        <v>3.0324496328830719E-2</v>
      </c>
      <c r="L516">
        <v>0.33930474519729614</v>
      </c>
      <c r="M516" s="10">
        <v>3.3155074258457429E-2</v>
      </c>
    </row>
    <row r="517" spans="9:13" x14ac:dyDescent="0.35">
      <c r="I517">
        <v>513</v>
      </c>
      <c r="J517" s="7">
        <v>5.5579580366611481E-2</v>
      </c>
      <c r="K517">
        <v>2.3711502552032471E-2</v>
      </c>
      <c r="L517">
        <v>0.37264588475227356</v>
      </c>
      <c r="M517" s="10">
        <v>2.381198249746741E-2</v>
      </c>
    </row>
    <row r="518" spans="9:13" x14ac:dyDescent="0.35">
      <c r="I518">
        <v>514</v>
      </c>
      <c r="J518" s="7">
        <v>8.8366173207759857E-2</v>
      </c>
      <c r="K518">
        <v>3.0360184609889984E-2</v>
      </c>
      <c r="L518">
        <v>0.30962282419204712</v>
      </c>
      <c r="M518" s="10">
        <v>3.6089045242556184E-2</v>
      </c>
    </row>
    <row r="519" spans="9:13" x14ac:dyDescent="0.35">
      <c r="I519">
        <v>515</v>
      </c>
      <c r="J519" s="7">
        <v>5.8425262570381165E-2</v>
      </c>
      <c r="K519">
        <v>2.4555269628763199E-2</v>
      </c>
      <c r="L519">
        <v>0.36893749237060547</v>
      </c>
      <c r="M519" s="10">
        <v>2.4877558879177197E-2</v>
      </c>
    </row>
    <row r="520" spans="9:13" x14ac:dyDescent="0.35">
      <c r="I520">
        <v>516</v>
      </c>
      <c r="J520" s="7">
        <v>5.0832502543926239E-2</v>
      </c>
      <c r="K520">
        <v>2.1503115072846413E-2</v>
      </c>
      <c r="L520">
        <v>0.36400166153907776</v>
      </c>
      <c r="M520" s="10">
        <v>2.2034421389873993E-2</v>
      </c>
    </row>
    <row r="521" spans="9:13" x14ac:dyDescent="0.35">
      <c r="I521">
        <v>517</v>
      </c>
      <c r="J521" s="7">
        <v>6.3179343938827515E-2</v>
      </c>
      <c r="K521">
        <v>2.307511493563652E-2</v>
      </c>
      <c r="L521">
        <v>0.31774806976318359</v>
      </c>
      <c r="M521" s="10">
        <v>2.66577424907668E-2</v>
      </c>
    </row>
    <row r="522" spans="9:13" x14ac:dyDescent="0.35">
      <c r="I522">
        <v>518</v>
      </c>
      <c r="J522" s="7">
        <v>6.3216716051101685E-2</v>
      </c>
      <c r="K522">
        <v>2.5039652362465858E-2</v>
      </c>
      <c r="L522">
        <v>0.34863647818565369</v>
      </c>
      <c r="M522" s="10">
        <v>2.6671736618474107E-2</v>
      </c>
    </row>
    <row r="523" spans="9:13" x14ac:dyDescent="0.35">
      <c r="I523">
        <v>519</v>
      </c>
      <c r="J523" s="7">
        <v>4.1048698127269745E-2</v>
      </c>
      <c r="K523">
        <v>1.6288885846734047E-2</v>
      </c>
      <c r="L523">
        <v>0.32373464107513428</v>
      </c>
      <c r="M523" s="10">
        <v>1.8370839105159797E-2</v>
      </c>
    </row>
    <row r="524" spans="9:13" x14ac:dyDescent="0.35">
      <c r="I524">
        <v>520</v>
      </c>
      <c r="J524" s="7">
        <v>6.4254067838191986E-2</v>
      </c>
      <c r="K524">
        <v>2.6105104014277458E-2</v>
      </c>
      <c r="L524">
        <v>0.35958975553512573</v>
      </c>
      <c r="M524" s="10">
        <v>2.7060176888572984E-2</v>
      </c>
    </row>
    <row r="525" spans="9:13" x14ac:dyDescent="0.35">
      <c r="I525">
        <v>521</v>
      </c>
      <c r="J525" s="7">
        <v>5.6125063449144363E-2</v>
      </c>
      <c r="K525">
        <v>2.327253483235836E-2</v>
      </c>
      <c r="L525">
        <v>0.3612028956413269</v>
      </c>
      <c r="M525" s="10">
        <v>2.401624068504693E-2</v>
      </c>
    </row>
    <row r="526" spans="9:13" x14ac:dyDescent="0.35">
      <c r="I526">
        <v>522</v>
      </c>
      <c r="J526" s="7">
        <v>7.7569872140884399E-2</v>
      </c>
      <c r="K526">
        <v>2.753799594938755E-2</v>
      </c>
      <c r="L526">
        <v>0.31633409857749939</v>
      </c>
      <c r="M526" s="10">
        <v>3.2046329787031702E-2</v>
      </c>
    </row>
    <row r="527" spans="9:13" x14ac:dyDescent="0.35">
      <c r="I527">
        <v>523</v>
      </c>
      <c r="J527" s="7">
        <v>5.5313900113105774E-2</v>
      </c>
      <c r="K527">
        <v>2.2616937756538391E-2</v>
      </c>
      <c r="L527">
        <v>0.35464751720428467</v>
      </c>
      <c r="M527" s="10">
        <v>2.3712497529382315E-2</v>
      </c>
    </row>
    <row r="528" spans="9:13" x14ac:dyDescent="0.35">
      <c r="I528">
        <v>524</v>
      </c>
      <c r="J528" s="7">
        <v>4.8626333475112915E-2</v>
      </c>
      <c r="K528">
        <v>2.0070744678378105E-2</v>
      </c>
      <c r="L528">
        <v>0.3510596752166748</v>
      </c>
      <c r="M528" s="10">
        <v>2.1208313101790388E-2</v>
      </c>
    </row>
    <row r="529" spans="9:13" x14ac:dyDescent="0.35">
      <c r="I529">
        <v>525</v>
      </c>
      <c r="J529" s="7">
        <v>5.8927427977323532E-2</v>
      </c>
      <c r="K529">
        <v>2.4313094094395638E-2</v>
      </c>
      <c r="L529">
        <v>0.36168375611305237</v>
      </c>
      <c r="M529" s="10">
        <v>2.5065596600550522E-2</v>
      </c>
    </row>
    <row r="530" spans="9:13" x14ac:dyDescent="0.35">
      <c r="I530">
        <v>526</v>
      </c>
      <c r="J530" s="7">
        <v>6.1754114925861359E-2</v>
      </c>
      <c r="K530">
        <v>2.3943804204463959E-2</v>
      </c>
      <c r="L530">
        <v>0.33914831280708313</v>
      </c>
      <c r="M530" s="10">
        <v>2.6124060137645122E-2</v>
      </c>
    </row>
    <row r="531" spans="9:13" x14ac:dyDescent="0.35">
      <c r="I531">
        <v>527</v>
      </c>
      <c r="J531" s="7">
        <v>5.3394243121147156E-2</v>
      </c>
      <c r="K531">
        <v>2.176329679787159E-2</v>
      </c>
      <c r="L531">
        <v>0.35141047835350037</v>
      </c>
      <c r="M531" s="10">
        <v>2.2993674763823524E-2</v>
      </c>
    </row>
    <row r="532" spans="9:13" x14ac:dyDescent="0.35">
      <c r="I532">
        <v>528</v>
      </c>
      <c r="J532" s="7">
        <v>5.9483882039785385E-2</v>
      </c>
      <c r="K532">
        <v>2.3628946393728256E-2</v>
      </c>
      <c r="L532">
        <v>0.34679892659187317</v>
      </c>
      <c r="M532" s="10">
        <v>2.5273962912741088E-2</v>
      </c>
    </row>
    <row r="533" spans="9:13" x14ac:dyDescent="0.35">
      <c r="I533">
        <v>529</v>
      </c>
      <c r="J533" s="7">
        <v>4.7091566026210785E-2</v>
      </c>
      <c r="K533">
        <v>1.9530259072780609E-2</v>
      </c>
      <c r="L533">
        <v>0.35102376341819763</v>
      </c>
      <c r="M533" s="10">
        <v>2.0633613670209217E-2</v>
      </c>
    </row>
    <row r="534" spans="9:13" x14ac:dyDescent="0.35">
      <c r="I534">
        <v>530</v>
      </c>
      <c r="J534" s="7">
        <v>4.841386154294014E-2</v>
      </c>
      <c r="K534">
        <v>2.0684652030467987E-2</v>
      </c>
      <c r="L534">
        <v>0.36528074741363525</v>
      </c>
      <c r="M534" s="10">
        <v>2.1128752189331634E-2</v>
      </c>
    </row>
    <row r="535" spans="9:13" x14ac:dyDescent="0.35">
      <c r="I535">
        <v>531</v>
      </c>
      <c r="J535" s="7">
        <v>4.8512768000364304E-2</v>
      </c>
      <c r="K535">
        <v>2.0771387964487076E-2</v>
      </c>
      <c r="L535">
        <v>0.36632391810417175</v>
      </c>
      <c r="M535" s="10">
        <v>2.1165788083533088E-2</v>
      </c>
    </row>
    <row r="536" spans="9:13" x14ac:dyDescent="0.35">
      <c r="I536">
        <v>532</v>
      </c>
      <c r="J536" s="7">
        <v>5.1481883972883224E-2</v>
      </c>
      <c r="K536">
        <v>2.1843448281288147E-2</v>
      </c>
      <c r="L536">
        <v>0.36602094769477844</v>
      </c>
      <c r="M536" s="10">
        <v>2.2277584703226716E-2</v>
      </c>
    </row>
    <row r="537" spans="9:13" x14ac:dyDescent="0.35">
      <c r="I537">
        <v>533</v>
      </c>
      <c r="J537" s="7">
        <v>5.8353256434202194E-2</v>
      </c>
      <c r="K537">
        <v>2.309892512857914E-2</v>
      </c>
      <c r="L537">
        <v>0.34443536400794983</v>
      </c>
      <c r="M537" s="10">
        <v>2.4850595911229179E-2</v>
      </c>
    </row>
    <row r="538" spans="9:13" x14ac:dyDescent="0.35">
      <c r="I538">
        <v>534</v>
      </c>
      <c r="J538" s="7">
        <v>5.6999005377292633E-2</v>
      </c>
      <c r="K538">
        <v>2.3999132215976715E-2</v>
      </c>
      <c r="L538">
        <v>0.36841225624084473</v>
      </c>
      <c r="M538" s="10">
        <v>2.4343491520149696E-2</v>
      </c>
    </row>
    <row r="539" spans="9:13" x14ac:dyDescent="0.35">
      <c r="I539">
        <v>535</v>
      </c>
      <c r="J539" s="7">
        <v>4.3577764183282852E-2</v>
      </c>
      <c r="K539">
        <v>1.8094779923558235E-2</v>
      </c>
      <c r="L539">
        <v>0.34638720750808716</v>
      </c>
      <c r="M539" s="10">
        <v>1.9317857382007975E-2</v>
      </c>
    </row>
    <row r="540" spans="9:13" x14ac:dyDescent="0.35">
      <c r="I540">
        <v>536</v>
      </c>
      <c r="J540" s="7">
        <v>6.0918353497982025E-2</v>
      </c>
      <c r="K540">
        <v>2.4056367576122284E-2</v>
      </c>
      <c r="L540">
        <v>0.34564900398254395</v>
      </c>
      <c r="M540" s="10">
        <v>2.5811106134168371E-2</v>
      </c>
    </row>
    <row r="541" spans="9:13" x14ac:dyDescent="0.35">
      <c r="I541">
        <v>537</v>
      </c>
      <c r="J541" s="7">
        <v>5.3152475506067276E-2</v>
      </c>
      <c r="K541">
        <v>2.2282833233475685E-2</v>
      </c>
      <c r="L541">
        <v>0.36278334259986877</v>
      </c>
      <c r="M541" s="10">
        <v>2.2903143972946682E-2</v>
      </c>
    </row>
    <row r="542" spans="9:13" x14ac:dyDescent="0.35">
      <c r="I542">
        <v>538</v>
      </c>
      <c r="J542" s="7">
        <v>7.4391812086105347E-2</v>
      </c>
      <c r="K542">
        <v>2.9198577627539635E-2</v>
      </c>
      <c r="L542">
        <v>0.35217016935348511</v>
      </c>
      <c r="M542" s="10">
        <v>3.0856293271519952E-2</v>
      </c>
    </row>
    <row r="543" spans="9:13" x14ac:dyDescent="0.35">
      <c r="I543">
        <v>539</v>
      </c>
      <c r="J543" s="7">
        <v>5.812489241361618E-2</v>
      </c>
      <c r="K543">
        <v>2.2573046386241913E-2</v>
      </c>
      <c r="L543">
        <v>0.33674120903015137</v>
      </c>
      <c r="M543" s="10">
        <v>2.4765084146617378E-2</v>
      </c>
    </row>
    <row r="544" spans="9:13" x14ac:dyDescent="0.35">
      <c r="I544">
        <v>540</v>
      </c>
      <c r="J544" s="7">
        <v>6.3223816454410553E-2</v>
      </c>
      <c r="K544">
        <v>2.5397766381502151E-2</v>
      </c>
      <c r="L544">
        <v>0.35426154732704163</v>
      </c>
      <c r="M544" s="10">
        <v>2.667439539114258E-2</v>
      </c>
    </row>
    <row r="545" spans="9:13" x14ac:dyDescent="0.35">
      <c r="I545">
        <v>541</v>
      </c>
      <c r="J545" s="7">
        <v>6.0521360486745834E-2</v>
      </c>
      <c r="K545">
        <v>2.5059256702661514E-2</v>
      </c>
      <c r="L545">
        <v>0.36448711156845093</v>
      </c>
      <c r="M545" s="10">
        <v>2.5662450611103726E-2</v>
      </c>
    </row>
    <row r="546" spans="9:13" x14ac:dyDescent="0.35">
      <c r="I546">
        <v>542</v>
      </c>
      <c r="J546" s="7">
        <v>5.2644945681095123E-2</v>
      </c>
      <c r="K546">
        <v>2.1668540313839912E-2</v>
      </c>
      <c r="L546">
        <v>0.35461220145225525</v>
      </c>
      <c r="M546" s="10">
        <v>2.2713097525108195E-2</v>
      </c>
    </row>
    <row r="547" spans="9:13" x14ac:dyDescent="0.35">
      <c r="I547">
        <v>543</v>
      </c>
      <c r="J547" s="7">
        <v>7.3016025125980377E-2</v>
      </c>
      <c r="K547">
        <v>2.8194429352879524E-2</v>
      </c>
      <c r="L547">
        <v>0.34505343437194824</v>
      </c>
      <c r="M547" s="10">
        <v>3.0341124680652198E-2</v>
      </c>
    </row>
    <row r="548" spans="9:13" x14ac:dyDescent="0.35">
      <c r="I548">
        <v>544</v>
      </c>
      <c r="J548" s="7">
        <v>4.7187786549329758E-2</v>
      </c>
      <c r="K548">
        <v>2.0380681380629539E-2</v>
      </c>
      <c r="L548">
        <v>0.36833009123802185</v>
      </c>
      <c r="M548" s="10">
        <v>2.0669643806229154E-2</v>
      </c>
    </row>
    <row r="549" spans="9:13" x14ac:dyDescent="0.35">
      <c r="I549">
        <v>545</v>
      </c>
      <c r="J549" s="7">
        <v>6.2213771045207977E-2</v>
      </c>
      <c r="K549">
        <v>2.5196686387062073E-2</v>
      </c>
      <c r="L549">
        <v>0.35678091645240784</v>
      </c>
      <c r="M549" s="10">
        <v>2.6296180096730959E-2</v>
      </c>
    </row>
    <row r="550" spans="9:13" x14ac:dyDescent="0.35">
      <c r="I550">
        <v>546</v>
      </c>
      <c r="J550" s="7">
        <v>6.3931979238986969E-2</v>
      </c>
      <c r="K550">
        <v>2.6538224890828133E-2</v>
      </c>
      <c r="L550">
        <v>0.36817607283592224</v>
      </c>
      <c r="M550" s="10">
        <v>2.693956960372712E-2</v>
      </c>
    </row>
    <row r="551" spans="9:13" x14ac:dyDescent="0.35">
      <c r="I551">
        <v>547</v>
      </c>
      <c r="J551" s="7">
        <v>5.8200456202030182E-2</v>
      </c>
      <c r="K551">
        <v>2.4407485499978065E-2</v>
      </c>
      <c r="L551">
        <v>0.36782333254814148</v>
      </c>
      <c r="M551" s="10">
        <v>2.4793379290797501E-2</v>
      </c>
    </row>
    <row r="552" spans="9:13" x14ac:dyDescent="0.35">
      <c r="I552">
        <v>548</v>
      </c>
      <c r="J552" s="7">
        <v>5.8457568287849426E-2</v>
      </c>
      <c r="K552">
        <v>2.4759646505117416E-2</v>
      </c>
      <c r="L552">
        <v>0.37222975492477417</v>
      </c>
      <c r="M552" s="10">
        <v>2.4889655876334071E-2</v>
      </c>
    </row>
    <row r="553" spans="9:13" x14ac:dyDescent="0.35">
      <c r="I553">
        <v>549</v>
      </c>
      <c r="J553" s="7">
        <v>7.1137525141239166E-2</v>
      </c>
      <c r="K553">
        <v>2.6539843529462814E-2</v>
      </c>
      <c r="L553">
        <v>0.33090612292289734</v>
      </c>
      <c r="M553" s="10">
        <v>2.9637713310917801E-2</v>
      </c>
    </row>
    <row r="554" spans="9:13" x14ac:dyDescent="0.35">
      <c r="I554">
        <v>550</v>
      </c>
      <c r="J554" s="7">
        <v>5.3121183067560196E-2</v>
      </c>
      <c r="K554">
        <v>2.2514794021844864E-2</v>
      </c>
      <c r="L554">
        <v>0.36736369132995605</v>
      </c>
      <c r="M554" s="10">
        <v>2.2891426401899895E-2</v>
      </c>
    </row>
    <row r="555" spans="9:13" x14ac:dyDescent="0.35">
      <c r="I555">
        <v>551</v>
      </c>
      <c r="J555" s="7">
        <v>7.2680763900279999E-2</v>
      </c>
      <c r="K555">
        <v>2.8711806982755661E-2</v>
      </c>
      <c r="L555">
        <v>0.35376358032226563</v>
      </c>
      <c r="M555" s="10">
        <v>3.0215584856375211E-2</v>
      </c>
    </row>
    <row r="556" spans="9:13" x14ac:dyDescent="0.35">
      <c r="I556">
        <v>552</v>
      </c>
      <c r="J556" s="7">
        <v>5.8024812489748001E-2</v>
      </c>
      <c r="K556">
        <v>2.412206307053566E-2</v>
      </c>
      <c r="L556">
        <v>0.3640177845954895</v>
      </c>
      <c r="M556" s="10">
        <v>2.4727608843501669E-2</v>
      </c>
    </row>
    <row r="557" spans="9:13" x14ac:dyDescent="0.35">
      <c r="I557">
        <v>553</v>
      </c>
      <c r="J557" s="7">
        <v>4.3722130358219147E-2</v>
      </c>
      <c r="K557">
        <v>1.8286857753992081E-2</v>
      </c>
      <c r="L557">
        <v>0.34963661432266235</v>
      </c>
      <c r="M557" s="10">
        <v>1.9371915838052756E-2</v>
      </c>
    </row>
    <row r="558" spans="9:13" x14ac:dyDescent="0.35">
      <c r="I558">
        <v>554</v>
      </c>
      <c r="J558" s="7">
        <v>6.2824927270412445E-2</v>
      </c>
      <c r="K558">
        <v>2.6127355173230171E-2</v>
      </c>
      <c r="L558">
        <v>0.368123859167099</v>
      </c>
      <c r="M558" s="10">
        <v>2.6525029839070458E-2</v>
      </c>
    </row>
    <row r="559" spans="9:13" x14ac:dyDescent="0.35">
      <c r="I559">
        <v>555</v>
      </c>
      <c r="J559" s="7">
        <v>4.3477945029735565E-2</v>
      </c>
      <c r="K559">
        <v>1.8201190978288651E-2</v>
      </c>
      <c r="L559">
        <v>0.34962993860244751</v>
      </c>
      <c r="M559" s="10">
        <v>1.9280479725317656E-2</v>
      </c>
    </row>
    <row r="560" spans="9:13" x14ac:dyDescent="0.35">
      <c r="I560">
        <v>556</v>
      </c>
      <c r="J560" s="7">
        <v>5.3811892867088318E-2</v>
      </c>
      <c r="K560">
        <v>2.0950090140104294E-2</v>
      </c>
      <c r="L560">
        <v>0.33357104659080505</v>
      </c>
      <c r="M560" s="10">
        <v>2.3150065278727983E-2</v>
      </c>
    </row>
    <row r="561" spans="9:13" x14ac:dyDescent="0.35">
      <c r="I561">
        <v>557</v>
      </c>
      <c r="J561" s="7">
        <v>7.4504971504211426E-2</v>
      </c>
      <c r="K561">
        <v>2.7675030753016472E-2</v>
      </c>
      <c r="L561">
        <v>0.33118635416030884</v>
      </c>
      <c r="M561" s="10">
        <v>3.0898666240343431E-2</v>
      </c>
    </row>
    <row r="562" spans="9:13" x14ac:dyDescent="0.35">
      <c r="I562">
        <v>558</v>
      </c>
      <c r="J562" s="7">
        <v>7.1158751845359802E-2</v>
      </c>
      <c r="K562">
        <v>2.7567291632294655E-2</v>
      </c>
      <c r="L562">
        <v>0.34524625539779663</v>
      </c>
      <c r="M562" s="10">
        <v>2.9645661729944539E-2</v>
      </c>
    </row>
    <row r="563" spans="9:13" x14ac:dyDescent="0.35">
      <c r="I563">
        <v>559</v>
      </c>
      <c r="J563" s="7">
        <v>7.723834365606308E-2</v>
      </c>
      <c r="K563">
        <v>2.9247226193547249E-2</v>
      </c>
      <c r="L563">
        <v>0.33982118964195251</v>
      </c>
      <c r="M563" s="10">
        <v>3.1922187701586724E-2</v>
      </c>
    </row>
    <row r="564" spans="9:13" x14ac:dyDescent="0.35">
      <c r="I564">
        <v>560</v>
      </c>
      <c r="J564" s="7">
        <v>5.1601361483335495E-2</v>
      </c>
      <c r="K564">
        <v>2.229989692568779E-2</v>
      </c>
      <c r="L564">
        <v>0.37401914596557617</v>
      </c>
      <c r="M564" s="10">
        <v>2.2322323505442498E-2</v>
      </c>
    </row>
    <row r="565" spans="9:13" x14ac:dyDescent="0.35">
      <c r="I565">
        <v>561</v>
      </c>
      <c r="J565" s="7">
        <v>4.9430593848228455E-2</v>
      </c>
      <c r="K565">
        <v>2.0169155672192574E-2</v>
      </c>
      <c r="L565">
        <v>0.34733864665031433</v>
      </c>
      <c r="M565" s="10">
        <v>2.1509471417080039E-2</v>
      </c>
    </row>
    <row r="566" spans="9:13" x14ac:dyDescent="0.35">
      <c r="I566">
        <v>562</v>
      </c>
      <c r="J566" s="7">
        <v>5.2971497178077698E-2</v>
      </c>
      <c r="K566">
        <v>2.024509571492672E-2</v>
      </c>
      <c r="L566">
        <v>0.3255542516708374</v>
      </c>
      <c r="M566" s="10">
        <v>2.283537595877716E-2</v>
      </c>
    </row>
    <row r="567" spans="9:13" x14ac:dyDescent="0.35">
      <c r="I567">
        <v>563</v>
      </c>
      <c r="J567" s="7">
        <v>6.9428533315658569E-2</v>
      </c>
      <c r="K567">
        <v>2.6061639189720154E-2</v>
      </c>
      <c r="L567">
        <v>0.33216372132301331</v>
      </c>
      <c r="M567" s="10">
        <v>2.8997774907584706E-2</v>
      </c>
    </row>
    <row r="568" spans="9:13" x14ac:dyDescent="0.35">
      <c r="I568">
        <v>564</v>
      </c>
      <c r="J568" s="7">
        <v>5.953478068113327E-2</v>
      </c>
      <c r="K568">
        <v>2.4787005037069321E-2</v>
      </c>
      <c r="L568">
        <v>0.36595422029495239</v>
      </c>
      <c r="M568" s="10">
        <v>2.5293022100028262E-2</v>
      </c>
    </row>
    <row r="569" spans="9:13" x14ac:dyDescent="0.35">
      <c r="I569">
        <v>565</v>
      </c>
      <c r="J569" s="7">
        <v>5.9019781649112701E-2</v>
      </c>
      <c r="K569">
        <v>2.4782806634902954E-2</v>
      </c>
      <c r="L569">
        <v>0.36907637119293213</v>
      </c>
      <c r="M569" s="10">
        <v>2.5100178779576821E-2</v>
      </c>
    </row>
    <row r="570" spans="9:13" x14ac:dyDescent="0.35">
      <c r="I570">
        <v>566</v>
      </c>
      <c r="J570" s="7">
        <v>7.7739953994750977E-2</v>
      </c>
      <c r="K570">
        <v>2.9405701905488968E-2</v>
      </c>
      <c r="L570">
        <v>0.33966705203056335</v>
      </c>
      <c r="M570" s="10">
        <v>3.2110017575568861E-2</v>
      </c>
    </row>
    <row r="571" spans="9:13" x14ac:dyDescent="0.35">
      <c r="I571">
        <v>567</v>
      </c>
      <c r="J571" s="7">
        <v>6.5037108957767487E-2</v>
      </c>
      <c r="K571">
        <v>2.6106242090463638E-2</v>
      </c>
      <c r="L571">
        <v>0.35527780652046204</v>
      </c>
      <c r="M571" s="10">
        <v>2.7353389574733766E-2</v>
      </c>
    </row>
    <row r="572" spans="9:13" x14ac:dyDescent="0.35">
      <c r="I572">
        <v>568</v>
      </c>
      <c r="J572" s="7">
        <v>4.8124402761459351E-2</v>
      </c>
      <c r="K572">
        <v>2.0656291395425797E-2</v>
      </c>
      <c r="L572">
        <v>0.36688852310180664</v>
      </c>
      <c r="M572" s="10">
        <v>2.1020363262199915E-2</v>
      </c>
    </row>
    <row r="573" spans="9:13" x14ac:dyDescent="0.35">
      <c r="I573">
        <v>569</v>
      </c>
      <c r="J573" s="7">
        <v>5.7384401559829712E-2</v>
      </c>
      <c r="K573">
        <v>2.4006698280572891E-2</v>
      </c>
      <c r="L573">
        <v>0.36606982350349426</v>
      </c>
      <c r="M573" s="10">
        <v>2.4487804567182359E-2</v>
      </c>
    </row>
    <row r="574" spans="9:13" x14ac:dyDescent="0.35">
      <c r="I574">
        <v>570</v>
      </c>
      <c r="J574" s="7">
        <v>6.6395565867424011E-2</v>
      </c>
      <c r="K574">
        <v>2.696322463452816E-2</v>
      </c>
      <c r="L574">
        <v>0.36091604828834534</v>
      </c>
      <c r="M574" s="10">
        <v>2.7862068863159895E-2</v>
      </c>
    </row>
    <row r="575" spans="9:13" x14ac:dyDescent="0.35">
      <c r="I575">
        <v>571</v>
      </c>
      <c r="J575" s="7">
        <v>6.0579612851142883E-2</v>
      </c>
      <c r="K575">
        <v>2.508380264043808E-2</v>
      </c>
      <c r="L575">
        <v>0.36454182863235474</v>
      </c>
      <c r="M575" s="10">
        <v>2.5684263427586895E-2</v>
      </c>
    </row>
    <row r="576" spans="9:13" x14ac:dyDescent="0.35">
      <c r="I576">
        <v>572</v>
      </c>
      <c r="J576" s="7">
        <v>6.4802654087543488E-2</v>
      </c>
      <c r="K576">
        <v>2.6029584929347038E-2</v>
      </c>
      <c r="L576">
        <v>0.35538026690483093</v>
      </c>
      <c r="M576" s="10">
        <v>2.7265597068614644E-2</v>
      </c>
    </row>
    <row r="577" spans="9:13" x14ac:dyDescent="0.35">
      <c r="I577">
        <v>573</v>
      </c>
      <c r="J577" s="7">
        <v>6.4805135130882263E-2</v>
      </c>
      <c r="K577">
        <v>2.6592930778861046E-2</v>
      </c>
      <c r="L577">
        <v>0.36405959725379944</v>
      </c>
      <c r="M577" s="10">
        <v>2.7266526104604782E-2</v>
      </c>
    </row>
    <row r="578" spans="9:13" x14ac:dyDescent="0.35">
      <c r="I578">
        <v>574</v>
      </c>
      <c r="J578" s="7">
        <v>6.531350314617157E-2</v>
      </c>
      <c r="K578">
        <v>2.6684088632464409E-2</v>
      </c>
      <c r="L578">
        <v>0.36262163519859314</v>
      </c>
      <c r="M578" s="10">
        <v>2.7456886415953452E-2</v>
      </c>
    </row>
    <row r="579" spans="9:13" x14ac:dyDescent="0.35">
      <c r="I579">
        <v>575</v>
      </c>
      <c r="J579" s="7">
        <v>7.0693671703338623E-2</v>
      </c>
      <c r="K579">
        <v>2.7219003066420555E-2</v>
      </c>
      <c r="L579">
        <v>0.3425908088684082</v>
      </c>
      <c r="M579" s="10">
        <v>2.9471510725210592E-2</v>
      </c>
    </row>
    <row r="580" spans="9:13" x14ac:dyDescent="0.35">
      <c r="I580">
        <v>576</v>
      </c>
      <c r="J580" s="7">
        <v>5.3443882614374161E-2</v>
      </c>
      <c r="K580">
        <v>2.1680222824215889E-2</v>
      </c>
      <c r="L580">
        <v>0.3495296835899353</v>
      </c>
      <c r="M580" s="10">
        <v>2.3012262458370958E-2</v>
      </c>
    </row>
    <row r="581" spans="9:13" x14ac:dyDescent="0.35">
      <c r="I581">
        <v>577</v>
      </c>
      <c r="J581" s="7">
        <v>5.9089023619890213E-2</v>
      </c>
      <c r="K581">
        <v>2.4760330095887184E-2</v>
      </c>
      <c r="L581">
        <v>0.36826348304748535</v>
      </c>
      <c r="M581" s="10">
        <v>2.5126106695415706E-2</v>
      </c>
    </row>
    <row r="582" spans="9:13" x14ac:dyDescent="0.35">
      <c r="I582">
        <v>578</v>
      </c>
      <c r="J582" s="7">
        <v>4.2261984199285507E-2</v>
      </c>
      <c r="K582">
        <v>1.7561892047524452E-2</v>
      </c>
      <c r="L582">
        <v>0.34456244111061096</v>
      </c>
      <c r="M582" s="10">
        <v>1.882515862857137E-2</v>
      </c>
    </row>
    <row r="583" spans="9:13" x14ac:dyDescent="0.35">
      <c r="I583">
        <v>579</v>
      </c>
      <c r="J583" s="7">
        <v>5.0131000578403473E-2</v>
      </c>
      <c r="K583">
        <v>2.0925618708133698E-2</v>
      </c>
      <c r="L583">
        <v>0.35757553577423096</v>
      </c>
      <c r="M583" s="10">
        <v>2.1771741345983697E-2</v>
      </c>
    </row>
    <row r="584" spans="9:13" x14ac:dyDescent="0.35">
      <c r="I584">
        <v>580</v>
      </c>
      <c r="J584" s="7">
        <v>5.7513449341058731E-2</v>
      </c>
      <c r="K584">
        <v>2.3822858929634094E-2</v>
      </c>
      <c r="L584">
        <v>0.36205199360847473</v>
      </c>
      <c r="M584" s="10">
        <v>2.453612699320995E-2</v>
      </c>
    </row>
    <row r="585" spans="9:13" x14ac:dyDescent="0.35">
      <c r="I585">
        <v>581</v>
      </c>
      <c r="J585" s="7">
        <v>5.9692662209272385E-2</v>
      </c>
      <c r="K585">
        <v>2.4512430652976036E-2</v>
      </c>
      <c r="L585">
        <v>0.36038652062416077</v>
      </c>
      <c r="M585" s="10">
        <v>2.5352141430806108E-2</v>
      </c>
    </row>
    <row r="586" spans="9:13" x14ac:dyDescent="0.35">
      <c r="I586">
        <v>582</v>
      </c>
      <c r="J586" s="7">
        <v>6.8572074174880981E-2</v>
      </c>
      <c r="K586">
        <v>2.7371227741241455E-2</v>
      </c>
      <c r="L586">
        <v>0.35541039705276489</v>
      </c>
      <c r="M586" s="10">
        <v>2.8677070567829865E-2</v>
      </c>
    </row>
    <row r="587" spans="9:13" x14ac:dyDescent="0.35">
      <c r="I587">
        <v>583</v>
      </c>
      <c r="J587" s="7">
        <v>5.8463346213102341E-2</v>
      </c>
      <c r="K587">
        <v>2.4553865194320679E-2</v>
      </c>
      <c r="L587">
        <v>0.36867314577102661</v>
      </c>
      <c r="M587" s="10">
        <v>2.4891819442130925E-2</v>
      </c>
    </row>
    <row r="588" spans="9:13" x14ac:dyDescent="0.35">
      <c r="I588">
        <v>584</v>
      </c>
      <c r="J588" s="7">
        <v>5.2714765071868896E-2</v>
      </c>
      <c r="K588">
        <v>2.0586336031556129E-2</v>
      </c>
      <c r="L588">
        <v>0.33361309766769409</v>
      </c>
      <c r="M588" s="10">
        <v>2.2739241658031872E-2</v>
      </c>
    </row>
    <row r="589" spans="9:13" x14ac:dyDescent="0.35">
      <c r="I589">
        <v>585</v>
      </c>
      <c r="J589" s="7">
        <v>5.4301746189594269E-2</v>
      </c>
      <c r="K589">
        <v>2.2520400583744049E-2</v>
      </c>
      <c r="L589">
        <v>0.35948017239570618</v>
      </c>
      <c r="M589" s="10">
        <v>2.333349269387397E-2</v>
      </c>
    </row>
    <row r="590" spans="9:13" x14ac:dyDescent="0.35">
      <c r="I590">
        <v>586</v>
      </c>
      <c r="J590" s="7">
        <v>5.3010668605566025E-2</v>
      </c>
      <c r="K590">
        <v>2.1726515144109726E-2</v>
      </c>
      <c r="L590">
        <v>0.35325935482978821</v>
      </c>
      <c r="M590" s="10">
        <v>2.2850043846819657E-2</v>
      </c>
    </row>
    <row r="591" spans="9:13" x14ac:dyDescent="0.35">
      <c r="I591">
        <v>587</v>
      </c>
      <c r="J591" s="7">
        <v>5.6371916085481644E-2</v>
      </c>
      <c r="K591">
        <v>2.4063562974333763E-2</v>
      </c>
      <c r="L591">
        <v>0.37365347146987915</v>
      </c>
      <c r="M591" s="10">
        <v>2.4108675581218875E-2</v>
      </c>
    </row>
    <row r="592" spans="9:13" x14ac:dyDescent="0.35">
      <c r="I592">
        <v>588</v>
      </c>
      <c r="J592" s="7">
        <v>5.6457862257957458E-2</v>
      </c>
      <c r="K592">
        <v>2.3218745365738869E-2</v>
      </c>
      <c r="L592">
        <v>0.35812097787857056</v>
      </c>
      <c r="M592" s="10">
        <v>2.414085844807845E-2</v>
      </c>
    </row>
    <row r="593" spans="9:13" x14ac:dyDescent="0.35">
      <c r="I593">
        <v>589</v>
      </c>
      <c r="J593" s="7">
        <v>4.597899317741394E-2</v>
      </c>
      <c r="K593">
        <v>1.9780345261096954E-2</v>
      </c>
      <c r="L593">
        <v>0.36495676636695862</v>
      </c>
      <c r="M593" s="10">
        <v>2.0217006591232156E-2</v>
      </c>
    </row>
    <row r="594" spans="9:13" x14ac:dyDescent="0.35">
      <c r="I594">
        <v>590</v>
      </c>
      <c r="J594" s="7">
        <v>6.7182198166847229E-2</v>
      </c>
      <c r="K594">
        <v>2.729899063706398E-2</v>
      </c>
      <c r="L594">
        <v>0.36168792843818665</v>
      </c>
      <c r="M594" s="10">
        <v>2.8156626280093189E-2</v>
      </c>
    </row>
    <row r="595" spans="9:13" x14ac:dyDescent="0.35">
      <c r="I595">
        <v>591</v>
      </c>
      <c r="J595" s="7">
        <v>5.143703892827034E-2</v>
      </c>
      <c r="K595">
        <v>2.2124217823147774E-2</v>
      </c>
      <c r="L595">
        <v>0.37179857492446899</v>
      </c>
      <c r="M595" s="10">
        <v>2.2260792307957522E-2</v>
      </c>
    </row>
    <row r="596" spans="9:13" x14ac:dyDescent="0.35">
      <c r="I596">
        <v>592</v>
      </c>
      <c r="J596" s="7">
        <v>5.6235432624816895E-2</v>
      </c>
      <c r="K596">
        <v>2.3693298920989037E-2</v>
      </c>
      <c r="L596">
        <v>0.36797615885734558</v>
      </c>
      <c r="M596" s="10">
        <v>2.4057568837118737E-2</v>
      </c>
    </row>
    <row r="597" spans="9:13" x14ac:dyDescent="0.35">
      <c r="I597">
        <v>593</v>
      </c>
      <c r="J597" s="7">
        <v>6.0742471367120743E-2</v>
      </c>
      <c r="K597">
        <v>2.3975569754838943E-2</v>
      </c>
      <c r="L597">
        <v>0.34531965851783752</v>
      </c>
      <c r="M597" s="10">
        <v>2.5745246410140754E-2</v>
      </c>
    </row>
    <row r="598" spans="9:13" x14ac:dyDescent="0.35">
      <c r="I598">
        <v>594</v>
      </c>
      <c r="J598" s="7">
        <v>5.5093735456466675E-2</v>
      </c>
      <c r="K598">
        <v>2.3422129452228546E-2</v>
      </c>
      <c r="L598">
        <v>0.37067970633506775</v>
      </c>
      <c r="M598" s="10">
        <v>2.3630056047374559E-2</v>
      </c>
    </row>
    <row r="599" spans="9:13" x14ac:dyDescent="0.35">
      <c r="I599">
        <v>595</v>
      </c>
      <c r="J599" s="7">
        <v>4.673970490694046E-2</v>
      </c>
      <c r="K599">
        <v>1.9725121557712555E-2</v>
      </c>
      <c r="L599">
        <v>0.35783541202545166</v>
      </c>
      <c r="M599" s="10">
        <v>2.0501857953481695E-2</v>
      </c>
    </row>
    <row r="600" spans="9:13" x14ac:dyDescent="0.35">
      <c r="I600">
        <v>596</v>
      </c>
      <c r="J600" s="7">
        <v>5.1986873149871826E-2</v>
      </c>
      <c r="K600">
        <v>2.2402459755539894E-2</v>
      </c>
      <c r="L600">
        <v>0.37321844696998596</v>
      </c>
      <c r="M600" s="10">
        <v>2.2466679795892119E-2</v>
      </c>
    </row>
    <row r="601" spans="9:13" x14ac:dyDescent="0.35">
      <c r="I601">
        <v>597</v>
      </c>
      <c r="J601" s="7">
        <v>4.8801399767398834E-2</v>
      </c>
      <c r="K601">
        <v>2.1045222878456116E-2</v>
      </c>
      <c r="L601">
        <v>0.36976855993270874</v>
      </c>
      <c r="M601" s="10">
        <v>2.1273867332001428E-2</v>
      </c>
    </row>
    <row r="602" spans="9:13" x14ac:dyDescent="0.35">
      <c r="I602">
        <v>598</v>
      </c>
      <c r="J602" s="7">
        <v>5.8505024760961533E-2</v>
      </c>
      <c r="K602">
        <v>2.3761030286550522E-2</v>
      </c>
      <c r="L602">
        <v>0.35485893487930298</v>
      </c>
      <c r="M602" s="10">
        <v>2.4907426130806098E-2</v>
      </c>
    </row>
    <row r="603" spans="9:13" x14ac:dyDescent="0.35">
      <c r="I603">
        <v>599</v>
      </c>
      <c r="J603" s="7">
        <v>5.4357271641492844E-2</v>
      </c>
      <c r="K603">
        <v>2.3313596844673157E-2</v>
      </c>
      <c r="L603">
        <v>0.37370523810386658</v>
      </c>
      <c r="M603" s="10">
        <v>2.3354284407737347E-2</v>
      </c>
    </row>
    <row r="604" spans="9:13" x14ac:dyDescent="0.35">
      <c r="I604">
        <v>600</v>
      </c>
      <c r="J604" s="7">
        <v>4.8986580222845078E-2</v>
      </c>
      <c r="K604">
        <v>2.1017985418438911E-2</v>
      </c>
      <c r="L604">
        <v>0.36781471967697144</v>
      </c>
      <c r="M604" s="10">
        <v>2.1343208848568662E-2</v>
      </c>
    </row>
    <row r="605" spans="9:13" x14ac:dyDescent="0.35">
      <c r="I605">
        <v>601</v>
      </c>
      <c r="J605" s="7">
        <v>5.2862983196973801E-2</v>
      </c>
      <c r="K605">
        <v>2.263864129781723E-2</v>
      </c>
      <c r="L605">
        <v>0.37150081992149353</v>
      </c>
      <c r="M605" s="10">
        <v>2.2794742491274556E-2</v>
      </c>
    </row>
    <row r="606" spans="9:13" x14ac:dyDescent="0.35">
      <c r="I606">
        <v>602</v>
      </c>
      <c r="J606" s="7">
        <v>5.3517106920480728E-2</v>
      </c>
      <c r="K606">
        <v>2.2217651829123497E-2</v>
      </c>
      <c r="L606">
        <v>0.35909363627433777</v>
      </c>
      <c r="M606" s="10">
        <v>2.3039681574620441E-2</v>
      </c>
    </row>
    <row r="607" spans="9:13" x14ac:dyDescent="0.35">
      <c r="I607">
        <v>603</v>
      </c>
      <c r="J607" s="7">
        <v>4.6728931367397308E-2</v>
      </c>
      <c r="K607">
        <v>1.970670185983181E-2</v>
      </c>
      <c r="L607">
        <v>0.35752373933792114</v>
      </c>
      <c r="M607" s="10">
        <v>2.0497823761164158E-2</v>
      </c>
    </row>
    <row r="608" spans="9:13" x14ac:dyDescent="0.35">
      <c r="I608">
        <v>604</v>
      </c>
      <c r="J608" s="7">
        <v>5.8700881898403168E-2</v>
      </c>
      <c r="K608">
        <v>2.3627270013093948E-2</v>
      </c>
      <c r="L608">
        <v>0.35139626264572144</v>
      </c>
      <c r="M608" s="10">
        <v>2.4980765571018582E-2</v>
      </c>
    </row>
    <row r="609" spans="9:13" x14ac:dyDescent="0.35">
      <c r="I609">
        <v>605</v>
      </c>
      <c r="J609" s="7">
        <v>8.3568990230560303E-2</v>
      </c>
      <c r="K609">
        <v>3.0529551208019257E-2</v>
      </c>
      <c r="L609">
        <v>0.32942304015159607</v>
      </c>
      <c r="M609" s="10">
        <v>3.4292722071798565E-2</v>
      </c>
    </row>
    <row r="610" spans="9:13" x14ac:dyDescent="0.35">
      <c r="I610">
        <v>606</v>
      </c>
      <c r="J610" s="7">
        <v>5.4497703909873962E-2</v>
      </c>
      <c r="K610">
        <v>2.3361125960946083E-2</v>
      </c>
      <c r="L610">
        <v>0.37361437082290649</v>
      </c>
      <c r="M610" s="10">
        <v>2.3406869797707675E-2</v>
      </c>
    </row>
    <row r="611" spans="9:13" x14ac:dyDescent="0.35">
      <c r="I611">
        <v>607</v>
      </c>
      <c r="J611" s="7">
        <v>5.2314843982458115E-2</v>
      </c>
      <c r="K611">
        <v>2.1308403462171555E-2</v>
      </c>
      <c r="L611">
        <v>0.34996575117111206</v>
      </c>
      <c r="M611" s="10">
        <v>2.2589489705104993E-2</v>
      </c>
    </row>
    <row r="612" spans="9:13" x14ac:dyDescent="0.35">
      <c r="I612">
        <v>608</v>
      </c>
      <c r="J612" s="7">
        <v>4.8181746155023575E-2</v>
      </c>
      <c r="K612">
        <v>2.0448664203286171E-2</v>
      </c>
      <c r="L612">
        <v>0.36214262247085571</v>
      </c>
      <c r="M612" s="10">
        <v>2.1041835711143153E-2</v>
      </c>
    </row>
    <row r="613" spans="9:13" x14ac:dyDescent="0.35">
      <c r="I613">
        <v>609</v>
      </c>
      <c r="J613" s="7">
        <v>5.2511543035507202E-2</v>
      </c>
      <c r="K613">
        <v>2.2357543930411339E-2</v>
      </c>
      <c r="L613">
        <v>0.36863407492637634</v>
      </c>
      <c r="M613" s="10">
        <v>2.2663144403776592E-2</v>
      </c>
    </row>
    <row r="614" spans="9:13" x14ac:dyDescent="0.35">
      <c r="I614">
        <v>610</v>
      </c>
      <c r="J614" s="7">
        <v>4.9451205879449844E-2</v>
      </c>
      <c r="K614">
        <v>2.1220482885837555E-2</v>
      </c>
      <c r="L614">
        <v>0.36845377087593079</v>
      </c>
      <c r="M614" s="10">
        <v>2.1517189669532644E-2</v>
      </c>
    </row>
    <row r="615" spans="9:13" x14ac:dyDescent="0.35">
      <c r="I615">
        <v>611</v>
      </c>
      <c r="J615" s="7">
        <v>4.0323689579963684E-2</v>
      </c>
      <c r="K615">
        <v>1.579757034778595E-2</v>
      </c>
      <c r="L615">
        <v>0.31737101078033447</v>
      </c>
      <c r="M615" s="10">
        <v>1.809935693349507E-2</v>
      </c>
    </row>
    <row r="616" spans="9:13" x14ac:dyDescent="0.35">
      <c r="I616">
        <v>612</v>
      </c>
      <c r="J616" s="7">
        <v>6.9838620722293854E-2</v>
      </c>
      <c r="K616">
        <v>2.6550674811005592E-2</v>
      </c>
      <c r="L616">
        <v>0.33721563220024109</v>
      </c>
      <c r="M616" s="10">
        <v>2.9151333676152857E-2</v>
      </c>
    </row>
    <row r="617" spans="9:13" x14ac:dyDescent="0.35">
      <c r="I617">
        <v>613</v>
      </c>
      <c r="J617" s="7">
        <v>6.3390418887138367E-2</v>
      </c>
      <c r="K617">
        <v>2.478872612118721E-2</v>
      </c>
      <c r="L617">
        <v>0.34372270107269287</v>
      </c>
      <c r="M617" s="10">
        <v>2.6736780297375251E-2</v>
      </c>
    </row>
    <row r="618" spans="9:13" x14ac:dyDescent="0.35">
      <c r="I618">
        <v>614</v>
      </c>
      <c r="J618" s="7">
        <v>6.6264547407627106E-2</v>
      </c>
      <c r="K618">
        <v>2.6960624381899834E-2</v>
      </c>
      <c r="L618">
        <v>0.36159041523933411</v>
      </c>
      <c r="M618" s="10">
        <v>2.7813008509146142E-2</v>
      </c>
    </row>
    <row r="619" spans="9:13" x14ac:dyDescent="0.35">
      <c r="I619">
        <v>615</v>
      </c>
      <c r="J619" s="7">
        <v>5.9201847761869431E-2</v>
      </c>
      <c r="K619">
        <v>2.4189969524741173E-2</v>
      </c>
      <c r="L619">
        <v>0.35792750120162964</v>
      </c>
      <c r="M619" s="10">
        <v>2.5168354118835112E-2</v>
      </c>
    </row>
    <row r="620" spans="9:13" x14ac:dyDescent="0.35">
      <c r="I620">
        <v>616</v>
      </c>
      <c r="J620" s="7">
        <v>7.9696670174598694E-2</v>
      </c>
      <c r="K620">
        <v>3.0134793370962143E-2</v>
      </c>
      <c r="L620">
        <v>0.34047588706016541</v>
      </c>
      <c r="M620" s="10">
        <v>3.284271729312449E-2</v>
      </c>
    </row>
    <row r="621" spans="9:13" x14ac:dyDescent="0.35">
      <c r="I621">
        <v>617</v>
      </c>
      <c r="J621" s="7">
        <v>4.7642495483160019E-2</v>
      </c>
      <c r="K621">
        <v>1.9939614459872246E-2</v>
      </c>
      <c r="L621">
        <v>0.35555681586265564</v>
      </c>
      <c r="M621" s="10">
        <v>2.0839911273130451E-2</v>
      </c>
    </row>
    <row r="622" spans="9:13" x14ac:dyDescent="0.35">
      <c r="I622">
        <v>618</v>
      </c>
      <c r="J622" s="7">
        <v>5.2454892545938492E-2</v>
      </c>
      <c r="K622">
        <v>2.2187735885381699E-2</v>
      </c>
      <c r="L622">
        <v>0.36579495668411255</v>
      </c>
      <c r="M622" s="10">
        <v>2.2641931415335104E-2</v>
      </c>
    </row>
    <row r="623" spans="9:13" x14ac:dyDescent="0.35">
      <c r="I623">
        <v>619</v>
      </c>
      <c r="J623" s="7">
        <v>6.3516929745674133E-2</v>
      </c>
      <c r="K623">
        <v>2.4008758366107941E-2</v>
      </c>
      <c r="L623">
        <v>0.33075839281082153</v>
      </c>
      <c r="M623" s="10">
        <v>2.6784152763178692E-2</v>
      </c>
    </row>
    <row r="624" spans="9:13" x14ac:dyDescent="0.35">
      <c r="I624">
        <v>620</v>
      </c>
      <c r="J624" s="7">
        <v>6.2175210565328598E-2</v>
      </c>
      <c r="K624">
        <v>2.4798288941383362E-2</v>
      </c>
      <c r="L624">
        <v>0.35059452056884766</v>
      </c>
      <c r="M624" s="10">
        <v>2.6281740980313661E-2</v>
      </c>
    </row>
    <row r="625" spans="9:13" x14ac:dyDescent="0.35">
      <c r="I625">
        <v>621</v>
      </c>
      <c r="J625" s="7">
        <v>4.5347046107053757E-2</v>
      </c>
      <c r="K625">
        <v>1.9027005881071091E-2</v>
      </c>
      <c r="L625">
        <v>0.35342997312545776</v>
      </c>
      <c r="M625" s="10">
        <v>1.9980371638891214E-2</v>
      </c>
    </row>
    <row r="626" spans="9:13" x14ac:dyDescent="0.35">
      <c r="I626">
        <v>622</v>
      </c>
      <c r="J626" s="7">
        <v>5.489499494433403E-2</v>
      </c>
      <c r="K626">
        <v>2.3271612823009491E-2</v>
      </c>
      <c r="L626">
        <v>0.36927980184555054</v>
      </c>
      <c r="M626" s="10">
        <v>2.3555636916687051E-2</v>
      </c>
    </row>
    <row r="627" spans="9:13" x14ac:dyDescent="0.35">
      <c r="I627">
        <v>623</v>
      </c>
      <c r="J627" s="7">
        <v>5.5870585143566132E-2</v>
      </c>
      <c r="K627">
        <v>2.2893102839589119E-2</v>
      </c>
      <c r="L627">
        <v>0.356056809425354</v>
      </c>
      <c r="M627" s="10">
        <v>2.3920950328406798E-2</v>
      </c>
    </row>
    <row r="628" spans="9:13" x14ac:dyDescent="0.35">
      <c r="I628">
        <v>624</v>
      </c>
      <c r="J628" s="7">
        <v>5.1271297037601471E-2</v>
      </c>
      <c r="K628">
        <v>2.1048236638307571E-2</v>
      </c>
      <c r="L628">
        <v>0.35201442241668701</v>
      </c>
      <c r="M628" s="10">
        <v>2.2198729634928638E-2</v>
      </c>
    </row>
    <row r="629" spans="9:13" x14ac:dyDescent="0.35">
      <c r="I629">
        <v>625</v>
      </c>
      <c r="J629" s="7">
        <v>4.878765344619751E-2</v>
      </c>
      <c r="K629">
        <v>2.0936161279678345E-2</v>
      </c>
      <c r="L629">
        <v>0.36763730645179749</v>
      </c>
      <c r="M629" s="10">
        <v>2.1268719970434447E-2</v>
      </c>
    </row>
    <row r="630" spans="9:13" x14ac:dyDescent="0.35">
      <c r="I630">
        <v>626</v>
      </c>
      <c r="J630" s="7">
        <v>5.4189391434192657E-2</v>
      </c>
      <c r="K630">
        <v>2.3256208747625351E-2</v>
      </c>
      <c r="L630">
        <v>0.37380394339561462</v>
      </c>
      <c r="M630" s="10">
        <v>2.3291421034020265E-2</v>
      </c>
    </row>
    <row r="631" spans="9:13" x14ac:dyDescent="0.35">
      <c r="I631">
        <v>627</v>
      </c>
      <c r="J631" s="7">
        <v>4.9836885184049606E-2</v>
      </c>
      <c r="K631">
        <v>2.1270230412483215E-2</v>
      </c>
      <c r="L631">
        <v>0.36660057306289673</v>
      </c>
      <c r="M631" s="10">
        <v>2.1661608732684301E-2</v>
      </c>
    </row>
    <row r="632" spans="9:13" x14ac:dyDescent="0.35">
      <c r="I632">
        <v>628</v>
      </c>
      <c r="J632" s="7">
        <v>7.5353257358074188E-2</v>
      </c>
      <c r="K632">
        <v>2.9198594391345978E-2</v>
      </c>
      <c r="L632">
        <v>0.34767699241638184</v>
      </c>
      <c r="M632" s="10">
        <v>3.1216310062136765E-2</v>
      </c>
    </row>
    <row r="633" spans="9:13" x14ac:dyDescent="0.35">
      <c r="I633">
        <v>629</v>
      </c>
      <c r="J633" s="7">
        <v>4.1927702724933624E-2</v>
      </c>
      <c r="K633">
        <v>1.5190734528005123E-2</v>
      </c>
      <c r="L633">
        <v>0.29075607657432556</v>
      </c>
      <c r="M633" s="10">
        <v>1.8699985675864061E-2</v>
      </c>
    </row>
    <row r="634" spans="9:13" x14ac:dyDescent="0.35">
      <c r="I634">
        <v>630</v>
      </c>
      <c r="J634" s="7">
        <v>4.4674374163150787E-2</v>
      </c>
      <c r="K634">
        <v>1.879449374973774E-2</v>
      </c>
      <c r="L634">
        <v>0.35354706645011902</v>
      </c>
      <c r="M634" s="10">
        <v>1.9728487104802239E-2</v>
      </c>
    </row>
    <row r="635" spans="9:13" x14ac:dyDescent="0.35">
      <c r="I635">
        <v>631</v>
      </c>
      <c r="J635" s="7">
        <v>5.9694074094295502E-2</v>
      </c>
      <c r="K635">
        <v>2.5088217109441757E-2</v>
      </c>
      <c r="L635">
        <v>0.37002360820770264</v>
      </c>
      <c r="M635" s="10">
        <v>2.5352670116452147E-2</v>
      </c>
    </row>
    <row r="636" spans="9:13" x14ac:dyDescent="0.35">
      <c r="I636">
        <v>632</v>
      </c>
      <c r="J636" s="7">
        <v>4.8444926738739014E-2</v>
      </c>
      <c r="K636">
        <v>2.0911499857902527E-2</v>
      </c>
      <c r="L636">
        <v>0.36972910165786743</v>
      </c>
      <c r="M636" s="10">
        <v>2.1140384668493439E-2</v>
      </c>
    </row>
    <row r="637" spans="9:13" x14ac:dyDescent="0.35">
      <c r="I637">
        <v>633</v>
      </c>
      <c r="J637" s="7">
        <v>5.1000978797674179E-2</v>
      </c>
      <c r="K637">
        <v>2.1220188587903976E-2</v>
      </c>
      <c r="L637">
        <v>0.35725173354148865</v>
      </c>
      <c r="M637" s="10">
        <v>2.2097507955420537E-2</v>
      </c>
    </row>
    <row r="638" spans="9:13" x14ac:dyDescent="0.35">
      <c r="I638">
        <v>634</v>
      </c>
      <c r="J638" s="7">
        <v>5.6240290403366089E-2</v>
      </c>
      <c r="K638">
        <v>2.3924950510263443E-2</v>
      </c>
      <c r="L638">
        <v>0.37206333875656128</v>
      </c>
      <c r="M638" s="10">
        <v>2.4059387850528857E-2</v>
      </c>
    </row>
    <row r="639" spans="9:13" x14ac:dyDescent="0.35">
      <c r="I639">
        <v>635</v>
      </c>
      <c r="J639" s="7">
        <v>6.8793430924415588E-2</v>
      </c>
      <c r="K639">
        <v>2.616339735686779E-2</v>
      </c>
      <c r="L639">
        <v>0.33670943975448608</v>
      </c>
      <c r="M639" s="10">
        <v>2.8759958433496546E-2</v>
      </c>
    </row>
    <row r="640" spans="9:13" x14ac:dyDescent="0.35">
      <c r="I640">
        <v>636</v>
      </c>
      <c r="J640" s="7">
        <v>5.8927889913320541E-2</v>
      </c>
      <c r="K640">
        <v>2.481255866587162E-2</v>
      </c>
      <c r="L640">
        <v>0.37015679478645325</v>
      </c>
      <c r="M640" s="10">
        <v>2.5065769574218355E-2</v>
      </c>
    </row>
    <row r="641" spans="9:13" x14ac:dyDescent="0.35">
      <c r="I641">
        <v>637</v>
      </c>
      <c r="J641" s="7">
        <v>7.079741358757019E-2</v>
      </c>
      <c r="K641">
        <v>2.6683397591114044E-2</v>
      </c>
      <c r="L641">
        <v>0.33452349901199341</v>
      </c>
      <c r="M641" s="10">
        <v>2.9510357263128562E-2</v>
      </c>
    </row>
    <row r="642" spans="9:13" x14ac:dyDescent="0.35">
      <c r="I642">
        <v>638</v>
      </c>
      <c r="J642" s="7">
        <v>6.6344313323497772E-2</v>
      </c>
      <c r="K642">
        <v>2.4697532877326012E-2</v>
      </c>
      <c r="L642">
        <v>0.32704433798789978</v>
      </c>
      <c r="M642" s="10">
        <v>2.7842877155723977E-2</v>
      </c>
    </row>
    <row r="643" spans="9:13" x14ac:dyDescent="0.35">
      <c r="I643">
        <v>639</v>
      </c>
      <c r="J643" s="7">
        <v>4.5001298189163208E-2</v>
      </c>
      <c r="K643">
        <v>1.8263500183820724E-2</v>
      </c>
      <c r="L643">
        <v>0.33917909860610962</v>
      </c>
      <c r="M643" s="10">
        <v>1.9850905033364619E-2</v>
      </c>
    </row>
    <row r="644" spans="9:13" x14ac:dyDescent="0.35">
      <c r="I644">
        <v>640</v>
      </c>
      <c r="J644" s="7">
        <v>6.0762867331504822E-2</v>
      </c>
      <c r="K644">
        <v>2.5163436308503151E-2</v>
      </c>
      <c r="L644">
        <v>0.36475297808647156</v>
      </c>
      <c r="M644" s="10">
        <v>2.5752883755555178E-2</v>
      </c>
    </row>
    <row r="645" spans="9:13" x14ac:dyDescent="0.35">
      <c r="I645">
        <v>641</v>
      </c>
      <c r="J645" s="7">
        <v>6.8916715681552887E-2</v>
      </c>
      <c r="K645">
        <v>2.653098851442337E-2</v>
      </c>
      <c r="L645">
        <v>0.34144094586372375</v>
      </c>
      <c r="M645" s="10">
        <v>2.8806122873523021E-2</v>
      </c>
    </row>
    <row r="646" spans="9:13" x14ac:dyDescent="0.35">
      <c r="I646">
        <v>642</v>
      </c>
      <c r="J646" s="7">
        <v>5.0550948828458786E-2</v>
      </c>
      <c r="K646">
        <v>2.1512659266591072E-2</v>
      </c>
      <c r="L646">
        <v>0.36621785163879395</v>
      </c>
      <c r="M646" s="10">
        <v>2.1928992544380521E-2</v>
      </c>
    </row>
    <row r="647" spans="9:13" x14ac:dyDescent="0.35">
      <c r="I647">
        <v>643</v>
      </c>
      <c r="J647" s="7">
        <v>6.5282717347145081E-2</v>
      </c>
      <c r="K647">
        <v>2.6385493576526642E-2</v>
      </c>
      <c r="L647">
        <v>0.35821875929832458</v>
      </c>
      <c r="M647" s="10">
        <v>2.7445358557961708E-2</v>
      </c>
    </row>
    <row r="648" spans="9:13" x14ac:dyDescent="0.35">
      <c r="I648">
        <v>644</v>
      </c>
      <c r="J648" s="7">
        <v>5.3048420697450638E-2</v>
      </c>
      <c r="K648">
        <v>2.2219462320208549E-2</v>
      </c>
      <c r="L648">
        <v>0.36230036616325378</v>
      </c>
      <c r="M648" s="10">
        <v>2.2864180259318245E-2</v>
      </c>
    </row>
    <row r="649" spans="9:13" x14ac:dyDescent="0.35">
      <c r="I649">
        <v>645</v>
      </c>
      <c r="J649" s="7">
        <v>5.8870524168014526E-2</v>
      </c>
      <c r="K649">
        <v>2.46608667075634E-2</v>
      </c>
      <c r="L649">
        <v>0.36794078350067139</v>
      </c>
      <c r="M649" s="10">
        <v>2.5044288755581512E-2</v>
      </c>
    </row>
    <row r="650" spans="9:13" x14ac:dyDescent="0.35">
      <c r="I650">
        <v>646</v>
      </c>
      <c r="J650" s="7">
        <v>6.0014251619577408E-2</v>
      </c>
      <c r="K650">
        <v>2.5361448526382446E-2</v>
      </c>
      <c r="L650">
        <v>0.37260231375694275</v>
      </c>
      <c r="M650" s="10">
        <v>2.5472561792494797E-2</v>
      </c>
    </row>
    <row r="651" spans="9:13" x14ac:dyDescent="0.35">
      <c r="I651">
        <v>647</v>
      </c>
      <c r="J651" s="7">
        <v>5.5945422500371933E-2</v>
      </c>
      <c r="K651">
        <v>2.3136580362915993E-2</v>
      </c>
      <c r="L651">
        <v>0.35993257164955139</v>
      </c>
      <c r="M651" s="10">
        <v>2.3948973457544764E-2</v>
      </c>
    </row>
    <row r="652" spans="9:13" x14ac:dyDescent="0.35">
      <c r="I652">
        <v>648</v>
      </c>
      <c r="J652" s="7">
        <v>7.0077002048492432E-2</v>
      </c>
      <c r="K652">
        <v>2.7851829305291176E-2</v>
      </c>
      <c r="L652">
        <v>0.35463601350784302</v>
      </c>
      <c r="M652" s="10">
        <v>2.9240596458448564E-2</v>
      </c>
    </row>
    <row r="653" spans="9:13" x14ac:dyDescent="0.35">
      <c r="I653">
        <v>649</v>
      </c>
      <c r="J653" s="7">
        <v>5.1737487316131592E-2</v>
      </c>
      <c r="K653">
        <v>2.2186364978551865E-2</v>
      </c>
      <c r="L653">
        <v>0.37084066867828369</v>
      </c>
      <c r="M653" s="10">
        <v>2.2373296334444959E-2</v>
      </c>
    </row>
    <row r="654" spans="9:13" x14ac:dyDescent="0.35">
      <c r="I654">
        <v>650</v>
      </c>
      <c r="J654" s="7">
        <v>6.1210699379444122E-2</v>
      </c>
      <c r="K654">
        <v>2.5676514953374863E-2</v>
      </c>
      <c r="L654">
        <v>0.37046653032302856</v>
      </c>
      <c r="M654" s="10">
        <v>2.592057614672405E-2</v>
      </c>
    </row>
    <row r="655" spans="9:13" x14ac:dyDescent="0.35">
      <c r="I655">
        <v>651</v>
      </c>
      <c r="J655" s="7">
        <v>6.2931053340435028E-2</v>
      </c>
      <c r="K655">
        <v>2.3435994982719421E-2</v>
      </c>
      <c r="L655">
        <v>0.32473626732826233</v>
      </c>
      <c r="M655" s="10">
        <v>2.6564769144306277E-2</v>
      </c>
    </row>
    <row r="656" spans="9:13" x14ac:dyDescent="0.35">
      <c r="I656">
        <v>652</v>
      </c>
      <c r="J656" s="7">
        <v>4.2579442262649536E-2</v>
      </c>
      <c r="K656">
        <v>1.770717091858387E-2</v>
      </c>
      <c r="L656">
        <v>0.34540542960166931</v>
      </c>
      <c r="M656" s="10">
        <v>1.8944031991892096E-2</v>
      </c>
    </row>
    <row r="657" spans="9:13" x14ac:dyDescent="0.35">
      <c r="I657">
        <v>653</v>
      </c>
      <c r="J657" s="7">
        <v>4.6658363193273544E-2</v>
      </c>
      <c r="K657">
        <v>2.0170554518699646E-2</v>
      </c>
      <c r="L657">
        <v>0.36800593137741089</v>
      </c>
      <c r="M657" s="10">
        <v>2.0471399243504718E-2</v>
      </c>
    </row>
    <row r="658" spans="9:13" x14ac:dyDescent="0.35">
      <c r="I658">
        <v>654</v>
      </c>
      <c r="J658" s="7">
        <v>5.7545054703950882E-2</v>
      </c>
      <c r="K658">
        <v>2.2637689486145973E-2</v>
      </c>
      <c r="L658">
        <v>0.34125763177871704</v>
      </c>
      <c r="M658" s="10">
        <v>2.4547961739967206E-2</v>
      </c>
    </row>
    <row r="659" spans="9:13" x14ac:dyDescent="0.35">
      <c r="I659">
        <v>655</v>
      </c>
      <c r="J659" s="7">
        <v>6.1406645923852921E-2</v>
      </c>
      <c r="K659">
        <v>2.4361306801438332E-2</v>
      </c>
      <c r="L659">
        <v>0.34786635637283325</v>
      </c>
      <c r="M659" s="10">
        <v>2.5993949065710953E-2</v>
      </c>
    </row>
    <row r="660" spans="9:13" x14ac:dyDescent="0.35">
      <c r="I660">
        <v>656</v>
      </c>
      <c r="J660" s="7">
        <v>7.8300885856151581E-2</v>
      </c>
      <c r="K660">
        <v>2.884102426469326E-2</v>
      </c>
      <c r="L660">
        <v>0.33002212643623352</v>
      </c>
      <c r="M660" s="10">
        <v>3.2320060616378266E-2</v>
      </c>
    </row>
    <row r="661" spans="9:13" x14ac:dyDescent="0.35">
      <c r="I661">
        <v>657</v>
      </c>
      <c r="J661" s="7">
        <v>4.8421092331409454E-2</v>
      </c>
      <c r="K661">
        <v>2.0912302657961845E-2</v>
      </c>
      <c r="L661">
        <v>0.36992767453193665</v>
      </c>
      <c r="M661" s="10">
        <v>2.1131459785212803E-2</v>
      </c>
    </row>
    <row r="662" spans="9:13" x14ac:dyDescent="0.35">
      <c r="I662">
        <v>658</v>
      </c>
      <c r="J662" s="7">
        <v>5.8725487440824509E-2</v>
      </c>
      <c r="K662">
        <v>2.4325717240571976E-2</v>
      </c>
      <c r="L662">
        <v>0.3631424605846405</v>
      </c>
      <c r="M662" s="10">
        <v>2.4989979208728585E-2</v>
      </c>
    </row>
    <row r="663" spans="9:13" x14ac:dyDescent="0.35">
      <c r="I663">
        <v>659</v>
      </c>
      <c r="J663" s="7">
        <v>4.4998571276664734E-2</v>
      </c>
      <c r="K663">
        <v>1.9163044169545174E-2</v>
      </c>
      <c r="L663">
        <v>0.35919016599655151</v>
      </c>
      <c r="M663" s="10">
        <v>1.9849883930744827E-2</v>
      </c>
    </row>
    <row r="664" spans="9:13" x14ac:dyDescent="0.35">
      <c r="I664">
        <v>660</v>
      </c>
      <c r="J664" s="7">
        <v>4.783061146736145E-2</v>
      </c>
      <c r="K664">
        <v>1.8837923184037209E-2</v>
      </c>
      <c r="L664">
        <v>0.33112525939941406</v>
      </c>
      <c r="M664" s="10">
        <v>2.0910352009457789E-2</v>
      </c>
    </row>
    <row r="665" spans="9:13" x14ac:dyDescent="0.35">
      <c r="I665">
        <v>661</v>
      </c>
      <c r="J665" s="7">
        <v>5.3483970463275909E-2</v>
      </c>
      <c r="K665">
        <v>2.2625751793384552E-2</v>
      </c>
      <c r="L665">
        <v>0.36694642901420593</v>
      </c>
      <c r="M665" s="10">
        <v>2.3027273503851253E-2</v>
      </c>
    </row>
    <row r="666" spans="9:13" x14ac:dyDescent="0.35">
      <c r="I666">
        <v>662</v>
      </c>
      <c r="J666" s="7">
        <v>5.6417964398860931E-2</v>
      </c>
      <c r="K666">
        <v>2.3936530575156212E-2</v>
      </c>
      <c r="L666">
        <v>0.37109687924385071</v>
      </c>
      <c r="M666" s="10">
        <v>2.4125918544993796E-2</v>
      </c>
    </row>
    <row r="667" spans="9:13" x14ac:dyDescent="0.35">
      <c r="I667">
        <v>663</v>
      </c>
      <c r="J667" s="7">
        <v>8.2708574831485748E-2</v>
      </c>
      <c r="K667">
        <v>2.8470627963542938E-2</v>
      </c>
      <c r="L667">
        <v>0.30795630812644958</v>
      </c>
      <c r="M667" s="10">
        <v>3.3970536296275666E-2</v>
      </c>
    </row>
    <row r="668" spans="9:13" x14ac:dyDescent="0.35">
      <c r="I668">
        <v>664</v>
      </c>
      <c r="J668" s="7">
        <v>6.3798315823078156E-2</v>
      </c>
      <c r="K668">
        <v>2.4579005315899849E-2</v>
      </c>
      <c r="L668">
        <v>0.33823785185813904</v>
      </c>
      <c r="M668" s="10">
        <v>2.6889518835970128E-2</v>
      </c>
    </row>
    <row r="669" spans="9:13" x14ac:dyDescent="0.35">
      <c r="I669">
        <v>665</v>
      </c>
      <c r="J669" s="7">
        <v>5.2884235978126526E-2</v>
      </c>
      <c r="K669">
        <v>2.202242985367775E-2</v>
      </c>
      <c r="L669">
        <v>0.35969942808151245</v>
      </c>
      <c r="M669" s="10">
        <v>2.2802700674943832E-2</v>
      </c>
    </row>
    <row r="670" spans="9:13" x14ac:dyDescent="0.35">
      <c r="I670">
        <v>666</v>
      </c>
      <c r="J670" s="7">
        <v>6.1802923679351807E-2</v>
      </c>
      <c r="K670">
        <v>2.5832079350948334E-2</v>
      </c>
      <c r="L670">
        <v>0.36943364143371582</v>
      </c>
      <c r="M670" s="10">
        <v>2.6142336758580242E-2</v>
      </c>
    </row>
    <row r="671" spans="9:13" x14ac:dyDescent="0.35">
      <c r="I671">
        <v>667</v>
      </c>
      <c r="J671" s="7">
        <v>5.3178600966930389E-2</v>
      </c>
      <c r="K671">
        <v>2.2610163316130638E-2</v>
      </c>
      <c r="L671">
        <v>0.36876040697097778</v>
      </c>
      <c r="M671" s="10">
        <v>2.2912926749821816E-2</v>
      </c>
    </row>
    <row r="672" spans="9:13" x14ac:dyDescent="0.35">
      <c r="I672">
        <v>668</v>
      </c>
      <c r="J672" s="7">
        <v>5.2858989685773849E-2</v>
      </c>
      <c r="K672">
        <v>2.1882250905036926E-2</v>
      </c>
      <c r="L672">
        <v>0.35721927881240845</v>
      </c>
      <c r="M672" s="10">
        <v>2.2793247106017156E-2</v>
      </c>
    </row>
    <row r="673" spans="9:13" x14ac:dyDescent="0.35">
      <c r="I673">
        <v>669</v>
      </c>
      <c r="J673" s="7">
        <v>6.3268415629863739E-2</v>
      </c>
      <c r="K673">
        <v>2.555028535425663E-2</v>
      </c>
      <c r="L673">
        <v>0.35642248392105103</v>
      </c>
      <c r="M673" s="10">
        <v>2.6691095719782121E-2</v>
      </c>
    </row>
    <row r="674" spans="9:13" x14ac:dyDescent="0.35">
      <c r="I674">
        <v>670</v>
      </c>
      <c r="J674" s="7">
        <v>4.5887306332588196E-2</v>
      </c>
      <c r="K674">
        <v>1.9794214516878128E-2</v>
      </c>
      <c r="L674">
        <v>0.36598825454711914</v>
      </c>
      <c r="M674" s="10">
        <v>2.0182674108065068E-2</v>
      </c>
    </row>
    <row r="675" spans="9:13" x14ac:dyDescent="0.35">
      <c r="I675">
        <v>671</v>
      </c>
      <c r="J675" s="7">
        <v>6.4891092479228973E-2</v>
      </c>
      <c r="K675">
        <v>2.6197336614131927E-2</v>
      </c>
      <c r="L675">
        <v>0.35748106241226196</v>
      </c>
      <c r="M675" s="10">
        <v>2.7298713156311161E-2</v>
      </c>
    </row>
    <row r="676" spans="9:13" x14ac:dyDescent="0.35">
      <c r="I676">
        <v>672</v>
      </c>
      <c r="J676" s="7">
        <v>5.7257786393165588E-2</v>
      </c>
      <c r="K676">
        <v>2.4142442271113396E-2</v>
      </c>
      <c r="L676">
        <v>0.36925008893013</v>
      </c>
      <c r="M676" s="10">
        <v>2.4440393042808761E-2</v>
      </c>
    </row>
    <row r="677" spans="9:13" x14ac:dyDescent="0.35">
      <c r="I677">
        <v>673</v>
      </c>
      <c r="J677" s="7">
        <v>4.599442332983017E-2</v>
      </c>
      <c r="K677">
        <v>1.9485708326101303E-2</v>
      </c>
      <c r="L677">
        <v>0.35842841863632202</v>
      </c>
      <c r="M677" s="10">
        <v>2.022278446971737E-2</v>
      </c>
    </row>
    <row r="678" spans="9:13" x14ac:dyDescent="0.35">
      <c r="I678">
        <v>674</v>
      </c>
      <c r="J678" s="7">
        <v>6.2927424907684326E-2</v>
      </c>
      <c r="K678">
        <v>2.4147715419530869E-2</v>
      </c>
      <c r="L678">
        <v>0.33606517314910889</v>
      </c>
      <c r="M678" s="10">
        <v>2.6563410464044424E-2</v>
      </c>
    </row>
    <row r="679" spans="9:13" x14ac:dyDescent="0.35">
      <c r="I679">
        <v>675</v>
      </c>
      <c r="J679" s="7">
        <v>6.1001889407634735E-2</v>
      </c>
      <c r="K679">
        <v>2.4343237280845642E-2</v>
      </c>
      <c r="L679">
        <v>0.34987831115722656</v>
      </c>
      <c r="M679" s="10">
        <v>2.5842386469067558E-2</v>
      </c>
    </row>
    <row r="680" spans="9:13" x14ac:dyDescent="0.35">
      <c r="I680">
        <v>676</v>
      </c>
      <c r="J680" s="7">
        <v>5.7939145714044571E-2</v>
      </c>
      <c r="K680">
        <v>2.4319050833582878E-2</v>
      </c>
      <c r="L680">
        <v>0.36795589327812195</v>
      </c>
      <c r="M680" s="10">
        <v>2.4695530597812154E-2</v>
      </c>
    </row>
    <row r="681" spans="9:13" x14ac:dyDescent="0.35">
      <c r="I681">
        <v>677</v>
      </c>
      <c r="J681" s="7">
        <v>6.6655747592449188E-2</v>
      </c>
      <c r="K681">
        <v>2.684376947581768E-2</v>
      </c>
      <c r="L681">
        <v>0.35771512985229492</v>
      </c>
      <c r="M681" s="10">
        <v>2.7959494886618197E-2</v>
      </c>
    </row>
    <row r="682" spans="9:13" x14ac:dyDescent="0.35">
      <c r="I682">
        <v>678</v>
      </c>
      <c r="J682" s="7">
        <v>6.7886888980865479E-2</v>
      </c>
      <c r="K682">
        <v>2.7513936161994934E-2</v>
      </c>
      <c r="L682">
        <v>0.3610997200012207</v>
      </c>
      <c r="M682" s="10">
        <v>2.8420500400271109E-2</v>
      </c>
    </row>
    <row r="683" spans="9:13" x14ac:dyDescent="0.35">
      <c r="I683">
        <v>679</v>
      </c>
      <c r="J683" s="7">
        <v>6.7883104085922241E-2</v>
      </c>
      <c r="K683">
        <v>2.7738140895962715E-2</v>
      </c>
      <c r="L683">
        <v>0.36442264914512634</v>
      </c>
      <c r="M683" s="10">
        <v>2.8419083132154022E-2</v>
      </c>
    </row>
    <row r="684" spans="9:13" x14ac:dyDescent="0.35">
      <c r="I684">
        <v>680</v>
      </c>
      <c r="J684" s="7">
        <v>6.8944424390792847E-2</v>
      </c>
      <c r="K684">
        <v>2.5840772315859795E-2</v>
      </c>
      <c r="L684">
        <v>0.33129251003265381</v>
      </c>
      <c r="M684" s="10">
        <v>2.8816498503695165E-2</v>
      </c>
    </row>
    <row r="685" spans="9:13" x14ac:dyDescent="0.35">
      <c r="I685">
        <v>681</v>
      </c>
      <c r="J685" s="7">
        <v>5.4500367492437363E-2</v>
      </c>
      <c r="K685">
        <v>2.1640392020344734E-2</v>
      </c>
      <c r="L685">
        <v>0.34202322363853455</v>
      </c>
      <c r="M685" s="10">
        <v>2.3407867186195586E-2</v>
      </c>
    </row>
    <row r="686" spans="9:13" x14ac:dyDescent="0.35">
      <c r="I686">
        <v>682</v>
      </c>
      <c r="J686" s="7">
        <v>6.0042262077331543E-2</v>
      </c>
      <c r="K686">
        <v>2.441830188035965E-2</v>
      </c>
      <c r="L686">
        <v>0.3567204475402832</v>
      </c>
      <c r="M686" s="10">
        <v>2.5483050413530606E-2</v>
      </c>
    </row>
    <row r="687" spans="9:13" x14ac:dyDescent="0.35">
      <c r="I687">
        <v>683</v>
      </c>
      <c r="J687" s="7">
        <v>6.2215272337198257E-2</v>
      </c>
      <c r="K687">
        <v>2.5866074487566948E-2</v>
      </c>
      <c r="L687">
        <v>0.36753153800964355</v>
      </c>
      <c r="M687" s="10">
        <v>2.6296742261151418E-2</v>
      </c>
    </row>
    <row r="688" spans="9:13" x14ac:dyDescent="0.35">
      <c r="I688">
        <v>684</v>
      </c>
      <c r="J688" s="7">
        <v>4.031604528427124E-2</v>
      </c>
      <c r="K688">
        <v>1.6019498929381371E-2</v>
      </c>
      <c r="L688">
        <v>0.32293590903282166</v>
      </c>
      <c r="M688" s="10">
        <v>1.8096494498282212E-2</v>
      </c>
    </row>
    <row r="689" spans="9:13" x14ac:dyDescent="0.35">
      <c r="I689">
        <v>685</v>
      </c>
      <c r="J689" s="7">
        <v>6.2440790235996246E-2</v>
      </c>
      <c r="K689">
        <v>2.3143408820033073E-2</v>
      </c>
      <c r="L689">
        <v>0.32260015606880188</v>
      </c>
      <c r="M689" s="10">
        <v>2.6381188284777535E-2</v>
      </c>
    </row>
    <row r="690" spans="9:13" x14ac:dyDescent="0.35">
      <c r="I690">
        <v>686</v>
      </c>
      <c r="J690" s="7">
        <v>5.8739293366670609E-2</v>
      </c>
      <c r="K690">
        <v>2.483782172203064E-2</v>
      </c>
      <c r="L690">
        <v>0.37177535891532898</v>
      </c>
      <c r="M690" s="10">
        <v>2.4995148889478513E-2</v>
      </c>
    </row>
    <row r="691" spans="9:13" x14ac:dyDescent="0.35">
      <c r="I691">
        <v>687</v>
      </c>
      <c r="J691" s="7">
        <v>6.5322592854499817E-2</v>
      </c>
      <c r="K691">
        <v>2.5041200220584869E-2</v>
      </c>
      <c r="L691">
        <v>0.33742079138755798</v>
      </c>
      <c r="M691" s="10">
        <v>2.7460290091352757E-2</v>
      </c>
    </row>
    <row r="692" spans="9:13" x14ac:dyDescent="0.35">
      <c r="I692">
        <v>688</v>
      </c>
      <c r="J692" s="7">
        <v>3.9864242076873779E-2</v>
      </c>
      <c r="K692">
        <v>1.4742434956133366E-2</v>
      </c>
      <c r="L692">
        <v>0.29456061124801636</v>
      </c>
      <c r="M692" s="10">
        <v>1.7927315091549545E-2</v>
      </c>
    </row>
    <row r="693" spans="9:13" x14ac:dyDescent="0.35">
      <c r="I693">
        <v>689</v>
      </c>
      <c r="J693" s="7">
        <v>6.9561347365379333E-2</v>
      </c>
      <c r="K693">
        <v>2.7791375294327736E-2</v>
      </c>
      <c r="L693">
        <v>0.35639584064483643</v>
      </c>
      <c r="M693" s="10">
        <v>2.9047507626984714E-2</v>
      </c>
    </row>
    <row r="694" spans="9:13" x14ac:dyDescent="0.35">
      <c r="I694">
        <v>690</v>
      </c>
      <c r="J694" s="7">
        <v>6.4127303659915924E-2</v>
      </c>
      <c r="K694">
        <v>2.6627048850059509E-2</v>
      </c>
      <c r="L694">
        <v>0.36843976378440857</v>
      </c>
      <c r="M694" s="10">
        <v>2.7012709566242021E-2</v>
      </c>
    </row>
    <row r="695" spans="9:13" x14ac:dyDescent="0.35">
      <c r="I695">
        <v>691</v>
      </c>
      <c r="J695" s="7">
        <v>5.7916373014450073E-2</v>
      </c>
      <c r="K695">
        <v>2.4005282670259476E-2</v>
      </c>
      <c r="L695">
        <v>0.36268296837806702</v>
      </c>
      <c r="M695" s="10">
        <v>2.4687003274977748E-2</v>
      </c>
    </row>
    <row r="696" spans="9:13" x14ac:dyDescent="0.35">
      <c r="I696">
        <v>692</v>
      </c>
      <c r="J696" s="7">
        <v>7.6749078929424286E-2</v>
      </c>
      <c r="K696">
        <v>2.723313681781292E-2</v>
      </c>
      <c r="L696">
        <v>0.31574499607086182</v>
      </c>
      <c r="M696" s="10">
        <v>3.1738980688372331E-2</v>
      </c>
    </row>
    <row r="697" spans="9:13" x14ac:dyDescent="0.35">
      <c r="I697">
        <v>693</v>
      </c>
      <c r="J697" s="7">
        <v>5.1634091883897781E-2</v>
      </c>
      <c r="K697">
        <v>2.2225847467780113E-2</v>
      </c>
      <c r="L697">
        <v>0.37234792113304138</v>
      </c>
      <c r="M697" s="10">
        <v>2.2334579526777865E-2</v>
      </c>
    </row>
    <row r="698" spans="9:13" x14ac:dyDescent="0.35">
      <c r="I698">
        <v>694</v>
      </c>
      <c r="J698" s="7">
        <v>4.9243133515119553E-2</v>
      </c>
      <c r="K698">
        <v>2.1079340949654579E-2</v>
      </c>
      <c r="L698">
        <v>0.36714440584182739</v>
      </c>
      <c r="M698" s="10">
        <v>2.1439276191765111E-2</v>
      </c>
    </row>
    <row r="699" spans="9:13" x14ac:dyDescent="0.35">
      <c r="I699">
        <v>695</v>
      </c>
      <c r="J699" s="7">
        <v>4.4106669723987579E-2</v>
      </c>
      <c r="K699">
        <v>1.7958015203475952E-2</v>
      </c>
      <c r="L699">
        <v>0.33913272619247437</v>
      </c>
      <c r="M699" s="10">
        <v>1.9515908046830566E-2</v>
      </c>
    </row>
    <row r="700" spans="9:13" x14ac:dyDescent="0.35">
      <c r="I700">
        <v>696</v>
      </c>
      <c r="J700" s="7">
        <v>7.3785148561000824E-2</v>
      </c>
      <c r="K700">
        <v>2.8286667540669441E-2</v>
      </c>
      <c r="L700">
        <v>0.34270673990249634</v>
      </c>
      <c r="M700" s="10">
        <v>3.0629125837595028E-2</v>
      </c>
    </row>
    <row r="701" spans="9:13" x14ac:dyDescent="0.35">
      <c r="I701">
        <v>697</v>
      </c>
      <c r="J701" s="7">
        <v>5.7908840477466583E-2</v>
      </c>
      <c r="K701">
        <v>2.2806202992796898E-2</v>
      </c>
      <c r="L701">
        <v>0.3420238196849823</v>
      </c>
      <c r="M701" s="10">
        <v>2.4684182688232914E-2</v>
      </c>
    </row>
    <row r="702" spans="9:13" x14ac:dyDescent="0.35">
      <c r="I702">
        <v>698</v>
      </c>
      <c r="J702" s="7">
        <v>7.0755913853645325E-2</v>
      </c>
      <c r="K702">
        <v>2.7052829042077065E-2</v>
      </c>
      <c r="L702">
        <v>0.33994090557098389</v>
      </c>
      <c r="M702" s="10">
        <v>2.9494817532002227E-2</v>
      </c>
    </row>
    <row r="703" spans="9:13" x14ac:dyDescent="0.35">
      <c r="I703">
        <v>699</v>
      </c>
      <c r="J703" s="7">
        <v>6.9178909063339233E-2</v>
      </c>
      <c r="K703">
        <v>2.7105975896120071E-2</v>
      </c>
      <c r="L703">
        <v>0.34845846891403198</v>
      </c>
      <c r="M703" s="10">
        <v>2.890430216940576E-2</v>
      </c>
    </row>
    <row r="704" spans="9:13" x14ac:dyDescent="0.35">
      <c r="I704">
        <v>700</v>
      </c>
      <c r="J704" s="7">
        <v>6.0096610337495804E-2</v>
      </c>
      <c r="K704">
        <v>2.2611958906054497E-2</v>
      </c>
      <c r="L704">
        <v>0.32634052634239197</v>
      </c>
      <c r="M704" s="10">
        <v>2.5503401323530794E-2</v>
      </c>
    </row>
    <row r="705" spans="9:13" x14ac:dyDescent="0.35">
      <c r="I705">
        <v>701</v>
      </c>
      <c r="J705" s="7">
        <v>7.0604667067527771E-2</v>
      </c>
      <c r="K705">
        <v>2.8345184400677681E-2</v>
      </c>
      <c r="L705">
        <v>0.35897320508956909</v>
      </c>
      <c r="M705" s="10">
        <v>2.9438182605276086E-2</v>
      </c>
    </row>
    <row r="706" spans="9:13" x14ac:dyDescent="0.35">
      <c r="I706">
        <v>702</v>
      </c>
      <c r="J706" s="7">
        <v>7.047155499458313E-2</v>
      </c>
      <c r="K706">
        <v>2.6275848969817162E-2</v>
      </c>
      <c r="L706">
        <v>0.33028715848922729</v>
      </c>
      <c r="M706" s="10">
        <v>2.9388338289961347E-2</v>
      </c>
    </row>
    <row r="707" spans="9:13" x14ac:dyDescent="0.35">
      <c r="I707">
        <v>703</v>
      </c>
      <c r="J707" s="7">
        <v>6.6773504018783569E-2</v>
      </c>
      <c r="K707">
        <v>2.7080357074737549E-2</v>
      </c>
      <c r="L707">
        <v>0.3606274425983429</v>
      </c>
      <c r="M707" s="10">
        <v>2.8003589222426406E-2</v>
      </c>
    </row>
    <row r="708" spans="9:13" x14ac:dyDescent="0.35">
      <c r="I708">
        <v>704</v>
      </c>
      <c r="J708" s="7">
        <v>4.9436859786510468E-2</v>
      </c>
      <c r="K708">
        <v>2.0132508128881454E-2</v>
      </c>
      <c r="L708">
        <v>0.34655332565307617</v>
      </c>
      <c r="M708" s="10">
        <v>2.1511817721187265E-2</v>
      </c>
    </row>
    <row r="709" spans="9:13" x14ac:dyDescent="0.35">
      <c r="I709">
        <v>705</v>
      </c>
      <c r="J709" s="7">
        <v>6.6728651523590088E-2</v>
      </c>
      <c r="K709">
        <v>2.6716362684965134E-2</v>
      </c>
      <c r="L709">
        <v>0.3554149866104126</v>
      </c>
      <c r="M709" s="10">
        <v>2.7986794037259344E-2</v>
      </c>
    </row>
    <row r="710" spans="9:13" x14ac:dyDescent="0.35">
      <c r="I710">
        <v>706</v>
      </c>
      <c r="J710" s="7">
        <v>4.8464987426996231E-2</v>
      </c>
      <c r="K710">
        <v>2.0786071196198463E-2</v>
      </c>
      <c r="L710">
        <v>0.36698806285858154</v>
      </c>
      <c r="M710" s="10">
        <v>2.1147896468503791E-2</v>
      </c>
    </row>
    <row r="711" spans="9:13" x14ac:dyDescent="0.35">
      <c r="I711">
        <v>707</v>
      </c>
      <c r="J711" s="7">
        <v>7.3471382260322571E-2</v>
      </c>
      <c r="K711">
        <v>2.8390564024448395E-2</v>
      </c>
      <c r="L711">
        <v>0.34558439254760742</v>
      </c>
      <c r="M711" s="10">
        <v>3.0511634868668036E-2</v>
      </c>
    </row>
    <row r="712" spans="9:13" x14ac:dyDescent="0.35">
      <c r="I712">
        <v>708</v>
      </c>
      <c r="J712" s="7">
        <v>6.6031947731971741E-2</v>
      </c>
      <c r="K712">
        <v>2.5431638583540916E-2</v>
      </c>
      <c r="L712">
        <v>0.33970886468887329</v>
      </c>
      <c r="M712" s="10">
        <v>2.7725910687596222E-2</v>
      </c>
    </row>
    <row r="713" spans="9:13" x14ac:dyDescent="0.35">
      <c r="I713">
        <v>709</v>
      </c>
      <c r="J713" s="7">
        <v>5.790342390537262E-2</v>
      </c>
      <c r="K713">
        <v>2.3987030610442162E-2</v>
      </c>
      <c r="L713">
        <v>0.36244887113571167</v>
      </c>
      <c r="M713" s="10">
        <v>2.4682154432482672E-2</v>
      </c>
    </row>
    <row r="714" spans="9:13" x14ac:dyDescent="0.35">
      <c r="I714">
        <v>710</v>
      </c>
      <c r="J714" s="7">
        <v>5.8852445334196091E-2</v>
      </c>
      <c r="K714">
        <v>2.4894088506698608E-2</v>
      </c>
      <c r="L714">
        <v>0.37201663851737976</v>
      </c>
      <c r="M714" s="10">
        <v>2.5037519068404124E-2</v>
      </c>
    </row>
    <row r="715" spans="9:13" x14ac:dyDescent="0.35">
      <c r="I715">
        <v>711</v>
      </c>
      <c r="J715" s="7">
        <v>5.7413544505834579E-2</v>
      </c>
      <c r="K715">
        <v>2.3491024971008301E-2</v>
      </c>
      <c r="L715">
        <v>0.35690227150917053</v>
      </c>
      <c r="M715" s="10">
        <v>2.4498717252694147E-2</v>
      </c>
    </row>
    <row r="716" spans="9:13" x14ac:dyDescent="0.35">
      <c r="I716">
        <v>712</v>
      </c>
      <c r="J716" s="7">
        <v>7.0735514163970947E-2</v>
      </c>
      <c r="K716">
        <v>2.5164814665913582E-2</v>
      </c>
      <c r="L716">
        <v>0.31334775686264038</v>
      </c>
      <c r="M716" s="10">
        <v>2.9487178791638868E-2</v>
      </c>
    </row>
    <row r="717" spans="9:13" x14ac:dyDescent="0.35">
      <c r="I717">
        <v>713</v>
      </c>
      <c r="J717" s="7">
        <v>4.9818318337202072E-2</v>
      </c>
      <c r="K717">
        <v>2.0062386989593506E-2</v>
      </c>
      <c r="L717">
        <v>0.34249222278594971</v>
      </c>
      <c r="M717" s="10">
        <v>2.165465630719654E-2</v>
      </c>
    </row>
    <row r="718" spans="9:13" x14ac:dyDescent="0.35">
      <c r="I718">
        <v>714</v>
      </c>
      <c r="J718" s="7">
        <v>4.7916732728481293E-2</v>
      </c>
      <c r="K718">
        <v>1.982603594660759E-2</v>
      </c>
      <c r="L718">
        <v>0.35115155577659607</v>
      </c>
      <c r="M718" s="10">
        <v>2.0942600438917269E-2</v>
      </c>
    </row>
    <row r="719" spans="9:13" x14ac:dyDescent="0.35">
      <c r="I719">
        <v>715</v>
      </c>
      <c r="J719" s="7">
        <v>5.0304621458053589E-2</v>
      </c>
      <c r="K719">
        <v>2.1684519946575165E-2</v>
      </c>
      <c r="L719">
        <v>0.3714275062084198</v>
      </c>
      <c r="M719" s="10">
        <v>2.1836754336008291E-2</v>
      </c>
    </row>
    <row r="720" spans="9:13" x14ac:dyDescent="0.35">
      <c r="I720">
        <v>716</v>
      </c>
      <c r="J720" s="7">
        <v>4.8388835042715073E-2</v>
      </c>
      <c r="K720">
        <v>2.0749172195792198E-2</v>
      </c>
      <c r="L720">
        <v>0.36680305004119873</v>
      </c>
      <c r="M720" s="10">
        <v>2.1119380922392073E-2</v>
      </c>
    </row>
    <row r="721" spans="9:13" x14ac:dyDescent="0.35">
      <c r="I721">
        <v>717</v>
      </c>
      <c r="J721" s="7">
        <v>6.8739242851734161E-2</v>
      </c>
      <c r="K721">
        <v>2.7215246111154556E-2</v>
      </c>
      <c r="L721">
        <v>0.35227689146995544</v>
      </c>
      <c r="M721" s="10">
        <v>2.8739667506300526E-2</v>
      </c>
    </row>
    <row r="722" spans="9:13" x14ac:dyDescent="0.35">
      <c r="I722">
        <v>718</v>
      </c>
      <c r="J722" s="7">
        <v>6.6182248294353485E-2</v>
      </c>
      <c r="K722">
        <v>2.6938145980238914E-2</v>
      </c>
      <c r="L722">
        <v>0.36170041561126709</v>
      </c>
      <c r="M722" s="10">
        <v>2.7782191297293091E-2</v>
      </c>
    </row>
    <row r="723" spans="9:13" x14ac:dyDescent="0.35">
      <c r="I723">
        <v>719</v>
      </c>
      <c r="J723" s="7">
        <v>5.9327464550733566E-2</v>
      </c>
      <c r="K723">
        <v>2.3733507841825485E-2</v>
      </c>
      <c r="L723">
        <v>0.34947571158409119</v>
      </c>
      <c r="M723" s="10">
        <v>2.521539179689436E-2</v>
      </c>
    </row>
    <row r="724" spans="9:13" x14ac:dyDescent="0.35">
      <c r="I724">
        <v>720</v>
      </c>
      <c r="J724" s="7">
        <v>6.7870885133743286E-2</v>
      </c>
      <c r="K724">
        <v>2.5792190805077553E-2</v>
      </c>
      <c r="L724">
        <v>0.33581691980361938</v>
      </c>
      <c r="M724" s="10">
        <v>2.8414507699650038E-2</v>
      </c>
    </row>
    <row r="725" spans="9:13" x14ac:dyDescent="0.35">
      <c r="I725">
        <v>721</v>
      </c>
      <c r="J725" s="7">
        <v>5.3318381309509277E-2</v>
      </c>
      <c r="K725">
        <v>2.2575536742806435E-2</v>
      </c>
      <c r="L725">
        <v>0.36714425683021545</v>
      </c>
      <c r="M725" s="10">
        <v>2.2965268023728669E-2</v>
      </c>
    </row>
    <row r="726" spans="9:13" x14ac:dyDescent="0.35">
      <c r="I726">
        <v>722</v>
      </c>
      <c r="J726" s="7">
        <v>4.5552652329206467E-2</v>
      </c>
      <c r="K726">
        <v>1.9350612536072731E-2</v>
      </c>
      <c r="L726">
        <v>0.35893875360488892</v>
      </c>
      <c r="M726" s="10">
        <v>2.0057361660464346E-2</v>
      </c>
    </row>
    <row r="727" spans="9:13" x14ac:dyDescent="0.35">
      <c r="I727">
        <v>723</v>
      </c>
      <c r="J727" s="7">
        <v>7.3326915502548218E-2</v>
      </c>
      <c r="K727">
        <v>2.8869843110442162E-2</v>
      </c>
      <c r="L727">
        <v>0.35280147194862366</v>
      </c>
      <c r="M727" s="10">
        <v>3.0457538749002033E-2</v>
      </c>
    </row>
    <row r="728" spans="9:13" x14ac:dyDescent="0.35">
      <c r="I728">
        <v>724</v>
      </c>
      <c r="J728" s="7">
        <v>4.9497593194246292E-2</v>
      </c>
      <c r="K728">
        <v>2.0985724404454231E-2</v>
      </c>
      <c r="L728">
        <v>0.36336562037467957</v>
      </c>
      <c r="M728" s="10">
        <v>2.1534559573660572E-2</v>
      </c>
    </row>
    <row r="729" spans="9:13" x14ac:dyDescent="0.35">
      <c r="I729">
        <v>725</v>
      </c>
      <c r="J729" s="7">
        <v>5.7796847075223923E-2</v>
      </c>
      <c r="K729">
        <v>2.426857128739357E-2</v>
      </c>
      <c r="L729">
        <v>0.36798843741416931</v>
      </c>
      <c r="M729" s="10">
        <v>2.4642246338425822E-2</v>
      </c>
    </row>
    <row r="730" spans="9:13" x14ac:dyDescent="0.35">
      <c r="I730">
        <v>726</v>
      </c>
      <c r="J730" s="7">
        <v>5.7727281004190445E-2</v>
      </c>
      <c r="K730">
        <v>2.2270623594522476E-2</v>
      </c>
      <c r="L730">
        <v>0.33382177352905273</v>
      </c>
      <c r="M730" s="10">
        <v>2.4616197062029666E-2</v>
      </c>
    </row>
    <row r="731" spans="9:13" x14ac:dyDescent="0.35">
      <c r="I731">
        <v>727</v>
      </c>
      <c r="J731" s="7">
        <v>5.4744124412536621E-2</v>
      </c>
      <c r="K731">
        <v>2.3313840851187706E-2</v>
      </c>
      <c r="L731">
        <v>0.37106886506080627</v>
      </c>
      <c r="M731" s="10">
        <v>2.3499142879803259E-2</v>
      </c>
    </row>
    <row r="732" spans="9:13" x14ac:dyDescent="0.35">
      <c r="I732">
        <v>728</v>
      </c>
      <c r="J732" s="7">
        <v>4.39792200922966E-2</v>
      </c>
      <c r="K732">
        <v>1.7708534374833107E-2</v>
      </c>
      <c r="L732">
        <v>0.33444282412528992</v>
      </c>
      <c r="M732" s="10">
        <v>1.9468184053895721E-2</v>
      </c>
    </row>
    <row r="733" spans="9:13" x14ac:dyDescent="0.35">
      <c r="I733">
        <v>729</v>
      </c>
      <c r="J733" s="7">
        <v>4.6947754919528961E-2</v>
      </c>
      <c r="K733">
        <v>1.9573826342821121E-2</v>
      </c>
      <c r="L733">
        <v>0.35302701592445374</v>
      </c>
      <c r="M733" s="10">
        <v>2.0579763061555623E-2</v>
      </c>
    </row>
    <row r="734" spans="9:13" x14ac:dyDescent="0.35">
      <c r="I734">
        <v>730</v>
      </c>
      <c r="J734" s="7">
        <v>4.6440329402685165E-2</v>
      </c>
      <c r="K734">
        <v>1.955215260386467E-2</v>
      </c>
      <c r="L734">
        <v>0.35641762614250183</v>
      </c>
      <c r="M734" s="10">
        <v>2.0389755672287291E-2</v>
      </c>
    </row>
    <row r="735" spans="9:13" x14ac:dyDescent="0.35">
      <c r="I735">
        <v>731</v>
      </c>
      <c r="J735" s="7">
        <v>6.4200662076473236E-2</v>
      </c>
      <c r="K735">
        <v>2.6499522849917412E-2</v>
      </c>
      <c r="L735">
        <v>0.36603239178657532</v>
      </c>
      <c r="M735" s="10">
        <v>2.7040178900653133E-2</v>
      </c>
    </row>
    <row r="736" spans="9:13" x14ac:dyDescent="0.35">
      <c r="I736">
        <v>732</v>
      </c>
      <c r="J736" s="7">
        <v>8.6999073624610901E-2</v>
      </c>
      <c r="K736">
        <v>3.0311016365885735E-2</v>
      </c>
      <c r="L736">
        <v>0.31392306089401245</v>
      </c>
      <c r="M736" s="10">
        <v>3.5577129672602847E-2</v>
      </c>
    </row>
    <row r="737" spans="9:13" x14ac:dyDescent="0.35">
      <c r="I737">
        <v>733</v>
      </c>
      <c r="J737" s="7">
        <v>5.1082771271467209E-2</v>
      </c>
      <c r="K737">
        <v>2.1179910749197006E-2</v>
      </c>
      <c r="L737">
        <v>0.35589122772216797</v>
      </c>
      <c r="M737" s="10">
        <v>2.2128135454218545E-2</v>
      </c>
    </row>
    <row r="738" spans="9:13" x14ac:dyDescent="0.35">
      <c r="I738">
        <v>734</v>
      </c>
      <c r="J738" s="7">
        <v>4.5210469514131546E-2</v>
      </c>
      <c r="K738">
        <v>1.9301131367683411E-2</v>
      </c>
      <c r="L738">
        <v>0.36056098341941833</v>
      </c>
      <c r="M738" s="10">
        <v>1.9929230021067723E-2</v>
      </c>
    </row>
    <row r="739" spans="9:13" x14ac:dyDescent="0.35">
      <c r="I739">
        <v>735</v>
      </c>
      <c r="J739" s="7">
        <v>6.4807765185832977E-2</v>
      </c>
      <c r="K739">
        <v>2.6205588132143021E-2</v>
      </c>
      <c r="L739">
        <v>0.35806801915168762</v>
      </c>
      <c r="M739" s="10">
        <v>2.7267510938552286E-2</v>
      </c>
    </row>
    <row r="740" spans="9:13" x14ac:dyDescent="0.35">
      <c r="I740">
        <v>736</v>
      </c>
      <c r="J740" s="7">
        <v>6.0132373124361038E-2</v>
      </c>
      <c r="K740">
        <v>2.4995693936944008E-2</v>
      </c>
      <c r="L740">
        <v>0.36578789353370667</v>
      </c>
      <c r="M740" s="10">
        <v>2.5516792833298552E-2</v>
      </c>
    </row>
    <row r="741" spans="9:13" x14ac:dyDescent="0.35">
      <c r="I741">
        <v>737</v>
      </c>
      <c r="J741" s="7">
        <v>6.0324307531118393E-2</v>
      </c>
      <c r="K741">
        <v>2.4687759578227997E-2</v>
      </c>
      <c r="L741">
        <v>0.35951942205429077</v>
      </c>
      <c r="M741" s="10">
        <v>2.5588663392283384E-2</v>
      </c>
    </row>
    <row r="742" spans="9:13" x14ac:dyDescent="0.35">
      <c r="I742">
        <v>738</v>
      </c>
      <c r="J742" s="7">
        <v>6.0565508902072906E-2</v>
      </c>
      <c r="K742">
        <v>2.5549577549099922E-2</v>
      </c>
      <c r="L742">
        <v>0.37231713533401489</v>
      </c>
      <c r="M742" s="10">
        <v>2.5678982150922236E-2</v>
      </c>
    </row>
    <row r="743" spans="9:13" x14ac:dyDescent="0.35">
      <c r="I743">
        <v>739</v>
      </c>
      <c r="J743" s="7">
        <v>4.2481228709220886E-2</v>
      </c>
      <c r="K743">
        <v>1.5946840867400169E-2</v>
      </c>
      <c r="L743">
        <v>0.30476614832878113</v>
      </c>
      <c r="M743" s="10">
        <v>1.8907255558192393E-2</v>
      </c>
    </row>
    <row r="744" spans="9:13" x14ac:dyDescent="0.35">
      <c r="I744">
        <v>740</v>
      </c>
      <c r="J744" s="7">
        <v>4.6991758048534393E-2</v>
      </c>
      <c r="K744">
        <v>2.017744816839695E-2</v>
      </c>
      <c r="L744">
        <v>0.3655417263507843</v>
      </c>
      <c r="M744" s="10">
        <v>2.0596240198365701E-2</v>
      </c>
    </row>
    <row r="745" spans="9:13" x14ac:dyDescent="0.35">
      <c r="I745">
        <v>741</v>
      </c>
      <c r="J745" s="7">
        <v>6.0121286660432816E-2</v>
      </c>
      <c r="K745">
        <v>2.5202970951795578E-2</v>
      </c>
      <c r="L745">
        <v>0.36930298805236816</v>
      </c>
      <c r="M745" s="10">
        <v>2.5512641465270547E-2</v>
      </c>
    </row>
    <row r="746" spans="9:13" x14ac:dyDescent="0.35">
      <c r="I746">
        <v>742</v>
      </c>
      <c r="J746" s="7">
        <v>6.9943785667419434E-2</v>
      </c>
      <c r="K746">
        <v>2.7509624138474464E-2</v>
      </c>
      <c r="L746">
        <v>0.35041889548301697</v>
      </c>
      <c r="M746" s="10">
        <v>2.9190713084563669E-2</v>
      </c>
    </row>
    <row r="747" spans="9:13" x14ac:dyDescent="0.35">
      <c r="I747">
        <v>743</v>
      </c>
      <c r="J747" s="7">
        <v>5.5473126471042633E-2</v>
      </c>
      <c r="K747">
        <v>2.3483419790863991E-2</v>
      </c>
      <c r="L747">
        <v>0.36924943327903748</v>
      </c>
      <c r="M747" s="10">
        <v>2.3772120436725386E-2</v>
      </c>
    </row>
    <row r="748" spans="9:13" x14ac:dyDescent="0.35">
      <c r="I748">
        <v>744</v>
      </c>
      <c r="J748" s="7">
        <v>5.2616141736507416E-2</v>
      </c>
      <c r="K748">
        <v>2.2293597459793091E-2</v>
      </c>
      <c r="L748">
        <v>0.3666858971118927</v>
      </c>
      <c r="M748" s="10">
        <v>2.2702311779949413E-2</v>
      </c>
    </row>
    <row r="749" spans="9:13" x14ac:dyDescent="0.35">
      <c r="I749">
        <v>745</v>
      </c>
      <c r="J749" s="7">
        <v>5.6454740464687347E-2</v>
      </c>
      <c r="K749">
        <v>2.3928424343466759E-2</v>
      </c>
      <c r="L749">
        <v>0.37071153521537781</v>
      </c>
      <c r="M749" s="10">
        <v>2.413968948087164E-2</v>
      </c>
    </row>
    <row r="750" spans="9:13" x14ac:dyDescent="0.35">
      <c r="I750">
        <v>746</v>
      </c>
      <c r="J750" s="7">
        <v>5.7384971529245377E-2</v>
      </c>
      <c r="K750">
        <v>2.4189138785004616E-2</v>
      </c>
      <c r="L750">
        <v>0.36924543976783752</v>
      </c>
      <c r="M750" s="10">
        <v>2.4488017994369282E-2</v>
      </c>
    </row>
    <row r="751" spans="9:13" x14ac:dyDescent="0.35">
      <c r="I751">
        <v>747</v>
      </c>
      <c r="J751" s="7">
        <v>5.247173085808754E-2</v>
      </c>
      <c r="K751">
        <v>2.1793652325868607E-2</v>
      </c>
      <c r="L751">
        <v>0.35816720128059387</v>
      </c>
      <c r="M751" s="10">
        <v>2.2648236584517423E-2</v>
      </c>
    </row>
    <row r="752" spans="9:13" x14ac:dyDescent="0.35">
      <c r="I752">
        <v>748</v>
      </c>
      <c r="J752" s="7">
        <v>6.5672531723976135E-2</v>
      </c>
      <c r="K752">
        <v>2.6382008567452431E-2</v>
      </c>
      <c r="L752">
        <v>0.35603940486907959</v>
      </c>
      <c r="M752" s="10">
        <v>2.7591326014430262E-2</v>
      </c>
    </row>
    <row r="753" spans="9:13" x14ac:dyDescent="0.35">
      <c r="I753">
        <v>749</v>
      </c>
      <c r="J753" s="7">
        <v>5.2181843668222427E-2</v>
      </c>
      <c r="K753">
        <v>2.2363997995853424E-2</v>
      </c>
      <c r="L753">
        <v>0.37108689546585083</v>
      </c>
      <c r="M753" s="10">
        <v>2.2539687238258277E-2</v>
      </c>
    </row>
    <row r="754" spans="9:13" x14ac:dyDescent="0.35">
      <c r="I754">
        <v>750</v>
      </c>
      <c r="J754" s="7">
        <v>4.93878573179245E-2</v>
      </c>
      <c r="K754">
        <v>2.080228365957737E-2</v>
      </c>
      <c r="L754">
        <v>0.36045870184898376</v>
      </c>
      <c r="M754" s="10">
        <v>2.1493468562907569E-2</v>
      </c>
    </row>
    <row r="755" spans="9:13" x14ac:dyDescent="0.35">
      <c r="I755">
        <v>751</v>
      </c>
      <c r="J755" s="7">
        <v>6.528010219335556E-2</v>
      </c>
      <c r="K755">
        <v>2.5935756042599678E-2</v>
      </c>
      <c r="L755">
        <v>0.35134375095367432</v>
      </c>
      <c r="M755" s="10">
        <v>2.744437930380994E-2</v>
      </c>
    </row>
    <row r="756" spans="9:13" x14ac:dyDescent="0.35">
      <c r="I756">
        <v>752</v>
      </c>
      <c r="J756" s="7">
        <v>5.6611333042383194E-2</v>
      </c>
      <c r="K756">
        <v>2.3493265733122826E-2</v>
      </c>
      <c r="L756">
        <v>0.36199936270713806</v>
      </c>
      <c r="M756" s="10">
        <v>2.4198326159318273E-2</v>
      </c>
    </row>
    <row r="757" spans="9:13" x14ac:dyDescent="0.35">
      <c r="I757">
        <v>753</v>
      </c>
      <c r="J757" s="7">
        <v>5.1364533603191376E-2</v>
      </c>
      <c r="K757">
        <v>2.13038120418787E-2</v>
      </c>
      <c r="L757">
        <v>0.35635116696357727</v>
      </c>
      <c r="M757" s="10">
        <v>2.2233642416852328E-2</v>
      </c>
    </row>
    <row r="758" spans="9:13" x14ac:dyDescent="0.35">
      <c r="I758">
        <v>754</v>
      </c>
      <c r="J758" s="7">
        <v>4.5615267008543015E-2</v>
      </c>
      <c r="K758">
        <v>1.9008459523320198E-2</v>
      </c>
      <c r="L758">
        <v>0.35094520449638367</v>
      </c>
      <c r="M758" s="10">
        <v>2.0080807962149394E-2</v>
      </c>
    </row>
    <row r="759" spans="9:13" x14ac:dyDescent="0.35">
      <c r="I759">
        <v>755</v>
      </c>
      <c r="J759" s="7">
        <v>7.5059458613395691E-2</v>
      </c>
      <c r="K759">
        <v>2.8329279273748398E-2</v>
      </c>
      <c r="L759">
        <v>0.33745619654655457</v>
      </c>
      <c r="M759" s="10">
        <v>3.1106296019496771E-2</v>
      </c>
    </row>
    <row r="760" spans="9:13" x14ac:dyDescent="0.35">
      <c r="I760">
        <v>756</v>
      </c>
      <c r="J760" s="7">
        <v>6.1782926321029663E-2</v>
      </c>
      <c r="K760">
        <v>2.5903409346938133E-2</v>
      </c>
      <c r="L760">
        <v>0.37070775032043457</v>
      </c>
      <c r="M760" s="10">
        <v>2.6134848672701771E-2</v>
      </c>
    </row>
    <row r="761" spans="9:13" x14ac:dyDescent="0.35">
      <c r="I761">
        <v>757</v>
      </c>
      <c r="J761" s="7">
        <v>4.7055888921022415E-2</v>
      </c>
      <c r="K761">
        <v>2.0053980872035027E-2</v>
      </c>
      <c r="L761">
        <v>0.36241969466209412</v>
      </c>
      <c r="M761" s="10">
        <v>2.0620254244266945E-2</v>
      </c>
    </row>
    <row r="762" spans="9:13" x14ac:dyDescent="0.35">
      <c r="I762">
        <v>758</v>
      </c>
      <c r="J762" s="7">
        <v>5.8759681880474091E-2</v>
      </c>
      <c r="K762">
        <v>2.4428410455584526E-2</v>
      </c>
      <c r="L762">
        <v>0.36467880010604858</v>
      </c>
      <c r="M762" s="10">
        <v>2.5002783444995069E-2</v>
      </c>
    </row>
    <row r="763" spans="9:13" x14ac:dyDescent="0.35">
      <c r="I763">
        <v>759</v>
      </c>
      <c r="J763" s="7">
        <v>6.7437626421451569E-2</v>
      </c>
      <c r="K763">
        <v>2.5968369096517563E-2</v>
      </c>
      <c r="L763">
        <v>0.34058684110641479</v>
      </c>
      <c r="M763" s="10">
        <v>2.8252272348711527E-2</v>
      </c>
    </row>
    <row r="764" spans="9:13" x14ac:dyDescent="0.35">
      <c r="I764">
        <v>760</v>
      </c>
      <c r="J764" s="7">
        <v>7.4115313589572906E-2</v>
      </c>
      <c r="K764">
        <v>2.8407838195562363E-2</v>
      </c>
      <c r="L764">
        <v>0.34281495213508606</v>
      </c>
      <c r="M764" s="10">
        <v>3.0752757371730111E-2</v>
      </c>
    </row>
    <row r="765" spans="9:13" x14ac:dyDescent="0.35">
      <c r="I765">
        <v>761</v>
      </c>
      <c r="J765" s="7">
        <v>9.0474426746368408E-2</v>
      </c>
      <c r="K765">
        <v>3.0264232307672501E-2</v>
      </c>
      <c r="L765">
        <v>0.30134737491607666</v>
      </c>
      <c r="M765" s="10">
        <v>3.6878488692854816E-2</v>
      </c>
    </row>
    <row r="766" spans="9:13" x14ac:dyDescent="0.35">
      <c r="I766">
        <v>762</v>
      </c>
      <c r="J766" s="7">
        <v>6.8079829216003418E-2</v>
      </c>
      <c r="K766">
        <v>2.6649145409464836E-2</v>
      </c>
      <c r="L766">
        <v>0.34737375378608704</v>
      </c>
      <c r="M766" s="10">
        <v>2.849274759546816E-2</v>
      </c>
    </row>
    <row r="767" spans="9:13" x14ac:dyDescent="0.35">
      <c r="I767">
        <v>763</v>
      </c>
      <c r="J767" s="7">
        <v>6.3873842358589172E-2</v>
      </c>
      <c r="K767">
        <v>2.5815317407250404E-2</v>
      </c>
      <c r="L767">
        <v>0.35719344019889832</v>
      </c>
      <c r="M767" s="10">
        <v>2.691780003066091E-2</v>
      </c>
    </row>
    <row r="768" spans="9:13" x14ac:dyDescent="0.35">
      <c r="I768">
        <v>764</v>
      </c>
      <c r="J768" s="7">
        <v>6.6012144088745117E-2</v>
      </c>
      <c r="K768">
        <v>2.6760054752230644E-2</v>
      </c>
      <c r="L768">
        <v>0.35993459820747375</v>
      </c>
      <c r="M768" s="10">
        <v>2.7718495139062327E-2</v>
      </c>
    </row>
    <row r="769" spans="9:13" x14ac:dyDescent="0.35">
      <c r="I769">
        <v>765</v>
      </c>
      <c r="J769" s="7">
        <v>6.1565954238176346E-2</v>
      </c>
      <c r="K769">
        <v>2.4140102788805962E-2</v>
      </c>
      <c r="L769">
        <v>0.34337326884269714</v>
      </c>
      <c r="M769" s="10">
        <v>2.6053602661930575E-2</v>
      </c>
    </row>
    <row r="770" spans="9:13" x14ac:dyDescent="0.35">
      <c r="I770">
        <v>766</v>
      </c>
      <c r="J770" s="7">
        <v>5.9064436703920364E-2</v>
      </c>
      <c r="K770">
        <v>2.3764777928590775E-2</v>
      </c>
      <c r="L770">
        <v>0.35156142711639404</v>
      </c>
      <c r="M770" s="10">
        <v>2.5116900032450373E-2</v>
      </c>
    </row>
    <row r="771" spans="9:13" x14ac:dyDescent="0.35">
      <c r="I771">
        <v>767</v>
      </c>
      <c r="J771" s="7">
        <v>6.578671932220459E-2</v>
      </c>
      <c r="K771">
        <v>2.6290763169527054E-2</v>
      </c>
      <c r="L771">
        <v>0.354034423828125</v>
      </c>
      <c r="M771" s="10">
        <v>2.7634083989159564E-2</v>
      </c>
    </row>
    <row r="772" spans="9:13" x14ac:dyDescent="0.35">
      <c r="I772">
        <v>768</v>
      </c>
      <c r="J772" s="7">
        <v>5.0576034933328629E-2</v>
      </c>
      <c r="K772">
        <v>2.0652925595641136E-2</v>
      </c>
      <c r="L772">
        <v>0.34903734922409058</v>
      </c>
      <c r="M772" s="10">
        <v>2.1938386130503029E-2</v>
      </c>
    </row>
    <row r="773" spans="9:13" x14ac:dyDescent="0.35">
      <c r="I773">
        <v>769</v>
      </c>
      <c r="J773" s="7">
        <v>4.8916410654783249E-2</v>
      </c>
      <c r="K773">
        <v>2.0061157643795013E-2</v>
      </c>
      <c r="L773">
        <v>0.34878188371658325</v>
      </c>
      <c r="M773" s="10">
        <v>2.1316933590445175E-2</v>
      </c>
    </row>
    <row r="774" spans="9:13" x14ac:dyDescent="0.35">
      <c r="I774">
        <v>770</v>
      </c>
      <c r="J774" s="7">
        <v>5.1636829972267151E-2</v>
      </c>
      <c r="K774">
        <v>2.1472159773111343E-2</v>
      </c>
      <c r="L774">
        <v>0.35773226618766785</v>
      </c>
      <c r="M774" s="10">
        <v>2.2335604814244459E-2</v>
      </c>
    </row>
    <row r="775" spans="9:13" x14ac:dyDescent="0.35">
      <c r="I775">
        <v>771</v>
      </c>
      <c r="J775" s="7">
        <v>4.8757486045360565E-2</v>
      </c>
      <c r="K775">
        <v>2.0522423088550568E-2</v>
      </c>
      <c r="L775">
        <v>0.35937914252281189</v>
      </c>
      <c r="M775" s="10">
        <v>2.125742367396577E-2</v>
      </c>
    </row>
    <row r="776" spans="9:13" x14ac:dyDescent="0.35">
      <c r="I776">
        <v>772</v>
      </c>
      <c r="J776" s="7">
        <v>5.1518231630325317E-2</v>
      </c>
      <c r="K776">
        <v>2.169213630259037E-2</v>
      </c>
      <c r="L776">
        <v>0.3628256618976593</v>
      </c>
      <c r="M776" s="10">
        <v>2.2291195219977133E-2</v>
      </c>
    </row>
    <row r="777" spans="9:13" x14ac:dyDescent="0.35">
      <c r="I777">
        <v>773</v>
      </c>
      <c r="J777" s="7">
        <v>7.3322750627994537E-2</v>
      </c>
      <c r="K777">
        <v>2.5413423776626587E-2</v>
      </c>
      <c r="L777">
        <v>0.30568170547485352</v>
      </c>
      <c r="M777" s="10">
        <v>3.0455979196093663E-2</v>
      </c>
    </row>
    <row r="778" spans="9:13" x14ac:dyDescent="0.35">
      <c r="I778">
        <v>774</v>
      </c>
      <c r="J778" s="7">
        <v>7.3287896811962128E-2</v>
      </c>
      <c r="K778">
        <v>2.897828072309494E-2</v>
      </c>
      <c r="L778">
        <v>0.35446891188621521</v>
      </c>
      <c r="M778" s="10">
        <v>3.0442928053865836E-2</v>
      </c>
    </row>
    <row r="779" spans="9:13" x14ac:dyDescent="0.35">
      <c r="I779">
        <v>775</v>
      </c>
      <c r="J779" s="7">
        <v>6.2922105193138123E-2</v>
      </c>
      <c r="K779">
        <v>2.5897836312651634E-2</v>
      </c>
      <c r="L779">
        <v>0.36390766501426697</v>
      </c>
      <c r="M779" s="10">
        <v>2.656141847696647E-2</v>
      </c>
    </row>
    <row r="780" spans="9:13" x14ac:dyDescent="0.35">
      <c r="I780">
        <v>776</v>
      </c>
      <c r="J780" s="7">
        <v>5.4847542196512222E-2</v>
      </c>
      <c r="K780">
        <v>2.2734932601451874E-2</v>
      </c>
      <c r="L780">
        <v>0.3598143458366394</v>
      </c>
      <c r="M780" s="10">
        <v>2.3537868057163958E-2</v>
      </c>
    </row>
    <row r="781" spans="9:13" x14ac:dyDescent="0.35">
      <c r="I781">
        <v>777</v>
      </c>
      <c r="J781" s="7">
        <v>5.8682814240455627E-2</v>
      </c>
      <c r="K781">
        <v>2.4338789284229279E-2</v>
      </c>
      <c r="L781">
        <v>0.36362928152084351</v>
      </c>
      <c r="M781" s="10">
        <v>2.4974000068687996E-2</v>
      </c>
    </row>
    <row r="782" spans="9:13" x14ac:dyDescent="0.35">
      <c r="I782">
        <v>778</v>
      </c>
      <c r="J782" s="7">
        <v>5.2448049187660217E-2</v>
      </c>
      <c r="K782">
        <v>2.263278141617775E-2</v>
      </c>
      <c r="L782">
        <v>0.37432816624641418</v>
      </c>
      <c r="M782" s="10">
        <v>2.2639368894143086E-2</v>
      </c>
    </row>
    <row r="783" spans="9:13" x14ac:dyDescent="0.35">
      <c r="I783">
        <v>779</v>
      </c>
      <c r="J783" s="7">
        <v>4.7747243195772171E-2</v>
      </c>
      <c r="K783">
        <v>2.0209256559610367E-2</v>
      </c>
      <c r="L783">
        <v>0.36042410135269165</v>
      </c>
      <c r="M783" s="10">
        <v>2.0879134447260639E-2</v>
      </c>
    </row>
    <row r="784" spans="9:13" x14ac:dyDescent="0.35">
      <c r="I784">
        <v>780</v>
      </c>
      <c r="J784" s="7">
        <v>7.706865668296814E-2</v>
      </c>
      <c r="K784">
        <v>2.9127772897481918E-2</v>
      </c>
      <c r="L784">
        <v>0.33901944756507874</v>
      </c>
      <c r="M784" s="10">
        <v>3.1858647777636584E-2</v>
      </c>
    </row>
    <row r="785" spans="9:13" x14ac:dyDescent="0.35">
      <c r="I785">
        <v>781</v>
      </c>
      <c r="J785" s="7">
        <v>5.0039447844028473E-2</v>
      </c>
      <c r="K785">
        <v>2.0746722817420959E-2</v>
      </c>
      <c r="L785">
        <v>0.35465463995933533</v>
      </c>
      <c r="M785" s="10">
        <v>2.1737459080978239E-2</v>
      </c>
    </row>
    <row r="786" spans="9:13" x14ac:dyDescent="0.35">
      <c r="I786">
        <v>782</v>
      </c>
      <c r="J786" s="7">
        <v>5.9210155159235001E-2</v>
      </c>
      <c r="K786">
        <v>2.2021697834134102E-2</v>
      </c>
      <c r="L786">
        <v>0.32125735282897949</v>
      </c>
      <c r="M786" s="10">
        <v>2.5171464854958248E-2</v>
      </c>
    </row>
    <row r="787" spans="9:13" x14ac:dyDescent="0.35">
      <c r="I787">
        <v>783</v>
      </c>
      <c r="J787" s="7">
        <v>6.3501812517642975E-2</v>
      </c>
      <c r="K787">
        <v>2.6069015264511108E-2</v>
      </c>
      <c r="L787">
        <v>0.36328122019767761</v>
      </c>
      <c r="M787" s="10">
        <v>2.6778492060403947E-2</v>
      </c>
    </row>
    <row r="788" spans="9:13" x14ac:dyDescent="0.35">
      <c r="I788">
        <v>784</v>
      </c>
      <c r="J788" s="7">
        <v>4.7877170145511627E-2</v>
      </c>
      <c r="K788">
        <v>1.9648224115371704E-2</v>
      </c>
      <c r="L788">
        <v>0.34772783517837524</v>
      </c>
      <c r="M788" s="10">
        <v>2.0927786081236688E-2</v>
      </c>
    </row>
    <row r="789" spans="9:13" x14ac:dyDescent="0.35">
      <c r="I789">
        <v>785</v>
      </c>
      <c r="J789" s="7">
        <v>4.3119113892316818E-2</v>
      </c>
      <c r="K789">
        <v>1.7671220004558563E-2</v>
      </c>
      <c r="L789">
        <v>0.34024864435195923</v>
      </c>
      <c r="M789" s="10">
        <v>1.9146114059134356E-2</v>
      </c>
    </row>
    <row r="790" spans="9:13" x14ac:dyDescent="0.35">
      <c r="I790">
        <v>786</v>
      </c>
      <c r="J790" s="7">
        <v>7.6872698962688446E-2</v>
      </c>
      <c r="K790">
        <v>2.9079115018248558E-2</v>
      </c>
      <c r="L790">
        <v>0.33925068378448486</v>
      </c>
      <c r="M790" s="10">
        <v>3.1785270673802879E-2</v>
      </c>
    </row>
    <row r="791" spans="9:13" x14ac:dyDescent="0.35">
      <c r="I791">
        <v>787</v>
      </c>
      <c r="J791" s="7">
        <v>5.2195291966199875E-2</v>
      </c>
      <c r="K791">
        <v>2.1799780428409576E-2</v>
      </c>
      <c r="L791">
        <v>0.3601815402507782</v>
      </c>
      <c r="M791" s="10">
        <v>2.2544723003910527E-2</v>
      </c>
    </row>
    <row r="792" spans="9:13" x14ac:dyDescent="0.35">
      <c r="I792">
        <v>788</v>
      </c>
      <c r="J792" s="7">
        <v>8.8124409317970276E-2</v>
      </c>
      <c r="K792">
        <v>3.0804423615336418E-2</v>
      </c>
      <c r="L792">
        <v>0.31551331281661987</v>
      </c>
      <c r="M792" s="10">
        <v>3.5998515846628276E-2</v>
      </c>
    </row>
    <row r="793" spans="9:13" x14ac:dyDescent="0.35">
      <c r="I793">
        <v>789</v>
      </c>
      <c r="J793" s="7">
        <v>6.2861226499080658E-2</v>
      </c>
      <c r="K793">
        <v>2.5948299095034599E-2</v>
      </c>
      <c r="L793">
        <v>0.36506286263465881</v>
      </c>
      <c r="M793" s="10">
        <v>2.6538622221484731E-2</v>
      </c>
    </row>
    <row r="794" spans="9:13" x14ac:dyDescent="0.35">
      <c r="I794">
        <v>790</v>
      </c>
      <c r="J794" s="7">
        <v>6.6825248301029205E-2</v>
      </c>
      <c r="K794">
        <v>2.7207402512431145E-2</v>
      </c>
      <c r="L794">
        <v>0.36224934458732605</v>
      </c>
      <c r="M794" s="10">
        <v>2.802296506312163E-2</v>
      </c>
    </row>
    <row r="795" spans="9:13" x14ac:dyDescent="0.35">
      <c r="I795">
        <v>791</v>
      </c>
      <c r="J795" s="7">
        <v>4.7701742500066757E-2</v>
      </c>
      <c r="K795">
        <v>2.0641239359974861E-2</v>
      </c>
      <c r="L795">
        <v>0.36982378363609314</v>
      </c>
      <c r="M795" s="10">
        <v>2.0862096540979036E-2</v>
      </c>
    </row>
    <row r="796" spans="9:13" x14ac:dyDescent="0.35">
      <c r="I796">
        <v>792</v>
      </c>
      <c r="J796" s="7">
        <v>6.0519486665725708E-2</v>
      </c>
      <c r="K796">
        <v>2.4880990386009216E-2</v>
      </c>
      <c r="L796">
        <v>0.36155280470848083</v>
      </c>
      <c r="M796" s="10">
        <v>2.5661748951789853E-2</v>
      </c>
    </row>
    <row r="797" spans="9:13" x14ac:dyDescent="0.35">
      <c r="I797">
        <v>793</v>
      </c>
      <c r="J797" s="7">
        <v>4.8240702599287033E-2</v>
      </c>
      <c r="K797">
        <v>2.0751046016812325E-2</v>
      </c>
      <c r="L797">
        <v>0.36796823143959045</v>
      </c>
      <c r="M797" s="10">
        <v>2.1063912172974875E-2</v>
      </c>
    </row>
    <row r="798" spans="9:13" x14ac:dyDescent="0.35">
      <c r="I798">
        <v>794</v>
      </c>
      <c r="J798" s="7">
        <v>7.4109122157096863E-2</v>
      </c>
      <c r="K798">
        <v>2.8457393869757652E-2</v>
      </c>
      <c r="L798">
        <v>0.34351229667663574</v>
      </c>
      <c r="M798" s="10">
        <v>3.0750438966601568E-2</v>
      </c>
    </row>
    <row r="799" spans="9:13" x14ac:dyDescent="0.35">
      <c r="I799">
        <v>795</v>
      </c>
      <c r="J799" s="7">
        <v>5.9342525899410248E-2</v>
      </c>
      <c r="K799">
        <v>2.4872703477740288E-2</v>
      </c>
      <c r="L799">
        <v>0.36858397722244263</v>
      </c>
      <c r="M799" s="10">
        <v>2.5221031575435093E-2</v>
      </c>
    </row>
    <row r="800" spans="9:13" x14ac:dyDescent="0.35">
      <c r="I800">
        <v>796</v>
      </c>
      <c r="J800" s="7">
        <v>4.0355190634727478E-2</v>
      </c>
      <c r="K800">
        <v>1.5798352658748627E-2</v>
      </c>
      <c r="L800">
        <v>0.31714266538619995</v>
      </c>
      <c r="M800" s="10">
        <v>1.8111152621682169E-2</v>
      </c>
    </row>
    <row r="801" spans="9:13" x14ac:dyDescent="0.35">
      <c r="I801">
        <v>797</v>
      </c>
      <c r="J801" s="7">
        <v>5.9365168213844299E-2</v>
      </c>
      <c r="K801">
        <v>2.2925635799765587E-2</v>
      </c>
      <c r="L801">
        <v>0.33564522862434387</v>
      </c>
      <c r="M801" s="10">
        <v>2.5229510075056805E-2</v>
      </c>
    </row>
    <row r="802" spans="9:13" x14ac:dyDescent="0.35">
      <c r="I802">
        <v>798</v>
      </c>
      <c r="J802" s="7">
        <v>5.7959705591201782E-2</v>
      </c>
      <c r="K802">
        <v>2.3467248305678368E-2</v>
      </c>
      <c r="L802">
        <v>0.35312891006469727</v>
      </c>
      <c r="M802" s="10">
        <v>2.470322932097968E-2</v>
      </c>
    </row>
    <row r="803" spans="9:13" x14ac:dyDescent="0.35">
      <c r="I803">
        <v>799</v>
      </c>
      <c r="J803" s="7">
        <v>5.8956526219844818E-2</v>
      </c>
      <c r="K803">
        <v>2.2441959008574486E-2</v>
      </c>
      <c r="L803">
        <v>0.32976770401000977</v>
      </c>
      <c r="M803" s="10">
        <v>2.50764925466751E-2</v>
      </c>
    </row>
    <row r="804" spans="9:13" x14ac:dyDescent="0.35">
      <c r="I804">
        <v>800</v>
      </c>
      <c r="J804" s="7">
        <v>6.8829089403152466E-2</v>
      </c>
      <c r="K804">
        <v>2.6043979451060295E-2</v>
      </c>
      <c r="L804">
        <v>0.33480000495910645</v>
      </c>
      <c r="M804" s="10">
        <v>2.8773310884694148E-2</v>
      </c>
    </row>
    <row r="805" spans="9:13" x14ac:dyDescent="0.35">
      <c r="I805">
        <v>801</v>
      </c>
      <c r="J805" s="7">
        <v>4.8012878745794296E-2</v>
      </c>
      <c r="K805">
        <v>2.0059598609805107E-2</v>
      </c>
      <c r="L805">
        <v>0.35531297326087952</v>
      </c>
      <c r="M805" s="10">
        <v>2.0978602675958524E-2</v>
      </c>
    </row>
    <row r="806" spans="9:13" x14ac:dyDescent="0.35">
      <c r="I806">
        <v>802</v>
      </c>
      <c r="J806" s="7">
        <v>7.1763746440410614E-2</v>
      </c>
      <c r="K806">
        <v>2.5797668844461441E-2</v>
      </c>
      <c r="L806">
        <v>0.31767669320106506</v>
      </c>
      <c r="M806" s="10">
        <v>2.9872204226746968E-2</v>
      </c>
    </row>
    <row r="807" spans="9:13" x14ac:dyDescent="0.35">
      <c r="I807">
        <v>803</v>
      </c>
      <c r="J807" s="7">
        <v>4.8589278012514114E-2</v>
      </c>
      <c r="K807">
        <v>1.89535953104496E-2</v>
      </c>
      <c r="L807">
        <v>0.32833570241928101</v>
      </c>
      <c r="M807" s="10">
        <v>2.1194437544742484E-2</v>
      </c>
    </row>
    <row r="808" spans="9:13" x14ac:dyDescent="0.35">
      <c r="I808">
        <v>804</v>
      </c>
      <c r="J808" s="7">
        <v>5.7868871837854385E-2</v>
      </c>
      <c r="K808">
        <v>2.2786080837249756E-2</v>
      </c>
      <c r="L808">
        <v>0.34191232919692993</v>
      </c>
      <c r="M808" s="10">
        <v>2.4669216281118511E-2</v>
      </c>
    </row>
    <row r="809" spans="9:13" x14ac:dyDescent="0.35">
      <c r="I809">
        <v>805</v>
      </c>
      <c r="J809" s="7">
        <v>5.0627775490283966E-2</v>
      </c>
      <c r="K809">
        <v>2.1866478025913239E-2</v>
      </c>
      <c r="L809">
        <v>0.37265074253082275</v>
      </c>
      <c r="M809" s="10">
        <v>2.1957760576249319E-2</v>
      </c>
    </row>
    <row r="810" spans="9:13" x14ac:dyDescent="0.35">
      <c r="I810">
        <v>806</v>
      </c>
      <c r="J810" s="7">
        <v>6.3820727169513702E-2</v>
      </c>
      <c r="K810">
        <v>2.6320492848753929E-2</v>
      </c>
      <c r="L810">
        <v>0.36540624499320984</v>
      </c>
      <c r="M810" s="10">
        <v>2.6897910848757922E-2</v>
      </c>
    </row>
    <row r="811" spans="9:13" x14ac:dyDescent="0.35">
      <c r="I811">
        <v>807</v>
      </c>
      <c r="J811" s="7">
        <v>5.6840173900127411E-2</v>
      </c>
      <c r="K811">
        <v>2.2987240925431252E-2</v>
      </c>
      <c r="L811">
        <v>0.35163933038711548</v>
      </c>
      <c r="M811" s="10">
        <v>2.4284016477393644E-2</v>
      </c>
    </row>
    <row r="812" spans="9:13" x14ac:dyDescent="0.35">
      <c r="I812">
        <v>808</v>
      </c>
      <c r="J812" s="7">
        <v>6.327415257692337E-2</v>
      </c>
      <c r="K812">
        <v>2.4791646748781204E-2</v>
      </c>
      <c r="L812">
        <v>0.34440046548843384</v>
      </c>
      <c r="M812" s="10">
        <v>2.6693243941140699E-2</v>
      </c>
    </row>
    <row r="813" spans="9:13" x14ac:dyDescent="0.35">
      <c r="I813">
        <v>809</v>
      </c>
      <c r="J813" s="7">
        <v>6.5741531550884247E-2</v>
      </c>
      <c r="K813">
        <v>2.492796815931797E-2</v>
      </c>
      <c r="L813">
        <v>0.33354818820953369</v>
      </c>
      <c r="M813" s="10">
        <v>2.7617163258588429E-2</v>
      </c>
    </row>
    <row r="814" spans="9:13" x14ac:dyDescent="0.35">
      <c r="I814">
        <v>810</v>
      </c>
      <c r="J814" s="7">
        <v>6.4323164522647858E-2</v>
      </c>
      <c r="K814">
        <v>2.5591619312763214E-2</v>
      </c>
      <c r="L814">
        <v>0.35122057795524597</v>
      </c>
      <c r="M814" s="10">
        <v>2.7086050401403439E-2</v>
      </c>
    </row>
    <row r="815" spans="9:13" x14ac:dyDescent="0.35">
      <c r="I815">
        <v>811</v>
      </c>
      <c r="J815" s="7">
        <v>6.3831239938735962E-2</v>
      </c>
      <c r="K815">
        <v>2.3883596062660217E-2</v>
      </c>
      <c r="L815">
        <v>0.32716888189315796</v>
      </c>
      <c r="M815" s="10">
        <v>2.6901847394650069E-2</v>
      </c>
    </row>
    <row r="816" spans="9:13" x14ac:dyDescent="0.35">
      <c r="I816">
        <v>812</v>
      </c>
      <c r="J816" s="7">
        <v>5.2015684545040131E-2</v>
      </c>
      <c r="K816">
        <v>2.1549290046095848E-2</v>
      </c>
      <c r="L816">
        <v>0.35660955309867859</v>
      </c>
      <c r="M816" s="10">
        <v>2.2477468330948769E-2</v>
      </c>
    </row>
    <row r="817" spans="9:13" x14ac:dyDescent="0.35">
      <c r="I817">
        <v>813</v>
      </c>
      <c r="J817" s="7">
        <v>5.8009784668684006E-2</v>
      </c>
      <c r="K817">
        <v>2.3333707824349403E-2</v>
      </c>
      <c r="L817">
        <v>0.35052204132080078</v>
      </c>
      <c r="M817" s="10">
        <v>2.4721981619501343E-2</v>
      </c>
    </row>
    <row r="818" spans="9:13" x14ac:dyDescent="0.35">
      <c r="I818">
        <v>814</v>
      </c>
      <c r="J818" s="7">
        <v>5.606682226061821E-2</v>
      </c>
      <c r="K818">
        <v>2.3423109203577042E-2</v>
      </c>
      <c r="L818">
        <v>0.36426371335983276</v>
      </c>
      <c r="M818" s="10">
        <v>2.3994432053410564E-2</v>
      </c>
    </row>
    <row r="819" spans="9:13" x14ac:dyDescent="0.35">
      <c r="I819">
        <v>815</v>
      </c>
      <c r="J819" s="7">
        <v>6.1640214174985886E-2</v>
      </c>
      <c r="K819">
        <v>2.5076985359191895E-2</v>
      </c>
      <c r="L819">
        <v>0.35815879702568054</v>
      </c>
      <c r="M819" s="10">
        <v>2.6081409573983749E-2</v>
      </c>
    </row>
    <row r="820" spans="9:13" x14ac:dyDescent="0.35">
      <c r="I820">
        <v>816</v>
      </c>
      <c r="J820" s="7">
        <v>5.4517213255167007E-2</v>
      </c>
      <c r="K820">
        <v>2.2375395521521568E-2</v>
      </c>
      <c r="L820">
        <v>0.35539960861206055</v>
      </c>
      <c r="M820" s="10">
        <v>2.3414175145275773E-2</v>
      </c>
    </row>
    <row r="821" spans="9:13" x14ac:dyDescent="0.35">
      <c r="I821">
        <v>817</v>
      </c>
      <c r="J821" s="7">
        <v>5.9242621064186096E-2</v>
      </c>
      <c r="K821">
        <v>2.5096135213971138E-2</v>
      </c>
      <c r="L821">
        <v>0.37297698855400085</v>
      </c>
      <c r="M821" s="10">
        <v>2.518362183491929E-2</v>
      </c>
    </row>
    <row r="822" spans="9:13" x14ac:dyDescent="0.35">
      <c r="I822">
        <v>818</v>
      </c>
      <c r="J822" s="7">
        <v>7.316957414150238E-2</v>
      </c>
      <c r="K822">
        <v>2.8534326702356339E-2</v>
      </c>
      <c r="L822">
        <v>0.34897464513778687</v>
      </c>
      <c r="M822" s="10">
        <v>3.0398621685819638E-2</v>
      </c>
    </row>
    <row r="823" spans="9:13" x14ac:dyDescent="0.35">
      <c r="I823">
        <v>819</v>
      </c>
      <c r="J823" s="7">
        <v>4.9542680382728577E-2</v>
      </c>
      <c r="K823">
        <v>2.0899228751659393E-2</v>
      </c>
      <c r="L823">
        <v>0.36128905415534973</v>
      </c>
      <c r="M823" s="10">
        <v>2.1551442640610485E-2</v>
      </c>
    </row>
    <row r="824" spans="9:13" x14ac:dyDescent="0.35">
      <c r="I824">
        <v>820</v>
      </c>
      <c r="J824" s="7">
        <v>6.7095741629600525E-2</v>
      </c>
      <c r="K824">
        <v>2.6811797171831131E-2</v>
      </c>
      <c r="L824">
        <v>0.35489282011985779</v>
      </c>
      <c r="M824" s="10">
        <v>2.8124252305229636E-2</v>
      </c>
    </row>
    <row r="825" spans="9:13" x14ac:dyDescent="0.35">
      <c r="I825">
        <v>821</v>
      </c>
      <c r="J825" s="7">
        <v>6.5626800060272217E-2</v>
      </c>
      <c r="K825">
        <v>2.6057865470647812E-2</v>
      </c>
      <c r="L825">
        <v>0.35134831070899963</v>
      </c>
      <c r="M825" s="10">
        <v>2.7574201621314742E-2</v>
      </c>
    </row>
    <row r="826" spans="9:13" x14ac:dyDescent="0.35">
      <c r="I826">
        <v>822</v>
      </c>
      <c r="J826" s="7">
        <v>5.9058152139186859E-2</v>
      </c>
      <c r="K826">
        <v>2.4447958916425705E-2</v>
      </c>
      <c r="L826">
        <v>0.36316677927970886</v>
      </c>
      <c r="M826" s="10">
        <v>2.5114546753598477E-2</v>
      </c>
    </row>
    <row r="827" spans="9:13" x14ac:dyDescent="0.35">
      <c r="I827">
        <v>823</v>
      </c>
      <c r="J827" s="7">
        <v>6.889411062002182E-2</v>
      </c>
      <c r="K827">
        <v>2.628406323492527E-2</v>
      </c>
      <c r="L827">
        <v>0.3379688560962677</v>
      </c>
      <c r="M827" s="10">
        <v>2.8797658323390651E-2</v>
      </c>
    </row>
    <row r="828" spans="9:13" x14ac:dyDescent="0.35">
      <c r="I828">
        <v>824</v>
      </c>
      <c r="J828" s="7">
        <v>4.9707408994436264E-2</v>
      </c>
      <c r="K828">
        <v>2.1169383078813553E-2</v>
      </c>
      <c r="L828">
        <v>0.36552664637565613</v>
      </c>
      <c r="M828" s="10">
        <v>2.1613125887529283E-2</v>
      </c>
    </row>
    <row r="829" spans="9:13" x14ac:dyDescent="0.35">
      <c r="I829">
        <v>825</v>
      </c>
      <c r="J829" s="7">
        <v>5.210721492767334E-2</v>
      </c>
      <c r="K829">
        <v>2.2452658042311668E-2</v>
      </c>
      <c r="L829">
        <v>0.37331986427307129</v>
      </c>
      <c r="M829" s="10">
        <v>2.2511742226260623E-2</v>
      </c>
    </row>
    <row r="830" spans="9:13" x14ac:dyDescent="0.35">
      <c r="I830">
        <v>826</v>
      </c>
      <c r="J830" s="7">
        <v>5.1567871123552322E-2</v>
      </c>
      <c r="K830">
        <v>2.0710082724690437E-2</v>
      </c>
      <c r="L830">
        <v>0.34343248605728149</v>
      </c>
      <c r="M830" s="10">
        <v>2.2309782914524567E-2</v>
      </c>
    </row>
    <row r="831" spans="9:13" x14ac:dyDescent="0.35">
      <c r="I831">
        <v>827</v>
      </c>
      <c r="J831" s="7">
        <v>6.6695593297481537E-2</v>
      </c>
      <c r="K831">
        <v>2.5299647822976112E-2</v>
      </c>
      <c r="L831">
        <v>0.33434963226318359</v>
      </c>
      <c r="M831" s="10">
        <v>2.7974415260417773E-2</v>
      </c>
    </row>
    <row r="832" spans="9:13" x14ac:dyDescent="0.35">
      <c r="I832">
        <v>828</v>
      </c>
      <c r="J832" s="7">
        <v>5.8713801205158234E-2</v>
      </c>
      <c r="K832">
        <v>2.4620596319437027E-2</v>
      </c>
      <c r="L832">
        <v>0.36823704838752747</v>
      </c>
      <c r="M832" s="10">
        <v>2.4985603253922184E-2</v>
      </c>
    </row>
    <row r="833" spans="9:13" x14ac:dyDescent="0.35">
      <c r="I833">
        <v>829</v>
      </c>
      <c r="J833" s="7">
        <v>6.3368640840053558E-2</v>
      </c>
      <c r="K833">
        <v>2.5726756080985069E-2</v>
      </c>
      <c r="L833">
        <v>0.35864359140396118</v>
      </c>
      <c r="M833" s="10">
        <v>2.6728625425906261E-2</v>
      </c>
    </row>
    <row r="834" spans="9:13" x14ac:dyDescent="0.35">
      <c r="I834">
        <v>830</v>
      </c>
      <c r="J834" s="7">
        <v>6.8026751279830933E-2</v>
      </c>
      <c r="K834">
        <v>2.6446102187037468E-2</v>
      </c>
      <c r="L834">
        <v>0.34466004371643066</v>
      </c>
      <c r="M834" s="10">
        <v>2.8472872363054513E-2</v>
      </c>
    </row>
    <row r="835" spans="9:13" x14ac:dyDescent="0.35">
      <c r="I835">
        <v>831</v>
      </c>
      <c r="J835" s="7">
        <v>5.7777814567089081E-2</v>
      </c>
      <c r="K835">
        <v>2.4387044832110405E-2</v>
      </c>
      <c r="L835">
        <v>0.37016016244888306</v>
      </c>
      <c r="M835" s="10">
        <v>2.4635119544321293E-2</v>
      </c>
    </row>
    <row r="836" spans="9:13" x14ac:dyDescent="0.35">
      <c r="I836">
        <v>832</v>
      </c>
      <c r="J836" s="7">
        <v>4.327581450343132E-2</v>
      </c>
      <c r="K836">
        <v>1.775074191391468E-2</v>
      </c>
      <c r="L836">
        <v>0.34085416793823242</v>
      </c>
      <c r="M836" s="10">
        <v>1.9204791191100079E-2</v>
      </c>
    </row>
    <row r="837" spans="9:13" x14ac:dyDescent="0.35">
      <c r="I837">
        <v>833</v>
      </c>
      <c r="J837" s="7">
        <v>6.4328014850616455E-2</v>
      </c>
      <c r="K837">
        <v>2.6481499895453453E-2</v>
      </c>
      <c r="L837">
        <v>0.36502757668495178</v>
      </c>
      <c r="M837" s="10">
        <v>2.7087866624915691E-2</v>
      </c>
    </row>
    <row r="838" spans="9:13" x14ac:dyDescent="0.35">
      <c r="I838">
        <v>834</v>
      </c>
      <c r="J838" s="7">
        <v>5.443057045340538E-2</v>
      </c>
      <c r="K838">
        <v>2.3196600377559662E-2</v>
      </c>
      <c r="L838">
        <v>0.37105253338813782</v>
      </c>
      <c r="M838" s="10">
        <v>2.3381731422965513E-2</v>
      </c>
    </row>
    <row r="839" spans="9:13" x14ac:dyDescent="0.35">
      <c r="I839">
        <v>835</v>
      </c>
      <c r="J839" s="7">
        <v>6.9608762860298157E-2</v>
      </c>
      <c r="K839">
        <v>2.821400947868824E-2</v>
      </c>
      <c r="L839">
        <v>0.36222463846206665</v>
      </c>
      <c r="M839" s="10">
        <v>2.9065262537018466E-2</v>
      </c>
    </row>
    <row r="840" spans="9:13" x14ac:dyDescent="0.35">
      <c r="I840">
        <v>836</v>
      </c>
      <c r="J840" s="7">
        <v>5.5826790630817413E-2</v>
      </c>
      <c r="K840">
        <v>2.2372081875801086E-2</v>
      </c>
      <c r="L840">
        <v>0.34700331091880798</v>
      </c>
      <c r="M840" s="10">
        <v>2.3904551308737032E-2</v>
      </c>
    </row>
    <row r="841" spans="9:13" x14ac:dyDescent="0.35">
      <c r="I841">
        <v>837</v>
      </c>
      <c r="J841" s="7">
        <v>7.0163436233997345E-2</v>
      </c>
      <c r="K841">
        <v>2.4810843169689178E-2</v>
      </c>
      <c r="L841">
        <v>0.31085768342018127</v>
      </c>
      <c r="M841" s="10">
        <v>2.9272962063618513E-2</v>
      </c>
    </row>
    <row r="842" spans="9:13" x14ac:dyDescent="0.35">
      <c r="I842">
        <v>838</v>
      </c>
      <c r="J842" s="7">
        <v>5.3934212774038315E-2</v>
      </c>
      <c r="K842">
        <v>2.2833399474620819E-2</v>
      </c>
      <c r="L842">
        <v>0.3677331805229187</v>
      </c>
      <c r="M842" s="10">
        <v>2.3195868426980515E-2</v>
      </c>
    </row>
    <row r="843" spans="9:13" x14ac:dyDescent="0.35">
      <c r="I843">
        <v>839</v>
      </c>
      <c r="J843" s="7">
        <v>6.7808479070663452E-2</v>
      </c>
      <c r="K843">
        <v>2.7496689930558205E-2</v>
      </c>
      <c r="L843">
        <v>0.36126291751861572</v>
      </c>
      <c r="M843" s="10">
        <v>2.8391139515105301E-2</v>
      </c>
    </row>
    <row r="844" spans="9:13" x14ac:dyDescent="0.35">
      <c r="I844">
        <v>840</v>
      </c>
      <c r="J844" s="7">
        <v>5.4877046495676041E-2</v>
      </c>
      <c r="K844">
        <v>2.3273896425962448E-2</v>
      </c>
      <c r="L844">
        <v>0.36944219470024109</v>
      </c>
      <c r="M844" s="10">
        <v>2.3548916052722357E-2</v>
      </c>
    </row>
    <row r="845" spans="9:13" x14ac:dyDescent="0.35">
      <c r="I845">
        <v>841</v>
      </c>
      <c r="J845" s="7">
        <v>7.0769272744655609E-2</v>
      </c>
      <c r="K845">
        <v>2.6651827618479729E-2</v>
      </c>
      <c r="L845">
        <v>0.33421039581298828</v>
      </c>
      <c r="M845" s="10">
        <v>2.9499819818880058E-2</v>
      </c>
    </row>
    <row r="846" spans="9:13" x14ac:dyDescent="0.35">
      <c r="I846">
        <v>842</v>
      </c>
      <c r="J846" s="7">
        <v>5.6234367191791534E-2</v>
      </c>
      <c r="K846">
        <v>2.2679772228002548E-2</v>
      </c>
      <c r="L846">
        <v>0.34995988011360168</v>
      </c>
      <c r="M846" s="10">
        <v>2.4057169881723572E-2</v>
      </c>
    </row>
    <row r="847" spans="9:13" x14ac:dyDescent="0.35">
      <c r="I847">
        <v>843</v>
      </c>
      <c r="J847" s="7">
        <v>4.3255403637886047E-2</v>
      </c>
      <c r="K847">
        <v>1.8187103793025017E-2</v>
      </c>
      <c r="L847">
        <v>0.3511030375957489</v>
      </c>
      <c r="M847" s="10">
        <v>1.9197148265889918E-2</v>
      </c>
    </row>
    <row r="848" spans="9:13" x14ac:dyDescent="0.35">
      <c r="I848">
        <v>844</v>
      </c>
      <c r="J848" s="7">
        <v>5.575118213891983E-2</v>
      </c>
      <c r="K848">
        <v>2.298746258020401E-2</v>
      </c>
      <c r="L848">
        <v>0.35851189494132996</v>
      </c>
      <c r="M848" s="10">
        <v>2.3876239425169699E-2</v>
      </c>
    </row>
    <row r="849" spans="9:13" x14ac:dyDescent="0.35">
      <c r="I849">
        <v>845</v>
      </c>
      <c r="J849" s="7">
        <v>5.8743167668581009E-2</v>
      </c>
      <c r="K849">
        <v>2.3976655676960945E-2</v>
      </c>
      <c r="L849">
        <v>0.35709097981452942</v>
      </c>
      <c r="M849" s="10">
        <v>2.499659963637002E-2</v>
      </c>
    </row>
    <row r="850" spans="9:13" x14ac:dyDescent="0.35">
      <c r="I850">
        <v>846</v>
      </c>
      <c r="J850" s="7">
        <v>5.474785715341568E-2</v>
      </c>
      <c r="K850">
        <v>2.2330379113554955E-2</v>
      </c>
      <c r="L850">
        <v>0.35308009386062622</v>
      </c>
      <c r="M850" s="10">
        <v>2.3500540618635268E-2</v>
      </c>
    </row>
    <row r="851" spans="9:13" x14ac:dyDescent="0.35">
      <c r="I851">
        <v>847</v>
      </c>
      <c r="J851" s="7">
        <v>6.1961788684129715E-2</v>
      </c>
      <c r="K851">
        <v>2.424691803753376E-2</v>
      </c>
      <c r="L851">
        <v>0.34290355443954468</v>
      </c>
      <c r="M851" s="10">
        <v>2.6201824355876702E-2</v>
      </c>
    </row>
    <row r="852" spans="9:13" x14ac:dyDescent="0.35">
      <c r="I852">
        <v>848</v>
      </c>
      <c r="J852" s="7">
        <v>7.8239262104034424E-2</v>
      </c>
      <c r="K852">
        <v>3.0040841549634933E-2</v>
      </c>
      <c r="L852">
        <v>0.34561729431152344</v>
      </c>
      <c r="M852" s="10">
        <v>3.2296985371109699E-2</v>
      </c>
    </row>
    <row r="853" spans="9:13" x14ac:dyDescent="0.35">
      <c r="I853">
        <v>849</v>
      </c>
      <c r="J853" s="7">
        <v>6.6146306693553925E-2</v>
      </c>
      <c r="K853">
        <v>2.7068110182881355E-2</v>
      </c>
      <c r="L853">
        <v>0.36386173963546753</v>
      </c>
      <c r="M853" s="10">
        <v>2.7768732829976495E-2</v>
      </c>
    </row>
    <row r="854" spans="9:13" x14ac:dyDescent="0.35">
      <c r="I854">
        <v>850</v>
      </c>
      <c r="J854" s="7">
        <v>6.5394192934036255E-2</v>
      </c>
      <c r="K854">
        <v>2.6817308738827705E-2</v>
      </c>
      <c r="L854">
        <v>0.36421138048171997</v>
      </c>
      <c r="M854" s="10">
        <v>2.7487101009866954E-2</v>
      </c>
    </row>
    <row r="855" spans="9:13" x14ac:dyDescent="0.35">
      <c r="I855">
        <v>851</v>
      </c>
      <c r="J855" s="7">
        <v>7.9013168811798096E-2</v>
      </c>
      <c r="K855">
        <v>2.9296852648258209E-2</v>
      </c>
      <c r="L855">
        <v>0.33281606435775757</v>
      </c>
      <c r="M855" s="10">
        <v>3.2586777642483966E-2</v>
      </c>
    </row>
    <row r="856" spans="9:13" x14ac:dyDescent="0.35">
      <c r="I856">
        <v>852</v>
      </c>
      <c r="J856" s="7">
        <v>6.8543195724487305E-2</v>
      </c>
      <c r="K856">
        <v>2.7882959693670273E-2</v>
      </c>
      <c r="L856">
        <v>0.363025963306427</v>
      </c>
      <c r="M856" s="10">
        <v>2.8666256923692401E-2</v>
      </c>
    </row>
    <row r="857" spans="9:13" x14ac:dyDescent="0.35">
      <c r="I857">
        <v>853</v>
      </c>
      <c r="J857" s="7">
        <v>7.4021533131599426E-2</v>
      </c>
      <c r="K857">
        <v>2.7013834565877914E-2</v>
      </c>
      <c r="L857">
        <v>0.3244168758392334</v>
      </c>
      <c r="M857" s="10">
        <v>3.0717640927262035E-2</v>
      </c>
    </row>
    <row r="858" spans="9:13" x14ac:dyDescent="0.35">
      <c r="I858">
        <v>854</v>
      </c>
      <c r="J858" s="7">
        <v>3.999260812997818E-2</v>
      </c>
      <c r="K858">
        <v>1.5505258925259113E-2</v>
      </c>
      <c r="L858">
        <v>0.31268924474716187</v>
      </c>
      <c r="M858" s="10">
        <v>1.7975382241922189E-2</v>
      </c>
    </row>
    <row r="859" spans="9:13" x14ac:dyDescent="0.35">
      <c r="I859">
        <v>855</v>
      </c>
      <c r="J859" s="7">
        <v>5.3612496703863144E-2</v>
      </c>
      <c r="K859">
        <v>2.2972565144300461E-2</v>
      </c>
      <c r="L859">
        <v>0.37253561615943909</v>
      </c>
      <c r="M859" s="10">
        <v>2.3075400637028065E-2</v>
      </c>
    </row>
    <row r="860" spans="9:13" x14ac:dyDescent="0.35">
      <c r="I860">
        <v>856</v>
      </c>
      <c r="J860" s="7">
        <v>6.0844320803880692E-2</v>
      </c>
      <c r="K860">
        <v>2.5043953210115433E-2</v>
      </c>
      <c r="L860">
        <v>0.36230090260505676</v>
      </c>
      <c r="M860" s="10">
        <v>2.5783384314000179E-2</v>
      </c>
    </row>
    <row r="861" spans="9:13" x14ac:dyDescent="0.35">
      <c r="I861">
        <v>857</v>
      </c>
      <c r="J861" s="7">
        <v>5.2508991211652756E-2</v>
      </c>
      <c r="K861">
        <v>2.1654736250638962E-2</v>
      </c>
      <c r="L861">
        <v>0.35526746511459351</v>
      </c>
      <c r="M861" s="10">
        <v>2.2662188863756705E-2</v>
      </c>
    </row>
    <row r="862" spans="9:13" x14ac:dyDescent="0.35">
      <c r="I862">
        <v>858</v>
      </c>
      <c r="J862" s="7">
        <v>5.7435799390077591E-2</v>
      </c>
      <c r="K862">
        <v>2.3517334833741188E-2</v>
      </c>
      <c r="L862">
        <v>0.3572220504283905</v>
      </c>
      <c r="M862" s="10">
        <v>2.4507050677626707E-2</v>
      </c>
    </row>
    <row r="863" spans="9:13" x14ac:dyDescent="0.35">
      <c r="I863">
        <v>859</v>
      </c>
      <c r="J863" s="7">
        <v>4.4571582227945328E-2</v>
      </c>
      <c r="K863">
        <v>1.7066787928342819E-2</v>
      </c>
      <c r="L863">
        <v>0.31559991836547852</v>
      </c>
      <c r="M863" s="10">
        <v>1.9689996278862476E-2</v>
      </c>
    </row>
    <row r="864" spans="9:13" x14ac:dyDescent="0.35">
      <c r="I864">
        <v>860</v>
      </c>
      <c r="J864" s="7">
        <v>4.3321497738361359E-2</v>
      </c>
      <c r="K864">
        <v>1.8343161791563034E-2</v>
      </c>
      <c r="L864">
        <v>0.35416969656944275</v>
      </c>
      <c r="M864" s="10">
        <v>1.9221897449879455E-2</v>
      </c>
    </row>
    <row r="865" spans="9:13" x14ac:dyDescent="0.35">
      <c r="I865">
        <v>861</v>
      </c>
      <c r="J865" s="7">
        <v>6.3828207552433014E-2</v>
      </c>
      <c r="K865">
        <v>2.4841511622071266E-2</v>
      </c>
      <c r="L865">
        <v>0.342192143201828</v>
      </c>
      <c r="M865" s="10">
        <v>2.6900711906217678E-2</v>
      </c>
    </row>
    <row r="866" spans="9:13" x14ac:dyDescent="0.35">
      <c r="I866">
        <v>862</v>
      </c>
      <c r="J866" s="7">
        <v>6.3096582889556885E-2</v>
      </c>
      <c r="K866">
        <v>2.4751808494329453E-2</v>
      </c>
      <c r="L866">
        <v>0.34473830461502075</v>
      </c>
      <c r="M866" s="10">
        <v>2.6626752305245915E-2</v>
      </c>
    </row>
    <row r="867" spans="9:13" x14ac:dyDescent="0.35">
      <c r="I867">
        <v>863</v>
      </c>
      <c r="J867" s="7">
        <v>6.1863470822572708E-2</v>
      </c>
      <c r="K867">
        <v>2.4232195690274239E-2</v>
      </c>
      <c r="L867">
        <v>0.34321054816246033</v>
      </c>
      <c r="M867" s="10">
        <v>2.6165008863606842E-2</v>
      </c>
    </row>
    <row r="868" spans="9:13" x14ac:dyDescent="0.35">
      <c r="I868">
        <v>864</v>
      </c>
      <c r="J868" s="7">
        <v>6.7917577922344208E-2</v>
      </c>
      <c r="K868">
        <v>2.6175392791628838E-2</v>
      </c>
      <c r="L868">
        <v>0.341228187084198</v>
      </c>
      <c r="M868" s="10">
        <v>2.8431991989590566E-2</v>
      </c>
    </row>
    <row r="869" spans="9:13" x14ac:dyDescent="0.35">
      <c r="I869">
        <v>865</v>
      </c>
      <c r="J869" s="7">
        <v>8.6406193673610687E-2</v>
      </c>
      <c r="K869">
        <v>3.0818074941635132E-2</v>
      </c>
      <c r="L869">
        <v>0.32194536924362183</v>
      </c>
      <c r="M869" s="10">
        <v>3.5355123549734246E-2</v>
      </c>
    </row>
    <row r="870" spans="9:13" x14ac:dyDescent="0.35">
      <c r="I870">
        <v>866</v>
      </c>
      <c r="J870" s="7">
        <v>5.2689474076032639E-2</v>
      </c>
      <c r="K870">
        <v>2.21590306609869E-2</v>
      </c>
      <c r="L870">
        <v>0.36362159252166748</v>
      </c>
      <c r="M870" s="10">
        <v>2.2729771349717987E-2</v>
      </c>
    </row>
    <row r="871" spans="9:13" x14ac:dyDescent="0.35">
      <c r="I871">
        <v>867</v>
      </c>
      <c r="J871" s="7">
        <v>5.174076184630394E-2</v>
      </c>
      <c r="K871">
        <v>2.2296000272035599E-2</v>
      </c>
      <c r="L871">
        <v>0.37293615937232971</v>
      </c>
      <c r="M871" s="10">
        <v>2.2374522494558069E-2</v>
      </c>
    </row>
    <row r="872" spans="9:13" x14ac:dyDescent="0.35">
      <c r="I872">
        <v>868</v>
      </c>
      <c r="J872" s="7">
        <v>4.8657920211553574E-2</v>
      </c>
      <c r="K872">
        <v>2.0922388881444931E-2</v>
      </c>
      <c r="L872">
        <v>0.36833447217941284</v>
      </c>
      <c r="M872" s="10">
        <v>2.1220140873802973E-2</v>
      </c>
    </row>
    <row r="873" spans="9:13" x14ac:dyDescent="0.35">
      <c r="I873">
        <v>869</v>
      </c>
      <c r="J873" s="7">
        <v>5.6595157831907272E-2</v>
      </c>
      <c r="K873">
        <v>2.3895982652902603E-2</v>
      </c>
      <c r="L873">
        <v>0.36921855807304382</v>
      </c>
      <c r="M873" s="10">
        <v>2.4192269291046231E-2</v>
      </c>
    </row>
    <row r="874" spans="9:13" x14ac:dyDescent="0.35">
      <c r="I874">
        <v>870</v>
      </c>
      <c r="J874" s="7">
        <v>4.1182395070791245E-2</v>
      </c>
      <c r="K874">
        <v>1.631508581340313E-2</v>
      </c>
      <c r="L874">
        <v>0.32331985235214233</v>
      </c>
      <c r="M874" s="10">
        <v>1.8420902427457198E-2</v>
      </c>
    </row>
    <row r="875" spans="9:13" x14ac:dyDescent="0.35">
      <c r="I875">
        <v>871</v>
      </c>
      <c r="J875" s="7">
        <v>5.7391118258237839E-2</v>
      </c>
      <c r="K875">
        <v>2.4388635531067848E-2</v>
      </c>
      <c r="L875">
        <v>0.37268197536468506</v>
      </c>
      <c r="M875" s="10">
        <v>2.4490319660110615E-2</v>
      </c>
    </row>
    <row r="876" spans="9:13" x14ac:dyDescent="0.35">
      <c r="I876">
        <v>872</v>
      </c>
      <c r="J876" s="7">
        <v>4.6932552009820938E-2</v>
      </c>
      <c r="K876">
        <v>1.9367091357707977E-2</v>
      </c>
      <c r="L876">
        <v>0.34873643517494202</v>
      </c>
      <c r="M876" s="10">
        <v>2.0574070274955392E-2</v>
      </c>
    </row>
    <row r="877" spans="9:13" x14ac:dyDescent="0.35">
      <c r="I877">
        <v>873</v>
      </c>
      <c r="J877" s="7">
        <v>6.4168035984039307E-2</v>
      </c>
      <c r="K877">
        <v>2.6612132787704468E-2</v>
      </c>
      <c r="L877">
        <v>0.3679734468460083</v>
      </c>
      <c r="M877" s="10">
        <v>2.7027961937887923E-2</v>
      </c>
    </row>
    <row r="878" spans="9:13" x14ac:dyDescent="0.35">
      <c r="I878">
        <v>874</v>
      </c>
      <c r="J878" s="7">
        <v>4.6147618442773819E-2</v>
      </c>
      <c r="K878">
        <v>1.8799914047122002E-2</v>
      </c>
      <c r="L878">
        <v>0.34237766265869141</v>
      </c>
      <c r="M878" s="10">
        <v>2.0280148954736066E-2</v>
      </c>
    </row>
    <row r="879" spans="9:13" x14ac:dyDescent="0.35">
      <c r="I879">
        <v>875</v>
      </c>
      <c r="J879" s="7">
        <v>4.3759092688560486E-2</v>
      </c>
      <c r="K879">
        <v>1.8223397433757782E-2</v>
      </c>
      <c r="L879">
        <v>0.34789106249809265</v>
      </c>
      <c r="M879" s="10">
        <v>1.9385756521377306E-2</v>
      </c>
    </row>
    <row r="880" spans="9:13" x14ac:dyDescent="0.35">
      <c r="I880">
        <v>876</v>
      </c>
      <c r="J880" s="7">
        <v>4.7043215483427048E-2</v>
      </c>
      <c r="K880">
        <v>2.0349215716123581E-2</v>
      </c>
      <c r="L880">
        <v>0.36879315972328186</v>
      </c>
      <c r="M880" s="10">
        <v>2.0615508627992996E-2</v>
      </c>
    </row>
    <row r="881" spans="9:13" x14ac:dyDescent="0.35">
      <c r="I881">
        <v>877</v>
      </c>
      <c r="J881" s="7">
        <v>5.1431052386760712E-2</v>
      </c>
      <c r="K881">
        <v>2.2035872563719749E-2</v>
      </c>
      <c r="L881">
        <v>0.37012410163879395</v>
      </c>
      <c r="M881" s="10">
        <v>2.2258550625020357E-2</v>
      </c>
    </row>
    <row r="882" spans="9:13" x14ac:dyDescent="0.35">
      <c r="I882">
        <v>878</v>
      </c>
      <c r="J882" s="7">
        <v>4.2332589626312256E-2</v>
      </c>
      <c r="K882">
        <v>1.7211567610502243E-2</v>
      </c>
      <c r="L882">
        <v>0.33571222424507141</v>
      </c>
      <c r="M882" s="10">
        <v>1.8851597095720152E-2</v>
      </c>
    </row>
    <row r="883" spans="9:13" x14ac:dyDescent="0.35">
      <c r="I883">
        <v>879</v>
      </c>
      <c r="J883" s="7">
        <v>6.4055740833282471E-2</v>
      </c>
      <c r="K883">
        <v>2.4801159277558327E-2</v>
      </c>
      <c r="L883">
        <v>0.34034669399261475</v>
      </c>
      <c r="M883" s="10">
        <v>2.6985912597217165E-2</v>
      </c>
    </row>
    <row r="884" spans="9:13" x14ac:dyDescent="0.35">
      <c r="I884">
        <v>880</v>
      </c>
      <c r="J884" s="7">
        <v>6.5610483288764954E-2</v>
      </c>
      <c r="K884">
        <v>2.6182984933257103E-2</v>
      </c>
      <c r="L884">
        <v>0.3533426821231842</v>
      </c>
      <c r="M884" s="10">
        <v>2.7568091744983203E-2</v>
      </c>
    </row>
    <row r="885" spans="9:13" x14ac:dyDescent="0.35">
      <c r="I885">
        <v>881</v>
      </c>
      <c r="J885" s="7">
        <v>5.4639037698507309E-2</v>
      </c>
      <c r="K885">
        <v>2.298225462436676E-2</v>
      </c>
      <c r="L885">
        <v>0.36571389436721802</v>
      </c>
      <c r="M885" s="10">
        <v>2.3459792765320064E-2</v>
      </c>
    </row>
    <row r="886" spans="9:13" x14ac:dyDescent="0.35">
      <c r="I886">
        <v>882</v>
      </c>
      <c r="J886" s="7">
        <v>5.3719401359558105E-2</v>
      </c>
      <c r="K886">
        <v>2.2492391988635063E-2</v>
      </c>
      <c r="L886">
        <v>0.36285573244094849</v>
      </c>
      <c r="M886" s="10">
        <v>2.311543148659112E-2</v>
      </c>
    </row>
    <row r="887" spans="9:13" x14ac:dyDescent="0.35">
      <c r="I887">
        <v>883</v>
      </c>
      <c r="J887" s="7">
        <v>5.3830560296773911E-2</v>
      </c>
      <c r="K887">
        <v>2.2055948153138161E-2</v>
      </c>
      <c r="L887">
        <v>0.35399869084358215</v>
      </c>
      <c r="M887" s="10">
        <v>2.3157055367836965E-2</v>
      </c>
    </row>
    <row r="888" spans="9:13" x14ac:dyDescent="0.35">
      <c r="I888">
        <v>884</v>
      </c>
      <c r="J888" s="7">
        <v>5.4520536214113235E-2</v>
      </c>
      <c r="K888">
        <v>2.1280378103256226E-2</v>
      </c>
      <c r="L888">
        <v>0.33529344201087952</v>
      </c>
      <c r="M888" s="10">
        <v>2.3415419439725027E-2</v>
      </c>
    </row>
    <row r="889" spans="9:13" x14ac:dyDescent="0.35">
      <c r="I889">
        <v>885</v>
      </c>
      <c r="J889" s="7">
        <v>8.4146834909915924E-2</v>
      </c>
      <c r="K889">
        <v>2.9905781149864197E-2</v>
      </c>
      <c r="L889">
        <v>0.31974798440933228</v>
      </c>
      <c r="M889" s="10">
        <v>3.4509098180768971E-2</v>
      </c>
    </row>
    <row r="890" spans="9:13" x14ac:dyDescent="0.35">
      <c r="I890">
        <v>886</v>
      </c>
      <c r="J890" s="7">
        <v>4.4051911681890488E-2</v>
      </c>
      <c r="K890">
        <v>1.8211901187896729E-2</v>
      </c>
      <c r="L890">
        <v>0.34531760215759277</v>
      </c>
      <c r="M890" s="10">
        <v>1.9495403692447622E-2</v>
      </c>
    </row>
    <row r="891" spans="9:13" x14ac:dyDescent="0.35">
      <c r="I891">
        <v>887</v>
      </c>
      <c r="J891" s="7">
        <v>6.3545882701873779E-2</v>
      </c>
      <c r="K891">
        <v>2.4342406541109085E-2</v>
      </c>
      <c r="L891">
        <v>0.33585822582244873</v>
      </c>
      <c r="M891" s="10">
        <v>2.6794994306294839E-2</v>
      </c>
    </row>
    <row r="892" spans="9:13" x14ac:dyDescent="0.35">
      <c r="I892">
        <v>888</v>
      </c>
      <c r="J892" s="7">
        <v>4.1802059859037399E-2</v>
      </c>
      <c r="K892">
        <v>1.7331166192889214E-2</v>
      </c>
      <c r="L892">
        <v>0.34283396601676941</v>
      </c>
      <c r="M892" s="10">
        <v>1.8652938233162275E-2</v>
      </c>
    </row>
    <row r="893" spans="9:13" x14ac:dyDescent="0.35">
      <c r="I893">
        <v>889</v>
      </c>
      <c r="J893" s="7">
        <v>6.2311731278896332E-2</v>
      </c>
      <c r="K893">
        <v>2.4136140942573547E-2</v>
      </c>
      <c r="L893">
        <v>0.33920001983642578</v>
      </c>
      <c r="M893" s="10">
        <v>2.6332861673903141E-2</v>
      </c>
    </row>
    <row r="894" spans="9:13" x14ac:dyDescent="0.35">
      <c r="I894">
        <v>890</v>
      </c>
      <c r="J894" s="7">
        <v>5.24875707924366E-2</v>
      </c>
      <c r="K894">
        <v>2.2491326555609703E-2</v>
      </c>
      <c r="L894">
        <v>0.37135127186775208</v>
      </c>
      <c r="M894" s="10">
        <v>2.2654167907385392E-2</v>
      </c>
    </row>
    <row r="895" spans="9:13" x14ac:dyDescent="0.35">
      <c r="I895">
        <v>891</v>
      </c>
      <c r="J895" s="7">
        <v>6.1062797904014587E-2</v>
      </c>
      <c r="K895">
        <v>2.5469884276390076E-2</v>
      </c>
      <c r="L895">
        <v>0.36797994375228882</v>
      </c>
      <c r="M895" s="10">
        <v>2.5865193884140769E-2</v>
      </c>
    </row>
    <row r="896" spans="9:13" x14ac:dyDescent="0.35">
      <c r="I896">
        <v>892</v>
      </c>
      <c r="J896" s="7">
        <v>5.3186692297458649E-2</v>
      </c>
      <c r="K896">
        <v>2.250012569129467E-2</v>
      </c>
      <c r="L896">
        <v>0.36663544178009033</v>
      </c>
      <c r="M896" s="10">
        <v>2.2915956578906771E-2</v>
      </c>
    </row>
    <row r="897" spans="9:13" x14ac:dyDescent="0.35">
      <c r="I897">
        <v>893</v>
      </c>
      <c r="J897" s="7">
        <v>7.1042247116565704E-2</v>
      </c>
      <c r="K897">
        <v>2.7730297297239304E-2</v>
      </c>
      <c r="L897">
        <v>0.34810692071914673</v>
      </c>
      <c r="M897" s="10">
        <v>2.9602036096978201E-2</v>
      </c>
    </row>
    <row r="898" spans="9:13" x14ac:dyDescent="0.35">
      <c r="I898">
        <v>894</v>
      </c>
      <c r="J898" s="7">
        <v>6.3842505216598511E-2</v>
      </c>
      <c r="K898">
        <v>2.5481836870312691E-2</v>
      </c>
      <c r="L898">
        <v>0.35214528441429138</v>
      </c>
      <c r="M898" s="10">
        <v>2.6906065720226913E-2</v>
      </c>
    </row>
    <row r="899" spans="9:13" x14ac:dyDescent="0.35">
      <c r="I899">
        <v>895</v>
      </c>
      <c r="J899" s="7">
        <v>7.3019750416278839E-2</v>
      </c>
      <c r="K899">
        <v>2.9021900147199631E-2</v>
      </c>
      <c r="L899">
        <v>0.35636797547340393</v>
      </c>
      <c r="M899" s="10">
        <v>3.034251962958634E-2</v>
      </c>
    </row>
    <row r="900" spans="9:13" x14ac:dyDescent="0.35">
      <c r="I900">
        <v>896</v>
      </c>
      <c r="J900" s="7">
        <v>5.3238086402416229E-2</v>
      </c>
      <c r="K900">
        <v>2.2560255602002144E-2</v>
      </c>
      <c r="L900">
        <v>0.36741095781326294</v>
      </c>
      <c r="M900" s="10">
        <v>2.2935201294402185E-2</v>
      </c>
    </row>
    <row r="901" spans="9:13" x14ac:dyDescent="0.35">
      <c r="I901">
        <v>897</v>
      </c>
      <c r="J901" s="7">
        <v>6.3198074698448181E-2</v>
      </c>
      <c r="K901">
        <v>2.6126515120267868E-2</v>
      </c>
      <c r="L901">
        <v>0.36593702435493469</v>
      </c>
      <c r="M901" s="10">
        <v>2.6664756294007663E-2</v>
      </c>
    </row>
    <row r="902" spans="9:13" x14ac:dyDescent="0.35">
      <c r="I902">
        <v>898</v>
      </c>
      <c r="J902" s="7">
        <v>5.9325631707906723E-2</v>
      </c>
      <c r="K902">
        <v>2.5079825893044472E-2</v>
      </c>
      <c r="L902">
        <v>0.37218019366264343</v>
      </c>
      <c r="M902" s="10">
        <v>2.5214705482018762E-2</v>
      </c>
    </row>
    <row r="903" spans="9:13" x14ac:dyDescent="0.35">
      <c r="I903">
        <v>899</v>
      </c>
      <c r="J903" s="7">
        <v>5.4508805274963379E-2</v>
      </c>
      <c r="K903">
        <v>2.33868807554245E-2</v>
      </c>
      <c r="L903">
        <v>0.37401077151298523</v>
      </c>
      <c r="M903" s="10">
        <v>2.3411026745531416E-2</v>
      </c>
    </row>
    <row r="904" spans="9:13" x14ac:dyDescent="0.35">
      <c r="I904">
        <v>900</v>
      </c>
      <c r="J904" s="7">
        <v>6.1904281377792358E-2</v>
      </c>
      <c r="K904">
        <v>2.525879442691803E-2</v>
      </c>
      <c r="L904">
        <v>0.35956794023513794</v>
      </c>
      <c r="M904" s="10">
        <v>2.6180290529180361E-2</v>
      </c>
    </row>
    <row r="905" spans="9:13" x14ac:dyDescent="0.35">
      <c r="I905">
        <v>901</v>
      </c>
      <c r="J905" s="7">
        <v>5.4180625826120377E-2</v>
      </c>
      <c r="K905">
        <v>2.3072397336363792E-2</v>
      </c>
      <c r="L905">
        <v>0.37047186493873596</v>
      </c>
      <c r="M905" s="10">
        <v>2.3288138719178231E-2</v>
      </c>
    </row>
    <row r="906" spans="9:13" x14ac:dyDescent="0.35">
      <c r="I906">
        <v>902</v>
      </c>
      <c r="J906" s="7">
        <v>4.7074269503355026E-2</v>
      </c>
      <c r="K906">
        <v>1.9933024421334267E-2</v>
      </c>
      <c r="L906">
        <v>0.35970869660377502</v>
      </c>
      <c r="M906" s="10">
        <v>2.0627136922307998E-2</v>
      </c>
    </row>
    <row r="907" spans="9:13" x14ac:dyDescent="0.35">
      <c r="I907">
        <v>903</v>
      </c>
      <c r="J907" s="7">
        <v>7.1074791252613068E-2</v>
      </c>
      <c r="K907">
        <v>2.7827298268675804E-2</v>
      </c>
      <c r="L907">
        <v>0.34931230545043945</v>
      </c>
      <c r="M907" s="10">
        <v>2.9614222370866861E-2</v>
      </c>
    </row>
    <row r="908" spans="9:13" x14ac:dyDescent="0.35">
      <c r="I908">
        <v>904</v>
      </c>
      <c r="J908" s="7">
        <v>7.0234701037406921E-2</v>
      </c>
      <c r="K908">
        <v>2.5782579556107521E-2</v>
      </c>
      <c r="L908">
        <v>0.32437783479690552</v>
      </c>
      <c r="M908" s="10">
        <v>2.9299647436728637E-2</v>
      </c>
    </row>
    <row r="909" spans="9:13" x14ac:dyDescent="0.35">
      <c r="I909">
        <v>905</v>
      </c>
      <c r="J909" s="7">
        <v>5.9490371495485306E-2</v>
      </c>
      <c r="K909">
        <v>2.4645181372761726E-2</v>
      </c>
      <c r="L909">
        <v>0.36384344100952148</v>
      </c>
      <c r="M909" s="10">
        <v>2.5276392913784362E-2</v>
      </c>
    </row>
    <row r="910" spans="9:13" x14ac:dyDescent="0.35">
      <c r="I910">
        <v>906</v>
      </c>
      <c r="J910" s="7">
        <v>5.36375492811203E-2</v>
      </c>
      <c r="K910">
        <v>2.2355940192937851E-2</v>
      </c>
      <c r="L910">
        <v>0.36086547374725342</v>
      </c>
      <c r="M910" s="10">
        <v>2.3084781668610166E-2</v>
      </c>
    </row>
    <row r="911" spans="9:13" x14ac:dyDescent="0.35">
      <c r="I911">
        <v>907</v>
      </c>
      <c r="J911" s="7">
        <v>5.307532474398613E-2</v>
      </c>
      <c r="K911">
        <v>2.1795798093080521E-2</v>
      </c>
      <c r="L911">
        <v>0.35413441061973572</v>
      </c>
      <c r="M911" s="10">
        <v>2.2874254580520614E-2</v>
      </c>
    </row>
    <row r="912" spans="9:13" x14ac:dyDescent="0.35">
      <c r="I912">
        <v>908</v>
      </c>
      <c r="J912" s="7">
        <v>5.4095525294542313E-2</v>
      </c>
      <c r="K912">
        <v>2.2132230922579765E-2</v>
      </c>
      <c r="L912">
        <v>0.35367491841316223</v>
      </c>
      <c r="M912" s="10">
        <v>2.3256272505726705E-2</v>
      </c>
    </row>
    <row r="913" spans="9:13" x14ac:dyDescent="0.35">
      <c r="I913">
        <v>909</v>
      </c>
      <c r="J913" s="7">
        <v>4.822218045592308E-2</v>
      </c>
      <c r="K913">
        <v>2.0479774102568626E-2</v>
      </c>
      <c r="L913">
        <v>0.36248409748077393</v>
      </c>
      <c r="M913" s="10">
        <v>2.1056976486874324E-2</v>
      </c>
    </row>
    <row r="914" spans="9:13" x14ac:dyDescent="0.35">
      <c r="I914">
        <v>910</v>
      </c>
      <c r="J914" s="7">
        <v>6.055213138461113E-2</v>
      </c>
      <c r="K914">
        <v>2.5342833250761032E-2</v>
      </c>
      <c r="L914">
        <v>0.36898508667945862</v>
      </c>
      <c r="M914" s="10">
        <v>2.5673972889299734E-2</v>
      </c>
    </row>
    <row r="915" spans="9:13" x14ac:dyDescent="0.35">
      <c r="I915">
        <v>911</v>
      </c>
      <c r="J915" s="7">
        <v>6.3190385699272156E-2</v>
      </c>
      <c r="K915">
        <v>2.6057476177811623E-2</v>
      </c>
      <c r="L915">
        <v>0.364888995885849</v>
      </c>
      <c r="M915" s="10">
        <v>2.6661877119407595E-2</v>
      </c>
    </row>
    <row r="916" spans="9:13" x14ac:dyDescent="0.35">
      <c r="I916">
        <v>912</v>
      </c>
      <c r="J916" s="7">
        <v>6.2703236937522888E-2</v>
      </c>
      <c r="K916">
        <v>2.5216888636350632E-2</v>
      </c>
      <c r="L916">
        <v>0.3543180525302887</v>
      </c>
      <c r="M916" s="10">
        <v>2.6479462437187795E-2</v>
      </c>
    </row>
    <row r="917" spans="9:13" x14ac:dyDescent="0.35">
      <c r="I917">
        <v>913</v>
      </c>
      <c r="J917" s="7">
        <v>6.6283434629440308E-2</v>
      </c>
      <c r="K917">
        <v>2.6091858744621277E-2</v>
      </c>
      <c r="L917">
        <v>0.34838053584098816</v>
      </c>
      <c r="M917" s="10">
        <v>2.7820080900242239E-2</v>
      </c>
    </row>
    <row r="918" spans="9:13" x14ac:dyDescent="0.35">
      <c r="I918">
        <v>914</v>
      </c>
      <c r="J918" s="7">
        <v>6.8468153476715088E-2</v>
      </c>
      <c r="K918">
        <v>2.7528077363967896E-2</v>
      </c>
      <c r="L918">
        <v>0.35824066400527954</v>
      </c>
      <c r="M918" s="10">
        <v>2.8638157072363057E-2</v>
      </c>
    </row>
    <row r="919" spans="9:13" x14ac:dyDescent="0.35">
      <c r="I919">
        <v>915</v>
      </c>
      <c r="J919" s="7">
        <v>7.3552772402763367E-2</v>
      </c>
      <c r="K919">
        <v>2.7249513193964958E-2</v>
      </c>
      <c r="L919">
        <v>0.32968863844871521</v>
      </c>
      <c r="M919" s="10">
        <v>3.0542111712981157E-2</v>
      </c>
    </row>
    <row r="920" spans="9:13" x14ac:dyDescent="0.35">
      <c r="I920">
        <v>916</v>
      </c>
      <c r="J920" s="7">
        <v>5.7649876922369003E-2</v>
      </c>
      <c r="K920">
        <v>2.3397326469421387E-2</v>
      </c>
      <c r="L920">
        <v>0.35381388664245605</v>
      </c>
      <c r="M920" s="10">
        <v>2.4587212813076076E-2</v>
      </c>
    </row>
    <row r="921" spans="9:13" x14ac:dyDescent="0.35">
      <c r="I921">
        <v>917</v>
      </c>
      <c r="J921" s="7">
        <v>6.4723946154117584E-2</v>
      </c>
      <c r="K921">
        <v>2.5777392089366913E-2</v>
      </c>
      <c r="L921">
        <v>0.35191598534584045</v>
      </c>
      <c r="M921" s="10">
        <v>2.7236124587534105E-2</v>
      </c>
    </row>
    <row r="922" spans="9:13" x14ac:dyDescent="0.35">
      <c r="I922">
        <v>918</v>
      </c>
      <c r="J922" s="7">
        <v>6.6994637250900269E-2</v>
      </c>
      <c r="K922">
        <v>2.6728434488177299E-2</v>
      </c>
      <c r="L922">
        <v>0.35418409109115601</v>
      </c>
      <c r="M922" s="10">
        <v>2.8086393391157038E-2</v>
      </c>
    </row>
    <row r="923" spans="9:13" x14ac:dyDescent="0.35">
      <c r="I923">
        <v>919</v>
      </c>
      <c r="J923" s="7">
        <v>6.4259253442287445E-2</v>
      </c>
      <c r="K923">
        <v>2.5777487084269524E-2</v>
      </c>
      <c r="L923">
        <v>0.35446235537528992</v>
      </c>
      <c r="M923" s="10">
        <v>2.7062118657489309E-2</v>
      </c>
    </row>
    <row r="924" spans="9:13" x14ac:dyDescent="0.35">
      <c r="I924">
        <v>920</v>
      </c>
      <c r="J924" s="7">
        <v>5.382591113448143E-2</v>
      </c>
      <c r="K924">
        <v>2.2935552522540092E-2</v>
      </c>
      <c r="L924">
        <v>0.37037092447280884</v>
      </c>
      <c r="M924" s="10">
        <v>2.3155314471567157E-2</v>
      </c>
    </row>
    <row r="925" spans="9:13" x14ac:dyDescent="0.35">
      <c r="I925">
        <v>921</v>
      </c>
      <c r="J925" s="7">
        <v>6.369464099407196E-2</v>
      </c>
      <c r="K925">
        <v>2.5308582931756973E-2</v>
      </c>
      <c r="L925">
        <v>0.35024270415306091</v>
      </c>
      <c r="M925" s="10">
        <v>2.6850697407132973E-2</v>
      </c>
    </row>
    <row r="926" spans="9:13" x14ac:dyDescent="0.35">
      <c r="I926">
        <v>922</v>
      </c>
      <c r="J926" s="7">
        <v>5.3177922964096069E-2</v>
      </c>
      <c r="K926">
        <v>2.2504933178424835E-2</v>
      </c>
      <c r="L926">
        <v>0.36678630113601685</v>
      </c>
      <c r="M926" s="10">
        <v>2.2912672869115802E-2</v>
      </c>
    </row>
    <row r="927" spans="9:13" x14ac:dyDescent="0.35">
      <c r="I927">
        <v>923</v>
      </c>
      <c r="J927" s="7">
        <v>6.4411439001560211E-2</v>
      </c>
      <c r="K927">
        <v>2.4929365143179893E-2</v>
      </c>
      <c r="L927">
        <v>0.34045761823654175</v>
      </c>
      <c r="M927" s="10">
        <v>2.7119105111346853E-2</v>
      </c>
    </row>
    <row r="928" spans="9:13" x14ac:dyDescent="0.35">
      <c r="I928">
        <v>924</v>
      </c>
      <c r="J928" s="7">
        <v>5.943569540977478E-2</v>
      </c>
      <c r="K928">
        <v>2.4432925507426262E-2</v>
      </c>
      <c r="L928">
        <v>0.36060696840286255</v>
      </c>
      <c r="M928" s="10">
        <v>2.5255919248277969E-2</v>
      </c>
    </row>
    <row r="929" spans="9:13" x14ac:dyDescent="0.35">
      <c r="I929">
        <v>925</v>
      </c>
      <c r="J929" s="7">
        <v>6.9050870835781097E-2</v>
      </c>
      <c r="K929">
        <v>2.7976891025900841E-2</v>
      </c>
      <c r="L929">
        <v>0.36171725392341614</v>
      </c>
      <c r="M929" s="10">
        <v>2.8856357774539321E-2</v>
      </c>
    </row>
    <row r="930" spans="9:13" x14ac:dyDescent="0.35">
      <c r="I930">
        <v>926</v>
      </c>
      <c r="J930" s="7">
        <v>6.6006593406200409E-2</v>
      </c>
      <c r="K930">
        <v>2.7037261053919792E-2</v>
      </c>
      <c r="L930">
        <v>0.36416453123092651</v>
      </c>
      <c r="M930" s="10">
        <v>2.7716416665150456E-2</v>
      </c>
    </row>
    <row r="931" spans="9:13" x14ac:dyDescent="0.35">
      <c r="I931">
        <v>927</v>
      </c>
      <c r="J931" s="7">
        <v>6.0669466853141785E-2</v>
      </c>
      <c r="K931">
        <v>2.530062198638916E-2</v>
      </c>
      <c r="L931">
        <v>0.36757570505142212</v>
      </c>
      <c r="M931" s="10">
        <v>2.5717909595878385E-2</v>
      </c>
    </row>
    <row r="932" spans="9:13" x14ac:dyDescent="0.35">
      <c r="I932">
        <v>928</v>
      </c>
      <c r="J932" s="7">
        <v>4.3377146124839783E-2</v>
      </c>
      <c r="K932">
        <v>1.8404684960842133E-2</v>
      </c>
      <c r="L932">
        <v>0.35513365268707275</v>
      </c>
      <c r="M932" s="10">
        <v>1.9242735197057659E-2</v>
      </c>
    </row>
    <row r="933" spans="9:13" x14ac:dyDescent="0.35">
      <c r="I933">
        <v>929</v>
      </c>
      <c r="J933" s="7">
        <v>7.0148713886737823E-2</v>
      </c>
      <c r="K933">
        <v>2.8215916827321053E-2</v>
      </c>
      <c r="L933">
        <v>0.35946372151374817</v>
      </c>
      <c r="M933" s="10">
        <v>2.9267449225430786E-2</v>
      </c>
    </row>
    <row r="934" spans="9:13" x14ac:dyDescent="0.35">
      <c r="I934">
        <v>930</v>
      </c>
      <c r="J934" s="7">
        <v>8.40291827917099E-2</v>
      </c>
      <c r="K934">
        <v>2.8509790077805519E-2</v>
      </c>
      <c r="L934">
        <v>0.30358251929283142</v>
      </c>
      <c r="M934" s="10">
        <v>3.4465042903530918E-2</v>
      </c>
    </row>
    <row r="935" spans="9:13" x14ac:dyDescent="0.35">
      <c r="I935">
        <v>931</v>
      </c>
      <c r="J935" s="7">
        <v>5.5459942668676376E-2</v>
      </c>
      <c r="K935">
        <v>2.2772578522562981E-2</v>
      </c>
      <c r="L935">
        <v>0.35651999711990356</v>
      </c>
      <c r="M935" s="10">
        <v>2.3767183712447459E-2</v>
      </c>
    </row>
    <row r="936" spans="9:13" x14ac:dyDescent="0.35">
      <c r="I936">
        <v>932</v>
      </c>
      <c r="J936" s="7">
        <v>6.8377360701560974E-2</v>
      </c>
      <c r="K936">
        <v>2.7331480756402016E-2</v>
      </c>
      <c r="L936">
        <v>0.35584118962287903</v>
      </c>
      <c r="M936" s="10">
        <v>2.8604159376940164E-2</v>
      </c>
    </row>
    <row r="937" spans="9:13" x14ac:dyDescent="0.35">
      <c r="I937">
        <v>933</v>
      </c>
      <c r="J937" s="7">
        <v>6.0451280325651169E-2</v>
      </c>
      <c r="K937">
        <v>2.5053622201085091E-2</v>
      </c>
      <c r="L937">
        <v>0.36481645703315735</v>
      </c>
      <c r="M937" s="10">
        <v>2.5636208831754659E-2</v>
      </c>
    </row>
    <row r="938" spans="9:13" x14ac:dyDescent="0.35">
      <c r="I938">
        <v>934</v>
      </c>
      <c r="J938" s="7">
        <v>5.8159608393907547E-2</v>
      </c>
      <c r="K938">
        <v>2.2546540945768356E-2</v>
      </c>
      <c r="L938">
        <v>0.33608445525169373</v>
      </c>
      <c r="M938" s="10">
        <v>2.4778083675734641E-2</v>
      </c>
    </row>
    <row r="939" spans="9:13" x14ac:dyDescent="0.35">
      <c r="I939">
        <v>935</v>
      </c>
      <c r="J939" s="7">
        <v>6.5025106072425842E-2</v>
      </c>
      <c r="K939">
        <v>2.6735523715615273E-2</v>
      </c>
      <c r="L939">
        <v>0.36502090096473694</v>
      </c>
      <c r="M939" s="10">
        <v>2.7348895049267963E-2</v>
      </c>
    </row>
    <row r="940" spans="9:13" x14ac:dyDescent="0.35">
      <c r="I940">
        <v>936</v>
      </c>
      <c r="J940" s="7">
        <v>6.9935351610183716E-2</v>
      </c>
      <c r="K940">
        <v>2.67685167491436E-2</v>
      </c>
      <c r="L940">
        <v>0.3398641049861908</v>
      </c>
      <c r="M940" s="10">
        <v>2.9187554920176773E-2</v>
      </c>
    </row>
    <row r="941" spans="9:13" x14ac:dyDescent="0.35">
      <c r="I941">
        <v>937</v>
      </c>
      <c r="J941" s="7">
        <v>6.2939949333667755E-2</v>
      </c>
      <c r="K941">
        <v>2.5715446099638939E-2</v>
      </c>
      <c r="L941">
        <v>0.36090666055679321</v>
      </c>
      <c r="M941" s="10">
        <v>2.6568100282361007E-2</v>
      </c>
    </row>
    <row r="942" spans="9:13" x14ac:dyDescent="0.35">
      <c r="I942">
        <v>938</v>
      </c>
      <c r="J942" s="7">
        <v>7.1735486388206482E-2</v>
      </c>
      <c r="K942">
        <v>2.7526935562491417E-2</v>
      </c>
      <c r="L942">
        <v>0.34190797805786133</v>
      </c>
      <c r="M942" s="10">
        <v>2.9861622144132571E-2</v>
      </c>
    </row>
    <row r="943" spans="9:13" x14ac:dyDescent="0.35">
      <c r="I943">
        <v>939</v>
      </c>
      <c r="J943" s="7">
        <v>6.0415111482143402E-2</v>
      </c>
      <c r="K943">
        <v>2.4775462225079536E-2</v>
      </c>
      <c r="L943">
        <v>0.36043071746826172</v>
      </c>
      <c r="M943" s="10">
        <v>2.562266527255308E-2</v>
      </c>
    </row>
    <row r="944" spans="9:13" x14ac:dyDescent="0.35">
      <c r="I944">
        <v>940</v>
      </c>
      <c r="J944" s="7">
        <v>5.0912916660308838E-2</v>
      </c>
      <c r="K944">
        <v>2.1045900881290436E-2</v>
      </c>
      <c r="L944">
        <v>0.3544464111328125</v>
      </c>
      <c r="M944" s="10">
        <v>2.2064532757566369E-2</v>
      </c>
    </row>
    <row r="945" spans="9:13" x14ac:dyDescent="0.35">
      <c r="I945">
        <v>941</v>
      </c>
      <c r="J945" s="7">
        <v>6.5107502043247223E-2</v>
      </c>
      <c r="K945">
        <v>2.6197813451290131E-2</v>
      </c>
      <c r="L945">
        <v>0.35630017518997192</v>
      </c>
      <c r="M945" s="10">
        <v>2.7379748529793302E-2</v>
      </c>
    </row>
    <row r="946" spans="9:13" x14ac:dyDescent="0.35">
      <c r="I946">
        <v>942</v>
      </c>
      <c r="J946" s="7">
        <v>5.9579029679298401E-2</v>
      </c>
      <c r="K946">
        <v>2.4421852082014084E-2</v>
      </c>
      <c r="L946">
        <v>0.35955354571342468</v>
      </c>
      <c r="M946" s="10">
        <v>2.5309591303467993E-2</v>
      </c>
    </row>
    <row r="947" spans="9:13" x14ac:dyDescent="0.35">
      <c r="I947">
        <v>943</v>
      </c>
      <c r="J947" s="7">
        <v>7.2778820991516113E-2</v>
      </c>
      <c r="K947">
        <v>2.8804697096347809E-2</v>
      </c>
      <c r="L947">
        <v>0.35456326603889465</v>
      </c>
      <c r="M947" s="10">
        <v>3.025230270221968E-2</v>
      </c>
    </row>
    <row r="948" spans="9:13" x14ac:dyDescent="0.35">
      <c r="I948">
        <v>944</v>
      </c>
      <c r="J948" s="7">
        <v>6.8600691854953766E-2</v>
      </c>
      <c r="K948">
        <v>2.7096180245280266E-2</v>
      </c>
      <c r="L948">
        <v>0.35125273466110229</v>
      </c>
      <c r="M948" s="10">
        <v>2.868778656554194E-2</v>
      </c>
    </row>
    <row r="949" spans="9:13" x14ac:dyDescent="0.35">
      <c r="I949">
        <v>945</v>
      </c>
      <c r="J949" s="7">
        <v>6.8592049181461334E-2</v>
      </c>
      <c r="K949">
        <v>2.6221107691526413E-2</v>
      </c>
      <c r="L949">
        <v>0.33853936195373535</v>
      </c>
      <c r="M949" s="10">
        <v>2.8684550284014732E-2</v>
      </c>
    </row>
    <row r="950" spans="9:13" x14ac:dyDescent="0.35">
      <c r="I950">
        <v>946</v>
      </c>
      <c r="J950" s="7">
        <v>5.4313361644744873E-2</v>
      </c>
      <c r="K950">
        <v>2.3019004613161087E-2</v>
      </c>
      <c r="L950">
        <v>0.36858341097831726</v>
      </c>
      <c r="M950" s="10">
        <v>2.3337842144650622E-2</v>
      </c>
    </row>
    <row r="951" spans="9:13" x14ac:dyDescent="0.35">
      <c r="I951">
        <v>947</v>
      </c>
      <c r="J951" s="7">
        <v>4.3385684490203857E-2</v>
      </c>
      <c r="K951">
        <v>1.8323330208659172E-2</v>
      </c>
      <c r="L951">
        <v>0.35318863391876221</v>
      </c>
      <c r="M951" s="10">
        <v>1.9245932420014711E-2</v>
      </c>
    </row>
    <row r="952" spans="9:13" x14ac:dyDescent="0.35">
      <c r="I952">
        <v>948</v>
      </c>
      <c r="J952" s="7">
        <v>4.8774015158414841E-2</v>
      </c>
      <c r="K952">
        <v>2.0807625725865364E-2</v>
      </c>
      <c r="L952">
        <v>0.36510476469993591</v>
      </c>
      <c r="M952" s="10">
        <v>2.1263613062386555E-2</v>
      </c>
    </row>
    <row r="953" spans="9:13" x14ac:dyDescent="0.35">
      <c r="I953">
        <v>949</v>
      </c>
      <c r="J953" s="7">
        <v>7.0779487490653992E-2</v>
      </c>
      <c r="K953">
        <v>2.5778898969292641E-2</v>
      </c>
      <c r="L953">
        <v>0.32182911038398743</v>
      </c>
      <c r="M953" s="10">
        <v>2.9503644768857473E-2</v>
      </c>
    </row>
    <row r="954" spans="9:13" x14ac:dyDescent="0.35">
      <c r="I954">
        <v>950</v>
      </c>
      <c r="J954" s="7">
        <v>5.0508253276348114E-2</v>
      </c>
      <c r="K954">
        <v>2.0852237939834595E-2</v>
      </c>
      <c r="L954">
        <v>0.35345190763473511</v>
      </c>
      <c r="M954" s="10">
        <v>2.1913005034646327E-2</v>
      </c>
    </row>
    <row r="955" spans="9:13" x14ac:dyDescent="0.35">
      <c r="I955">
        <v>951</v>
      </c>
      <c r="J955" s="7">
        <v>5.6056119501590729E-2</v>
      </c>
      <c r="K955">
        <v>2.342541329562664E-2</v>
      </c>
      <c r="L955">
        <v>0.36437436938285828</v>
      </c>
      <c r="M955" s="10">
        <v>2.3990424365122776E-2</v>
      </c>
    </row>
    <row r="956" spans="9:13" x14ac:dyDescent="0.35">
      <c r="I956">
        <v>952</v>
      </c>
      <c r="J956" s="7">
        <v>5.5192321538925171E-2</v>
      </c>
      <c r="K956">
        <v>2.3471154272556305E-2</v>
      </c>
      <c r="L956">
        <v>0.37090584635734558</v>
      </c>
      <c r="M956" s="10">
        <v>2.3666971975967677E-2</v>
      </c>
    </row>
    <row r="957" spans="9:13" x14ac:dyDescent="0.35">
      <c r="I957">
        <v>953</v>
      </c>
      <c r="J957" s="7">
        <v>7.2301939129829407E-2</v>
      </c>
      <c r="K957">
        <v>2.6923429220914841E-2</v>
      </c>
      <c r="L957">
        <v>0.33088225126266479</v>
      </c>
      <c r="M957" s="10">
        <v>3.0073732499262373E-2</v>
      </c>
    </row>
    <row r="958" spans="9:13" x14ac:dyDescent="0.35">
      <c r="I958">
        <v>954</v>
      </c>
      <c r="J958" s="7">
        <v>5.5097527801990509E-2</v>
      </c>
      <c r="K958">
        <v>2.2769201546907425E-2</v>
      </c>
      <c r="L958">
        <v>0.35880377888679504</v>
      </c>
      <c r="M958" s="10">
        <v>2.3631476105389515E-2</v>
      </c>
    </row>
    <row r="959" spans="9:13" x14ac:dyDescent="0.35">
      <c r="I959">
        <v>955</v>
      </c>
      <c r="J959" s="7">
        <v>6.0263857245445251E-2</v>
      </c>
      <c r="K959">
        <v>2.49343141913414E-2</v>
      </c>
      <c r="L959">
        <v>0.3639712929725647</v>
      </c>
      <c r="M959" s="10">
        <v>2.5566027555929072E-2</v>
      </c>
    </row>
    <row r="960" spans="9:13" x14ac:dyDescent="0.35">
      <c r="I960">
        <v>956</v>
      </c>
      <c r="J960" s="7">
        <v>5.9215057641267776E-2</v>
      </c>
      <c r="K960">
        <v>2.3944806307554245E-2</v>
      </c>
      <c r="L960">
        <v>0.35370743274688721</v>
      </c>
      <c r="M960" s="10">
        <v>2.5173300607755578E-2</v>
      </c>
    </row>
    <row r="961" spans="9:13" x14ac:dyDescent="0.35">
      <c r="I961">
        <v>957</v>
      </c>
      <c r="J961" s="7">
        <v>6.233493983745575E-2</v>
      </c>
      <c r="K961">
        <v>2.5997234508395195E-2</v>
      </c>
      <c r="L961">
        <v>0.36893007159233093</v>
      </c>
      <c r="M961" s="10">
        <v>2.6341552205762842E-2</v>
      </c>
    </row>
    <row r="962" spans="9:13" x14ac:dyDescent="0.35">
      <c r="I962">
        <v>958</v>
      </c>
      <c r="J962" s="7">
        <v>4.7430731356143951E-2</v>
      </c>
      <c r="K962">
        <v>2.0405307412147522E-2</v>
      </c>
      <c r="L962">
        <v>0.36696267127990723</v>
      </c>
      <c r="M962" s="10">
        <v>2.0760615400969185E-2</v>
      </c>
    </row>
    <row r="963" spans="9:13" x14ac:dyDescent="0.35">
      <c r="I963">
        <v>959</v>
      </c>
      <c r="J963" s="7">
        <v>5.1783852279186249E-2</v>
      </c>
      <c r="K963">
        <v>2.2174596786499023E-2</v>
      </c>
      <c r="L963">
        <v>0.3702813982963562</v>
      </c>
      <c r="M963" s="10">
        <v>2.2390657868879282E-2</v>
      </c>
    </row>
    <row r="964" spans="9:13" x14ac:dyDescent="0.35">
      <c r="I964">
        <v>960</v>
      </c>
      <c r="J964" s="7">
        <v>5.73931485414505E-2</v>
      </c>
      <c r="K964">
        <v>2.3625794798135757E-2</v>
      </c>
      <c r="L964">
        <v>0.35937729477882385</v>
      </c>
      <c r="M964" s="10">
        <v>2.4491079907279723E-2</v>
      </c>
    </row>
    <row r="965" spans="9:13" x14ac:dyDescent="0.35">
      <c r="I965">
        <v>961</v>
      </c>
      <c r="J965" s="7">
        <v>6.3029967248439789E-2</v>
      </c>
      <c r="K965">
        <v>2.564624696969986E-2</v>
      </c>
      <c r="L965">
        <v>0.35929334163665771</v>
      </c>
      <c r="M965" s="10">
        <v>2.6601807828405599E-2</v>
      </c>
    </row>
    <row r="966" spans="9:13" x14ac:dyDescent="0.35">
      <c r="I966">
        <v>962</v>
      </c>
      <c r="J966" s="7">
        <v>5.7228613644838333E-2</v>
      </c>
      <c r="K966">
        <v>2.2697661072015762E-2</v>
      </c>
      <c r="L966">
        <v>0.34419253468513489</v>
      </c>
      <c r="M966" s="10">
        <v>2.44294691977055E-2</v>
      </c>
    </row>
    <row r="967" spans="9:13" x14ac:dyDescent="0.35">
      <c r="I967">
        <v>963</v>
      </c>
      <c r="J967" s="7">
        <v>5.8171369135379791E-2</v>
      </c>
      <c r="K967">
        <v>2.4552902206778526E-2</v>
      </c>
      <c r="L967">
        <v>0.37050706148147583</v>
      </c>
      <c r="M967" s="10">
        <v>2.4782487529519726E-2</v>
      </c>
    </row>
    <row r="968" spans="9:13" x14ac:dyDescent="0.35">
      <c r="I968">
        <v>964</v>
      </c>
      <c r="J968" s="7">
        <v>4.9849376082420349E-2</v>
      </c>
      <c r="K968">
        <v>2.1038670092821121E-2</v>
      </c>
      <c r="L968">
        <v>0.36186349391937256</v>
      </c>
      <c r="M968" s="10">
        <v>2.1666285996460477E-2</v>
      </c>
    </row>
    <row r="969" spans="9:13" x14ac:dyDescent="0.35">
      <c r="I969">
        <v>965</v>
      </c>
      <c r="J969" s="7">
        <v>7.4357055127620697E-2</v>
      </c>
      <c r="K969">
        <v>2.7866052463650703E-2</v>
      </c>
      <c r="L969">
        <v>0.33441415429115295</v>
      </c>
      <c r="M969" s="10">
        <v>3.0843278397964413E-2</v>
      </c>
    </row>
    <row r="970" spans="9:13" x14ac:dyDescent="0.35">
      <c r="I970">
        <v>966</v>
      </c>
      <c r="J970" s="7">
        <v>4.0788285434246063E-2</v>
      </c>
      <c r="K970">
        <v>1.6005104407668114E-2</v>
      </c>
      <c r="L970">
        <v>0.31884410977363586</v>
      </c>
      <c r="M970" s="10">
        <v>1.8273326594867578E-2</v>
      </c>
    </row>
    <row r="971" spans="9:13" x14ac:dyDescent="0.35">
      <c r="I971">
        <v>967</v>
      </c>
      <c r="J971" s="7">
        <v>6.4653873443603516E-2</v>
      </c>
      <c r="K971">
        <v>2.5114450603723526E-2</v>
      </c>
      <c r="L971">
        <v>0.34204369783401489</v>
      </c>
      <c r="M971" s="10">
        <v>2.7209885598082906E-2</v>
      </c>
    </row>
    <row r="972" spans="9:13" x14ac:dyDescent="0.35">
      <c r="I972">
        <v>968</v>
      </c>
      <c r="J972" s="7">
        <v>8.1207312643527985E-2</v>
      </c>
      <c r="K972">
        <v>2.8130821883678436E-2</v>
      </c>
      <c r="L972">
        <v>0.30946502089500427</v>
      </c>
      <c r="M972" s="10">
        <v>3.3408383035408162E-2</v>
      </c>
    </row>
    <row r="973" spans="9:13" x14ac:dyDescent="0.35">
      <c r="I973">
        <v>969</v>
      </c>
      <c r="J973" s="7">
        <v>7.6550789177417755E-2</v>
      </c>
      <c r="K973">
        <v>2.7997434139251709E-2</v>
      </c>
      <c r="L973">
        <v>0.3265470564365387</v>
      </c>
      <c r="M973" s="10">
        <v>3.1664730346505854E-2</v>
      </c>
    </row>
    <row r="974" spans="9:13" x14ac:dyDescent="0.35">
      <c r="I974">
        <v>970</v>
      </c>
      <c r="J974" s="7">
        <v>5.9303969144821167E-2</v>
      </c>
      <c r="K974">
        <v>2.4675300344824791E-2</v>
      </c>
      <c r="L974">
        <v>0.36549493670463562</v>
      </c>
      <c r="M974" s="10">
        <v>2.520659385396673E-2</v>
      </c>
    </row>
    <row r="975" spans="9:13" x14ac:dyDescent="0.35">
      <c r="I975">
        <v>971</v>
      </c>
      <c r="J975" s="7">
        <v>6.5553277730941772E-2</v>
      </c>
      <c r="K975">
        <v>2.6758331805467606E-2</v>
      </c>
      <c r="L975">
        <v>0.36242783069610596</v>
      </c>
      <c r="M975" s="10">
        <v>2.7546670909150528E-2</v>
      </c>
    </row>
    <row r="976" spans="9:13" x14ac:dyDescent="0.35">
      <c r="I976">
        <v>972</v>
      </c>
      <c r="J976" s="7">
        <v>5.4712157696485519E-2</v>
      </c>
      <c r="K976">
        <v>2.3142680525779724E-2</v>
      </c>
      <c r="L976">
        <v>0.36815729737281799</v>
      </c>
      <c r="M976" s="10">
        <v>2.3487172822999391E-2</v>
      </c>
    </row>
    <row r="977" spans="9:13" x14ac:dyDescent="0.35">
      <c r="I977">
        <v>973</v>
      </c>
      <c r="J977" s="7">
        <v>7.7372580766677856E-2</v>
      </c>
      <c r="K977">
        <v>2.9681259766221046E-2</v>
      </c>
      <c r="L977">
        <v>0.34484127163887024</v>
      </c>
      <c r="M977" s="10">
        <v>3.1972453291479574E-2</v>
      </c>
    </row>
    <row r="978" spans="9:13" x14ac:dyDescent="0.35">
      <c r="I978">
        <v>974</v>
      </c>
      <c r="J978" s="7">
        <v>6.1631865799427032E-2</v>
      </c>
      <c r="K978">
        <v>2.518361434340477E-2</v>
      </c>
      <c r="L978">
        <v>0.3599373996257782</v>
      </c>
      <c r="M978" s="10">
        <v>2.6078283493422338E-2</v>
      </c>
    </row>
    <row r="979" spans="9:13" x14ac:dyDescent="0.35">
      <c r="I979">
        <v>975</v>
      </c>
      <c r="J979" s="7">
        <v>5.3194120526313782E-2</v>
      </c>
      <c r="K979">
        <v>2.2764343768358231E-2</v>
      </c>
      <c r="L979">
        <v>0.3715512752532959</v>
      </c>
      <c r="M979" s="10">
        <v>2.2918738107081449E-2</v>
      </c>
    </row>
    <row r="980" spans="9:13" x14ac:dyDescent="0.35">
      <c r="I980">
        <v>976</v>
      </c>
      <c r="J980" s="7">
        <v>5.5161751806735992E-2</v>
      </c>
      <c r="K980">
        <v>2.2903371602296829E-2</v>
      </c>
      <c r="L980">
        <v>0.36081832647323608</v>
      </c>
      <c r="M980" s="10">
        <v>2.3655525025014112E-2</v>
      </c>
    </row>
    <row r="981" spans="9:13" x14ac:dyDescent="0.35">
      <c r="I981">
        <v>977</v>
      </c>
      <c r="J981" s="7">
        <v>5.4980557411909103E-2</v>
      </c>
      <c r="K981">
        <v>2.1713148802518845E-2</v>
      </c>
      <c r="L981">
        <v>0.3403593897819519</v>
      </c>
      <c r="M981" s="10">
        <v>2.358767610380641E-2</v>
      </c>
    </row>
    <row r="982" spans="9:13" x14ac:dyDescent="0.35">
      <c r="I982">
        <v>978</v>
      </c>
      <c r="J982" s="7">
        <v>5.2550818771123886E-2</v>
      </c>
      <c r="K982">
        <v>2.2355969995260239E-2</v>
      </c>
      <c r="L982">
        <v>0.36832860112190247</v>
      </c>
      <c r="M982" s="10">
        <v>2.2677851350389244E-2</v>
      </c>
    </row>
    <row r="983" spans="9:13" x14ac:dyDescent="0.35">
      <c r="I983">
        <v>979</v>
      </c>
      <c r="J983" s="7">
        <v>5.1502592861652374E-2</v>
      </c>
      <c r="K983">
        <v>2.1665094420313835E-2</v>
      </c>
      <c r="L983">
        <v>0.3624107837677002</v>
      </c>
      <c r="M983" s="10">
        <v>2.2285339224351608E-2</v>
      </c>
    </row>
    <row r="984" spans="9:13" x14ac:dyDescent="0.35">
      <c r="I984">
        <v>980</v>
      </c>
      <c r="J984" s="7">
        <v>5.7467766106128693E-2</v>
      </c>
      <c r="K984">
        <v>2.3954236879944801E-2</v>
      </c>
      <c r="L984">
        <v>0.36462593078613281</v>
      </c>
      <c r="M984" s="10">
        <v>2.4519020734430574E-2</v>
      </c>
    </row>
    <row r="985" spans="9:13" x14ac:dyDescent="0.35">
      <c r="I985">
        <v>981</v>
      </c>
      <c r="J985" s="7">
        <v>8.1524930894374847E-2</v>
      </c>
      <c r="K985">
        <v>2.7938805520534515E-2</v>
      </c>
      <c r="L985">
        <v>0.30590403079986572</v>
      </c>
      <c r="M985" s="10">
        <v>3.3527316381533057E-2</v>
      </c>
    </row>
    <row r="986" spans="9:13" x14ac:dyDescent="0.35">
      <c r="I986">
        <v>982</v>
      </c>
      <c r="J986" s="7">
        <v>5.2439082413911819E-2</v>
      </c>
      <c r="K986">
        <v>2.1534642204642296E-2</v>
      </c>
      <c r="L986">
        <v>0.35345092415809631</v>
      </c>
      <c r="M986" s="10">
        <v>2.2636011252058608E-2</v>
      </c>
    </row>
    <row r="987" spans="9:13" x14ac:dyDescent="0.35">
      <c r="I987">
        <v>983</v>
      </c>
      <c r="J987" s="7">
        <v>6.4774312078952789E-2</v>
      </c>
      <c r="K987">
        <v>2.6441456750035286E-2</v>
      </c>
      <c r="L987">
        <v>0.36189433932304382</v>
      </c>
      <c r="M987" s="10">
        <v>2.7254984297123697E-2</v>
      </c>
    </row>
    <row r="988" spans="9:13" x14ac:dyDescent="0.35">
      <c r="I988">
        <v>984</v>
      </c>
      <c r="J988" s="7">
        <v>6.5221138298511505E-2</v>
      </c>
      <c r="K988">
        <v>2.5898920372128487E-2</v>
      </c>
      <c r="L988">
        <v>0.35109660029411316</v>
      </c>
      <c r="M988" s="10">
        <v>2.7422300052080351E-2</v>
      </c>
    </row>
    <row r="989" spans="9:13" x14ac:dyDescent="0.35">
      <c r="I989">
        <v>985</v>
      </c>
      <c r="J989" s="7">
        <v>6.0005418956279755E-2</v>
      </c>
      <c r="K989">
        <v>2.451493963599205E-2</v>
      </c>
      <c r="L989">
        <v>0.35854995250701904</v>
      </c>
      <c r="M989" s="10">
        <v>2.5469254368571947E-2</v>
      </c>
    </row>
    <row r="990" spans="9:13" x14ac:dyDescent="0.35">
      <c r="I990">
        <v>986</v>
      </c>
      <c r="J990" s="7">
        <v>5.2735723555088043E-2</v>
      </c>
      <c r="K990">
        <v>2.195325680077076E-2</v>
      </c>
      <c r="L990">
        <v>0.35940071940422058</v>
      </c>
      <c r="M990" s="10">
        <v>2.2747089640735352E-2</v>
      </c>
    </row>
    <row r="991" spans="9:13" x14ac:dyDescent="0.35">
      <c r="I991">
        <v>987</v>
      </c>
      <c r="J991" s="7">
        <v>4.865940660238266E-2</v>
      </c>
      <c r="K991">
        <v>2.0147873088717461E-2</v>
      </c>
      <c r="L991">
        <v>0.35240611433982849</v>
      </c>
      <c r="M991" s="10">
        <v>2.1220697458427695E-2</v>
      </c>
    </row>
    <row r="992" spans="9:13" x14ac:dyDescent="0.35">
      <c r="I992">
        <v>988</v>
      </c>
      <c r="J992" s="7">
        <v>4.9863241612911224E-2</v>
      </c>
      <c r="K992">
        <v>2.1468181163072586E-2</v>
      </c>
      <c r="L992">
        <v>0.37037667632102966</v>
      </c>
      <c r="M992" s="10">
        <v>2.1671477996393351E-2</v>
      </c>
    </row>
    <row r="993" spans="9:13" x14ac:dyDescent="0.35">
      <c r="I993">
        <v>989</v>
      </c>
      <c r="J993" s="7">
        <v>5.4057244211435318E-2</v>
      </c>
      <c r="K993">
        <v>2.1109422668814659E-2</v>
      </c>
      <c r="L993">
        <v>0.3350045382976532</v>
      </c>
      <c r="M993" s="10">
        <v>2.3241938010479468E-2</v>
      </c>
    </row>
    <row r="994" spans="9:13" x14ac:dyDescent="0.35">
      <c r="I994">
        <v>990</v>
      </c>
      <c r="J994" s="7">
        <v>4.9759626388549805E-2</v>
      </c>
      <c r="K994">
        <v>2.1539922803640366E-2</v>
      </c>
      <c r="L994">
        <v>0.37258967757225037</v>
      </c>
      <c r="M994" s="10">
        <v>2.1632678886739143E-2</v>
      </c>
    </row>
    <row r="995" spans="9:13" x14ac:dyDescent="0.35">
      <c r="I995">
        <v>991</v>
      </c>
      <c r="J995" s="7">
        <v>6.4218088984489441E-2</v>
      </c>
      <c r="K995">
        <v>2.5675386190414429E-2</v>
      </c>
      <c r="L995">
        <v>0.35309967398643494</v>
      </c>
      <c r="M995" s="10">
        <v>2.7046704471767047E-2</v>
      </c>
    </row>
    <row r="996" spans="9:13" x14ac:dyDescent="0.35">
      <c r="I996">
        <v>992</v>
      </c>
      <c r="J996" s="7">
        <v>7.9133249819278717E-2</v>
      </c>
      <c r="K996">
        <v>2.8030399233102798E-2</v>
      </c>
      <c r="L996">
        <v>0.31630697846412659</v>
      </c>
      <c r="M996" s="10">
        <v>3.2631742426427079E-2</v>
      </c>
    </row>
    <row r="997" spans="9:13" x14ac:dyDescent="0.35">
      <c r="I997">
        <v>993</v>
      </c>
      <c r="J997" s="7">
        <v>4.8346325755119324E-2</v>
      </c>
      <c r="K997">
        <v>2.0325381308794022E-2</v>
      </c>
      <c r="L997">
        <v>0.35835984349250793</v>
      </c>
      <c r="M997" s="10">
        <v>2.1103463160104585E-2</v>
      </c>
    </row>
    <row r="998" spans="9:13" x14ac:dyDescent="0.35">
      <c r="I998">
        <v>994</v>
      </c>
      <c r="J998" s="7">
        <v>5.2898585796356201E-2</v>
      </c>
      <c r="K998">
        <v>2.2396283224225044E-2</v>
      </c>
      <c r="L998">
        <v>0.36666920781135559</v>
      </c>
      <c r="M998" s="10">
        <v>2.2808074018238145E-2</v>
      </c>
    </row>
    <row r="999" spans="9:13" x14ac:dyDescent="0.35">
      <c r="I999">
        <v>995</v>
      </c>
      <c r="J999" s="7">
        <v>6.7014403641223907E-2</v>
      </c>
      <c r="K999">
        <v>2.666652575135231E-2</v>
      </c>
      <c r="L999">
        <v>0.35315579175949097</v>
      </c>
      <c r="M999" s="10">
        <v>2.8093794990201593E-2</v>
      </c>
    </row>
    <row r="1000" spans="9:13" x14ac:dyDescent="0.35">
      <c r="I1000">
        <v>996</v>
      </c>
      <c r="J1000" s="7">
        <v>5.3653482347726822E-2</v>
      </c>
      <c r="K1000">
        <v>2.2521359845995903E-2</v>
      </c>
      <c r="L1000">
        <v>0.36384144425392151</v>
      </c>
      <c r="M1000" s="10">
        <v>2.3090747865201489E-2</v>
      </c>
    </row>
    <row r="1001" spans="9:13" x14ac:dyDescent="0.35">
      <c r="I1001">
        <v>997</v>
      </c>
      <c r="J1001" s="7">
        <v>4.4600877910852432E-2</v>
      </c>
      <c r="K1001">
        <v>1.7606353387236595E-2</v>
      </c>
      <c r="L1001">
        <v>0.32749027013778687</v>
      </c>
      <c r="M1001" s="10">
        <v>1.9700966157280564E-2</v>
      </c>
    </row>
    <row r="1002" spans="9:13" x14ac:dyDescent="0.35">
      <c r="I1002">
        <v>998</v>
      </c>
      <c r="J1002" s="7">
        <v>4.5131560415029526E-2</v>
      </c>
      <c r="K1002">
        <v>1.8758218735456467E-2</v>
      </c>
      <c r="L1002">
        <v>0.34916183352470398</v>
      </c>
      <c r="M1002" s="10">
        <v>1.989968221274474E-2</v>
      </c>
    </row>
    <row r="1003" spans="9:13" x14ac:dyDescent="0.35">
      <c r="I1003">
        <v>999</v>
      </c>
      <c r="J1003" s="7">
        <v>5.9137318283319473E-2</v>
      </c>
      <c r="K1003">
        <v>2.4092424660921097E-2</v>
      </c>
      <c r="L1003">
        <v>0.35666859149932861</v>
      </c>
      <c r="M1003" s="10">
        <v>2.5144190813397915E-2</v>
      </c>
    </row>
    <row r="1004" spans="9:13" x14ac:dyDescent="0.35">
      <c r="I1004">
        <v>1000</v>
      </c>
      <c r="J1004" s="7">
        <v>5.1826205104589462E-2</v>
      </c>
      <c r="K1004">
        <v>2.1052766591310501E-2</v>
      </c>
      <c r="L1004">
        <v>0.34833279252052307</v>
      </c>
      <c r="M1004" s="10">
        <v>2.2406517043311536E-2</v>
      </c>
    </row>
    <row r="1005" spans="9:13" x14ac:dyDescent="0.35">
      <c r="I1005">
        <v>1001</v>
      </c>
      <c r="J1005" s="7">
        <v>6.2973842024803162E-2</v>
      </c>
      <c r="K1005">
        <v>2.5714641436934471E-2</v>
      </c>
      <c r="L1005">
        <v>0.36069962382316589</v>
      </c>
      <c r="M1005" s="10">
        <v>2.6580791527763825E-2</v>
      </c>
    </row>
    <row r="1006" spans="9:13" x14ac:dyDescent="0.35">
      <c r="I1006">
        <v>1002</v>
      </c>
      <c r="J1006" s="7">
        <v>4.260857030749321E-2</v>
      </c>
      <c r="K1006">
        <v>1.7942957580089569E-2</v>
      </c>
      <c r="L1006">
        <v>0.35070309042930603</v>
      </c>
      <c r="M1006" s="10">
        <v>1.8954939097608148E-2</v>
      </c>
    </row>
    <row r="1007" spans="9:13" x14ac:dyDescent="0.35">
      <c r="I1007">
        <v>1003</v>
      </c>
      <c r="J1007" s="7">
        <v>6.6226914525032043E-2</v>
      </c>
      <c r="K1007">
        <v>2.6151189580559731E-2</v>
      </c>
      <c r="L1007">
        <v>0.34957373142242432</v>
      </c>
      <c r="M1007" s="10">
        <v>2.7798916735013446E-2</v>
      </c>
    </row>
    <row r="1008" spans="9:13" x14ac:dyDescent="0.35">
      <c r="I1008">
        <v>1004</v>
      </c>
      <c r="J1008" s="7">
        <v>4.6996120363473892E-2</v>
      </c>
      <c r="K1008">
        <v>1.9537320360541344E-2</v>
      </c>
      <c r="L1008">
        <v>0.35188692808151245</v>
      </c>
      <c r="M1008" s="10">
        <v>2.059787368356758E-2</v>
      </c>
    </row>
    <row r="1009" spans="9:13" x14ac:dyDescent="0.35">
      <c r="I1009">
        <v>1005</v>
      </c>
      <c r="J1009" s="7">
        <v>6.1513103544712067E-2</v>
      </c>
      <c r="K1009">
        <v>2.5613568723201752E-2</v>
      </c>
      <c r="L1009">
        <v>0.36762198805809021</v>
      </c>
      <c r="M1009" s="10">
        <v>2.6033812521401911E-2</v>
      </c>
    </row>
    <row r="1010" spans="9:13" x14ac:dyDescent="0.35">
      <c r="I1010">
        <v>1006</v>
      </c>
      <c r="J1010" s="7">
        <v>7.8238368034362793E-2</v>
      </c>
      <c r="K1010">
        <v>2.9027577489614487E-2</v>
      </c>
      <c r="L1010">
        <v>0.33267024159431458</v>
      </c>
      <c r="M1010" s="10">
        <v>3.2296650583365505E-2</v>
      </c>
    </row>
    <row r="1011" spans="9:13" x14ac:dyDescent="0.35">
      <c r="I1011">
        <v>1007</v>
      </c>
      <c r="J1011" s="7">
        <v>6.1307094991207123E-2</v>
      </c>
      <c r="K1011">
        <v>2.3886814713478088E-2</v>
      </c>
      <c r="L1011">
        <v>0.34069162607192993</v>
      </c>
      <c r="M1011" s="10">
        <v>2.5956671845343893E-2</v>
      </c>
    </row>
    <row r="1012" spans="9:13" x14ac:dyDescent="0.35">
      <c r="I1012">
        <v>1008</v>
      </c>
      <c r="J1012" s="7">
        <v>5.7353638112545013E-2</v>
      </c>
      <c r="K1012">
        <v>2.3931952193379402E-2</v>
      </c>
      <c r="L1012">
        <v>0.36496293544769287</v>
      </c>
      <c r="M1012" s="10">
        <v>2.4476285078884219E-2</v>
      </c>
    </row>
    <row r="1013" spans="9:13" x14ac:dyDescent="0.35">
      <c r="I1013">
        <v>1009</v>
      </c>
      <c r="J1013" s="7">
        <v>5.6616984307765961E-2</v>
      </c>
      <c r="K1013">
        <v>2.3013604804873466E-2</v>
      </c>
      <c r="L1013">
        <v>0.35349118709564209</v>
      </c>
      <c r="M1013" s="10">
        <v>2.4200442296851365E-2</v>
      </c>
    </row>
    <row r="1014" spans="9:13" x14ac:dyDescent="0.35">
      <c r="I1014">
        <v>1010</v>
      </c>
      <c r="J1014" s="7">
        <v>7.8916586935520172E-2</v>
      </c>
      <c r="K1014">
        <v>3.0225509777665138E-2</v>
      </c>
      <c r="L1014">
        <v>0.34499096870422363</v>
      </c>
      <c r="M1014" s="10">
        <v>3.2550612196417417E-2</v>
      </c>
    </row>
    <row r="1015" spans="9:13" x14ac:dyDescent="0.35">
      <c r="I1015">
        <v>1011</v>
      </c>
      <c r="J1015" s="7">
        <v>7.6249241828918457E-2</v>
      </c>
      <c r="K1015">
        <v>2.8295770287513733E-2</v>
      </c>
      <c r="L1015">
        <v>0.33175110816955566</v>
      </c>
      <c r="M1015" s="10">
        <v>3.1551814810082845E-2</v>
      </c>
    </row>
    <row r="1016" spans="9:13" x14ac:dyDescent="0.35">
      <c r="I1016">
        <v>1012</v>
      </c>
      <c r="J1016" s="7">
        <v>6.525120884180069E-2</v>
      </c>
      <c r="K1016">
        <v>2.6035711169242859E-2</v>
      </c>
      <c r="L1016">
        <v>0.35303118824958801</v>
      </c>
      <c r="M1016" s="10">
        <v>2.743356007987674E-2</v>
      </c>
    </row>
    <row r="1017" spans="9:13" x14ac:dyDescent="0.35">
      <c r="I1017">
        <v>1013</v>
      </c>
      <c r="J1017" s="7">
        <v>5.8766491711139679E-2</v>
      </c>
      <c r="K1017">
        <v>2.3182636126875877E-2</v>
      </c>
      <c r="L1017">
        <v>0.34343782067298889</v>
      </c>
      <c r="M1017" s="10">
        <v>2.500533341164668E-2</v>
      </c>
    </row>
    <row r="1018" spans="9:13" x14ac:dyDescent="0.35">
      <c r="I1018">
        <v>1014</v>
      </c>
      <c r="J1018" s="7">
        <v>6.2574587762355804E-2</v>
      </c>
      <c r="K1018">
        <v>2.5530518963932991E-2</v>
      </c>
      <c r="L1018">
        <v>0.36005860567092896</v>
      </c>
      <c r="M1018" s="10">
        <v>2.6431289270696157E-2</v>
      </c>
    </row>
    <row r="1019" spans="9:13" x14ac:dyDescent="0.35">
      <c r="I1019">
        <v>1015</v>
      </c>
      <c r="J1019" s="7">
        <v>5.1670964807271957E-2</v>
      </c>
      <c r="K1019">
        <v>2.1793080493807793E-2</v>
      </c>
      <c r="L1019">
        <v>0.3637067973613739</v>
      </c>
      <c r="M1019" s="10">
        <v>2.2348386731327996E-2</v>
      </c>
    </row>
    <row r="1020" spans="9:13" x14ac:dyDescent="0.35">
      <c r="I1020">
        <v>1016</v>
      </c>
      <c r="J1020" s="7">
        <v>4.6480569988489151E-2</v>
      </c>
      <c r="K1020">
        <v>1.8981309607625008E-2</v>
      </c>
      <c r="L1020">
        <v>0.3438277542591095</v>
      </c>
      <c r="M1020" s="10">
        <v>2.0404823910673886E-2</v>
      </c>
    </row>
    <row r="1021" spans="9:13" x14ac:dyDescent="0.35">
      <c r="I1021">
        <v>1017</v>
      </c>
      <c r="J1021" s="7">
        <v>4.8213563859462738E-2</v>
      </c>
      <c r="K1021">
        <v>2.0563259720802307E-2</v>
      </c>
      <c r="L1021">
        <v>0.36428046226501465</v>
      </c>
      <c r="M1021" s="10">
        <v>2.1053749969989655E-2</v>
      </c>
    </row>
    <row r="1022" spans="9:13" x14ac:dyDescent="0.35">
      <c r="I1022">
        <v>1018</v>
      </c>
      <c r="J1022" s="7">
        <v>5.6730642914772034E-2</v>
      </c>
      <c r="K1022">
        <v>2.3562757298350334E-2</v>
      </c>
      <c r="L1022">
        <v>0.36246296763420105</v>
      </c>
      <c r="M1022" s="10">
        <v>2.4243002188832019E-2</v>
      </c>
    </row>
    <row r="1023" spans="9:13" x14ac:dyDescent="0.35">
      <c r="I1023">
        <v>1019</v>
      </c>
      <c r="J1023" s="7">
        <v>5.7449940592050552E-2</v>
      </c>
      <c r="K1023">
        <v>2.2885199636220932E-2</v>
      </c>
      <c r="L1023">
        <v>0.34613090753555298</v>
      </c>
      <c r="M1023" s="10">
        <v>2.4512345903780708E-2</v>
      </c>
    </row>
    <row r="1024" spans="9:13" x14ac:dyDescent="0.35">
      <c r="I1024">
        <v>1020</v>
      </c>
      <c r="J1024" s="7">
        <v>5.2046298980712891E-2</v>
      </c>
      <c r="K1024">
        <v>2.2405514493584633E-2</v>
      </c>
      <c r="L1024">
        <v>0.37285098433494568</v>
      </c>
      <c r="M1024" s="10">
        <v>2.2488932021289543E-2</v>
      </c>
    </row>
    <row r="1025" spans="9:13" x14ac:dyDescent="0.35">
      <c r="I1025">
        <v>1021</v>
      </c>
      <c r="J1025" s="7">
        <v>6.7113481462001801E-2</v>
      </c>
      <c r="K1025">
        <v>2.4495953693985939E-2</v>
      </c>
      <c r="L1025">
        <v>0.32029262185096741</v>
      </c>
      <c r="M1025" s="10">
        <v>2.8130895052054017E-2</v>
      </c>
    </row>
    <row r="1026" spans="9:13" x14ac:dyDescent="0.35">
      <c r="I1026">
        <v>1022</v>
      </c>
      <c r="J1026" s="7">
        <v>8.8697567582130432E-2</v>
      </c>
      <c r="K1026">
        <v>2.9931956902146339E-2</v>
      </c>
      <c r="L1026">
        <v>0.3036380410194397</v>
      </c>
      <c r="M1026" s="10">
        <v>3.6213137109839533E-2</v>
      </c>
    </row>
    <row r="1027" spans="9:13" x14ac:dyDescent="0.35">
      <c r="I1027">
        <v>1023</v>
      </c>
      <c r="J1027" s="7">
        <v>6.3716471195220947E-2</v>
      </c>
      <c r="K1027">
        <v>2.5224559009075165E-2</v>
      </c>
      <c r="L1027">
        <v>0.34880399703979492</v>
      </c>
      <c r="M1027" s="10">
        <v>2.6858871807887041E-2</v>
      </c>
    </row>
    <row r="1028" spans="9:13" x14ac:dyDescent="0.35">
      <c r="I1028">
        <v>1024</v>
      </c>
      <c r="J1028" s="7">
        <v>5.8342192322015762E-2</v>
      </c>
      <c r="K1028">
        <v>2.1165246143937111E-2</v>
      </c>
      <c r="L1028">
        <v>0.31135693192481995</v>
      </c>
      <c r="M1028" s="10">
        <v>2.4846452912894779E-2</v>
      </c>
    </row>
    <row r="1029" spans="9:13" x14ac:dyDescent="0.35">
      <c r="I1029">
        <v>1025</v>
      </c>
      <c r="J1029" s="7">
        <v>6.5403707325458527E-2</v>
      </c>
      <c r="K1029">
        <v>2.3950029164552689E-2</v>
      </c>
      <c r="L1029">
        <v>0.32031866908073425</v>
      </c>
      <c r="M1029" s="10">
        <v>2.7490663709444751E-2</v>
      </c>
    </row>
    <row r="1030" spans="9:13" x14ac:dyDescent="0.35">
      <c r="I1030">
        <v>1026</v>
      </c>
      <c r="J1030" s="7">
        <v>4.1645944118499756E-2</v>
      </c>
      <c r="K1030">
        <v>1.7229167744517326E-2</v>
      </c>
      <c r="L1030">
        <v>0.34166994690895081</v>
      </c>
      <c r="M1030" s="10">
        <v>1.8594480108179212E-2</v>
      </c>
    </row>
    <row r="1031" spans="9:13" x14ac:dyDescent="0.35">
      <c r="I1031">
        <v>1027</v>
      </c>
      <c r="J1031" s="7">
        <v>7.5747467577457428E-2</v>
      </c>
      <c r="K1031">
        <v>2.967681922018528E-2</v>
      </c>
      <c r="L1031">
        <v>0.35218101739883423</v>
      </c>
      <c r="M1031" s="10">
        <v>3.1363923558347606E-2</v>
      </c>
    </row>
    <row r="1032" spans="9:13" x14ac:dyDescent="0.35">
      <c r="I1032">
        <v>1028</v>
      </c>
      <c r="J1032" s="7">
        <v>6.6000312566757202E-2</v>
      </c>
      <c r="K1032">
        <v>2.601790614426136E-2</v>
      </c>
      <c r="L1032">
        <v>0.34875449538230896</v>
      </c>
      <c r="M1032" s="10">
        <v>2.7714064781247494E-2</v>
      </c>
    </row>
    <row r="1033" spans="9:13" x14ac:dyDescent="0.35">
      <c r="I1033">
        <v>1029</v>
      </c>
      <c r="J1033" s="7">
        <v>4.3482072651386261E-2</v>
      </c>
      <c r="K1033">
        <v>1.80805753916502E-2</v>
      </c>
      <c r="L1033">
        <v>0.3468228280544281</v>
      </c>
      <c r="M1033" s="10">
        <v>1.9282025328736685E-2</v>
      </c>
    </row>
    <row r="1034" spans="9:13" x14ac:dyDescent="0.35">
      <c r="I1034">
        <v>1030</v>
      </c>
      <c r="J1034" s="7">
        <v>5.2197650074958801E-2</v>
      </c>
      <c r="K1034">
        <v>2.2431211546063423E-2</v>
      </c>
      <c r="L1034">
        <v>0.37226217985153198</v>
      </c>
      <c r="M1034" s="10">
        <v>2.2545606006585839E-2</v>
      </c>
    </row>
    <row r="1035" spans="9:13" x14ac:dyDescent="0.35">
      <c r="I1035">
        <v>1031</v>
      </c>
      <c r="J1035" s="7">
        <v>6.8115115165710449E-2</v>
      </c>
      <c r="K1035">
        <v>2.7367632836103439E-2</v>
      </c>
      <c r="L1035">
        <v>0.35774192214012146</v>
      </c>
      <c r="M1035" s="10">
        <v>2.8505960551772347E-2</v>
      </c>
    </row>
    <row r="1036" spans="9:13" x14ac:dyDescent="0.35">
      <c r="I1036">
        <v>1032</v>
      </c>
      <c r="J1036" s="7">
        <v>4.8975035548210144E-2</v>
      </c>
      <c r="K1036">
        <v>2.0621635019779205E-2</v>
      </c>
      <c r="L1036">
        <v>0.35980850458145142</v>
      </c>
      <c r="M1036" s="10">
        <v>2.1338885901821758E-2</v>
      </c>
    </row>
    <row r="1037" spans="9:13" x14ac:dyDescent="0.35">
      <c r="I1037">
        <v>1033</v>
      </c>
      <c r="J1037" s="7">
        <v>5.9185631573200226E-2</v>
      </c>
      <c r="K1037">
        <v>2.4000000208616257E-2</v>
      </c>
      <c r="L1037">
        <v>0.35481584072113037</v>
      </c>
      <c r="M1037" s="10">
        <v>2.5162281906124795E-2</v>
      </c>
    </row>
    <row r="1038" spans="9:13" x14ac:dyDescent="0.35">
      <c r="I1038">
        <v>1034</v>
      </c>
      <c r="J1038" s="7">
        <v>5.4816160351037979E-2</v>
      </c>
      <c r="K1038">
        <v>2.3144954815506935E-2</v>
      </c>
      <c r="L1038">
        <v>0.36750027537345886</v>
      </c>
      <c r="M1038" s="10">
        <v>2.3526117007342751E-2</v>
      </c>
    </row>
    <row r="1039" spans="9:13" x14ac:dyDescent="0.35">
      <c r="I1039">
        <v>1035</v>
      </c>
      <c r="J1039" s="7">
        <v>6.1080086976289749E-2</v>
      </c>
      <c r="K1039">
        <v>2.5375250726938248E-2</v>
      </c>
      <c r="L1039">
        <v>0.36632645130157471</v>
      </c>
      <c r="M1039" s="10">
        <v>2.5871667842144119E-2</v>
      </c>
    </row>
    <row r="1040" spans="9:13" x14ac:dyDescent="0.35">
      <c r="I1040">
        <v>1036</v>
      </c>
      <c r="J1040" s="7">
        <v>4.298795759677887E-2</v>
      </c>
      <c r="K1040">
        <v>1.7717458307743073E-2</v>
      </c>
      <c r="L1040">
        <v>0.34236234426498413</v>
      </c>
      <c r="M1040" s="10">
        <v>1.909700209201004E-2</v>
      </c>
    </row>
    <row r="1041" spans="9:13" x14ac:dyDescent="0.35">
      <c r="I1041">
        <v>1037</v>
      </c>
      <c r="J1041" s="7">
        <v>6.6528700292110443E-2</v>
      </c>
      <c r="K1041">
        <v>2.6204347610473633E-2</v>
      </c>
      <c r="L1041">
        <v>0.34878703951835632</v>
      </c>
      <c r="M1041" s="10">
        <v>2.7911921548168239E-2</v>
      </c>
    </row>
    <row r="1042" spans="9:13" x14ac:dyDescent="0.35">
      <c r="I1042">
        <v>1038</v>
      </c>
      <c r="J1042" s="7">
        <v>6.1939653009176254E-2</v>
      </c>
      <c r="K1042">
        <v>2.5260668247938156E-2</v>
      </c>
      <c r="L1042">
        <v>0.35939285159111023</v>
      </c>
      <c r="M1042" s="10">
        <v>2.6193535569310034E-2</v>
      </c>
    </row>
    <row r="1043" spans="9:13" x14ac:dyDescent="0.35">
      <c r="I1043">
        <v>1039</v>
      </c>
      <c r="J1043" s="7">
        <v>5.0105929374694824E-2</v>
      </c>
      <c r="K1043">
        <v>2.023271843791008E-2</v>
      </c>
      <c r="L1043">
        <v>0.34392574429512024</v>
      </c>
      <c r="M1043" s="10">
        <v>2.1762353339656926E-2</v>
      </c>
    </row>
    <row r="1044" spans="9:13" x14ac:dyDescent="0.35">
      <c r="I1044">
        <v>1040</v>
      </c>
      <c r="J1044" s="7">
        <v>5.7346086949110031E-2</v>
      </c>
      <c r="K1044">
        <v>2.4319568648934364E-2</v>
      </c>
      <c r="L1044">
        <v>0.3717702329158783</v>
      </c>
      <c r="M1044" s="10">
        <v>2.4473457517394714E-2</v>
      </c>
    </row>
    <row r="1045" spans="9:13" x14ac:dyDescent="0.35">
      <c r="I1045">
        <v>1041</v>
      </c>
      <c r="J1045" s="7">
        <v>5.074043944478035E-2</v>
      </c>
      <c r="K1045">
        <v>2.1859453991055489E-2</v>
      </c>
      <c r="L1045">
        <v>0.37168487906455994</v>
      </c>
      <c r="M1045" s="10">
        <v>2.1999948016864557E-2</v>
      </c>
    </row>
    <row r="1046" spans="9:13" x14ac:dyDescent="0.35">
      <c r="I1046">
        <v>1042</v>
      </c>
      <c r="J1046" s="7">
        <v>5.4521579295396805E-2</v>
      </c>
      <c r="K1046">
        <v>2.2950666025280952E-2</v>
      </c>
      <c r="L1046">
        <v>0.36592239141464233</v>
      </c>
      <c r="M1046" s="10">
        <v>2.3415810025426587E-2</v>
      </c>
    </row>
    <row r="1047" spans="9:13" x14ac:dyDescent="0.35">
      <c r="I1047">
        <v>1043</v>
      </c>
      <c r="J1047" s="7">
        <v>5.5092204362154007E-2</v>
      </c>
      <c r="K1047">
        <v>2.3093584924936295E-2</v>
      </c>
      <c r="L1047">
        <v>0.36472645401954651</v>
      </c>
      <c r="M1047" s="10">
        <v>2.3629482723362627E-2</v>
      </c>
    </row>
    <row r="1048" spans="9:13" x14ac:dyDescent="0.35">
      <c r="I1048">
        <v>1044</v>
      </c>
      <c r="J1048" s="7">
        <v>6.9535739719867706E-2</v>
      </c>
      <c r="K1048">
        <v>2.7393370866775513E-2</v>
      </c>
      <c r="L1048">
        <v>0.35080334544181824</v>
      </c>
      <c r="M1048" s="10">
        <v>2.9037918748011426E-2</v>
      </c>
    </row>
    <row r="1049" spans="9:13" x14ac:dyDescent="0.35">
      <c r="I1049">
        <v>1045</v>
      </c>
      <c r="J1049" s="7">
        <v>5.1927380263805389E-2</v>
      </c>
      <c r="K1049">
        <v>2.2033365443348885E-2</v>
      </c>
      <c r="L1049">
        <v>0.36653813719749451</v>
      </c>
      <c r="M1049" s="10">
        <v>2.2444402461413882E-2</v>
      </c>
    </row>
    <row r="1050" spans="9:13" x14ac:dyDescent="0.35">
      <c r="I1050">
        <v>1046</v>
      </c>
      <c r="J1050" s="7">
        <v>7.1363426744937897E-2</v>
      </c>
      <c r="K1050">
        <v>2.8215579688549042E-2</v>
      </c>
      <c r="L1050">
        <v>0.35334035754203796</v>
      </c>
      <c r="M1050" s="10">
        <v>2.9722303014284135E-2</v>
      </c>
    </row>
    <row r="1051" spans="9:13" x14ac:dyDescent="0.35">
      <c r="I1051">
        <v>1047</v>
      </c>
      <c r="J1051" s="7">
        <v>5.3157776594161987E-2</v>
      </c>
      <c r="K1051">
        <v>2.1673262119293213E-2</v>
      </c>
      <c r="L1051">
        <v>0.35127997398376465</v>
      </c>
      <c r="M1051" s="10">
        <v>2.2905128985279966E-2</v>
      </c>
    </row>
    <row r="1052" spans="9:13" x14ac:dyDescent="0.35">
      <c r="I1052">
        <v>1048</v>
      </c>
      <c r="J1052" s="7">
        <v>5.9897765517234802E-2</v>
      </c>
      <c r="K1052">
        <v>2.4863220751285553E-2</v>
      </c>
      <c r="L1052">
        <v>0.36500895023345947</v>
      </c>
      <c r="M1052" s="10">
        <v>2.542894313427313E-2</v>
      </c>
    </row>
    <row r="1053" spans="9:13" x14ac:dyDescent="0.35">
      <c r="I1053">
        <v>1049</v>
      </c>
      <c r="J1053" s="7">
        <v>4.8053927719593048E-2</v>
      </c>
      <c r="K1053">
        <v>2.0695747807621956E-2</v>
      </c>
      <c r="L1053">
        <v>0.36824768781661987</v>
      </c>
      <c r="M1053" s="10">
        <v>2.0993973618263828E-2</v>
      </c>
    </row>
    <row r="1054" spans="9:13" x14ac:dyDescent="0.35">
      <c r="I1054">
        <v>1050</v>
      </c>
      <c r="J1054" s="7">
        <v>5.6144431233406067E-2</v>
      </c>
      <c r="K1054">
        <v>2.2394370287656784E-2</v>
      </c>
      <c r="L1054">
        <v>0.34543710947036743</v>
      </c>
      <c r="M1054" s="10">
        <v>2.4023493024555531E-2</v>
      </c>
    </row>
    <row r="1055" spans="9:13" x14ac:dyDescent="0.35">
      <c r="I1055">
        <v>1051</v>
      </c>
      <c r="J1055" s="7">
        <v>7.1484774351119995E-2</v>
      </c>
      <c r="K1055">
        <v>2.7652736753225327E-2</v>
      </c>
      <c r="L1055">
        <v>0.34486696124076843</v>
      </c>
      <c r="M1055" s="10">
        <v>2.9767742080864856E-2</v>
      </c>
    </row>
    <row r="1056" spans="9:13" x14ac:dyDescent="0.35">
      <c r="I1056">
        <v>1052</v>
      </c>
      <c r="J1056" s="7">
        <v>5.7427149266004562E-2</v>
      </c>
      <c r="K1056">
        <v>2.4254795163869858E-2</v>
      </c>
      <c r="L1056">
        <v>0.37011754512786865</v>
      </c>
      <c r="M1056" s="10">
        <v>2.4503811606201631E-2</v>
      </c>
    </row>
    <row r="1057" spans="9:13" x14ac:dyDescent="0.35">
      <c r="I1057">
        <v>1053</v>
      </c>
      <c r="J1057" s="7">
        <v>5.1793478429317474E-2</v>
      </c>
      <c r="K1057">
        <v>2.2172717377543449E-2</v>
      </c>
      <c r="L1057">
        <v>0.3701762855052948</v>
      </c>
      <c r="M1057" s="10">
        <v>2.2394262416925104E-2</v>
      </c>
    </row>
    <row r="1058" spans="9:13" x14ac:dyDescent="0.35">
      <c r="I1058">
        <v>1054</v>
      </c>
      <c r="J1058" s="7">
        <v>6.8411417305469513E-2</v>
      </c>
      <c r="K1058">
        <v>2.6104986667633057E-2</v>
      </c>
      <c r="L1058">
        <v>0.33773583173751831</v>
      </c>
      <c r="M1058" s="10">
        <v>2.8616912000096084E-2</v>
      </c>
    </row>
    <row r="1059" spans="9:13" x14ac:dyDescent="0.35">
      <c r="I1059">
        <v>1055</v>
      </c>
      <c r="J1059" s="7">
        <v>6.5246574580669403E-2</v>
      </c>
      <c r="K1059">
        <v>2.5862684473395348E-2</v>
      </c>
      <c r="L1059">
        <v>0.35040435194969177</v>
      </c>
      <c r="M1059" s="10">
        <v>2.7431824763402668E-2</v>
      </c>
    </row>
    <row r="1060" spans="9:13" x14ac:dyDescent="0.35">
      <c r="I1060">
        <v>1056</v>
      </c>
      <c r="J1060" s="7">
        <v>4.3996330350637436E-2</v>
      </c>
      <c r="K1060">
        <v>1.7847519367933273E-2</v>
      </c>
      <c r="L1060">
        <v>0.33747175335884094</v>
      </c>
      <c r="M1060" s="10">
        <v>1.9474591054350232E-2</v>
      </c>
    </row>
    <row r="1061" spans="9:13" x14ac:dyDescent="0.35">
      <c r="I1061">
        <v>1057</v>
      </c>
      <c r="J1061" s="7">
        <v>4.9165915697813034E-2</v>
      </c>
      <c r="K1061">
        <v>2.0427700132131577E-2</v>
      </c>
      <c r="L1061">
        <v>0.35446712374687195</v>
      </c>
      <c r="M1061" s="10">
        <v>2.1410361690258228E-2</v>
      </c>
    </row>
    <row r="1062" spans="9:13" x14ac:dyDescent="0.35">
      <c r="I1062">
        <v>1058</v>
      </c>
      <c r="J1062" s="7">
        <v>6.8491362035274506E-2</v>
      </c>
      <c r="K1062">
        <v>2.7166185900568962E-2</v>
      </c>
      <c r="L1062">
        <v>0.35283553600311279</v>
      </c>
      <c r="M1062" s="10">
        <v>2.8646847604222758E-2</v>
      </c>
    </row>
    <row r="1063" spans="9:13" x14ac:dyDescent="0.35">
      <c r="I1063">
        <v>1059</v>
      </c>
      <c r="J1063" s="7">
        <v>5.6710816919803619E-2</v>
      </c>
      <c r="K1063">
        <v>2.2359337657690048E-2</v>
      </c>
      <c r="L1063">
        <v>0.3413693904876709</v>
      </c>
      <c r="M1063" s="10">
        <v>2.4235578270604519E-2</v>
      </c>
    </row>
    <row r="1064" spans="9:13" x14ac:dyDescent="0.35">
      <c r="I1064">
        <v>1060</v>
      </c>
      <c r="J1064" s="7">
        <v>5.6565653532743454E-2</v>
      </c>
      <c r="K1064">
        <v>2.3792276158928871E-2</v>
      </c>
      <c r="L1064">
        <v>0.36757776141166687</v>
      </c>
      <c r="M1064" s="10">
        <v>2.4181221295487831E-2</v>
      </c>
    </row>
    <row r="1065" spans="9:13" x14ac:dyDescent="0.35">
      <c r="I1065">
        <v>1061</v>
      </c>
      <c r="J1065" s="7">
        <v>6.5326012670993805E-2</v>
      </c>
      <c r="K1065">
        <v>2.6543859392404556E-2</v>
      </c>
      <c r="L1065">
        <v>0.3604055643081665</v>
      </c>
      <c r="M1065" s="10">
        <v>2.7461570654474299E-2</v>
      </c>
    </row>
    <row r="1066" spans="9:13" x14ac:dyDescent="0.35">
      <c r="I1066">
        <v>1062</v>
      </c>
      <c r="J1066" s="7">
        <v>6.0198072344064713E-2</v>
      </c>
      <c r="K1066">
        <v>2.3731322959065437E-2</v>
      </c>
      <c r="L1066">
        <v>0.34438517689704895</v>
      </c>
      <c r="M1066" s="10">
        <v>2.5541394152701069E-2</v>
      </c>
    </row>
    <row r="1067" spans="9:13" x14ac:dyDescent="0.35">
      <c r="I1067">
        <v>1063</v>
      </c>
      <c r="J1067" s="7">
        <v>5.7425733655691147E-2</v>
      </c>
      <c r="K1067">
        <v>2.4275664240121841E-2</v>
      </c>
      <c r="L1067">
        <v>0.37049007415771484</v>
      </c>
      <c r="M1067" s="10">
        <v>2.4503281525606657E-2</v>
      </c>
    </row>
    <row r="1068" spans="9:13" x14ac:dyDescent="0.35">
      <c r="I1068">
        <v>1064</v>
      </c>
      <c r="J1068" s="7">
        <v>5.5974103510379791E-2</v>
      </c>
      <c r="K1068">
        <v>2.2729797288775444E-2</v>
      </c>
      <c r="L1068">
        <v>0.35248079895973206</v>
      </c>
      <c r="M1068" s="10">
        <v>2.3959713169388719E-2</v>
      </c>
    </row>
    <row r="1069" spans="9:13" x14ac:dyDescent="0.35">
      <c r="I1069">
        <v>1065</v>
      </c>
      <c r="J1069" s="7">
        <v>6.3564807176589966E-2</v>
      </c>
      <c r="K1069">
        <v>2.5447549298405647E-2</v>
      </c>
      <c r="L1069">
        <v>0.35314428806304932</v>
      </c>
      <c r="M1069" s="10">
        <v>2.6802080646880277E-2</v>
      </c>
    </row>
    <row r="1070" spans="9:13" x14ac:dyDescent="0.35">
      <c r="I1070">
        <v>1066</v>
      </c>
      <c r="J1070" s="7">
        <v>6.2738075852394104E-2</v>
      </c>
      <c r="K1070">
        <v>2.6161922141909599E-2</v>
      </c>
      <c r="L1070">
        <v>0.3691844642162323</v>
      </c>
      <c r="M1070" s="10">
        <v>2.6492507999619885E-2</v>
      </c>
    </row>
    <row r="1071" spans="9:13" x14ac:dyDescent="0.35">
      <c r="I1071">
        <v>1067</v>
      </c>
      <c r="J1071" s="7">
        <v>4.2107090353965759E-2</v>
      </c>
      <c r="K1071">
        <v>1.7473051324486732E-2</v>
      </c>
      <c r="L1071">
        <v>0.34372004866600037</v>
      </c>
      <c r="M1071" s="10">
        <v>1.8767158046838706E-2</v>
      </c>
    </row>
    <row r="1072" spans="9:13" x14ac:dyDescent="0.35">
      <c r="I1072">
        <v>1068</v>
      </c>
      <c r="J1072" s="7">
        <v>4.8851966857910156E-2</v>
      </c>
      <c r="K1072">
        <v>1.9774941727519035E-2</v>
      </c>
      <c r="L1072">
        <v>0.34338313341140747</v>
      </c>
      <c r="M1072" s="10">
        <v>2.1292802368833463E-2</v>
      </c>
    </row>
    <row r="1073" spans="9:13" x14ac:dyDescent="0.35">
      <c r="I1073">
        <v>1069</v>
      </c>
      <c r="J1073" s="7">
        <v>5.3417302668094635E-2</v>
      </c>
      <c r="K1073">
        <v>2.1786969155073166E-2</v>
      </c>
      <c r="L1073">
        <v>0.35170194506645203</v>
      </c>
      <c r="M1073" s="10">
        <v>2.3002309497725859E-2</v>
      </c>
    </row>
    <row r="1074" spans="9:13" x14ac:dyDescent="0.35">
      <c r="I1074">
        <v>1070</v>
      </c>
      <c r="J1074" s="7">
        <v>5.0581824034452438E-2</v>
      </c>
      <c r="K1074">
        <v>2.1245324984192848E-2</v>
      </c>
      <c r="L1074">
        <v>0.36070910096168518</v>
      </c>
      <c r="M1074" s="10">
        <v>2.1940553881146685E-2</v>
      </c>
    </row>
    <row r="1075" spans="9:13" x14ac:dyDescent="0.35">
      <c r="I1075">
        <v>1071</v>
      </c>
      <c r="J1075" s="7">
        <v>5.6636415421962738E-2</v>
      </c>
      <c r="K1075">
        <v>2.3293295875191689E-2</v>
      </c>
      <c r="L1075">
        <v>0.35830825567245483</v>
      </c>
      <c r="M1075" s="10">
        <v>2.4207718350491847E-2</v>
      </c>
    </row>
    <row r="1076" spans="9:13" x14ac:dyDescent="0.35">
      <c r="I1076">
        <v>1072</v>
      </c>
      <c r="J1076" s="7">
        <v>4.9083638936281204E-2</v>
      </c>
      <c r="K1076">
        <v>2.0871808752417564E-2</v>
      </c>
      <c r="L1076">
        <v>0.36410927772521973</v>
      </c>
      <c r="M1076" s="10">
        <v>2.1379552848098782E-2</v>
      </c>
    </row>
    <row r="1077" spans="9:13" x14ac:dyDescent="0.35">
      <c r="I1077">
        <v>1073</v>
      </c>
      <c r="J1077" s="7">
        <v>5.0754722207784653E-2</v>
      </c>
      <c r="K1077">
        <v>2.129257470369339E-2</v>
      </c>
      <c r="L1077">
        <v>0.36041128635406494</v>
      </c>
      <c r="M1077" s="10">
        <v>2.2005296251078055E-2</v>
      </c>
    </row>
    <row r="1078" spans="9:13" x14ac:dyDescent="0.35">
      <c r="I1078">
        <v>1074</v>
      </c>
      <c r="J1078" s="7">
        <v>5.0862796604633331E-2</v>
      </c>
      <c r="K1078">
        <v>2.184617891907692E-2</v>
      </c>
      <c r="L1078">
        <v>0.37052974104881287</v>
      </c>
      <c r="M1078" s="10">
        <v>2.204576511460643E-2</v>
      </c>
    </row>
    <row r="1079" spans="9:13" x14ac:dyDescent="0.35">
      <c r="I1079">
        <v>1075</v>
      </c>
      <c r="J1079" s="7">
        <v>6.2653034925460815E-2</v>
      </c>
      <c r="K1079">
        <v>2.5527643039822578E-2</v>
      </c>
      <c r="L1079">
        <v>0.35956189036369324</v>
      </c>
      <c r="M1079" s="10">
        <v>2.6460664105351306E-2</v>
      </c>
    </row>
    <row r="1080" spans="9:13" x14ac:dyDescent="0.35">
      <c r="I1080">
        <v>1076</v>
      </c>
      <c r="J1080" s="7">
        <v>5.9908688068389893E-2</v>
      </c>
      <c r="K1080">
        <v>2.4563463404774666E-2</v>
      </c>
      <c r="L1080">
        <v>0.35993883013725281</v>
      </c>
      <c r="M1080" s="10">
        <v>2.5433033124548032E-2</v>
      </c>
    </row>
    <row r="1081" spans="9:13" x14ac:dyDescent="0.35">
      <c r="I1081">
        <v>1077</v>
      </c>
      <c r="J1081" s="7">
        <v>4.8408694565296173E-2</v>
      </c>
      <c r="K1081">
        <v>2.0509503781795502E-2</v>
      </c>
      <c r="L1081">
        <v>0.36170163750648499</v>
      </c>
      <c r="M1081" s="10">
        <v>2.112681739515998E-2</v>
      </c>
    </row>
    <row r="1082" spans="9:13" x14ac:dyDescent="0.35">
      <c r="I1082">
        <v>1078</v>
      </c>
      <c r="J1082" s="7">
        <v>5.154867097735405E-2</v>
      </c>
      <c r="K1082">
        <v>2.1710481494665146E-2</v>
      </c>
      <c r="L1082">
        <v>0.36296728253364563</v>
      </c>
      <c r="M1082" s="10">
        <v>2.2302593347718003E-2</v>
      </c>
    </row>
    <row r="1083" spans="9:13" x14ac:dyDescent="0.35">
      <c r="I1083">
        <v>1079</v>
      </c>
      <c r="J1083" s="7">
        <v>4.9981512129306793E-2</v>
      </c>
      <c r="K1083">
        <v>2.1123692393302917E-2</v>
      </c>
      <c r="L1083">
        <v>0.3626079261302948</v>
      </c>
      <c r="M1083" s="10">
        <v>2.1715764835154472E-2</v>
      </c>
    </row>
    <row r="1084" spans="9:13" x14ac:dyDescent="0.35">
      <c r="I1084">
        <v>1080</v>
      </c>
      <c r="J1084" s="7">
        <v>5.8001719415187836E-2</v>
      </c>
      <c r="K1084">
        <v>2.4472381919622421E-2</v>
      </c>
      <c r="L1084">
        <v>0.37020251154899597</v>
      </c>
      <c r="M1084" s="10">
        <v>2.4718961555058927E-2</v>
      </c>
    </row>
    <row r="1085" spans="9:13" x14ac:dyDescent="0.35">
      <c r="I1085">
        <v>1081</v>
      </c>
      <c r="J1085" s="7">
        <v>5.8975443243980408E-2</v>
      </c>
      <c r="K1085">
        <v>2.1365700289607048E-2</v>
      </c>
      <c r="L1085">
        <v>0.31141266226768494</v>
      </c>
      <c r="M1085" s="10">
        <v>2.508357609736267E-2</v>
      </c>
    </row>
    <row r="1086" spans="9:13" x14ac:dyDescent="0.35">
      <c r="I1086">
        <v>1082</v>
      </c>
      <c r="J1086" s="7">
        <v>7.1559801697731018E-2</v>
      </c>
      <c r="K1086">
        <v>2.8603868559002876E-2</v>
      </c>
      <c r="L1086">
        <v>0.35779681801795959</v>
      </c>
      <c r="M1086" s="10">
        <v>2.9795836352398464E-2</v>
      </c>
    </row>
    <row r="1087" spans="9:13" x14ac:dyDescent="0.35">
      <c r="I1087">
        <v>1083</v>
      </c>
      <c r="J1087" s="7">
        <v>9.1105721890926361E-2</v>
      </c>
      <c r="K1087">
        <v>3.1219057738780975E-2</v>
      </c>
      <c r="L1087">
        <v>0.30973967909812927</v>
      </c>
      <c r="M1087" s="10">
        <v>3.7114879529132283E-2</v>
      </c>
    </row>
    <row r="1088" spans="9:13" x14ac:dyDescent="0.35">
      <c r="I1088">
        <v>1084</v>
      </c>
      <c r="J1088" s="7">
        <v>5.7521186769008636E-2</v>
      </c>
      <c r="K1088">
        <v>2.4451110512018204E-2</v>
      </c>
      <c r="L1088">
        <v>0.37292537093162537</v>
      </c>
      <c r="M1088" s="10">
        <v>2.4539024302146162E-2</v>
      </c>
    </row>
    <row r="1089" spans="9:13" x14ac:dyDescent="0.35">
      <c r="I1089">
        <v>1085</v>
      </c>
      <c r="J1089" s="7">
        <v>8.9900650084018707E-2</v>
      </c>
      <c r="K1089">
        <v>2.9670819640159607E-2</v>
      </c>
      <c r="L1089">
        <v>0.29666993021965027</v>
      </c>
      <c r="M1089" s="10">
        <v>3.6663635868120492E-2</v>
      </c>
    </row>
    <row r="1090" spans="9:13" x14ac:dyDescent="0.35">
      <c r="I1090">
        <v>1086</v>
      </c>
      <c r="J1090" s="7">
        <v>5.3943444043397903E-2</v>
      </c>
      <c r="K1090">
        <v>2.2344542667269707E-2</v>
      </c>
      <c r="L1090">
        <v>0.35860785841941833</v>
      </c>
      <c r="M1090" s="10">
        <v>2.3199325110439317E-2</v>
      </c>
    </row>
    <row r="1091" spans="9:13" x14ac:dyDescent="0.35">
      <c r="I1091">
        <v>1087</v>
      </c>
      <c r="J1091" s="7">
        <v>8.0239534378051758E-2</v>
      </c>
      <c r="K1091">
        <v>2.9727770015597343E-2</v>
      </c>
      <c r="L1091">
        <v>0.33309975266456604</v>
      </c>
      <c r="M1091" s="10">
        <v>3.3045994831603309E-2</v>
      </c>
    </row>
    <row r="1092" spans="9:13" x14ac:dyDescent="0.35">
      <c r="I1092">
        <v>1088</v>
      </c>
      <c r="J1092" s="7">
        <v>4.3761711567640305E-2</v>
      </c>
      <c r="K1092">
        <v>1.8298391252756119E-2</v>
      </c>
      <c r="L1092">
        <v>0.34958392381668091</v>
      </c>
      <c r="M1092" s="10">
        <v>1.9386737170478008E-2</v>
      </c>
    </row>
    <row r="1093" spans="9:13" x14ac:dyDescent="0.35">
      <c r="I1093">
        <v>1089</v>
      </c>
      <c r="J1093" s="7">
        <v>5.0478145480155945E-2</v>
      </c>
      <c r="K1093">
        <v>2.0216779783368111E-2</v>
      </c>
      <c r="L1093">
        <v>0.34107393026351929</v>
      </c>
      <c r="M1093" s="10">
        <v>2.1901731057360596E-2</v>
      </c>
    </row>
    <row r="1094" spans="9:13" x14ac:dyDescent="0.35">
      <c r="I1094">
        <v>1090</v>
      </c>
      <c r="J1094" s="7">
        <v>6.1140522360801697E-2</v>
      </c>
      <c r="K1094">
        <v>2.2893454879522324E-2</v>
      </c>
      <c r="L1094">
        <v>0.32537266612052917</v>
      </c>
      <c r="M1094" s="10">
        <v>2.5894298098702695E-2</v>
      </c>
    </row>
    <row r="1095" spans="9:13" x14ac:dyDescent="0.35">
      <c r="I1095">
        <v>1091</v>
      </c>
      <c r="J1095" s="7">
        <v>6.2295056879520416E-2</v>
      </c>
      <c r="K1095">
        <v>2.6041150093078613E-2</v>
      </c>
      <c r="L1095">
        <v>0.36987122893333435</v>
      </c>
      <c r="M1095" s="10">
        <v>2.6326617882473924E-2</v>
      </c>
    </row>
    <row r="1096" spans="9:13" x14ac:dyDescent="0.35">
      <c r="I1096">
        <v>1092</v>
      </c>
      <c r="J1096" s="7">
        <v>5.3473412990570068E-2</v>
      </c>
      <c r="K1096">
        <v>2.2957358509302139E-2</v>
      </c>
      <c r="L1096">
        <v>0.37322020530700684</v>
      </c>
      <c r="M1096" s="10">
        <v>2.3023320218571897E-2</v>
      </c>
    </row>
    <row r="1097" spans="9:13" x14ac:dyDescent="0.35">
      <c r="I1097">
        <v>1093</v>
      </c>
      <c r="J1097" s="7">
        <v>5.8560937643051147E-2</v>
      </c>
      <c r="K1097">
        <v>2.4229839444160461E-2</v>
      </c>
      <c r="L1097">
        <v>0.36252561211585999</v>
      </c>
      <c r="M1097" s="10">
        <v>2.4928362919358626E-2</v>
      </c>
    </row>
    <row r="1098" spans="9:13" x14ac:dyDescent="0.35">
      <c r="I1098">
        <v>1094</v>
      </c>
      <c r="J1098" s="7">
        <v>4.0906574577093124E-2</v>
      </c>
      <c r="K1098">
        <v>1.6273126006126404E-2</v>
      </c>
      <c r="L1098">
        <v>0.32447415590286255</v>
      </c>
      <c r="M1098" s="10">
        <v>1.831762040837337E-2</v>
      </c>
    </row>
    <row r="1099" spans="9:13" x14ac:dyDescent="0.35">
      <c r="I1099">
        <v>1095</v>
      </c>
      <c r="J1099" s="7">
        <v>4.8870880156755447E-2</v>
      </c>
      <c r="K1099">
        <v>2.0848020911216736E-2</v>
      </c>
      <c r="L1099">
        <v>0.36520767211914063</v>
      </c>
      <c r="M1099" s="10">
        <v>2.1299884524572099E-2</v>
      </c>
    </row>
    <row r="1100" spans="9:13" x14ac:dyDescent="0.35">
      <c r="I1100">
        <v>1096</v>
      </c>
      <c r="J1100" s="7">
        <v>4.9600772559642792E-2</v>
      </c>
      <c r="K1100">
        <v>2.0802756771445274E-2</v>
      </c>
      <c r="L1100">
        <v>0.35892096161842346</v>
      </c>
      <c r="M1100" s="10">
        <v>2.1573195474289486E-2</v>
      </c>
    </row>
    <row r="1101" spans="9:13" x14ac:dyDescent="0.35">
      <c r="I1101">
        <v>1097</v>
      </c>
      <c r="J1101" s="7">
        <v>4.2968925088644028E-2</v>
      </c>
      <c r="K1101">
        <v>1.7281604930758476E-2</v>
      </c>
      <c r="L1101">
        <v>0.33237054944038391</v>
      </c>
      <c r="M1101" s="10">
        <v>1.9089875297905512E-2</v>
      </c>
    </row>
    <row r="1102" spans="9:13" x14ac:dyDescent="0.35">
      <c r="I1102">
        <v>1098</v>
      </c>
      <c r="J1102" s="7">
        <v>7.0582836866378784E-2</v>
      </c>
      <c r="K1102">
        <v>2.7629850432276726E-2</v>
      </c>
      <c r="L1102">
        <v>0.34894958138465881</v>
      </c>
      <c r="M1102" s="10">
        <v>2.9430008204522018E-2</v>
      </c>
    </row>
    <row r="1103" spans="9:13" x14ac:dyDescent="0.35">
      <c r="I1103">
        <v>1099</v>
      </c>
      <c r="J1103" s="7">
        <v>4.323321208357811E-2</v>
      </c>
      <c r="K1103">
        <v>1.8323119729757309E-2</v>
      </c>
      <c r="L1103">
        <v>0.35442936420440674</v>
      </c>
      <c r="M1103" s="10">
        <v>1.9188838555089238E-2</v>
      </c>
    </row>
    <row r="1104" spans="9:13" x14ac:dyDescent="0.35">
      <c r="I1104">
        <v>1100</v>
      </c>
      <c r="J1104" s="7">
        <v>7.642018049955368E-2</v>
      </c>
      <c r="K1104">
        <v>2.8863454237580299E-2</v>
      </c>
      <c r="L1104">
        <v>0.33843749761581421</v>
      </c>
      <c r="M1104" s="10">
        <v>3.1615823436874857E-2</v>
      </c>
    </row>
    <row r="1105" spans="9:13" x14ac:dyDescent="0.35">
      <c r="I1105">
        <v>1101</v>
      </c>
      <c r="J1105" s="7">
        <v>6.0124412178993225E-2</v>
      </c>
      <c r="K1105">
        <v>2.4791263043880463E-2</v>
      </c>
      <c r="L1105">
        <v>0.3624362051486969</v>
      </c>
      <c r="M1105" s="10">
        <v>2.5513811827426292E-2</v>
      </c>
    </row>
    <row r="1106" spans="9:13" x14ac:dyDescent="0.35">
      <c r="I1106">
        <v>1102</v>
      </c>
      <c r="J1106" s="7">
        <v>4.9849551171064377E-2</v>
      </c>
      <c r="K1106">
        <v>2.0868808031082153E-2</v>
      </c>
      <c r="L1106">
        <v>0.35845473408699036</v>
      </c>
      <c r="M1106" s="10">
        <v>2.1666351559060382E-2</v>
      </c>
    </row>
    <row r="1107" spans="9:13" x14ac:dyDescent="0.35">
      <c r="I1107">
        <v>1103</v>
      </c>
      <c r="J1107" s="7">
        <v>5.1133833825588226E-2</v>
      </c>
      <c r="K1107">
        <v>2.1487709134817123E-2</v>
      </c>
      <c r="L1107">
        <v>0.3615553081035614</v>
      </c>
      <c r="M1107" s="10">
        <v>2.2147256019258821E-2</v>
      </c>
    </row>
    <row r="1108" spans="9:13" x14ac:dyDescent="0.35">
      <c r="I1108">
        <v>1104</v>
      </c>
      <c r="J1108" s="7">
        <v>4.4594783335924149E-2</v>
      </c>
      <c r="K1108">
        <v>1.8290314823389053E-2</v>
      </c>
      <c r="L1108">
        <v>0.3428722620010376</v>
      </c>
      <c r="M1108" s="10">
        <v>1.9698684020824309E-2</v>
      </c>
    </row>
    <row r="1109" spans="9:13" x14ac:dyDescent="0.35">
      <c r="I1109">
        <v>1105</v>
      </c>
      <c r="J1109" s="7">
        <v>5.1441308110952377E-2</v>
      </c>
      <c r="K1109">
        <v>2.1248955279588699E-2</v>
      </c>
      <c r="L1109">
        <v>0.35475292801856995</v>
      </c>
      <c r="M1109" s="10">
        <v>2.2262390919436048E-2</v>
      </c>
    </row>
    <row r="1110" spans="9:13" x14ac:dyDescent="0.35">
      <c r="I1110">
        <v>1106</v>
      </c>
      <c r="J1110" s="7">
        <v>5.151984840631485E-2</v>
      </c>
      <c r="K1110">
        <v>2.2042324766516685E-2</v>
      </c>
      <c r="L1110">
        <v>0.36961144208908081</v>
      </c>
      <c r="M1110" s="10">
        <v>2.2291800627814551E-2</v>
      </c>
    </row>
    <row r="1111" spans="9:13" x14ac:dyDescent="0.35">
      <c r="I1111">
        <v>1107</v>
      </c>
      <c r="J1111" s="7">
        <v>4.2638178914785385E-2</v>
      </c>
      <c r="K1111">
        <v>1.5241969376802444E-2</v>
      </c>
      <c r="L1111">
        <v>0.28711286187171936</v>
      </c>
      <c r="M1111" s="10">
        <v>1.8966026151736703E-2</v>
      </c>
    </row>
    <row r="1112" spans="9:13" x14ac:dyDescent="0.35">
      <c r="I1112">
        <v>1108</v>
      </c>
      <c r="J1112" s="7">
        <v>5.6277181953191757E-2</v>
      </c>
      <c r="K1112">
        <v>2.3777535185217857E-2</v>
      </c>
      <c r="L1112">
        <v>0.36919999122619629</v>
      </c>
      <c r="M1112" s="10">
        <v>2.4073202029823659E-2</v>
      </c>
    </row>
    <row r="1113" spans="9:13" x14ac:dyDescent="0.35">
      <c r="I1113">
        <v>1109</v>
      </c>
      <c r="J1113" s="7">
        <v>6.3150800764560699E-2</v>
      </c>
      <c r="K1113">
        <v>2.5036145001649857E-2</v>
      </c>
      <c r="L1113">
        <v>0.34894481301307678</v>
      </c>
      <c r="M1113" s="10">
        <v>2.6647054392033409E-2</v>
      </c>
    </row>
    <row r="1114" spans="9:13" x14ac:dyDescent="0.35">
      <c r="I1114">
        <v>1110</v>
      </c>
      <c r="J1114" s="7">
        <v>5.5236920714378357E-2</v>
      </c>
      <c r="K1114">
        <v>2.3390123620629311E-2</v>
      </c>
      <c r="L1114">
        <v>0.3691394031047821</v>
      </c>
      <c r="M1114" s="10">
        <v>2.3683672304607217E-2</v>
      </c>
    </row>
    <row r="1115" spans="9:13" x14ac:dyDescent="0.35">
      <c r="I1115">
        <v>1111</v>
      </c>
      <c r="J1115" s="7">
        <v>5.4280262440443039E-2</v>
      </c>
      <c r="K1115">
        <v>2.3027712479233742E-2</v>
      </c>
      <c r="L1115">
        <v>0.36896860599517822</v>
      </c>
      <c r="M1115" s="10">
        <v>2.3325448023370776E-2</v>
      </c>
    </row>
    <row r="1116" spans="9:13" x14ac:dyDescent="0.35">
      <c r="I1116">
        <v>1112</v>
      </c>
      <c r="J1116" s="7">
        <v>4.9724891781806946E-2</v>
      </c>
      <c r="K1116">
        <v>2.1179720759391785E-2</v>
      </c>
      <c r="L1116">
        <v>0.36560603976249695</v>
      </c>
      <c r="M1116" s="10">
        <v>2.1619672382877209E-2</v>
      </c>
    </row>
    <row r="1117" spans="9:13" x14ac:dyDescent="0.35">
      <c r="I1117">
        <v>1113</v>
      </c>
      <c r="J1117" s="7">
        <v>5.7075649499893188E-2</v>
      </c>
      <c r="K1117">
        <v>2.3426827043294907E-2</v>
      </c>
      <c r="L1117">
        <v>0.35789039731025696</v>
      </c>
      <c r="M1117" s="10">
        <v>2.4372191199520721E-2</v>
      </c>
    </row>
    <row r="1118" spans="9:13" x14ac:dyDescent="0.35">
      <c r="I1118">
        <v>1114</v>
      </c>
      <c r="J1118" s="7">
        <v>4.962669312953949E-2</v>
      </c>
      <c r="K1118">
        <v>2.1367255598306656E-2</v>
      </c>
      <c r="L1118">
        <v>0.37010839581489563</v>
      </c>
      <c r="M1118" s="10">
        <v>2.1582901528973242E-2</v>
      </c>
    </row>
    <row r="1119" spans="9:13" x14ac:dyDescent="0.35">
      <c r="I1119">
        <v>1115</v>
      </c>
      <c r="J1119" s="7">
        <v>5.45525923371315E-2</v>
      </c>
      <c r="K1119">
        <v>2.2758292034268379E-2</v>
      </c>
      <c r="L1119">
        <v>0.3621879518032074</v>
      </c>
      <c r="M1119" s="10">
        <v>2.3427422975303314E-2</v>
      </c>
    </row>
    <row r="1120" spans="9:13" x14ac:dyDescent="0.35">
      <c r="I1120">
        <v>1116</v>
      </c>
      <c r="J1120" s="7">
        <v>4.9263674765825272E-2</v>
      </c>
      <c r="K1120">
        <v>1.9271422177553177E-2</v>
      </c>
      <c r="L1120">
        <v>0.33029249310493469</v>
      </c>
      <c r="M1120" s="10">
        <v>2.1446967940187966E-2</v>
      </c>
    </row>
    <row r="1121" spans="9:13" x14ac:dyDescent="0.35">
      <c r="I1121">
        <v>1117</v>
      </c>
      <c r="J1121" s="7">
        <v>8.3355531096458435E-2</v>
      </c>
      <c r="K1121">
        <v>2.9288908466696739E-2</v>
      </c>
      <c r="L1121">
        <v>0.31538289785385132</v>
      </c>
      <c r="M1121" s="10">
        <v>3.4212791497872264E-2</v>
      </c>
    </row>
    <row r="1122" spans="9:13" x14ac:dyDescent="0.35">
      <c r="I1122">
        <v>1118</v>
      </c>
      <c r="J1122" s="7">
        <v>5.4699201136827469E-2</v>
      </c>
      <c r="K1122">
        <v>2.1861007437109947E-2</v>
      </c>
      <c r="L1122">
        <v>0.34481322765350342</v>
      </c>
      <c r="M1122" s="10">
        <v>2.3482321190606448E-2</v>
      </c>
    </row>
    <row r="1123" spans="9:13" x14ac:dyDescent="0.35">
      <c r="I1123">
        <v>1119</v>
      </c>
      <c r="J1123" s="7">
        <v>6.7246124148368835E-2</v>
      </c>
      <c r="K1123">
        <v>2.7538379654288292E-2</v>
      </c>
      <c r="L1123">
        <v>0.36490398645401001</v>
      </c>
      <c r="M1123" s="10">
        <v>2.8180563603803055E-2</v>
      </c>
    </row>
    <row r="1124" spans="9:13" x14ac:dyDescent="0.35">
      <c r="I1124">
        <v>1120</v>
      </c>
      <c r="J1124" s="7">
        <v>6.6549457609653473E-2</v>
      </c>
      <c r="K1124">
        <v>2.6070045307278633E-2</v>
      </c>
      <c r="L1124">
        <v>0.34666016697883606</v>
      </c>
      <c r="M1124" s="10">
        <v>2.7919694203629275E-2</v>
      </c>
    </row>
    <row r="1125" spans="9:13" x14ac:dyDescent="0.35">
      <c r="I1125">
        <v>1121</v>
      </c>
      <c r="J1125" s="7">
        <v>6.2499411404132843E-2</v>
      </c>
      <c r="K1125">
        <v>2.4320503696799278E-2</v>
      </c>
      <c r="L1125">
        <v>0.34113126993179321</v>
      </c>
      <c r="M1125" s="10">
        <v>2.6403139201205184E-2</v>
      </c>
    </row>
    <row r="1126" spans="9:13" x14ac:dyDescent="0.35">
      <c r="I1126">
        <v>1122</v>
      </c>
      <c r="J1126" s="7">
        <v>7.4802525341510773E-2</v>
      </c>
      <c r="K1126">
        <v>2.7181817218661308E-2</v>
      </c>
      <c r="L1126">
        <v>0.32327541708946228</v>
      </c>
      <c r="M1126" s="10">
        <v>3.101008639150904E-2</v>
      </c>
    </row>
    <row r="1127" spans="9:13" x14ac:dyDescent="0.35">
      <c r="I1127">
        <v>1123</v>
      </c>
      <c r="J1127" s="7">
        <v>5.2371501922607422E-2</v>
      </c>
      <c r="K1127">
        <v>2.231706865131855E-2</v>
      </c>
      <c r="L1127">
        <v>0.36884695291519165</v>
      </c>
      <c r="M1127" s="10">
        <v>2.2610705483444349E-2</v>
      </c>
    </row>
    <row r="1128" spans="9:13" x14ac:dyDescent="0.35">
      <c r="I1128">
        <v>1124</v>
      </c>
      <c r="J1128" s="7">
        <v>6.1787866055965424E-2</v>
      </c>
      <c r="K1128">
        <v>2.499174140393734E-2</v>
      </c>
      <c r="L1128">
        <v>0.35592329502105713</v>
      </c>
      <c r="M1128" s="10">
        <v>2.6136698374988443E-2</v>
      </c>
    </row>
    <row r="1129" spans="9:13" x14ac:dyDescent="0.35">
      <c r="I1129">
        <v>1125</v>
      </c>
      <c r="J1129" s="7">
        <v>5.417681485414505E-2</v>
      </c>
      <c r="K1129">
        <v>2.3108335211873055E-2</v>
      </c>
      <c r="L1129">
        <v>0.37116125226020813</v>
      </c>
      <c r="M1129" s="10">
        <v>2.3286711686418604E-2</v>
      </c>
    </row>
    <row r="1130" spans="9:13" x14ac:dyDescent="0.35">
      <c r="I1130">
        <v>1126</v>
      </c>
      <c r="J1130" s="7">
        <v>4.7382738441228867E-2</v>
      </c>
      <c r="K1130">
        <v>2.0415160804986954E-2</v>
      </c>
      <c r="L1130">
        <v>0.36754229664802551</v>
      </c>
      <c r="M1130" s="10">
        <v>2.0742644273850641E-2</v>
      </c>
    </row>
    <row r="1131" spans="9:13" x14ac:dyDescent="0.35">
      <c r="I1131">
        <v>1127</v>
      </c>
      <c r="J1131" s="7">
        <v>6.0856454074382782E-2</v>
      </c>
      <c r="K1131">
        <v>2.4673126637935638E-2</v>
      </c>
      <c r="L1131">
        <v>0.35613521933555603</v>
      </c>
      <c r="M1131" s="10">
        <v>2.5787927662678678E-2</v>
      </c>
    </row>
    <row r="1132" spans="9:13" x14ac:dyDescent="0.35">
      <c r="I1132">
        <v>1128</v>
      </c>
      <c r="J1132" s="7">
        <v>6.0604721307754517E-2</v>
      </c>
      <c r="K1132">
        <v>2.3900480940937996E-2</v>
      </c>
      <c r="L1132">
        <v>0.34486556053161621</v>
      </c>
      <c r="M1132" s="10">
        <v>2.5693665383403008E-2</v>
      </c>
    </row>
    <row r="1133" spans="9:13" x14ac:dyDescent="0.35">
      <c r="I1133">
        <v>1129</v>
      </c>
      <c r="J1133" s="7">
        <v>7.330680638551712E-2</v>
      </c>
      <c r="K1133">
        <v>2.8362462297081947E-2</v>
      </c>
      <c r="L1133">
        <v>0.34597691893577576</v>
      </c>
      <c r="M1133" s="10">
        <v>3.0450008814655538E-2</v>
      </c>
    </row>
    <row r="1134" spans="9:13" x14ac:dyDescent="0.35">
      <c r="I1134">
        <v>1130</v>
      </c>
      <c r="J1134" s="7">
        <v>6.6995054483413696E-2</v>
      </c>
      <c r="K1134">
        <v>2.6108941063284874E-2</v>
      </c>
      <c r="L1134">
        <v>0.34493502974510193</v>
      </c>
      <c r="M1134" s="10">
        <v>2.8086549625437662E-2</v>
      </c>
    </row>
    <row r="1135" spans="9:13" x14ac:dyDescent="0.35">
      <c r="I1135">
        <v>1131</v>
      </c>
      <c r="J1135" s="7">
        <v>6.3121959567070007E-2</v>
      </c>
      <c r="K1135">
        <v>2.6392525061964989E-2</v>
      </c>
      <c r="L1135">
        <v>0.37059250473976135</v>
      </c>
      <c r="M1135" s="10">
        <v>2.6636254697385287E-2</v>
      </c>
    </row>
    <row r="1136" spans="9:13" x14ac:dyDescent="0.35">
      <c r="I1136">
        <v>1132</v>
      </c>
      <c r="J1136" s="7">
        <v>6.0424830764532089E-2</v>
      </c>
      <c r="K1136">
        <v>2.4345481768250465E-2</v>
      </c>
      <c r="L1136">
        <v>0.35325679183006287</v>
      </c>
      <c r="M1136" s="10">
        <v>2.5626304694322255E-2</v>
      </c>
    </row>
    <row r="1137" spans="9:13" x14ac:dyDescent="0.35">
      <c r="I1137">
        <v>1133</v>
      </c>
      <c r="J1137" s="7">
        <v>5.7649329304695129E-2</v>
      </c>
      <c r="K1137">
        <v>2.2553781047463417E-2</v>
      </c>
      <c r="L1137">
        <v>0.33918488025665283</v>
      </c>
      <c r="M1137" s="10">
        <v>2.4587007755582757E-2</v>
      </c>
    </row>
    <row r="1138" spans="9:13" x14ac:dyDescent="0.35">
      <c r="I1138">
        <v>1134</v>
      </c>
      <c r="J1138" s="7">
        <v>6.2505252659320831E-2</v>
      </c>
      <c r="K1138">
        <v>2.5750039145350456E-2</v>
      </c>
      <c r="L1138">
        <v>0.36397004127502441</v>
      </c>
      <c r="M1138" s="10">
        <v>2.6405326481133917E-2</v>
      </c>
    </row>
    <row r="1139" spans="9:13" x14ac:dyDescent="0.35">
      <c r="I1139">
        <v>1135</v>
      </c>
      <c r="J1139" s="7">
        <v>7.9023741185665131E-2</v>
      </c>
      <c r="K1139">
        <v>2.9724875465035439E-2</v>
      </c>
      <c r="L1139">
        <v>0.33818793296813965</v>
      </c>
      <c r="M1139" s="10">
        <v>3.2590736507559059E-2</v>
      </c>
    </row>
    <row r="1140" spans="9:13" x14ac:dyDescent="0.35">
      <c r="I1140">
        <v>1136</v>
      </c>
      <c r="J1140" s="7">
        <v>7.6973892748355865E-2</v>
      </c>
      <c r="K1140">
        <v>3.002459742128849E-2</v>
      </c>
      <c r="L1140">
        <v>0.35108783841133118</v>
      </c>
      <c r="M1140" s="10">
        <v>3.1823163066649895E-2</v>
      </c>
    </row>
    <row r="1141" spans="9:13" x14ac:dyDescent="0.35">
      <c r="I1141">
        <v>1137</v>
      </c>
      <c r="J1141" s="7">
        <v>6.2436673790216446E-2</v>
      </c>
      <c r="K1141">
        <v>2.476019598543644E-2</v>
      </c>
      <c r="L1141">
        <v>0.34851625561714172</v>
      </c>
      <c r="M1141" s="10">
        <v>2.6379646866205309E-2</v>
      </c>
    </row>
    <row r="1142" spans="9:13" x14ac:dyDescent="0.35">
      <c r="I1142">
        <v>1138</v>
      </c>
      <c r="J1142" s="7">
        <v>6.8902723491191864E-2</v>
      </c>
      <c r="K1142">
        <v>2.7064688503742218E-2</v>
      </c>
      <c r="L1142">
        <v>0.34925597906112671</v>
      </c>
      <c r="M1142" s="10">
        <v>2.8800883445326386E-2</v>
      </c>
    </row>
    <row r="1143" spans="9:13" x14ac:dyDescent="0.35">
      <c r="I1143">
        <v>1139</v>
      </c>
      <c r="J1143" s="7">
        <v>4.768439382314682E-2</v>
      </c>
      <c r="K1143">
        <v>1.9922660663723946E-2</v>
      </c>
      <c r="L1143">
        <v>0.35488885641098022</v>
      </c>
      <c r="M1143" s="10">
        <v>2.085560026379274E-2</v>
      </c>
    </row>
    <row r="1144" spans="9:13" x14ac:dyDescent="0.35">
      <c r="I1144">
        <v>1140</v>
      </c>
      <c r="J1144" s="7">
        <v>4.6860817819833755E-2</v>
      </c>
      <c r="K1144">
        <v>1.9581545144319534E-2</v>
      </c>
      <c r="L1144">
        <v>0.35384669899940491</v>
      </c>
      <c r="M1144" s="10">
        <v>2.0547209138279565E-2</v>
      </c>
    </row>
    <row r="1145" spans="9:13" x14ac:dyDescent="0.35">
      <c r="I1145">
        <v>1141</v>
      </c>
      <c r="J1145" s="7">
        <v>5.1316343247890472E-2</v>
      </c>
      <c r="K1145">
        <v>2.1981896832585335E-2</v>
      </c>
      <c r="L1145">
        <v>0.36989963054656982</v>
      </c>
      <c r="M1145" s="10">
        <v>2.2215597357440275E-2</v>
      </c>
    </row>
    <row r="1146" spans="9:13" x14ac:dyDescent="0.35">
      <c r="I1146">
        <v>1142</v>
      </c>
      <c r="J1146" s="7">
        <v>5.8249779045581818E-2</v>
      </c>
      <c r="K1146">
        <v>2.4613624438643456E-2</v>
      </c>
      <c r="L1146">
        <v>0.37105074524879456</v>
      </c>
      <c r="M1146" s="10">
        <v>2.4811848414685533E-2</v>
      </c>
    </row>
    <row r="1147" spans="9:13" x14ac:dyDescent="0.35">
      <c r="I1147">
        <v>1143</v>
      </c>
      <c r="J1147" s="7">
        <v>6.3749104738235474E-2</v>
      </c>
      <c r="K1147">
        <v>2.567317895591259E-2</v>
      </c>
      <c r="L1147">
        <v>0.35566270351409912</v>
      </c>
      <c r="M1147" s="10">
        <v>2.687109156055012E-2</v>
      </c>
    </row>
    <row r="1148" spans="9:13" x14ac:dyDescent="0.35">
      <c r="I1148">
        <v>1144</v>
      </c>
      <c r="J1148" s="7">
        <v>4.7862190753221512E-2</v>
      </c>
      <c r="K1148">
        <v>2.0183548331260681E-2</v>
      </c>
      <c r="L1148">
        <v>0.35902133584022522</v>
      </c>
      <c r="M1148" s="10">
        <v>2.0922176991572505E-2</v>
      </c>
    </row>
    <row r="1149" spans="9:13" x14ac:dyDescent="0.35">
      <c r="I1149">
        <v>1145</v>
      </c>
      <c r="J1149" s="7">
        <v>7.7268742024898529E-2</v>
      </c>
      <c r="K1149">
        <v>2.8028737753629684E-2</v>
      </c>
      <c r="L1149">
        <v>0.32391801476478577</v>
      </c>
      <c r="M1149" s="10">
        <v>3.1933570484889318E-2</v>
      </c>
    </row>
    <row r="1150" spans="9:13" x14ac:dyDescent="0.35">
      <c r="I1150">
        <v>1146</v>
      </c>
      <c r="J1150" s="7">
        <v>6.6757626831531525E-2</v>
      </c>
      <c r="K1150">
        <v>2.6676557958126068E-2</v>
      </c>
      <c r="L1150">
        <v>0.35466447472572327</v>
      </c>
      <c r="M1150" s="10">
        <v>2.7997643950069095E-2</v>
      </c>
    </row>
    <row r="1151" spans="9:13" x14ac:dyDescent="0.35">
      <c r="I1151">
        <v>1147</v>
      </c>
      <c r="J1151" s="7">
        <v>6.8409532308578491E-2</v>
      </c>
      <c r="K1151">
        <v>2.6892393827438354E-2</v>
      </c>
      <c r="L1151">
        <v>0.34925532341003418</v>
      </c>
      <c r="M1151" s="10">
        <v>2.8616206155935409E-2</v>
      </c>
    </row>
    <row r="1152" spans="9:13" x14ac:dyDescent="0.35">
      <c r="I1152">
        <v>1148</v>
      </c>
      <c r="J1152" s="7">
        <v>6.0879044234752655E-2</v>
      </c>
      <c r="K1152">
        <v>2.5113167241215706E-2</v>
      </c>
      <c r="L1152">
        <v>0.36323118209838867</v>
      </c>
      <c r="M1152" s="10">
        <v>2.5796386633015311E-2</v>
      </c>
    </row>
    <row r="1153" spans="9:13" x14ac:dyDescent="0.35">
      <c r="I1153">
        <v>1149</v>
      </c>
      <c r="J1153" s="7">
        <v>5.5888604372739792E-2</v>
      </c>
      <c r="K1153">
        <v>2.3067498579621315E-2</v>
      </c>
      <c r="L1153">
        <v>0.35906243324279785</v>
      </c>
      <c r="M1153" s="10">
        <v>2.392769769640124E-2</v>
      </c>
    </row>
    <row r="1154" spans="9:13" x14ac:dyDescent="0.35">
      <c r="I1154">
        <v>1150</v>
      </c>
      <c r="J1154" s="7">
        <v>4.8385482281446457E-2</v>
      </c>
      <c r="K1154">
        <v>2.0920943468809128E-2</v>
      </c>
      <c r="L1154">
        <v>0.3703785240650177</v>
      </c>
      <c r="M1154" s="10">
        <v>2.1118125468351345E-2</v>
      </c>
    </row>
    <row r="1155" spans="9:13" x14ac:dyDescent="0.35">
      <c r="I1155">
        <v>1151</v>
      </c>
      <c r="J1155" s="7">
        <v>6.4935147762298584E-2</v>
      </c>
      <c r="K1155">
        <v>2.4124013260006905E-2</v>
      </c>
      <c r="L1155">
        <v>0.3253093957901001</v>
      </c>
      <c r="M1155" s="10">
        <v>2.7315209822406317E-2</v>
      </c>
    </row>
    <row r="1156" spans="9:13" x14ac:dyDescent="0.35">
      <c r="I1156">
        <v>1152</v>
      </c>
      <c r="J1156" s="7">
        <v>6.1971239745616913E-2</v>
      </c>
      <c r="K1156">
        <v>2.4945437908172607E-2</v>
      </c>
      <c r="L1156">
        <v>0.35412293672561646</v>
      </c>
      <c r="M1156" s="10">
        <v>2.6205363341322618E-2</v>
      </c>
    </row>
    <row r="1157" spans="9:13" x14ac:dyDescent="0.35">
      <c r="I1157">
        <v>1153</v>
      </c>
      <c r="J1157" s="7">
        <v>6.7798472940921783E-2</v>
      </c>
      <c r="K1157">
        <v>2.6659006252884865E-2</v>
      </c>
      <c r="L1157">
        <v>0.3489607572555542</v>
      </c>
      <c r="M1157" s="10">
        <v>2.8387392682268198E-2</v>
      </c>
    </row>
    <row r="1158" spans="9:13" x14ac:dyDescent="0.35">
      <c r="I1158">
        <v>1154</v>
      </c>
      <c r="J1158" s="7">
        <v>5.5461667478084564E-2</v>
      </c>
      <c r="K1158">
        <v>2.2537698969244957E-2</v>
      </c>
      <c r="L1158">
        <v>0.35227391123771667</v>
      </c>
      <c r="M1158" s="10">
        <v>2.3767829573803967E-2</v>
      </c>
    </row>
    <row r="1159" spans="9:13" x14ac:dyDescent="0.35">
      <c r="I1159">
        <v>1155</v>
      </c>
      <c r="J1159" s="7">
        <v>4.3987501412630081E-2</v>
      </c>
      <c r="K1159">
        <v>1.8204454332590103E-2</v>
      </c>
      <c r="L1159">
        <v>0.3456539511680603</v>
      </c>
      <c r="M1159" s="10">
        <v>1.9471285025376317E-2</v>
      </c>
    </row>
    <row r="1160" spans="9:13" x14ac:dyDescent="0.35">
      <c r="I1160">
        <v>1156</v>
      </c>
      <c r="J1160" s="7">
        <v>5.7579640299081802E-2</v>
      </c>
      <c r="K1160">
        <v>2.3286879062652588E-2</v>
      </c>
      <c r="L1160">
        <v>0.35232728719711304</v>
      </c>
      <c r="M1160" s="10">
        <v>2.4560912445871774E-2</v>
      </c>
    </row>
    <row r="1161" spans="9:13" x14ac:dyDescent="0.35">
      <c r="I1161">
        <v>1157</v>
      </c>
      <c r="J1161" s="7">
        <v>5.3717777132987976E-2</v>
      </c>
      <c r="K1161">
        <v>2.2125802934169769E-2</v>
      </c>
      <c r="L1161">
        <v>0.35604232549667358</v>
      </c>
      <c r="M1161" s="10">
        <v>2.3114823288855835E-2</v>
      </c>
    </row>
    <row r="1162" spans="9:13" x14ac:dyDescent="0.35">
      <c r="I1162">
        <v>1158</v>
      </c>
      <c r="J1162" s="7">
        <v>5.3824860602617264E-2</v>
      </c>
      <c r="K1162">
        <v>2.2580843418836594E-2</v>
      </c>
      <c r="L1162">
        <v>0.36378809809684753</v>
      </c>
      <c r="M1162" s="10">
        <v>2.3154921095967729E-2</v>
      </c>
    </row>
    <row r="1163" spans="9:13" x14ac:dyDescent="0.35">
      <c r="I1163">
        <v>1159</v>
      </c>
      <c r="J1163" s="7">
        <v>7.0883922278881073E-2</v>
      </c>
      <c r="K1163">
        <v>2.6870220899581909E-2</v>
      </c>
      <c r="L1163">
        <v>0.33675083518028259</v>
      </c>
      <c r="M1163" s="10">
        <v>2.9542750767277193E-2</v>
      </c>
    </row>
    <row r="1164" spans="9:13" x14ac:dyDescent="0.35">
      <c r="I1164">
        <v>1160</v>
      </c>
      <c r="J1164" s="7">
        <v>5.2736923098564148E-2</v>
      </c>
      <c r="K1164">
        <v>2.2260649129748344E-2</v>
      </c>
      <c r="L1164">
        <v>0.36522132158279419</v>
      </c>
      <c r="M1164" s="10">
        <v>2.2747538814292145E-2</v>
      </c>
    </row>
    <row r="1165" spans="9:13" x14ac:dyDescent="0.35">
      <c r="I1165">
        <v>1161</v>
      </c>
      <c r="J1165" s="7">
        <v>6.8324372172355652E-2</v>
      </c>
      <c r="K1165">
        <v>2.6473423466086388E-2</v>
      </c>
      <c r="L1165">
        <v>0.34355857968330383</v>
      </c>
      <c r="M1165" s="10">
        <v>2.8584317623300937E-2</v>
      </c>
    </row>
    <row r="1166" spans="9:13" x14ac:dyDescent="0.35">
      <c r="I1166">
        <v>1162</v>
      </c>
      <c r="J1166" s="7">
        <v>6.6626235842704773E-2</v>
      </c>
      <c r="K1166">
        <v>2.7232106775045395E-2</v>
      </c>
      <c r="L1166">
        <v>0.36370217800140381</v>
      </c>
      <c r="M1166" s="10">
        <v>2.7948444101161929E-2</v>
      </c>
    </row>
    <row r="1167" spans="9:13" x14ac:dyDescent="0.35">
      <c r="I1167">
        <v>1163</v>
      </c>
      <c r="J1167" s="7">
        <v>5.284770205616951E-2</v>
      </c>
      <c r="K1167">
        <v>2.1281324326992035E-2</v>
      </c>
      <c r="L1167">
        <v>0.34592467546463013</v>
      </c>
      <c r="M1167" s="10">
        <v>2.2789020410746708E-2</v>
      </c>
    </row>
    <row r="1168" spans="9:13" x14ac:dyDescent="0.35">
      <c r="I1168">
        <v>1164</v>
      </c>
      <c r="J1168" s="7">
        <v>4.683341458439827E-2</v>
      </c>
      <c r="K1168">
        <v>2.0082725211977959E-2</v>
      </c>
      <c r="L1168">
        <v>0.3647550642490387</v>
      </c>
      <c r="M1168" s="10">
        <v>2.0536947893920021E-2</v>
      </c>
    </row>
    <row r="1169" spans="9:13" x14ac:dyDescent="0.35">
      <c r="I1169">
        <v>1165</v>
      </c>
      <c r="J1169" s="7">
        <v>5.4196577519178391E-2</v>
      </c>
      <c r="K1169">
        <v>2.2382000461220741E-2</v>
      </c>
      <c r="L1169">
        <v>0.35762405395507813</v>
      </c>
      <c r="M1169" s="10">
        <v>2.3294111890514224E-2</v>
      </c>
    </row>
    <row r="1170" spans="9:13" x14ac:dyDescent="0.35">
      <c r="I1170">
        <v>1166</v>
      </c>
      <c r="J1170" s="7">
        <v>6.2846094369888306E-2</v>
      </c>
      <c r="K1170">
        <v>2.5207472965121269E-2</v>
      </c>
      <c r="L1170">
        <v>0.35336282849311829</v>
      </c>
      <c r="M1170" s="10">
        <v>2.6532955938914249E-2</v>
      </c>
    </row>
    <row r="1171" spans="9:13" x14ac:dyDescent="0.35">
      <c r="I1171">
        <v>1167</v>
      </c>
      <c r="J1171" s="7">
        <v>5.9723574668169022E-2</v>
      </c>
      <c r="K1171">
        <v>2.3742547258734703E-2</v>
      </c>
      <c r="L1171">
        <v>0.34730920195579529</v>
      </c>
      <c r="M1171" s="10">
        <v>2.5363716717061613E-2</v>
      </c>
    </row>
    <row r="1172" spans="9:13" x14ac:dyDescent="0.35">
      <c r="I1172">
        <v>1168</v>
      </c>
      <c r="J1172" s="7">
        <v>4.8274099826812744E-2</v>
      </c>
      <c r="K1172">
        <v>2.0651550963521004E-2</v>
      </c>
      <c r="L1172">
        <v>0.36565262079238892</v>
      </c>
      <c r="M1172" s="10">
        <v>2.1076417890169452E-2</v>
      </c>
    </row>
    <row r="1173" spans="9:13" x14ac:dyDescent="0.35">
      <c r="I1173">
        <v>1169</v>
      </c>
      <c r="J1173" s="7">
        <v>5.0540570169687271E-2</v>
      </c>
      <c r="K1173">
        <v>2.0797621458768845E-2</v>
      </c>
      <c r="L1173">
        <v>0.35214525461196899</v>
      </c>
      <c r="M1173" s="10">
        <v>2.1925106216650003E-2</v>
      </c>
    </row>
    <row r="1174" spans="9:13" x14ac:dyDescent="0.35">
      <c r="I1174">
        <v>1170</v>
      </c>
      <c r="J1174" s="7">
        <v>4.5943204313516617E-2</v>
      </c>
      <c r="K1174">
        <v>1.9685450941324234E-2</v>
      </c>
      <c r="L1174">
        <v>0.36317560076713562</v>
      </c>
      <c r="M1174" s="10">
        <v>2.020360531682186E-2</v>
      </c>
    </row>
    <row r="1175" spans="9:13" x14ac:dyDescent="0.35">
      <c r="I1175">
        <v>1171</v>
      </c>
      <c r="J1175" s="7">
        <v>7.1343280375003815E-2</v>
      </c>
      <c r="K1175">
        <v>2.5628518313169479E-2</v>
      </c>
      <c r="L1175">
        <v>0.31717798113822937</v>
      </c>
      <c r="M1175" s="10">
        <v>2.9714759130448298E-2</v>
      </c>
    </row>
    <row r="1176" spans="9:13" x14ac:dyDescent="0.35">
      <c r="I1176">
        <v>1172</v>
      </c>
      <c r="J1176" s="7">
        <v>8.0046266317367554E-2</v>
      </c>
      <c r="K1176">
        <v>2.9969152063131332E-2</v>
      </c>
      <c r="L1176">
        <v>0.33691954612731934</v>
      </c>
      <c r="M1176" s="10">
        <v>3.2973624880900054E-2</v>
      </c>
    </row>
    <row r="1177" spans="9:13" x14ac:dyDescent="0.35">
      <c r="I1177">
        <v>1173</v>
      </c>
      <c r="J1177" s="7">
        <v>5.7976484298706055E-2</v>
      </c>
      <c r="K1177">
        <v>2.4488117545843124E-2</v>
      </c>
      <c r="L1177">
        <v>0.37063506245613098</v>
      </c>
      <c r="M1177" s="10">
        <v>2.4709512170979053E-2</v>
      </c>
    </row>
    <row r="1178" spans="9:13" x14ac:dyDescent="0.35">
      <c r="I1178">
        <v>1174</v>
      </c>
      <c r="J1178" s="7">
        <v>6.1067529022693634E-2</v>
      </c>
      <c r="K1178">
        <v>2.3857632651925087E-2</v>
      </c>
      <c r="L1178">
        <v>0.34155029058456421</v>
      </c>
      <c r="M1178" s="10">
        <v>2.5866965469287129E-2</v>
      </c>
    </row>
    <row r="1179" spans="9:13" x14ac:dyDescent="0.35">
      <c r="I1179">
        <v>1175</v>
      </c>
      <c r="J1179" s="7">
        <v>5.3675491362810135E-2</v>
      </c>
      <c r="K1179">
        <v>2.3098988458514214E-2</v>
      </c>
      <c r="L1179">
        <v>0.37445375323295593</v>
      </c>
      <c r="M1179" s="10">
        <v>2.3098989223504396E-2</v>
      </c>
    </row>
    <row r="1180" spans="9:13" x14ac:dyDescent="0.35">
      <c r="I1180">
        <v>1176</v>
      </c>
      <c r="J1180" s="7">
        <v>4.8911377787590027E-2</v>
      </c>
      <c r="K1180">
        <v>2.0868157967925072E-2</v>
      </c>
      <c r="L1180">
        <v>0.36531701683998108</v>
      </c>
      <c r="M1180" s="10">
        <v>2.131504901443515E-2</v>
      </c>
    </row>
    <row r="1181" spans="9:13" x14ac:dyDescent="0.35">
      <c r="I1181">
        <v>1177</v>
      </c>
      <c r="J1181" s="7">
        <v>5.3651329129934311E-2</v>
      </c>
      <c r="K1181">
        <v>2.1811665967106819E-2</v>
      </c>
      <c r="L1181">
        <v>0.35062813758850098</v>
      </c>
      <c r="M1181" s="10">
        <v>2.3089941584717555E-2</v>
      </c>
    </row>
    <row r="1182" spans="9:13" x14ac:dyDescent="0.35">
      <c r="I1182">
        <v>1178</v>
      </c>
      <c r="J1182" s="7">
        <v>6.4277194440364838E-2</v>
      </c>
      <c r="K1182">
        <v>2.6212505996227264E-2</v>
      </c>
      <c r="L1182">
        <v>0.36113128066062927</v>
      </c>
      <c r="M1182" s="10">
        <v>2.7068836731556134E-2</v>
      </c>
    </row>
    <row r="1183" spans="9:13" x14ac:dyDescent="0.35">
      <c r="I1183">
        <v>1179</v>
      </c>
      <c r="J1183" s="7">
        <v>6.172359362244606E-2</v>
      </c>
      <c r="K1183">
        <v>2.4365747347474098E-2</v>
      </c>
      <c r="L1183">
        <v>0.34615203738212585</v>
      </c>
      <c r="M1183" s="10">
        <v>2.6112631321027702E-2</v>
      </c>
    </row>
    <row r="1184" spans="9:13" x14ac:dyDescent="0.35">
      <c r="I1184">
        <v>1180</v>
      </c>
      <c r="J1184" s="7">
        <v>5.5070657283067703E-2</v>
      </c>
      <c r="K1184">
        <v>2.2608350962400436E-2</v>
      </c>
      <c r="L1184">
        <v>0.35605806112289429</v>
      </c>
      <c r="M1184" s="10">
        <v>2.3621414338727553E-2</v>
      </c>
    </row>
    <row r="1185" spans="9:13" x14ac:dyDescent="0.35">
      <c r="I1185">
        <v>1181</v>
      </c>
      <c r="J1185" s="7">
        <v>5.2137065678834915E-2</v>
      </c>
      <c r="K1185">
        <v>2.0938482135534286E-2</v>
      </c>
      <c r="L1185">
        <v>0.34406390786170959</v>
      </c>
      <c r="M1185" s="10">
        <v>2.2522919952069897E-2</v>
      </c>
    </row>
    <row r="1186" spans="9:13" x14ac:dyDescent="0.35">
      <c r="I1186">
        <v>1182</v>
      </c>
      <c r="J1186" s="7">
        <v>4.6031124889850616E-2</v>
      </c>
      <c r="K1186">
        <v>1.8993968144059181E-2</v>
      </c>
      <c r="L1186">
        <v>0.34745985269546509</v>
      </c>
      <c r="M1186" s="10">
        <v>2.0236527506616531E-2</v>
      </c>
    </row>
    <row r="1187" spans="9:13" x14ac:dyDescent="0.35">
      <c r="I1187">
        <v>1183</v>
      </c>
      <c r="J1187" s="7">
        <v>6.8139024078845978E-2</v>
      </c>
      <c r="K1187">
        <v>2.6435650885105133E-2</v>
      </c>
      <c r="L1187">
        <v>0.34393873810768127</v>
      </c>
      <c r="M1187" s="10">
        <v>2.8514913334031666E-2</v>
      </c>
    </row>
    <row r="1188" spans="9:13" x14ac:dyDescent="0.35">
      <c r="I1188">
        <v>1184</v>
      </c>
      <c r="J1188" s="7">
        <v>5.745663121342659E-2</v>
      </c>
      <c r="K1188">
        <v>2.3997073993086815E-2</v>
      </c>
      <c r="L1188">
        <v>0.36544212698936462</v>
      </c>
      <c r="M1188" s="10">
        <v>2.4514851232066426E-2</v>
      </c>
    </row>
    <row r="1189" spans="9:13" x14ac:dyDescent="0.35">
      <c r="I1189">
        <v>1185</v>
      </c>
      <c r="J1189" s="7">
        <v>5.9801604598760605E-2</v>
      </c>
      <c r="K1189">
        <v>2.4834562093019485E-2</v>
      </c>
      <c r="L1189">
        <v>0.3651166558265686</v>
      </c>
      <c r="M1189" s="10">
        <v>2.5392935317436138E-2</v>
      </c>
    </row>
    <row r="1190" spans="9:13" x14ac:dyDescent="0.35">
      <c r="I1190">
        <v>1186</v>
      </c>
      <c r="J1190" s="7">
        <v>4.8631805926561356E-2</v>
      </c>
      <c r="K1190">
        <v>2.0511111244559288E-2</v>
      </c>
      <c r="L1190">
        <v>0.36007529497146606</v>
      </c>
      <c r="M1190" s="10">
        <v>2.1210362281774642E-2</v>
      </c>
    </row>
    <row r="1191" spans="9:13" x14ac:dyDescent="0.35">
      <c r="I1191">
        <v>1187</v>
      </c>
      <c r="J1191" s="7">
        <v>5.6477956473827362E-2</v>
      </c>
      <c r="K1191">
        <v>2.3943988606333733E-2</v>
      </c>
      <c r="L1191">
        <v>0.37083473801612854</v>
      </c>
      <c r="M1191" s="10">
        <v>2.4148382802629209E-2</v>
      </c>
    </row>
    <row r="1192" spans="9:13" x14ac:dyDescent="0.35">
      <c r="I1192">
        <v>1188</v>
      </c>
      <c r="J1192" s="7">
        <v>5.8942794799804688E-2</v>
      </c>
      <c r="K1192">
        <v>2.3366052657365799E-2</v>
      </c>
      <c r="L1192">
        <v>0.34552234411239624</v>
      </c>
      <c r="M1192" s="10">
        <v>2.5071350764903855E-2</v>
      </c>
    </row>
    <row r="1193" spans="9:13" x14ac:dyDescent="0.35">
      <c r="I1193">
        <v>1189</v>
      </c>
      <c r="J1193" s="7">
        <v>5.1650471985340118E-2</v>
      </c>
      <c r="K1193">
        <v>2.0990081131458282E-2</v>
      </c>
      <c r="L1193">
        <v>0.34830430150032043</v>
      </c>
      <c r="M1193" s="10">
        <v>2.2340713117241284E-2</v>
      </c>
    </row>
    <row r="1194" spans="9:13" x14ac:dyDescent="0.35">
      <c r="I1194">
        <v>1190</v>
      </c>
      <c r="J1194" s="7">
        <v>6.820264458656311E-2</v>
      </c>
      <c r="K1194">
        <v>2.7830800041556358E-2</v>
      </c>
      <c r="L1194">
        <v>0.36407387256622314</v>
      </c>
      <c r="M1194" s="10">
        <v>2.8538736271928933E-2</v>
      </c>
    </row>
    <row r="1195" spans="9:13" x14ac:dyDescent="0.35">
      <c r="I1195">
        <v>1191</v>
      </c>
      <c r="J1195" s="7">
        <v>5.9252787381410599E-2</v>
      </c>
      <c r="K1195">
        <v>2.4340765550732613E-2</v>
      </c>
      <c r="L1195">
        <v>0.36016476154327393</v>
      </c>
      <c r="M1195" s="10">
        <v>2.5187428650560562E-2</v>
      </c>
    </row>
    <row r="1196" spans="9:13" x14ac:dyDescent="0.35">
      <c r="I1196">
        <v>1192</v>
      </c>
      <c r="J1196" s="7">
        <v>5.6591112166643143E-2</v>
      </c>
      <c r="K1196">
        <v>2.4050883948802948E-2</v>
      </c>
      <c r="L1196">
        <v>0.3719821572303772</v>
      </c>
      <c r="M1196" s="10">
        <v>2.4190754376503754E-2</v>
      </c>
    </row>
    <row r="1197" spans="9:13" x14ac:dyDescent="0.35">
      <c r="I1197">
        <v>1193</v>
      </c>
      <c r="J1197" s="7">
        <v>5.1875658333301544E-2</v>
      </c>
      <c r="K1197">
        <v>2.1606782451272011E-2</v>
      </c>
      <c r="L1197">
        <v>0.35868039727210999</v>
      </c>
      <c r="M1197" s="10">
        <v>2.2425034990412263E-2</v>
      </c>
    </row>
    <row r="1198" spans="9:13" x14ac:dyDescent="0.35">
      <c r="I1198">
        <v>1194</v>
      </c>
      <c r="J1198" s="7">
        <v>5.9587724506855011E-2</v>
      </c>
      <c r="K1198">
        <v>2.3056918755173683E-2</v>
      </c>
      <c r="L1198">
        <v>0.33659482002258301</v>
      </c>
      <c r="M1198" s="10">
        <v>2.5312847114280279E-2</v>
      </c>
    </row>
    <row r="1199" spans="9:13" x14ac:dyDescent="0.35">
      <c r="I1199">
        <v>1195</v>
      </c>
      <c r="J1199" s="7">
        <v>4.2018167674541473E-2</v>
      </c>
      <c r="K1199">
        <v>1.7164178192615509E-2</v>
      </c>
      <c r="L1199">
        <v>0.33709651231765747</v>
      </c>
      <c r="M1199" s="10">
        <v>1.8733860615780751E-2</v>
      </c>
    </row>
    <row r="1200" spans="9:13" x14ac:dyDescent="0.35">
      <c r="I1200">
        <v>1196</v>
      </c>
      <c r="J1200" s="7">
        <v>4.4023014605045319E-2</v>
      </c>
      <c r="K1200">
        <v>1.8319655209779739E-2</v>
      </c>
      <c r="L1200">
        <v>0.34799197316169739</v>
      </c>
      <c r="M1200" s="10">
        <v>1.9484583073565487E-2</v>
      </c>
    </row>
    <row r="1201" spans="9:13" x14ac:dyDescent="0.35">
      <c r="I1201">
        <v>1197</v>
      </c>
      <c r="J1201" s="7">
        <v>6.9889701902866364E-2</v>
      </c>
      <c r="K1201">
        <v>2.5081384927034378E-2</v>
      </c>
      <c r="L1201">
        <v>0.31594619154930115</v>
      </c>
      <c r="M1201" s="10">
        <v>2.9170461215937804E-2</v>
      </c>
    </row>
    <row r="1202" spans="9:13" x14ac:dyDescent="0.35">
      <c r="I1202">
        <v>1198</v>
      </c>
      <c r="J1202" s="7">
        <v>6.8997867405414581E-2</v>
      </c>
      <c r="K1202">
        <v>2.7668422088027E-2</v>
      </c>
      <c r="L1202">
        <v>0.35752442479133606</v>
      </c>
      <c r="M1202" s="10">
        <v>2.8836510441104357E-2</v>
      </c>
    </row>
    <row r="1203" spans="9:13" x14ac:dyDescent="0.35">
      <c r="I1203">
        <v>1199</v>
      </c>
      <c r="J1203" s="7">
        <v>4.5747764408588409E-2</v>
      </c>
      <c r="K1203">
        <v>1.8539296463131905E-2</v>
      </c>
      <c r="L1203">
        <v>0.33967334032058716</v>
      </c>
      <c r="M1203" s="10">
        <v>2.0130422110890001E-2</v>
      </c>
    </row>
    <row r="1204" spans="9:13" x14ac:dyDescent="0.35">
      <c r="I1204">
        <v>1200</v>
      </c>
      <c r="J1204" s="7">
        <v>4.1012130677700043E-2</v>
      </c>
      <c r="K1204">
        <v>1.6443558037281036E-2</v>
      </c>
      <c r="L1204">
        <v>0.32779467105865479</v>
      </c>
      <c r="M1204" s="10">
        <v>1.8357146286422266E-2</v>
      </c>
    </row>
    <row r="1205" spans="9:13" x14ac:dyDescent="0.35">
      <c r="I1205">
        <v>1201</v>
      </c>
      <c r="J1205" s="7">
        <v>4.8415955156087875E-2</v>
      </c>
      <c r="K1205">
        <v>2.0494237542152405E-2</v>
      </c>
      <c r="L1205">
        <v>0.36133208870887756</v>
      </c>
      <c r="M1205" s="10">
        <v>2.1129536150632622E-2</v>
      </c>
    </row>
    <row r="1206" spans="9:13" x14ac:dyDescent="0.35">
      <c r="I1206">
        <v>1202</v>
      </c>
      <c r="J1206" s="7">
        <v>7.1434423327445984E-2</v>
      </c>
      <c r="K1206">
        <v>2.8091926127672195E-2</v>
      </c>
      <c r="L1206">
        <v>0.35125818848609924</v>
      </c>
      <c r="M1206" s="10">
        <v>2.9748887951071001E-2</v>
      </c>
    </row>
    <row r="1207" spans="9:13" x14ac:dyDescent="0.35">
      <c r="I1207">
        <v>1203</v>
      </c>
      <c r="J1207" s="7">
        <v>5.386868491768837E-2</v>
      </c>
      <c r="K1207">
        <v>2.3100966587662697E-2</v>
      </c>
      <c r="L1207">
        <v>0.37314751744270325</v>
      </c>
      <c r="M1207" s="10">
        <v>2.3171331275228968E-2</v>
      </c>
    </row>
    <row r="1208" spans="9:13" x14ac:dyDescent="0.35">
      <c r="I1208">
        <v>1204</v>
      </c>
      <c r="J1208" s="7">
        <v>4.4828947633504868E-2</v>
      </c>
      <c r="K1208">
        <v>1.9117210060358047E-2</v>
      </c>
      <c r="L1208">
        <v>0.35952684283256531</v>
      </c>
      <c r="M1208" s="10">
        <v>1.9786367720926568E-2</v>
      </c>
    </row>
    <row r="1209" spans="9:13" x14ac:dyDescent="0.35">
      <c r="I1209">
        <v>1205</v>
      </c>
      <c r="J1209" s="7">
        <v>7.8272730112075806E-2</v>
      </c>
      <c r="K1209">
        <v>3.0180895701050758E-2</v>
      </c>
      <c r="L1209">
        <v>0.3472588062286377</v>
      </c>
      <c r="M1209" s="10">
        <v>3.2309517592334025E-2</v>
      </c>
    </row>
    <row r="1210" spans="9:13" x14ac:dyDescent="0.35">
      <c r="I1210">
        <v>1206</v>
      </c>
      <c r="J1210" s="7">
        <v>4.9679126590490341E-2</v>
      </c>
      <c r="K1210">
        <v>2.1472973749041557E-2</v>
      </c>
      <c r="L1210">
        <v>0.3718457818031311</v>
      </c>
      <c r="M1210" s="10">
        <v>2.1602535435221282E-2</v>
      </c>
    </row>
    <row r="1211" spans="9:13" x14ac:dyDescent="0.35">
      <c r="I1211">
        <v>1207</v>
      </c>
      <c r="J1211" s="7">
        <v>5.3560175001621246E-2</v>
      </c>
      <c r="K1211">
        <v>2.240203320980072E-2</v>
      </c>
      <c r="L1211">
        <v>0.36224737763404846</v>
      </c>
      <c r="M1211" s="10">
        <v>2.3055808579248049E-2</v>
      </c>
    </row>
    <row r="1212" spans="9:13" x14ac:dyDescent="0.35">
      <c r="I1212">
        <v>1208</v>
      </c>
      <c r="J1212" s="7">
        <v>4.8033285886049271E-2</v>
      </c>
      <c r="K1212">
        <v>2.0758749917149544E-2</v>
      </c>
      <c r="L1212">
        <v>0.36971756815910339</v>
      </c>
      <c r="M1212" s="10">
        <v>2.0986244206219751E-2</v>
      </c>
    </row>
    <row r="1213" spans="9:13" x14ac:dyDescent="0.35">
      <c r="I1213">
        <v>1209</v>
      </c>
      <c r="J1213" s="7">
        <v>5.4937560111284256E-2</v>
      </c>
      <c r="K1213">
        <v>2.2217590361833572E-2</v>
      </c>
      <c r="L1213">
        <v>0.34980785846710205</v>
      </c>
      <c r="M1213" s="10">
        <v>2.357157560320855E-2</v>
      </c>
    </row>
    <row r="1214" spans="9:13" x14ac:dyDescent="0.35">
      <c r="I1214">
        <v>1210</v>
      </c>
      <c r="J1214" s="7">
        <v>5.9650581330060959E-2</v>
      </c>
      <c r="K1214">
        <v>2.486882358789444E-2</v>
      </c>
      <c r="L1214">
        <v>0.36661544442176819</v>
      </c>
      <c r="M1214" s="10">
        <v>2.5336384087646047E-2</v>
      </c>
    </row>
    <row r="1215" spans="9:13" x14ac:dyDescent="0.35">
      <c r="I1215">
        <v>1211</v>
      </c>
      <c r="J1215" s="7">
        <v>5.7711087167263031E-2</v>
      </c>
      <c r="K1215">
        <v>2.4382084608078003E-2</v>
      </c>
      <c r="L1215">
        <v>0.37050220370292664</v>
      </c>
      <c r="M1215" s="10">
        <v>2.4610133219012953E-2</v>
      </c>
    </row>
    <row r="1216" spans="9:13" x14ac:dyDescent="0.35">
      <c r="I1216">
        <v>1212</v>
      </c>
      <c r="J1216" s="7">
        <v>6.5909981727600098E-2</v>
      </c>
      <c r="K1216">
        <v>2.6740707457065582E-2</v>
      </c>
      <c r="L1216">
        <v>0.360198974609375</v>
      </c>
      <c r="M1216" s="10">
        <v>2.7680240059492434E-2</v>
      </c>
    </row>
    <row r="1217" spans="9:13" x14ac:dyDescent="0.35">
      <c r="I1217">
        <v>1213</v>
      </c>
      <c r="J1217" s="7">
        <v>6.3393928110599518E-2</v>
      </c>
      <c r="K1217">
        <v>2.5846006348729134E-2</v>
      </c>
      <c r="L1217">
        <v>0.3603816032409668</v>
      </c>
      <c r="M1217" s="10">
        <v>2.6738094339271212E-2</v>
      </c>
    </row>
    <row r="1218" spans="9:13" x14ac:dyDescent="0.35">
      <c r="I1218">
        <v>1214</v>
      </c>
      <c r="J1218" s="7">
        <v>6.9157347083091736E-2</v>
      </c>
      <c r="K1218">
        <v>2.7793476358056068E-2</v>
      </c>
      <c r="L1218">
        <v>0.35850819945335388</v>
      </c>
      <c r="M1218" s="10">
        <v>2.889622820497495E-2</v>
      </c>
    </row>
    <row r="1219" spans="9:13" x14ac:dyDescent="0.35">
      <c r="I1219">
        <v>1215</v>
      </c>
      <c r="J1219" s="7">
        <v>5.0651580095291138E-2</v>
      </c>
      <c r="K1219">
        <v>2.0780289545655251E-2</v>
      </c>
      <c r="L1219">
        <v>0.35103130340576172</v>
      </c>
      <c r="M1219" s="10">
        <v>2.1966674299938482E-2</v>
      </c>
    </row>
    <row r="1220" spans="9:13" x14ac:dyDescent="0.35">
      <c r="I1220">
        <v>1216</v>
      </c>
      <c r="J1220" s="7">
        <v>5.8891363441944122E-2</v>
      </c>
      <c r="K1220">
        <v>2.4852979928255081E-2</v>
      </c>
      <c r="L1220">
        <v>0.37107273936271667</v>
      </c>
      <c r="M1220" s="10">
        <v>2.5052092099919099E-2</v>
      </c>
    </row>
    <row r="1221" spans="9:13" x14ac:dyDescent="0.35">
      <c r="I1221">
        <v>1217</v>
      </c>
      <c r="J1221" s="7">
        <v>5.6067083030939102E-2</v>
      </c>
      <c r="K1221">
        <v>2.3388957604765892E-2</v>
      </c>
      <c r="L1221">
        <v>0.36365291476249695</v>
      </c>
      <c r="M1221" s="10">
        <v>2.3994529699835954E-2</v>
      </c>
    </row>
    <row r="1222" spans="9:13" x14ac:dyDescent="0.35">
      <c r="I1222">
        <v>1218</v>
      </c>
      <c r="J1222" s="7">
        <v>4.8377316445112228E-2</v>
      </c>
      <c r="K1222">
        <v>2.0378740504384041E-2</v>
      </c>
      <c r="L1222">
        <v>0.35923326015472412</v>
      </c>
      <c r="M1222" s="10">
        <v>2.1115067740287707E-2</v>
      </c>
    </row>
    <row r="1223" spans="9:13" x14ac:dyDescent="0.35">
      <c r="I1223">
        <v>1219</v>
      </c>
      <c r="J1223" s="7">
        <v>7.1831226348876953E-2</v>
      </c>
      <c r="K1223">
        <v>2.6935826987028122E-2</v>
      </c>
      <c r="L1223">
        <v>0.3332231342792511</v>
      </c>
      <c r="M1223" s="10">
        <v>2.9897472331740005E-2</v>
      </c>
    </row>
    <row r="1224" spans="9:13" x14ac:dyDescent="0.35">
      <c r="I1224">
        <v>1220</v>
      </c>
      <c r="J1224" s="7">
        <v>5.6251812726259232E-2</v>
      </c>
      <c r="K1224">
        <v>2.2465221583843231E-2</v>
      </c>
      <c r="L1224">
        <v>0.34603723883628845</v>
      </c>
      <c r="M1224" s="10">
        <v>2.4063702427582156E-2</v>
      </c>
    </row>
    <row r="1225" spans="9:13" x14ac:dyDescent="0.35">
      <c r="I1225">
        <v>1221</v>
      </c>
      <c r="J1225" s="7">
        <v>6.2842339277267456E-2</v>
      </c>
      <c r="K1225">
        <v>2.539265900850296E-2</v>
      </c>
      <c r="L1225">
        <v>0.35633078217506409</v>
      </c>
      <c r="M1225" s="10">
        <v>2.6531549830388634E-2</v>
      </c>
    </row>
    <row r="1226" spans="9:13" x14ac:dyDescent="0.35">
      <c r="I1226">
        <v>1222</v>
      </c>
      <c r="J1226" s="7">
        <v>5.4331142455339432E-2</v>
      </c>
      <c r="K1226">
        <v>2.2100342437624931E-2</v>
      </c>
      <c r="L1226">
        <v>0.35155421495437622</v>
      </c>
      <c r="M1226" s="10">
        <v>2.3344500235913279E-2</v>
      </c>
    </row>
    <row r="1227" spans="9:13" x14ac:dyDescent="0.35">
      <c r="I1227">
        <v>1223</v>
      </c>
      <c r="J1227" s="7">
        <v>5.3953651338815689E-2</v>
      </c>
      <c r="K1227">
        <v>2.1614778786897659E-2</v>
      </c>
      <c r="L1227">
        <v>0.34501424431800842</v>
      </c>
      <c r="M1227" s="10">
        <v>2.3203147270518865E-2</v>
      </c>
    </row>
    <row r="1228" spans="9:13" x14ac:dyDescent="0.35">
      <c r="I1228">
        <v>1224</v>
      </c>
      <c r="J1228" s="7">
        <v>5.4583411663770676E-2</v>
      </c>
      <c r="K1228">
        <v>2.3060433566570282E-2</v>
      </c>
      <c r="L1228">
        <v>0.36751887202262878</v>
      </c>
      <c r="M1228" s="10">
        <v>2.3438963387835465E-2</v>
      </c>
    </row>
    <row r="1229" spans="9:13" x14ac:dyDescent="0.35">
      <c r="I1229">
        <v>1225</v>
      </c>
      <c r="J1229" s="7">
        <v>5.5826477706432343E-2</v>
      </c>
      <c r="K1229">
        <v>2.3553166538476944E-2</v>
      </c>
      <c r="L1229">
        <v>0.36816161870956421</v>
      </c>
      <c r="M1229" s="10">
        <v>2.3904434133026564E-2</v>
      </c>
    </row>
    <row r="1230" spans="9:13" x14ac:dyDescent="0.35">
      <c r="I1230">
        <v>1226</v>
      </c>
      <c r="J1230" s="7">
        <v>6.182778999209404E-2</v>
      </c>
      <c r="K1230">
        <v>2.5810560211539268E-2</v>
      </c>
      <c r="L1230">
        <v>0.36893701553344727</v>
      </c>
      <c r="M1230" s="10">
        <v>2.6151648042715636E-2</v>
      </c>
    </row>
    <row r="1231" spans="9:13" x14ac:dyDescent="0.35">
      <c r="I1231">
        <v>1227</v>
      </c>
      <c r="J1231" s="7">
        <v>6.2777794897556305E-2</v>
      </c>
      <c r="K1231">
        <v>2.4349967017769814E-2</v>
      </c>
      <c r="L1231">
        <v>0.340087890625</v>
      </c>
      <c r="M1231" s="10">
        <v>2.6507380945155701E-2</v>
      </c>
    </row>
    <row r="1232" spans="9:13" x14ac:dyDescent="0.35">
      <c r="I1232">
        <v>1228</v>
      </c>
      <c r="J1232" s="7">
        <v>4.2236689478158951E-2</v>
      </c>
      <c r="K1232">
        <v>1.5357957221567631E-2</v>
      </c>
      <c r="L1232">
        <v>0.29258820414543152</v>
      </c>
      <c r="M1232" s="10">
        <v>1.881568692530855E-2</v>
      </c>
    </row>
    <row r="1233" spans="9:13" x14ac:dyDescent="0.35">
      <c r="I1233">
        <v>1229</v>
      </c>
      <c r="J1233" s="7">
        <v>6.4010314643383026E-2</v>
      </c>
      <c r="K1233">
        <v>2.651173435151577E-2</v>
      </c>
      <c r="L1233">
        <v>0.36731165647506714</v>
      </c>
      <c r="M1233" s="10">
        <v>2.6968902589914245E-2</v>
      </c>
    </row>
    <row r="1234" spans="9:13" x14ac:dyDescent="0.35">
      <c r="I1234">
        <v>1230</v>
      </c>
      <c r="J1234" s="7">
        <v>6.4885728061199188E-2</v>
      </c>
      <c r="K1234">
        <v>2.6655016466975212E-2</v>
      </c>
      <c r="L1234">
        <v>0.36456423997879028</v>
      </c>
      <c r="M1234" s="10">
        <v>2.7296704429845997E-2</v>
      </c>
    </row>
    <row r="1235" spans="9:13" x14ac:dyDescent="0.35">
      <c r="I1235">
        <v>1231</v>
      </c>
      <c r="J1235" s="7">
        <v>5.5054314434528351E-2</v>
      </c>
      <c r="K1235">
        <v>2.3460386320948601E-2</v>
      </c>
      <c r="L1235">
        <v>0.37164002656936646</v>
      </c>
      <c r="M1235" s="10">
        <v>2.3615294697753475E-2</v>
      </c>
    </row>
    <row r="1236" spans="9:13" x14ac:dyDescent="0.35">
      <c r="I1236">
        <v>1232</v>
      </c>
      <c r="J1236" s="7">
        <v>5.9018287807703018E-2</v>
      </c>
      <c r="K1236">
        <v>2.4197984486818314E-2</v>
      </c>
      <c r="L1236">
        <v>0.35917654633522034</v>
      </c>
      <c r="M1236" s="10">
        <v>2.509961940505423E-2</v>
      </c>
    </row>
    <row r="1237" spans="9:13" x14ac:dyDescent="0.35">
      <c r="I1237">
        <v>1233</v>
      </c>
      <c r="J1237" s="7">
        <v>4.739721491932869E-2</v>
      </c>
      <c r="K1237">
        <v>2.027427963912487E-2</v>
      </c>
      <c r="L1237">
        <v>0.36445769667625427</v>
      </c>
      <c r="M1237" s="10">
        <v>2.0748065045408715E-2</v>
      </c>
    </row>
    <row r="1238" spans="9:13" x14ac:dyDescent="0.35">
      <c r="I1238">
        <v>1234</v>
      </c>
      <c r="J1238" s="7">
        <v>6.442541629076004E-2</v>
      </c>
      <c r="K1238">
        <v>2.6378387585282326E-2</v>
      </c>
      <c r="L1238">
        <v>0.36287522315979004</v>
      </c>
      <c r="M1238" s="10">
        <v>2.7124338959747751E-2</v>
      </c>
    </row>
    <row r="1239" spans="9:13" x14ac:dyDescent="0.35">
      <c r="I1239">
        <v>1235</v>
      </c>
      <c r="J1239" s="7">
        <v>5.7164814323186874E-2</v>
      </c>
      <c r="K1239">
        <v>2.4019241333007813E-2</v>
      </c>
      <c r="L1239">
        <v>0.36769542098045349</v>
      </c>
      <c r="M1239" s="10">
        <v>2.4405579302259395E-2</v>
      </c>
    </row>
    <row r="1240" spans="9:13" x14ac:dyDescent="0.35">
      <c r="I1240">
        <v>1236</v>
      </c>
      <c r="J1240" s="7">
        <v>6.5141208469867706E-2</v>
      </c>
      <c r="K1240">
        <v>2.6164064183831215E-2</v>
      </c>
      <c r="L1240">
        <v>0.35559770464897156</v>
      </c>
      <c r="M1240" s="10">
        <v>2.7392370027749413E-2</v>
      </c>
    </row>
    <row r="1241" spans="9:13" x14ac:dyDescent="0.35">
      <c r="I1241">
        <v>1237</v>
      </c>
      <c r="J1241" s="7">
        <v>5.3644072264432907E-2</v>
      </c>
      <c r="K1241">
        <v>2.3018408566713333E-2</v>
      </c>
      <c r="L1241">
        <v>0.37317094206809998</v>
      </c>
      <c r="M1241" s="10">
        <v>2.3087224224193847E-2</v>
      </c>
    </row>
    <row r="1242" spans="9:13" x14ac:dyDescent="0.35">
      <c r="I1242">
        <v>1238</v>
      </c>
      <c r="J1242" s="7">
        <v>5.2799329161643982E-2</v>
      </c>
      <c r="K1242">
        <v>2.2149993106722832E-2</v>
      </c>
      <c r="L1242">
        <v>0.36269387602806091</v>
      </c>
      <c r="M1242" s="10">
        <v>2.2770906998836882E-2</v>
      </c>
    </row>
    <row r="1243" spans="9:13" x14ac:dyDescent="0.35">
      <c r="I1243">
        <v>1239</v>
      </c>
      <c r="J1243" s="7">
        <v>5.512373149394989E-2</v>
      </c>
      <c r="K1243">
        <v>2.33573317527771E-2</v>
      </c>
      <c r="L1243">
        <v>0.36930251121520996</v>
      </c>
      <c r="M1243" s="10">
        <v>2.3641288176192266E-2</v>
      </c>
    </row>
    <row r="1244" spans="9:13" x14ac:dyDescent="0.35">
      <c r="I1244">
        <v>1240</v>
      </c>
      <c r="J1244" s="7">
        <v>5.3188756108283997E-2</v>
      </c>
      <c r="K1244">
        <v>2.2751772776246071E-2</v>
      </c>
      <c r="L1244">
        <v>0.37135240435600281</v>
      </c>
      <c r="M1244" s="10">
        <v>2.2916729380616285E-2</v>
      </c>
    </row>
    <row r="1245" spans="9:13" x14ac:dyDescent="0.35">
      <c r="I1245">
        <v>1241</v>
      </c>
      <c r="J1245" s="7">
        <v>5.7606007903814316E-2</v>
      </c>
      <c r="K1245">
        <v>2.4233398959040642E-2</v>
      </c>
      <c r="L1245">
        <v>0.36859694123268127</v>
      </c>
      <c r="M1245" s="10">
        <v>2.4570785894427627E-2</v>
      </c>
    </row>
    <row r="1246" spans="9:13" x14ac:dyDescent="0.35">
      <c r="I1246">
        <v>1242</v>
      </c>
      <c r="J1246" s="7">
        <v>4.1108708828687668E-2</v>
      </c>
      <c r="K1246">
        <v>1.640048436820507E-2</v>
      </c>
      <c r="L1246">
        <v>0.32597678899765015</v>
      </c>
      <c r="M1246" s="10">
        <v>1.8393310337539881E-2</v>
      </c>
    </row>
    <row r="1247" spans="9:13" x14ac:dyDescent="0.35">
      <c r="I1247">
        <v>1243</v>
      </c>
      <c r="J1247" s="7">
        <v>5.845705047249794E-2</v>
      </c>
      <c r="K1247">
        <v>2.3988831788301468E-2</v>
      </c>
      <c r="L1247">
        <v>0.3590470552444458</v>
      </c>
      <c r="M1247" s="10">
        <v>2.4889461978432226E-2</v>
      </c>
    </row>
    <row r="1248" spans="9:13" x14ac:dyDescent="0.35">
      <c r="I1248">
        <v>1244</v>
      </c>
      <c r="J1248" s="7">
        <v>6.2085568904876709E-2</v>
      </c>
      <c r="K1248">
        <v>2.2321389988064766E-2</v>
      </c>
      <c r="L1248">
        <v>0.31120580434799194</v>
      </c>
      <c r="M1248" s="10">
        <v>2.6248174324111417E-2</v>
      </c>
    </row>
    <row r="1249" spans="9:13" x14ac:dyDescent="0.35">
      <c r="I1249">
        <v>1245</v>
      </c>
      <c r="J1249" s="7">
        <v>6.732504814863205E-2</v>
      </c>
      <c r="K1249">
        <v>2.6204105466604233E-2</v>
      </c>
      <c r="L1249">
        <v>0.34465783834457397</v>
      </c>
      <c r="M1249" s="10">
        <v>2.8210116991921774E-2</v>
      </c>
    </row>
    <row r="1250" spans="9:13" x14ac:dyDescent="0.35">
      <c r="I1250">
        <v>1246</v>
      </c>
      <c r="J1250" s="7">
        <v>6.9346621632575989E-2</v>
      </c>
      <c r="K1250">
        <v>2.6764685288071632E-2</v>
      </c>
      <c r="L1250">
        <v>0.34269419312477112</v>
      </c>
      <c r="M1250" s="10">
        <v>2.8967102770420805E-2</v>
      </c>
    </row>
    <row r="1251" spans="9:13" x14ac:dyDescent="0.35">
      <c r="I1251">
        <v>1247</v>
      </c>
      <c r="J1251" s="7">
        <v>4.6724665910005569E-2</v>
      </c>
      <c r="K1251">
        <v>2.0117273554205894E-2</v>
      </c>
      <c r="L1251">
        <v>0.36634340882301331</v>
      </c>
      <c r="M1251" s="10">
        <v>2.0496226544634566E-2</v>
      </c>
    </row>
    <row r="1252" spans="9:13" x14ac:dyDescent="0.35">
      <c r="I1252">
        <v>1248</v>
      </c>
      <c r="J1252" s="7">
        <v>4.8413168638944626E-2</v>
      </c>
      <c r="K1252">
        <v>2.0587947219610214E-2</v>
      </c>
      <c r="L1252">
        <v>0.36328849196434021</v>
      </c>
      <c r="M1252" s="10">
        <v>2.1128492728829884E-2</v>
      </c>
    </row>
    <row r="1253" spans="9:13" x14ac:dyDescent="0.35">
      <c r="I1253">
        <v>1249</v>
      </c>
      <c r="J1253" s="7">
        <v>5.8506403118371964E-2</v>
      </c>
      <c r="K1253">
        <v>2.461102232336998E-2</v>
      </c>
      <c r="L1253">
        <v>0.36937874555587769</v>
      </c>
      <c r="M1253" s="10">
        <v>2.4907942261911731E-2</v>
      </c>
    </row>
    <row r="1254" spans="9:13" x14ac:dyDescent="0.35">
      <c r="I1254">
        <v>1250</v>
      </c>
      <c r="J1254" s="7">
        <v>5.590507760643959E-2</v>
      </c>
      <c r="K1254">
        <v>2.257915586233139E-2</v>
      </c>
      <c r="L1254">
        <v>0.3502214252948761</v>
      </c>
      <c r="M1254" s="10">
        <v>2.3933866160588013E-2</v>
      </c>
    </row>
    <row r="1255" spans="9:13" x14ac:dyDescent="0.35">
      <c r="I1255">
        <v>1251</v>
      </c>
      <c r="J1255" s="7">
        <v>7.3887430131435394E-2</v>
      </c>
      <c r="K1255">
        <v>2.7087679132819176E-2</v>
      </c>
      <c r="L1255">
        <v>0.32600510120391846</v>
      </c>
      <c r="M1255" s="10">
        <v>3.0667425555530814E-2</v>
      </c>
    </row>
    <row r="1256" spans="9:13" x14ac:dyDescent="0.35">
      <c r="I1256">
        <v>1252</v>
      </c>
      <c r="J1256" s="7">
        <v>5.923740565776825E-2</v>
      </c>
      <c r="K1256">
        <v>2.447914145886898E-2</v>
      </c>
      <c r="L1256">
        <v>0.36259421706199646</v>
      </c>
      <c r="M1256" s="10">
        <v>2.5181668906411492E-2</v>
      </c>
    </row>
    <row r="1257" spans="9:13" x14ac:dyDescent="0.35">
      <c r="I1257">
        <v>1253</v>
      </c>
      <c r="J1257" s="7">
        <v>5.7371325790882111E-2</v>
      </c>
      <c r="K1257">
        <v>2.3977210745215416E-2</v>
      </c>
      <c r="L1257">
        <v>0.36563929915428162</v>
      </c>
      <c r="M1257" s="10">
        <v>2.4482908296423522E-2</v>
      </c>
    </row>
    <row r="1258" spans="9:13" x14ac:dyDescent="0.35">
      <c r="I1258">
        <v>1254</v>
      </c>
      <c r="J1258" s="7">
        <v>5.8669105172157288E-2</v>
      </c>
      <c r="K1258">
        <v>2.3359175771474838E-2</v>
      </c>
      <c r="L1258">
        <v>0.34701699018478394</v>
      </c>
      <c r="M1258" s="10">
        <v>2.4968866656610356E-2</v>
      </c>
    </row>
    <row r="1259" spans="9:13" x14ac:dyDescent="0.35">
      <c r="I1259">
        <v>1255</v>
      </c>
      <c r="J1259" s="7">
        <v>5.2155584096908569E-2</v>
      </c>
      <c r="K1259">
        <v>2.2129366174340248E-2</v>
      </c>
      <c r="L1259">
        <v>0.3667750358581543</v>
      </c>
      <c r="M1259" s="10">
        <v>2.2529854243221514E-2</v>
      </c>
    </row>
    <row r="1260" spans="9:13" x14ac:dyDescent="0.35">
      <c r="I1260">
        <v>1256</v>
      </c>
      <c r="J1260" s="7">
        <v>5.7947751134634018E-2</v>
      </c>
      <c r="K1260">
        <v>2.4606609717011452E-2</v>
      </c>
      <c r="L1260">
        <v>0.37286365032196045</v>
      </c>
      <c r="M1260" s="10">
        <v>2.4698752929850021E-2</v>
      </c>
    </row>
    <row r="1261" spans="9:13" x14ac:dyDescent="0.35">
      <c r="I1261">
        <v>1257</v>
      </c>
      <c r="J1261" s="7">
        <v>6.2420349568128586E-2</v>
      </c>
      <c r="K1261">
        <v>2.4583900347352028E-2</v>
      </c>
      <c r="L1261">
        <v>0.34578308463096619</v>
      </c>
      <c r="M1261" s="10">
        <v>2.6373534199975901E-2</v>
      </c>
    </row>
    <row r="1262" spans="9:13" x14ac:dyDescent="0.35">
      <c r="I1262">
        <v>1258</v>
      </c>
      <c r="J1262" s="7">
        <v>4.7263536602258682E-2</v>
      </c>
      <c r="K1262">
        <v>2.0417196676135063E-2</v>
      </c>
      <c r="L1262">
        <v>0.36851233243942261</v>
      </c>
      <c r="M1262" s="10">
        <v>2.0698008697855985E-2</v>
      </c>
    </row>
    <row r="1263" spans="9:13" x14ac:dyDescent="0.35">
      <c r="I1263">
        <v>1259</v>
      </c>
      <c r="J1263" s="7">
        <v>6.0495994985103607E-2</v>
      </c>
      <c r="K1263">
        <v>2.4236852303147316E-2</v>
      </c>
      <c r="L1263">
        <v>0.35104557871818542</v>
      </c>
      <c r="M1263" s="10">
        <v>2.5652952403811158E-2</v>
      </c>
    </row>
    <row r="1264" spans="9:13" x14ac:dyDescent="0.35">
      <c r="I1264">
        <v>1260</v>
      </c>
      <c r="J1264" s="7">
        <v>5.4145358502864838E-2</v>
      </c>
      <c r="K1264">
        <v>2.3076830431818962E-2</v>
      </c>
      <c r="L1264">
        <v>0.37079504132270813</v>
      </c>
      <c r="M1264" s="10">
        <v>2.3274932737618714E-2</v>
      </c>
    </row>
    <row r="1265" spans="9:13" x14ac:dyDescent="0.35">
      <c r="I1265">
        <v>1261</v>
      </c>
      <c r="J1265" s="7">
        <v>4.684453085064888E-2</v>
      </c>
      <c r="K1265">
        <v>2.0014336332678795E-2</v>
      </c>
      <c r="L1265">
        <v>0.3632085919380188</v>
      </c>
      <c r="M1265" s="10">
        <v>2.0541110421539499E-2</v>
      </c>
    </row>
    <row r="1266" spans="9:13" x14ac:dyDescent="0.35">
      <c r="I1266">
        <v>1262</v>
      </c>
      <c r="J1266" s="7">
        <v>5.8514904230833054E-2</v>
      </c>
      <c r="K1266">
        <v>2.415161207318306E-2</v>
      </c>
      <c r="L1266">
        <v>0.36147391796112061</v>
      </c>
      <c r="M1266" s="10">
        <v>2.4911125535379441E-2</v>
      </c>
    </row>
    <row r="1267" spans="9:13" x14ac:dyDescent="0.35">
      <c r="I1267">
        <v>1263</v>
      </c>
      <c r="J1267" s="7">
        <v>5.9800338000059128E-2</v>
      </c>
      <c r="K1267">
        <v>2.3508312180638313E-2</v>
      </c>
      <c r="L1267">
        <v>0.34294643998146057</v>
      </c>
      <c r="M1267" s="10">
        <v>2.539246103479853E-2</v>
      </c>
    </row>
    <row r="1268" spans="9:13" x14ac:dyDescent="0.35">
      <c r="I1268">
        <v>1264</v>
      </c>
      <c r="J1268" s="7">
        <v>6.6585004329681396E-2</v>
      </c>
      <c r="K1268">
        <v>2.6360331103205681E-2</v>
      </c>
      <c r="L1268">
        <v>0.35083472728729248</v>
      </c>
      <c r="M1268" s="10">
        <v>2.7933004806358852E-2</v>
      </c>
    </row>
    <row r="1269" spans="9:13" x14ac:dyDescent="0.35">
      <c r="I1269">
        <v>1265</v>
      </c>
      <c r="J1269" s="7">
        <v>4.7607254236936569E-2</v>
      </c>
      <c r="K1269">
        <v>2.0202688872814178E-2</v>
      </c>
      <c r="L1269">
        <v>0.36134594678878784</v>
      </c>
      <c r="M1269" s="10">
        <v>2.0826715056213474E-2</v>
      </c>
    </row>
    <row r="1270" spans="9:13" x14ac:dyDescent="0.35">
      <c r="I1270">
        <v>1266</v>
      </c>
      <c r="J1270" s="7">
        <v>5.576556921005249E-2</v>
      </c>
      <c r="K1270">
        <v>2.3566607385873795E-2</v>
      </c>
      <c r="L1270">
        <v>0.36880475282669067</v>
      </c>
      <c r="M1270" s="10">
        <v>2.3881626717953353E-2</v>
      </c>
    </row>
    <row r="1271" spans="9:13" x14ac:dyDescent="0.35">
      <c r="I1271">
        <v>1267</v>
      </c>
      <c r="J1271" s="7">
        <v>5.2571889013051987E-2</v>
      </c>
      <c r="K1271">
        <v>2.1348407492041588E-2</v>
      </c>
      <c r="L1271">
        <v>0.34901556372642517</v>
      </c>
      <c r="M1271" s="10">
        <v>2.2685741181560748E-2</v>
      </c>
    </row>
    <row r="1272" spans="9:13" x14ac:dyDescent="0.35">
      <c r="I1272">
        <v>1268</v>
      </c>
      <c r="J1272" s="7">
        <v>4.9098793417215347E-2</v>
      </c>
      <c r="K1272">
        <v>2.0263079553842545E-2</v>
      </c>
      <c r="L1272">
        <v>0.35159885883331299</v>
      </c>
      <c r="M1272" s="10">
        <v>2.1385227500362869E-2</v>
      </c>
    </row>
    <row r="1273" spans="9:13" x14ac:dyDescent="0.35">
      <c r="I1273">
        <v>1269</v>
      </c>
      <c r="J1273" s="7">
        <v>5.8407817035913467E-2</v>
      </c>
      <c r="K1273">
        <v>2.4577144533395767E-2</v>
      </c>
      <c r="L1273">
        <v>0.36942219734191895</v>
      </c>
      <c r="M1273" s="10">
        <v>2.4871026333318613E-2</v>
      </c>
    </row>
    <row r="1274" spans="9:13" x14ac:dyDescent="0.35">
      <c r="I1274">
        <v>1270</v>
      </c>
      <c r="J1274" s="7">
        <v>5.0363887101411819E-2</v>
      </c>
      <c r="K1274">
        <v>2.180265448987484E-2</v>
      </c>
      <c r="L1274">
        <v>0.37333604693412781</v>
      </c>
      <c r="M1274" s="10">
        <v>2.1858946578601546E-2</v>
      </c>
    </row>
    <row r="1275" spans="9:13" x14ac:dyDescent="0.35">
      <c r="I1275">
        <v>1271</v>
      </c>
      <c r="J1275" s="7">
        <v>5.668611079454422E-2</v>
      </c>
      <c r="K1275">
        <v>2.3880932480096817E-2</v>
      </c>
      <c r="L1275">
        <v>0.36836063861846924</v>
      </c>
      <c r="M1275" s="10">
        <v>2.4226326969273293E-2</v>
      </c>
    </row>
    <row r="1276" spans="9:13" x14ac:dyDescent="0.35">
      <c r="I1276">
        <v>1272</v>
      </c>
      <c r="J1276" s="7">
        <v>6.6280744969844818E-2</v>
      </c>
      <c r="K1276">
        <v>2.6787912473082542E-2</v>
      </c>
      <c r="L1276">
        <v>0.35889628529548645</v>
      </c>
      <c r="M1276" s="10">
        <v>2.7819073747111789E-2</v>
      </c>
    </row>
    <row r="1277" spans="9:13" x14ac:dyDescent="0.35">
      <c r="I1277">
        <v>1273</v>
      </c>
      <c r="J1277" s="7">
        <v>5.305805429816246E-2</v>
      </c>
      <c r="K1277">
        <v>2.2359881550073624E-2</v>
      </c>
      <c r="L1277">
        <v>0.36488109827041626</v>
      </c>
      <c r="M1277" s="10">
        <v>2.2867787597261935E-2</v>
      </c>
    </row>
    <row r="1278" spans="9:13" x14ac:dyDescent="0.35">
      <c r="I1278">
        <v>1274</v>
      </c>
      <c r="J1278" s="7">
        <v>5.8974429965019226E-2</v>
      </c>
      <c r="K1278">
        <v>2.4031311273574829E-2</v>
      </c>
      <c r="L1278">
        <v>0.35661745071411133</v>
      </c>
      <c r="M1278" s="10">
        <v>2.5083196671252583E-2</v>
      </c>
    </row>
    <row r="1279" spans="9:13" x14ac:dyDescent="0.35">
      <c r="I1279">
        <v>1275</v>
      </c>
      <c r="J1279" s="7">
        <v>4.0731858462095261E-2</v>
      </c>
      <c r="K1279">
        <v>1.4237722381949425E-2</v>
      </c>
      <c r="L1279">
        <v>0.27589514851570129</v>
      </c>
      <c r="M1279" s="10">
        <v>1.8252197303362139E-2</v>
      </c>
    </row>
    <row r="1280" spans="9:13" x14ac:dyDescent="0.35">
      <c r="I1280">
        <v>1276</v>
      </c>
      <c r="J1280" s="7">
        <v>5.4321397095918655E-2</v>
      </c>
      <c r="K1280">
        <v>2.2858919575810432E-2</v>
      </c>
      <c r="L1280">
        <v>0.36558189988136292</v>
      </c>
      <c r="M1280" s="10">
        <v>2.3340851049501565E-2</v>
      </c>
    </row>
    <row r="1281" spans="9:13" x14ac:dyDescent="0.35">
      <c r="I1281">
        <v>1277</v>
      </c>
      <c r="J1281" s="7">
        <v>5.3792867809534073E-2</v>
      </c>
      <c r="K1281">
        <v>2.2614441812038422E-2</v>
      </c>
      <c r="L1281">
        <v>0.36462903022766113</v>
      </c>
      <c r="M1281" s="10">
        <v>2.3142941274521323E-2</v>
      </c>
    </row>
    <row r="1282" spans="9:13" x14ac:dyDescent="0.35">
      <c r="I1282">
        <v>1278</v>
      </c>
      <c r="J1282" s="7">
        <v>4.5229930430650711E-2</v>
      </c>
      <c r="K1282">
        <v>1.8769359216094017E-2</v>
      </c>
      <c r="L1282">
        <v>0.34864875674247742</v>
      </c>
      <c r="M1282" s="10">
        <v>1.9936517234299678E-2</v>
      </c>
    </row>
    <row r="1283" spans="9:13" x14ac:dyDescent="0.35">
      <c r="I1283">
        <v>1279</v>
      </c>
      <c r="J1283" s="7">
        <v>5.9880666434764862E-2</v>
      </c>
      <c r="K1283">
        <v>2.4110622704029083E-2</v>
      </c>
      <c r="L1283">
        <v>0.3525448739528656</v>
      </c>
      <c r="M1283" s="10">
        <v>2.5422540318665421E-2</v>
      </c>
    </row>
    <row r="1284" spans="9:13" x14ac:dyDescent="0.35">
      <c r="I1284">
        <v>1280</v>
      </c>
      <c r="J1284" s="7">
        <v>5.0042122602462769E-2</v>
      </c>
      <c r="K1284">
        <v>1.9440095871686935E-2</v>
      </c>
      <c r="L1284">
        <v>0.32852515578269958</v>
      </c>
      <c r="M1284" s="10">
        <v>2.1738460654312952E-2</v>
      </c>
    </row>
    <row r="1285" spans="9:13" x14ac:dyDescent="0.35">
      <c r="I1285">
        <v>1281</v>
      </c>
      <c r="J1285" s="7">
        <v>8.5878513753414154E-2</v>
      </c>
      <c r="K1285">
        <v>3.1104641035199165E-2</v>
      </c>
      <c r="L1285">
        <v>0.32726043462753296</v>
      </c>
      <c r="M1285" s="10">
        <v>3.5157531823110988E-2</v>
      </c>
    </row>
    <row r="1286" spans="9:13" x14ac:dyDescent="0.35">
      <c r="I1286">
        <v>1282</v>
      </c>
      <c r="J1286" s="7">
        <v>4.6690735965967178E-2</v>
      </c>
      <c r="K1286">
        <v>1.9717838615179062E-2</v>
      </c>
      <c r="L1286">
        <v>0.35805472731590271</v>
      </c>
      <c r="M1286" s="10">
        <v>2.0483521349742406E-2</v>
      </c>
    </row>
    <row r="1287" spans="9:13" x14ac:dyDescent="0.35">
      <c r="I1287">
        <v>1283</v>
      </c>
      <c r="J1287" s="7">
        <v>7.5014814734458923E-2</v>
      </c>
      <c r="K1287">
        <v>2.727123536169529E-2</v>
      </c>
      <c r="L1287">
        <v>0.32355254888534546</v>
      </c>
      <c r="M1287" s="10">
        <v>3.108957895147002E-2</v>
      </c>
    </row>
    <row r="1288" spans="9:13" x14ac:dyDescent="0.35">
      <c r="I1288">
        <v>1284</v>
      </c>
      <c r="J1288" s="7">
        <v>4.6920109540224075E-2</v>
      </c>
      <c r="K1288">
        <v>1.9218025729060173E-2</v>
      </c>
      <c r="L1288">
        <v>0.34565192461013794</v>
      </c>
      <c r="M1288" s="10">
        <v>2.0569411145515359E-2</v>
      </c>
    </row>
    <row r="1289" spans="9:13" x14ac:dyDescent="0.35">
      <c r="I1289">
        <v>1285</v>
      </c>
      <c r="J1289" s="7">
        <v>5.3466085344552994E-2</v>
      </c>
      <c r="K1289">
        <v>2.2814808413386345E-2</v>
      </c>
      <c r="L1289">
        <v>0.37060517072677612</v>
      </c>
      <c r="M1289" s="10">
        <v>2.302057635401844E-2</v>
      </c>
    </row>
    <row r="1290" spans="9:13" x14ac:dyDescent="0.35">
      <c r="I1290">
        <v>1286</v>
      </c>
      <c r="J1290" s="7">
        <v>7.0520117878913879E-2</v>
      </c>
      <c r="K1290">
        <v>2.637772262096405E-2</v>
      </c>
      <c r="L1290">
        <v>0.33150431513786316</v>
      </c>
      <c r="M1290" s="10">
        <v>2.9406522844266814E-2</v>
      </c>
    </row>
    <row r="1291" spans="9:13" x14ac:dyDescent="0.35">
      <c r="I1291">
        <v>1287</v>
      </c>
      <c r="J1291" s="7">
        <v>6.6210083663463593E-2</v>
      </c>
      <c r="K1291">
        <v>2.6697594672441483E-2</v>
      </c>
      <c r="L1291">
        <v>0.35791519284248352</v>
      </c>
      <c r="M1291" s="10">
        <v>2.7792614355728995E-2</v>
      </c>
    </row>
    <row r="1292" spans="9:13" x14ac:dyDescent="0.35">
      <c r="I1292">
        <v>1288</v>
      </c>
      <c r="J1292" s="7">
        <v>5.4862603545188904E-2</v>
      </c>
      <c r="K1292">
        <v>2.3168444633483887E-2</v>
      </c>
      <c r="L1292">
        <v>0.36761733889579773</v>
      </c>
      <c r="M1292" s="10">
        <v>2.3543507835704691E-2</v>
      </c>
    </row>
    <row r="1293" spans="9:13" x14ac:dyDescent="0.35">
      <c r="I1293">
        <v>1289</v>
      </c>
      <c r="J1293" s="7">
        <v>5.6089013814926147E-2</v>
      </c>
      <c r="K1293">
        <v>2.3375233635306358E-2</v>
      </c>
      <c r="L1293">
        <v>0.36326602101325989</v>
      </c>
      <c r="M1293" s="10">
        <v>2.4002741764211244E-2</v>
      </c>
    </row>
    <row r="1294" spans="9:13" x14ac:dyDescent="0.35">
      <c r="I1294">
        <v>1290</v>
      </c>
      <c r="J1294" s="7">
        <v>6.8724647164344788E-2</v>
      </c>
      <c r="K1294">
        <v>2.6036990806460381E-2</v>
      </c>
      <c r="L1294">
        <v>0.33520710468292236</v>
      </c>
      <c r="M1294" s="10">
        <v>2.873420209637656E-2</v>
      </c>
    </row>
    <row r="1295" spans="9:13" x14ac:dyDescent="0.35">
      <c r="I1295">
        <v>1291</v>
      </c>
      <c r="J1295" s="7">
        <v>7.6415151357650757E-2</v>
      </c>
      <c r="K1295">
        <v>2.9294110834598541E-2</v>
      </c>
      <c r="L1295">
        <v>0.34409552812576294</v>
      </c>
      <c r="M1295" s="10">
        <v>3.1613940255813766E-2</v>
      </c>
    </row>
    <row r="1296" spans="9:13" x14ac:dyDescent="0.35">
      <c r="I1296">
        <v>1292</v>
      </c>
      <c r="J1296" s="7">
        <v>5.9427578002214432E-2</v>
      </c>
      <c r="K1296">
        <v>2.4325735867023468E-2</v>
      </c>
      <c r="L1296">
        <v>0.35885250568389893</v>
      </c>
      <c r="M1296" s="10">
        <v>2.5252879654550475E-2</v>
      </c>
    </row>
    <row r="1297" spans="9:13" x14ac:dyDescent="0.35">
      <c r="I1297">
        <v>1293</v>
      </c>
      <c r="J1297" s="7">
        <v>6.020750105381012E-2</v>
      </c>
      <c r="K1297">
        <v>2.3820251226425171E-2</v>
      </c>
      <c r="L1297">
        <v>0.34580826759338379</v>
      </c>
      <c r="M1297" s="10">
        <v>2.5544924768453381E-2</v>
      </c>
    </row>
    <row r="1298" spans="9:13" x14ac:dyDescent="0.35">
      <c r="I1298">
        <v>1294</v>
      </c>
      <c r="J1298" s="7">
        <v>5.6887350976467133E-2</v>
      </c>
      <c r="K1298">
        <v>2.384786494076252E-2</v>
      </c>
      <c r="L1298">
        <v>0.36647629737854004</v>
      </c>
      <c r="M1298" s="10">
        <v>2.430168211069561E-2</v>
      </c>
    </row>
    <row r="1299" spans="9:13" x14ac:dyDescent="0.35">
      <c r="I1299">
        <v>1295</v>
      </c>
      <c r="J1299" s="7">
        <v>5.5951666086912155E-2</v>
      </c>
      <c r="K1299">
        <v>2.2939998656511307E-2</v>
      </c>
      <c r="L1299">
        <v>0.35637900233268738</v>
      </c>
      <c r="M1299" s="10">
        <v>2.3951311391958385E-2</v>
      </c>
    </row>
    <row r="1300" spans="9:13" x14ac:dyDescent="0.35">
      <c r="I1300">
        <v>1296</v>
      </c>
      <c r="J1300" s="7">
        <v>6.2073245644569397E-2</v>
      </c>
      <c r="K1300">
        <v>2.4039359763264656E-2</v>
      </c>
      <c r="L1300">
        <v>0.33894407749176025</v>
      </c>
      <c r="M1300" s="10">
        <v>2.6243559833037278E-2</v>
      </c>
    </row>
    <row r="1301" spans="9:13" x14ac:dyDescent="0.35">
      <c r="I1301">
        <v>1297</v>
      </c>
      <c r="J1301" s="7">
        <v>6.7352227866649628E-2</v>
      </c>
      <c r="K1301">
        <v>2.5085415691137314E-2</v>
      </c>
      <c r="L1301">
        <v>0.3279092013835907</v>
      </c>
      <c r="M1301" s="10">
        <v>2.822029453934527E-2</v>
      </c>
    </row>
    <row r="1302" spans="9:13" x14ac:dyDescent="0.35">
      <c r="I1302">
        <v>1298</v>
      </c>
      <c r="J1302" s="7">
        <v>5.5098988115787506E-2</v>
      </c>
      <c r="K1302">
        <v>2.3272784426808357E-2</v>
      </c>
      <c r="L1302">
        <v>0.36793386936187744</v>
      </c>
      <c r="M1302" s="10">
        <v>2.3632022925371698E-2</v>
      </c>
    </row>
    <row r="1303" spans="9:13" x14ac:dyDescent="0.35">
      <c r="I1303">
        <v>1299</v>
      </c>
      <c r="J1303" s="7">
        <v>5.0029803067445755E-2</v>
      </c>
      <c r="K1303">
        <v>2.095879428088665E-2</v>
      </c>
      <c r="L1303">
        <v>0.35896191000938416</v>
      </c>
      <c r="M1303" s="10">
        <v>2.1733847558187747E-2</v>
      </c>
    </row>
    <row r="1304" spans="9:13" x14ac:dyDescent="0.35">
      <c r="I1304">
        <v>1300</v>
      </c>
      <c r="J1304" s="7">
        <v>4.9516934901475906E-2</v>
      </c>
      <c r="K1304">
        <v>2.1238220855593681E-2</v>
      </c>
      <c r="L1304">
        <v>0.36832290887832642</v>
      </c>
      <c r="M1304" s="10">
        <v>2.1541802148526634E-2</v>
      </c>
    </row>
    <row r="1305" spans="9:13" x14ac:dyDescent="0.35">
      <c r="I1305">
        <v>1301</v>
      </c>
      <c r="J1305" s="7">
        <v>6.7142561078071594E-2</v>
      </c>
      <c r="K1305">
        <v>2.752201072871685E-2</v>
      </c>
      <c r="L1305">
        <v>0.36522305011749268</v>
      </c>
      <c r="M1305" s="10">
        <v>2.8141784023433924E-2</v>
      </c>
    </row>
    <row r="1306" spans="9:13" x14ac:dyDescent="0.35">
      <c r="I1306">
        <v>1302</v>
      </c>
      <c r="J1306" s="7">
        <v>5.1733255386352539E-2</v>
      </c>
      <c r="K1306">
        <v>2.0613566040992737E-2</v>
      </c>
      <c r="L1306">
        <v>0.34046894311904907</v>
      </c>
      <c r="M1306" s="10">
        <v>2.2371711672455774E-2</v>
      </c>
    </row>
    <row r="1307" spans="9:13" x14ac:dyDescent="0.35">
      <c r="I1307">
        <v>1303</v>
      </c>
      <c r="J1307" s="7">
        <v>7.3375597596168518E-2</v>
      </c>
      <c r="K1307">
        <v>2.8022319078445435E-2</v>
      </c>
      <c r="L1307">
        <v>0.34101688861846924</v>
      </c>
      <c r="M1307" s="10">
        <v>3.0475767941673393E-2</v>
      </c>
    </row>
    <row r="1308" spans="9:13" x14ac:dyDescent="0.35">
      <c r="I1308">
        <v>1304</v>
      </c>
      <c r="J1308" s="7">
        <v>5.6926470249891281E-2</v>
      </c>
      <c r="K1308">
        <v>2.405259944498539E-2</v>
      </c>
      <c r="L1308">
        <v>0.36982092261314392</v>
      </c>
      <c r="M1308" s="10">
        <v>2.4316330469453029E-2</v>
      </c>
    </row>
    <row r="1309" spans="9:13" x14ac:dyDescent="0.35">
      <c r="I1309">
        <v>1305</v>
      </c>
      <c r="J1309" s="7">
        <v>7.281455397605896E-2</v>
      </c>
      <c r="K1309">
        <v>2.8509879484772682E-2</v>
      </c>
      <c r="L1309">
        <v>0.35034039616584778</v>
      </c>
      <c r="M1309" s="10">
        <v>3.0265683052395964E-2</v>
      </c>
    </row>
    <row r="1310" spans="9:13" x14ac:dyDescent="0.35">
      <c r="I1310">
        <v>1306</v>
      </c>
      <c r="J1310" s="7">
        <v>5.4304394870996475E-2</v>
      </c>
      <c r="K1310">
        <v>2.1881302818655968E-2</v>
      </c>
      <c r="L1310">
        <v>0.34769383072853088</v>
      </c>
      <c r="M1310" s="10">
        <v>2.3334484502566144E-2</v>
      </c>
    </row>
    <row r="1311" spans="9:13" x14ac:dyDescent="0.35">
      <c r="I1311">
        <v>1307</v>
      </c>
      <c r="J1311" s="7">
        <v>5.6695189327001572E-2</v>
      </c>
      <c r="K1311">
        <v>2.4113155901432037E-2</v>
      </c>
      <c r="L1311">
        <v>0.37239766120910645</v>
      </c>
      <c r="M1311" s="10">
        <v>2.4229726459825796E-2</v>
      </c>
    </row>
    <row r="1312" spans="9:13" x14ac:dyDescent="0.35">
      <c r="I1312">
        <v>1308</v>
      </c>
      <c r="J1312" s="7">
        <v>5.8826226741075516E-2</v>
      </c>
      <c r="K1312">
        <v>2.4720242246985435E-2</v>
      </c>
      <c r="L1312">
        <v>0.36922720074653625</v>
      </c>
      <c r="M1312" s="10">
        <v>2.5027701417805637E-2</v>
      </c>
    </row>
    <row r="1313" spans="9:13" x14ac:dyDescent="0.35">
      <c r="I1313">
        <v>1309</v>
      </c>
      <c r="J1313" s="7">
        <v>6.0717713087797165E-2</v>
      </c>
      <c r="K1313">
        <v>2.5267546996474266E-2</v>
      </c>
      <c r="L1313">
        <v>0.36673888564109802</v>
      </c>
      <c r="M1313" s="10">
        <v>2.573597557952445E-2</v>
      </c>
    </row>
    <row r="1314" spans="9:13" x14ac:dyDescent="0.35">
      <c r="I1314">
        <v>1310</v>
      </c>
      <c r="J1314" s="7">
        <v>7.3795795440673828E-2</v>
      </c>
      <c r="K1314">
        <v>2.8940208256244659E-2</v>
      </c>
      <c r="L1314">
        <v>0.35151335597038269</v>
      </c>
      <c r="M1314" s="10">
        <v>3.0633112601648804E-2</v>
      </c>
    </row>
    <row r="1315" spans="9:13" x14ac:dyDescent="0.35">
      <c r="I1315">
        <v>1311</v>
      </c>
      <c r="J1315" s="7">
        <v>5.9327393770217896E-2</v>
      </c>
      <c r="K1315">
        <v>2.4654960259795189E-2</v>
      </c>
      <c r="L1315">
        <v>0.36500778794288635</v>
      </c>
      <c r="M1315" s="10">
        <v>2.5215365292864611E-2</v>
      </c>
    </row>
    <row r="1316" spans="9:13" x14ac:dyDescent="0.35">
      <c r="I1316">
        <v>1312</v>
      </c>
      <c r="J1316" s="7">
        <v>6.5617874264717102E-2</v>
      </c>
      <c r="K1316">
        <v>2.7195489034056664E-2</v>
      </c>
      <c r="L1316">
        <v>0.36873319745063782</v>
      </c>
      <c r="M1316" s="10">
        <v>2.757085932366854E-2</v>
      </c>
    </row>
    <row r="1317" spans="9:13" x14ac:dyDescent="0.35">
      <c r="I1317">
        <v>1313</v>
      </c>
      <c r="J1317" s="7">
        <v>6.8319380283355713E-2</v>
      </c>
      <c r="K1317">
        <v>2.7608761563897133E-2</v>
      </c>
      <c r="L1317">
        <v>0.36020177602767944</v>
      </c>
      <c r="M1317" s="10">
        <v>2.8582448391729187E-2</v>
      </c>
    </row>
    <row r="1318" spans="9:13" x14ac:dyDescent="0.35">
      <c r="I1318">
        <v>1314</v>
      </c>
      <c r="J1318" s="7">
        <v>5.6429360061883926E-2</v>
      </c>
      <c r="K1318">
        <v>2.2996058687567711E-2</v>
      </c>
      <c r="L1318">
        <v>0.3543555736541748</v>
      </c>
      <c r="M1318" s="10">
        <v>2.4130185693783335E-2</v>
      </c>
    </row>
    <row r="1319" spans="9:13" x14ac:dyDescent="0.35">
      <c r="I1319">
        <v>1315</v>
      </c>
      <c r="J1319" s="7">
        <v>5.4326210170984268E-2</v>
      </c>
      <c r="K1319">
        <v>2.3210786283016205E-2</v>
      </c>
      <c r="L1319">
        <v>0.37202644348144531</v>
      </c>
      <c r="M1319" s="10">
        <v>2.3342653323524476E-2</v>
      </c>
    </row>
    <row r="1320" spans="9:13" x14ac:dyDescent="0.35">
      <c r="I1320">
        <v>1316</v>
      </c>
      <c r="J1320" s="7">
        <v>5.6129120290279388E-2</v>
      </c>
      <c r="K1320">
        <v>2.3474888876080513E-2</v>
      </c>
      <c r="L1320">
        <v>0.36478191614151001</v>
      </c>
      <c r="M1320" s="10">
        <v>2.401775978443621E-2</v>
      </c>
    </row>
    <row r="1321" spans="9:13" x14ac:dyDescent="0.35">
      <c r="I1321">
        <v>1317</v>
      </c>
      <c r="J1321" s="7">
        <v>7.8900881111621857E-2</v>
      </c>
      <c r="K1321">
        <v>3.0186913907527924E-2</v>
      </c>
      <c r="L1321">
        <v>0.34457045793533325</v>
      </c>
      <c r="M1321" s="10">
        <v>3.2544731091711077E-2</v>
      </c>
    </row>
    <row r="1322" spans="9:13" x14ac:dyDescent="0.35">
      <c r="I1322">
        <v>1318</v>
      </c>
      <c r="J1322" s="7">
        <v>7.5115077197551727E-2</v>
      </c>
      <c r="K1322">
        <v>2.9237285256385803E-2</v>
      </c>
      <c r="L1322">
        <v>0.349294513463974</v>
      </c>
      <c r="M1322" s="10">
        <v>3.1127122607083502E-2</v>
      </c>
    </row>
    <row r="1323" spans="9:13" x14ac:dyDescent="0.35">
      <c r="I1323">
        <v>1319</v>
      </c>
      <c r="J1323" s="7">
        <v>4.5603260397911072E-2</v>
      </c>
      <c r="K1323">
        <v>1.9605623558163643E-2</v>
      </c>
      <c r="L1323">
        <v>0.36413237452507019</v>
      </c>
      <c r="M1323" s="10">
        <v>2.0076312041734656E-2</v>
      </c>
    </row>
    <row r="1324" spans="9:13" x14ac:dyDescent="0.35">
      <c r="I1324">
        <v>1320</v>
      </c>
      <c r="J1324" s="7">
        <v>5.5562719702720642E-2</v>
      </c>
      <c r="K1324">
        <v>2.3659724742174149E-2</v>
      </c>
      <c r="L1324">
        <v>0.37182709574699402</v>
      </c>
      <c r="M1324" s="10">
        <v>2.3805668958591486E-2</v>
      </c>
    </row>
    <row r="1325" spans="9:13" x14ac:dyDescent="0.35">
      <c r="I1325">
        <v>1321</v>
      </c>
      <c r="J1325" s="7">
        <v>6.066909059882164E-2</v>
      </c>
      <c r="K1325">
        <v>2.3172503337264061E-2</v>
      </c>
      <c r="L1325">
        <v>0.33250051736831665</v>
      </c>
      <c r="M1325" s="10">
        <v>2.5717768706036037E-2</v>
      </c>
    </row>
    <row r="1326" spans="9:13" x14ac:dyDescent="0.35">
      <c r="I1326">
        <v>1322</v>
      </c>
      <c r="J1326" s="7">
        <v>5.2699718624353409E-2</v>
      </c>
      <c r="K1326">
        <v>2.1774861961603165E-2</v>
      </c>
      <c r="L1326">
        <v>0.35626113414764404</v>
      </c>
      <c r="M1326" s="10">
        <v>2.2733607459286875E-2</v>
      </c>
    </row>
    <row r="1327" spans="9:13" x14ac:dyDescent="0.35">
      <c r="I1327">
        <v>1323</v>
      </c>
      <c r="J1327" s="7">
        <v>6.9048836827278137E-2</v>
      </c>
      <c r="K1327">
        <v>2.7562269940972328E-2</v>
      </c>
      <c r="L1327">
        <v>0.35572314262390137</v>
      </c>
      <c r="M1327" s="10">
        <v>2.885559613242128E-2</v>
      </c>
    </row>
    <row r="1328" spans="9:13" x14ac:dyDescent="0.35">
      <c r="I1328">
        <v>1324</v>
      </c>
      <c r="J1328" s="7">
        <v>6.9670110940933228E-2</v>
      </c>
      <c r="K1328">
        <v>2.6845391839742661E-2</v>
      </c>
      <c r="L1328">
        <v>0.34226143360137939</v>
      </c>
      <c r="M1328" s="10">
        <v>2.9088234556065906E-2</v>
      </c>
    </row>
    <row r="1329" spans="9:13" x14ac:dyDescent="0.35">
      <c r="I1329">
        <v>1325</v>
      </c>
      <c r="J1329" s="7">
        <v>6.1247680336236954E-2</v>
      </c>
      <c r="K1329">
        <v>2.4758309125900269E-2</v>
      </c>
      <c r="L1329">
        <v>0.35525116324424744</v>
      </c>
      <c r="M1329" s="10">
        <v>2.5934423804793272E-2</v>
      </c>
    </row>
    <row r="1330" spans="9:13" x14ac:dyDescent="0.35">
      <c r="I1330">
        <v>1326</v>
      </c>
      <c r="J1330" s="7">
        <v>5.4083898663520813E-2</v>
      </c>
      <c r="K1330">
        <v>2.2997839376330376E-2</v>
      </c>
      <c r="L1330">
        <v>0.36975586414337158</v>
      </c>
      <c r="M1330" s="10">
        <v>2.325191887010325E-2</v>
      </c>
    </row>
    <row r="1331" spans="9:13" x14ac:dyDescent="0.35">
      <c r="I1331">
        <v>1327</v>
      </c>
      <c r="J1331" s="7">
        <v>4.9747578799724579E-2</v>
      </c>
      <c r="K1331">
        <v>2.115783654153347E-2</v>
      </c>
      <c r="L1331">
        <v>0.36499941349029541</v>
      </c>
      <c r="M1331" s="10">
        <v>2.162816762188613E-2</v>
      </c>
    </row>
    <row r="1332" spans="9:13" x14ac:dyDescent="0.35">
      <c r="I1332">
        <v>1328</v>
      </c>
      <c r="J1332" s="7">
        <v>6.7467138171195984E-2</v>
      </c>
      <c r="K1332">
        <v>2.5391792878508568E-2</v>
      </c>
      <c r="L1332">
        <v>0.33189183473587036</v>
      </c>
      <c r="M1332" s="10">
        <v>2.8263323134167795E-2</v>
      </c>
    </row>
    <row r="1333" spans="9:13" x14ac:dyDescent="0.35">
      <c r="I1333">
        <v>1329</v>
      </c>
      <c r="J1333" s="7">
        <v>5.8801088482141495E-2</v>
      </c>
      <c r="K1333">
        <v>2.2695548832416534E-2</v>
      </c>
      <c r="L1333">
        <v>0.33495211601257324</v>
      </c>
      <c r="M1333" s="10">
        <v>2.5018288302398051E-2</v>
      </c>
    </row>
    <row r="1334" spans="9:13" x14ac:dyDescent="0.35">
      <c r="I1334">
        <v>1330</v>
      </c>
      <c r="J1334" s="7">
        <v>5.4480221122503281E-2</v>
      </c>
      <c r="K1334">
        <v>2.2449586540460587E-2</v>
      </c>
      <c r="L1334">
        <v>0.35700270533561707</v>
      </c>
      <c r="M1334" s="10">
        <v>2.3400323302359749E-2</v>
      </c>
    </row>
    <row r="1335" spans="9:13" x14ac:dyDescent="0.35">
      <c r="I1335">
        <v>1331</v>
      </c>
      <c r="J1335" s="7">
        <v>6.0093715786933899E-2</v>
      </c>
      <c r="K1335">
        <v>2.3685615509748459E-2</v>
      </c>
      <c r="L1335">
        <v>0.34422260522842407</v>
      </c>
      <c r="M1335" s="10">
        <v>2.5502317448208967E-2</v>
      </c>
    </row>
    <row r="1336" spans="9:13" x14ac:dyDescent="0.35">
      <c r="I1336">
        <v>1332</v>
      </c>
      <c r="J1336" s="7">
        <v>5.4061591625213623E-2</v>
      </c>
      <c r="K1336">
        <v>2.309320867061615E-2</v>
      </c>
      <c r="L1336">
        <v>0.37167254090309143</v>
      </c>
      <c r="M1336" s="10">
        <v>2.3243565915885611E-2</v>
      </c>
    </row>
    <row r="1337" spans="9:13" x14ac:dyDescent="0.35">
      <c r="I1337">
        <v>1333</v>
      </c>
      <c r="J1337" s="7">
        <v>7.3248535394668579E-2</v>
      </c>
      <c r="K1337">
        <v>2.7406228706240654E-2</v>
      </c>
      <c r="L1337">
        <v>0.33319750428199768</v>
      </c>
      <c r="M1337" s="10">
        <v>3.0428189023427699E-2</v>
      </c>
    </row>
    <row r="1338" spans="9:13" x14ac:dyDescent="0.35">
      <c r="I1338">
        <v>1334</v>
      </c>
      <c r="J1338" s="7">
        <v>6.3760094344615936E-2</v>
      </c>
      <c r="K1338">
        <v>2.5657907128334045E-2</v>
      </c>
      <c r="L1338">
        <v>0.35536187887191772</v>
      </c>
      <c r="M1338" s="10">
        <v>2.6875206659905837E-2</v>
      </c>
    </row>
    <row r="1339" spans="9:13" x14ac:dyDescent="0.35">
      <c r="I1339">
        <v>1335</v>
      </c>
      <c r="J1339" s="7">
        <v>4.6363309025764465E-2</v>
      </c>
      <c r="K1339">
        <v>2.0005371421575546E-2</v>
      </c>
      <c r="L1339">
        <v>0.36678510904312134</v>
      </c>
      <c r="M1339" s="10">
        <v>2.0360915103073918E-2</v>
      </c>
    </row>
    <row r="1340" spans="9:13" x14ac:dyDescent="0.35">
      <c r="I1340">
        <v>1336</v>
      </c>
      <c r="J1340" s="7">
        <v>5.9589114040136337E-2</v>
      </c>
      <c r="K1340">
        <v>2.400657907128334E-2</v>
      </c>
      <c r="L1340">
        <v>0.35252377390861511</v>
      </c>
      <c r="M1340" s="10">
        <v>2.5313367430232714E-2</v>
      </c>
    </row>
    <row r="1341" spans="9:13" x14ac:dyDescent="0.35">
      <c r="I1341">
        <v>1337</v>
      </c>
      <c r="J1341" s="7">
        <v>5.5427201092243195E-2</v>
      </c>
      <c r="K1341">
        <v>2.2530782967805862E-2</v>
      </c>
      <c r="L1341">
        <v>0.35236820578575134</v>
      </c>
      <c r="M1341" s="10">
        <v>2.3754923506265291E-2</v>
      </c>
    </row>
    <row r="1342" spans="9:13" x14ac:dyDescent="0.35">
      <c r="I1342">
        <v>1338</v>
      </c>
      <c r="J1342" s="7">
        <v>5.7575859129428864E-2</v>
      </c>
      <c r="K1342">
        <v>2.3329878225922585E-2</v>
      </c>
      <c r="L1342">
        <v>0.35309725999832153</v>
      </c>
      <c r="M1342" s="10">
        <v>2.4559496572703621E-2</v>
      </c>
    </row>
    <row r="1343" spans="9:13" x14ac:dyDescent="0.35">
      <c r="I1343">
        <v>1339</v>
      </c>
      <c r="J1343" s="7">
        <v>6.4587168395519257E-2</v>
      </c>
      <c r="K1343">
        <v>2.4557307362556458E-2</v>
      </c>
      <c r="L1343">
        <v>0.333770751953125</v>
      </c>
      <c r="M1343" s="10">
        <v>2.718490764246817E-2</v>
      </c>
    </row>
    <row r="1344" spans="9:13" x14ac:dyDescent="0.35">
      <c r="I1344">
        <v>1340</v>
      </c>
      <c r="J1344" s="7">
        <v>5.7848598808050156E-2</v>
      </c>
      <c r="K1344">
        <v>2.3665418848395348E-2</v>
      </c>
      <c r="L1344">
        <v>0.35723283886909485</v>
      </c>
      <c r="M1344" s="10">
        <v>2.4661624969018914E-2</v>
      </c>
    </row>
    <row r="1345" spans="9:13" x14ac:dyDescent="0.35">
      <c r="I1345">
        <v>1341</v>
      </c>
      <c r="J1345" s="7">
        <v>6.4767152070999146E-2</v>
      </c>
      <c r="K1345">
        <v>2.5493528693914413E-2</v>
      </c>
      <c r="L1345">
        <v>0.34729841351509094</v>
      </c>
      <c r="M1345" s="10">
        <v>2.7252303205272277E-2</v>
      </c>
    </row>
    <row r="1346" spans="9:13" x14ac:dyDescent="0.35">
      <c r="I1346">
        <v>1342</v>
      </c>
      <c r="J1346" s="7">
        <v>5.7675693184137344E-2</v>
      </c>
      <c r="K1346">
        <v>2.4239117279648781E-2</v>
      </c>
      <c r="L1346">
        <v>0.36825075745582581</v>
      </c>
      <c r="M1346" s="10">
        <v>2.4596879809189676E-2</v>
      </c>
    </row>
    <row r="1347" spans="9:13" x14ac:dyDescent="0.35">
      <c r="I1347">
        <v>1343</v>
      </c>
      <c r="J1347" s="7">
        <v>5.9963688254356384E-2</v>
      </c>
      <c r="K1347">
        <v>2.5328274816274643E-2</v>
      </c>
      <c r="L1347">
        <v>0.37236326932907104</v>
      </c>
      <c r="M1347" s="10">
        <v>2.5453628150611696E-2</v>
      </c>
    </row>
    <row r="1348" spans="9:13" x14ac:dyDescent="0.35">
      <c r="I1348">
        <v>1344</v>
      </c>
      <c r="J1348" s="7">
        <v>5.0749164074659348E-2</v>
      </c>
      <c r="K1348">
        <v>2.0549820736050606E-2</v>
      </c>
      <c r="L1348">
        <v>0.34581497311592102</v>
      </c>
      <c r="M1348" s="10">
        <v>2.2003214987268316E-2</v>
      </c>
    </row>
    <row r="1349" spans="9:13" x14ac:dyDescent="0.35">
      <c r="I1349">
        <v>1345</v>
      </c>
      <c r="J1349" s="7">
        <v>6.1221804469823837E-2</v>
      </c>
      <c r="K1349">
        <v>2.5169860571622849E-2</v>
      </c>
      <c r="L1349">
        <v>0.36212360858917236</v>
      </c>
      <c r="M1349" s="10">
        <v>2.5924734489496726E-2</v>
      </c>
    </row>
    <row r="1350" spans="9:13" x14ac:dyDescent="0.35">
      <c r="I1350">
        <v>1346</v>
      </c>
      <c r="J1350" s="7">
        <v>6.0101483017206192E-2</v>
      </c>
      <c r="K1350">
        <v>2.4309162050485611E-2</v>
      </c>
      <c r="L1350">
        <v>0.35455301403999329</v>
      </c>
      <c r="M1350" s="10">
        <v>2.5505225916736651E-2</v>
      </c>
    </row>
    <row r="1351" spans="9:13" x14ac:dyDescent="0.35">
      <c r="I1351">
        <v>1347</v>
      </c>
      <c r="J1351" s="7">
        <v>6.2634259462356567E-2</v>
      </c>
      <c r="K1351">
        <v>2.5625927373766899E-2</v>
      </c>
      <c r="L1351">
        <v>0.36123883724212646</v>
      </c>
      <c r="M1351" s="10">
        <v>2.6453633562723233E-2</v>
      </c>
    </row>
    <row r="1352" spans="9:13" x14ac:dyDescent="0.35">
      <c r="I1352">
        <v>1348</v>
      </c>
      <c r="J1352" s="7">
        <v>5.1377125084400177E-2</v>
      </c>
      <c r="K1352">
        <v>2.2080095484852791E-2</v>
      </c>
      <c r="L1352">
        <v>0.37137335538864136</v>
      </c>
      <c r="M1352" s="10">
        <v>2.2238357344249726E-2</v>
      </c>
    </row>
    <row r="1353" spans="9:13" x14ac:dyDescent="0.35">
      <c r="I1353">
        <v>1349</v>
      </c>
      <c r="J1353" s="7">
        <v>5.8219116181135178E-2</v>
      </c>
      <c r="K1353">
        <v>2.4361403658986092E-2</v>
      </c>
      <c r="L1353">
        <v>0.36691391468048096</v>
      </c>
      <c r="M1353" s="10">
        <v>2.4800366590008616E-2</v>
      </c>
    </row>
    <row r="1354" spans="9:13" x14ac:dyDescent="0.35">
      <c r="I1354">
        <v>1350</v>
      </c>
      <c r="J1354" s="7">
        <v>6.7359723150730133E-2</v>
      </c>
      <c r="K1354">
        <v>2.6993313804268837E-2</v>
      </c>
      <c r="L1354">
        <v>0.35619673132896423</v>
      </c>
      <c r="M1354" s="10">
        <v>2.8223101176600762E-2</v>
      </c>
    </row>
    <row r="1355" spans="9:13" x14ac:dyDescent="0.35">
      <c r="I1355">
        <v>1351</v>
      </c>
      <c r="J1355" s="7">
        <v>6.3870355486869812E-2</v>
      </c>
      <c r="K1355">
        <v>2.6598883792757988E-2</v>
      </c>
      <c r="L1355">
        <v>0.36948102712631226</v>
      </c>
      <c r="M1355" s="10">
        <v>2.6916494358458554E-2</v>
      </c>
    </row>
    <row r="1356" spans="9:13" x14ac:dyDescent="0.35">
      <c r="I1356">
        <v>1352</v>
      </c>
      <c r="J1356" s="7">
        <v>4.4746354222297668E-2</v>
      </c>
      <c r="K1356">
        <v>1.8467003479599953E-2</v>
      </c>
      <c r="L1356">
        <v>0.3456595242023468</v>
      </c>
      <c r="M1356" s="10">
        <v>1.9755440308107719E-2</v>
      </c>
    </row>
    <row r="1357" spans="9:13" x14ac:dyDescent="0.35">
      <c r="I1357">
        <v>1353</v>
      </c>
      <c r="J1357" s="7">
        <v>6.6410407423973083E-2</v>
      </c>
      <c r="K1357">
        <v>2.5910111144185066E-2</v>
      </c>
      <c r="L1357">
        <v>0.3449777364730835</v>
      </c>
      <c r="M1357" s="10">
        <v>2.7867626339713514E-2</v>
      </c>
    </row>
    <row r="1358" spans="9:13" x14ac:dyDescent="0.35">
      <c r="I1358">
        <v>1354</v>
      </c>
      <c r="J1358" s="7">
        <v>8.4329627454280853E-2</v>
      </c>
      <c r="K1358">
        <v>2.9441958293318748E-2</v>
      </c>
      <c r="L1358">
        <v>0.3135547935962677</v>
      </c>
      <c r="M1358" s="10">
        <v>3.4577545535069421E-2</v>
      </c>
    </row>
    <row r="1359" spans="9:13" x14ac:dyDescent="0.35">
      <c r="I1359">
        <v>1355</v>
      </c>
      <c r="J1359" s="7">
        <v>5.0524987280368805E-2</v>
      </c>
      <c r="K1359">
        <v>2.1417539566755295E-2</v>
      </c>
      <c r="L1359">
        <v>0.36452338099479675</v>
      </c>
      <c r="M1359" s="10">
        <v>2.191927114525849E-2</v>
      </c>
    </row>
    <row r="1360" spans="9:13" x14ac:dyDescent="0.35">
      <c r="I1360">
        <v>1356</v>
      </c>
      <c r="J1360" s="7">
        <v>4.8998534679412842E-2</v>
      </c>
      <c r="K1360">
        <v>2.0932966843247414E-2</v>
      </c>
      <c r="L1360">
        <v>0.36598986387252808</v>
      </c>
      <c r="M1360" s="10">
        <v>2.1347685239698322E-2</v>
      </c>
    </row>
    <row r="1361" spans="9:13" x14ac:dyDescent="0.35">
      <c r="I1361">
        <v>1357</v>
      </c>
      <c r="J1361" s="7">
        <v>5.3035508841276169E-2</v>
      </c>
      <c r="K1361">
        <v>2.2590894252061844E-2</v>
      </c>
      <c r="L1361">
        <v>0.3693920373916626</v>
      </c>
      <c r="M1361" s="10">
        <v>2.2859345366312511E-2</v>
      </c>
    </row>
    <row r="1362" spans="9:13" x14ac:dyDescent="0.35">
      <c r="I1362">
        <v>1358</v>
      </c>
      <c r="J1362" s="7">
        <v>5.1568109542131424E-2</v>
      </c>
      <c r="K1362">
        <v>2.2050557658076286E-2</v>
      </c>
      <c r="L1362">
        <v>0.36942517757415771</v>
      </c>
      <c r="M1362" s="10">
        <v>2.2309872191256352E-2</v>
      </c>
    </row>
    <row r="1363" spans="9:13" x14ac:dyDescent="0.35">
      <c r="I1363">
        <v>1359</v>
      </c>
      <c r="J1363" s="7">
        <v>5.6337747722864151E-2</v>
      </c>
      <c r="K1363">
        <v>2.3832373321056366E-2</v>
      </c>
      <c r="L1363">
        <v>0.36977645754814148</v>
      </c>
      <c r="M1363" s="10">
        <v>2.409588110959493E-2</v>
      </c>
    </row>
    <row r="1364" spans="9:13" x14ac:dyDescent="0.35">
      <c r="I1364">
        <v>1360</v>
      </c>
      <c r="J1364" s="7">
        <v>6.7268267273902893E-2</v>
      </c>
      <c r="K1364">
        <v>2.5919776409864426E-2</v>
      </c>
      <c r="L1364">
        <v>0.34072196483612061</v>
      </c>
      <c r="M1364" s="10">
        <v>2.8188855180267591E-2</v>
      </c>
    </row>
    <row r="1365" spans="9:13" x14ac:dyDescent="0.35">
      <c r="I1365">
        <v>1361</v>
      </c>
      <c r="J1365" s="7">
        <v>5.5449206382036209E-2</v>
      </c>
      <c r="K1365">
        <v>2.2261761128902435E-2</v>
      </c>
      <c r="L1365">
        <v>0.34737667441368103</v>
      </c>
      <c r="M1365" s="10">
        <v>2.3763163469619264E-2</v>
      </c>
    </row>
    <row r="1366" spans="9:13" x14ac:dyDescent="0.35">
      <c r="I1366">
        <v>1362</v>
      </c>
      <c r="J1366" s="7">
        <v>4.1274566203355789E-2</v>
      </c>
      <c r="K1366">
        <v>1.6909105703234673E-2</v>
      </c>
      <c r="L1366">
        <v>0.33698976039886475</v>
      </c>
      <c r="M1366" s="10">
        <v>1.8455416253985724E-2</v>
      </c>
    </row>
    <row r="1367" spans="9:13" x14ac:dyDescent="0.35">
      <c r="I1367">
        <v>1363</v>
      </c>
      <c r="J1367" s="7">
        <v>5.9361487627029419E-2</v>
      </c>
      <c r="K1367">
        <v>2.3532895371317863E-2</v>
      </c>
      <c r="L1367">
        <v>0.345895916223526</v>
      </c>
      <c r="M1367" s="10">
        <v>2.5228131865509873E-2</v>
      </c>
    </row>
    <row r="1368" spans="9:13" x14ac:dyDescent="0.35">
      <c r="I1368">
        <v>1364</v>
      </c>
      <c r="J1368" s="7">
        <v>6.9997511804103851E-2</v>
      </c>
      <c r="K1368">
        <v>2.7864634990692139E-2</v>
      </c>
      <c r="L1368">
        <v>0.35522168874740601</v>
      </c>
      <c r="M1368" s="10">
        <v>2.9210831038091856E-2</v>
      </c>
    </row>
    <row r="1369" spans="9:13" x14ac:dyDescent="0.35">
      <c r="I1369">
        <v>1365</v>
      </c>
      <c r="J1369" s="7">
        <v>6.2881939113140106E-2</v>
      </c>
      <c r="K1369">
        <v>2.5118393823504448E-2</v>
      </c>
      <c r="L1369">
        <v>0.35174477100372314</v>
      </c>
      <c r="M1369" s="10">
        <v>2.6546378137558557E-2</v>
      </c>
    </row>
    <row r="1370" spans="9:13" x14ac:dyDescent="0.35">
      <c r="I1370">
        <v>1366</v>
      </c>
      <c r="J1370" s="7">
        <v>5.9839490801095963E-2</v>
      </c>
      <c r="K1370">
        <v>2.471245639026165E-2</v>
      </c>
      <c r="L1370">
        <v>0.36284494400024414</v>
      </c>
      <c r="M1370" s="10">
        <v>2.5407121948096356E-2</v>
      </c>
    </row>
    <row r="1371" spans="9:13" x14ac:dyDescent="0.35">
      <c r="I1371">
        <v>1367</v>
      </c>
      <c r="J1371" s="7">
        <v>5.5398959666490555E-2</v>
      </c>
      <c r="K1371">
        <v>2.3368416354060173E-2</v>
      </c>
      <c r="L1371">
        <v>0.36766785383224487</v>
      </c>
      <c r="M1371" s="10">
        <v>2.3744348398395565E-2</v>
      </c>
    </row>
    <row r="1372" spans="9:13" x14ac:dyDescent="0.35">
      <c r="I1372">
        <v>1368</v>
      </c>
      <c r="J1372" s="7">
        <v>6.4139418303966522E-2</v>
      </c>
      <c r="K1372">
        <v>2.6067793369293213E-2</v>
      </c>
      <c r="L1372">
        <v>0.35965079069137573</v>
      </c>
      <c r="M1372" s="10">
        <v>2.7017245940175849E-2</v>
      </c>
    </row>
    <row r="1373" spans="9:13" x14ac:dyDescent="0.35">
      <c r="I1373">
        <v>1369</v>
      </c>
      <c r="J1373" s="7">
        <v>5.4835200309753418E-2</v>
      </c>
      <c r="K1373">
        <v>2.3226840421557426E-2</v>
      </c>
      <c r="L1373">
        <v>0.36886599659919739</v>
      </c>
      <c r="M1373" s="10">
        <v>2.3533246591345147E-2</v>
      </c>
    </row>
    <row r="1374" spans="9:13" x14ac:dyDescent="0.35">
      <c r="I1374">
        <v>1370</v>
      </c>
      <c r="J1374" s="7">
        <v>6.327027827501297E-2</v>
      </c>
      <c r="K1374">
        <v>2.5874018669128418E-2</v>
      </c>
      <c r="L1374">
        <v>0.3615286648273468</v>
      </c>
      <c r="M1374" s="10">
        <v>2.6691793194249192E-2</v>
      </c>
    </row>
    <row r="1375" spans="9:13" x14ac:dyDescent="0.35">
      <c r="I1375">
        <v>1371</v>
      </c>
      <c r="J1375" s="7">
        <v>5.5065717548131943E-2</v>
      </c>
      <c r="K1375">
        <v>2.3134315386414528E-2</v>
      </c>
      <c r="L1375">
        <v>0.36564156413078308</v>
      </c>
      <c r="M1375" s="10">
        <v>2.3619564636440882E-2</v>
      </c>
    </row>
    <row r="1376" spans="9:13" x14ac:dyDescent="0.35">
      <c r="I1376">
        <v>1372</v>
      </c>
      <c r="J1376" s="7">
        <v>4.1566707193851471E-2</v>
      </c>
      <c r="K1376">
        <v>1.6886895522475243E-2</v>
      </c>
      <c r="L1376">
        <v>0.33408698439598083</v>
      </c>
      <c r="M1376" s="10">
        <v>1.8564809544350025E-2</v>
      </c>
    </row>
    <row r="1377" spans="9:13" x14ac:dyDescent="0.35">
      <c r="I1377">
        <v>1373</v>
      </c>
      <c r="J1377" s="7">
        <v>5.6681085377931595E-2</v>
      </c>
      <c r="K1377">
        <v>2.3929579183459282E-2</v>
      </c>
      <c r="L1377">
        <v>0.369251549243927</v>
      </c>
      <c r="M1377" s="10">
        <v>2.4224445183161136E-2</v>
      </c>
    </row>
    <row r="1378" spans="9:13" x14ac:dyDescent="0.35">
      <c r="I1378">
        <v>1374</v>
      </c>
      <c r="J1378" s="7">
        <v>6.2307093292474747E-2</v>
      </c>
      <c r="K1378">
        <v>2.473098412156105E-2</v>
      </c>
      <c r="L1378">
        <v>0.34877222776412964</v>
      </c>
      <c r="M1378" s="10">
        <v>2.6331124962480135E-2</v>
      </c>
    </row>
    <row r="1379" spans="9:13" x14ac:dyDescent="0.35">
      <c r="I1379">
        <v>1375</v>
      </c>
      <c r="J1379" s="7">
        <v>5.442316085100174E-2</v>
      </c>
      <c r="K1379">
        <v>2.3190297186374664E-2</v>
      </c>
      <c r="L1379">
        <v>0.37098720669746399</v>
      </c>
      <c r="M1379" s="10">
        <v>2.3378956869535505E-2</v>
      </c>
    </row>
    <row r="1380" spans="9:13" x14ac:dyDescent="0.35">
      <c r="I1380">
        <v>1376</v>
      </c>
      <c r="J1380" s="7">
        <v>5.5472012609243393E-2</v>
      </c>
      <c r="K1380">
        <v>2.2369986400008202E-2</v>
      </c>
      <c r="L1380">
        <v>0.34918484091758728</v>
      </c>
      <c r="M1380" s="10">
        <v>2.3771703346994077E-2</v>
      </c>
    </row>
    <row r="1381" spans="9:13" x14ac:dyDescent="0.35">
      <c r="I1381">
        <v>1377</v>
      </c>
      <c r="J1381" s="7">
        <v>6.2450237572193146E-2</v>
      </c>
      <c r="K1381">
        <v>2.5484848767518997E-2</v>
      </c>
      <c r="L1381">
        <v>0.36004424095153809</v>
      </c>
      <c r="M1381" s="10">
        <v>2.6384725875274517E-2</v>
      </c>
    </row>
    <row r="1382" spans="9:13" x14ac:dyDescent="0.35">
      <c r="I1382">
        <v>1378</v>
      </c>
      <c r="J1382" s="7">
        <v>5.812063068151474E-2</v>
      </c>
      <c r="K1382">
        <v>2.3753132671117783E-2</v>
      </c>
      <c r="L1382">
        <v>0.35706996917724609</v>
      </c>
      <c r="M1382" s="10">
        <v>2.476348832503672E-2</v>
      </c>
    </row>
    <row r="1383" spans="9:13" x14ac:dyDescent="0.35">
      <c r="I1383">
        <v>1379</v>
      </c>
      <c r="J1383" s="7">
        <v>4.6308428049087524E-2</v>
      </c>
      <c r="K1383">
        <v>1.9461441785097122E-2</v>
      </c>
      <c r="L1383">
        <v>0.35547399520874023</v>
      </c>
      <c r="M1383" s="10">
        <v>2.0340364715376147E-2</v>
      </c>
    </row>
    <row r="1384" spans="9:13" x14ac:dyDescent="0.35">
      <c r="I1384">
        <v>1380</v>
      </c>
      <c r="J1384" s="7">
        <v>5.2924543619155884E-2</v>
      </c>
      <c r="K1384">
        <v>2.1395275369286537E-2</v>
      </c>
      <c r="L1384">
        <v>0.34757551550865173</v>
      </c>
      <c r="M1384" s="10">
        <v>2.2817794022411242E-2</v>
      </c>
    </row>
    <row r="1385" spans="9:13" x14ac:dyDescent="0.35">
      <c r="I1385">
        <v>1381</v>
      </c>
      <c r="J1385" s="7">
        <v>5.081171914935112E-2</v>
      </c>
      <c r="K1385">
        <v>2.1481966599822044E-2</v>
      </c>
      <c r="L1385">
        <v>0.36373433470726013</v>
      </c>
      <c r="M1385" s="10">
        <v>2.2026638969770418E-2</v>
      </c>
    </row>
    <row r="1386" spans="9:13" x14ac:dyDescent="0.35">
      <c r="I1386">
        <v>1382</v>
      </c>
      <c r="J1386" s="7">
        <v>8.1468008458614349E-2</v>
      </c>
      <c r="K1386">
        <v>2.867920882999897E-2</v>
      </c>
      <c r="L1386">
        <v>0.31520605087280273</v>
      </c>
      <c r="M1386" s="10">
        <v>3.3506001561819376E-2</v>
      </c>
    </row>
    <row r="1387" spans="9:13" x14ac:dyDescent="0.35">
      <c r="I1387">
        <v>1383</v>
      </c>
      <c r="J1387" s="7">
        <v>5.5357292294502258E-2</v>
      </c>
      <c r="K1387">
        <v>2.3717841133475304E-2</v>
      </c>
      <c r="L1387">
        <v>0.37425675988197327</v>
      </c>
      <c r="M1387" s="10">
        <v>2.3728745894567194E-2</v>
      </c>
    </row>
    <row r="1388" spans="9:13" x14ac:dyDescent="0.35">
      <c r="I1388">
        <v>1384</v>
      </c>
      <c r="J1388" s="7">
        <v>5.8810427784919739E-2</v>
      </c>
      <c r="K1388">
        <v>2.2844167426228523E-2</v>
      </c>
      <c r="L1388">
        <v>0.33742600679397583</v>
      </c>
      <c r="M1388" s="10">
        <v>2.5021785439375943E-2</v>
      </c>
    </row>
    <row r="1389" spans="9:13" x14ac:dyDescent="0.35">
      <c r="I1389">
        <v>1385</v>
      </c>
      <c r="J1389" s="7">
        <v>7.1510441601276398E-2</v>
      </c>
      <c r="K1389">
        <v>2.7544019743800163E-2</v>
      </c>
      <c r="L1389">
        <v>0.34322288632392883</v>
      </c>
      <c r="M1389" s="10">
        <v>2.977735327902109E-2</v>
      </c>
    </row>
    <row r="1390" spans="9:13" x14ac:dyDescent="0.35">
      <c r="I1390">
        <v>1386</v>
      </c>
      <c r="J1390" s="7">
        <v>6.062190979719162E-2</v>
      </c>
      <c r="K1390">
        <v>2.4056313559412956E-2</v>
      </c>
      <c r="L1390">
        <v>0.34733834862709045</v>
      </c>
      <c r="M1390" s="10">
        <v>2.5700101677785137E-2</v>
      </c>
    </row>
    <row r="1391" spans="9:13" x14ac:dyDescent="0.35">
      <c r="I1391">
        <v>1387</v>
      </c>
      <c r="J1391" s="7">
        <v>4.7367237508296967E-2</v>
      </c>
      <c r="K1391">
        <v>2.038491889834404E-2</v>
      </c>
      <c r="L1391">
        <v>0.36702412366867065</v>
      </c>
      <c r="M1391" s="10">
        <v>2.0736839891335679E-2</v>
      </c>
    </row>
    <row r="1392" spans="9:13" x14ac:dyDescent="0.35">
      <c r="I1392">
        <v>1388</v>
      </c>
      <c r="J1392" s="7">
        <v>5.6967608630657196E-2</v>
      </c>
      <c r="K1392">
        <v>2.314445748925209E-2</v>
      </c>
      <c r="L1392">
        <v>0.35361248254776001</v>
      </c>
      <c r="M1392" s="10">
        <v>2.4331734890532752E-2</v>
      </c>
    </row>
    <row r="1393" spans="9:13" x14ac:dyDescent="0.35">
      <c r="I1393">
        <v>1389</v>
      </c>
      <c r="J1393" s="7">
        <v>6.8880803883075714E-2</v>
      </c>
      <c r="K1393">
        <v>2.7514640241861343E-2</v>
      </c>
      <c r="L1393">
        <v>0.35589945316314697</v>
      </c>
      <c r="M1393" s="10">
        <v>2.8792675565797898E-2</v>
      </c>
    </row>
    <row r="1394" spans="9:13" x14ac:dyDescent="0.35">
      <c r="I1394">
        <v>1390</v>
      </c>
      <c r="J1394" s="7">
        <v>6.7810356616973877E-2</v>
      </c>
      <c r="K1394">
        <v>2.7328820899128914E-2</v>
      </c>
      <c r="L1394">
        <v>0.35877737402915955</v>
      </c>
      <c r="M1394" s="10">
        <v>2.8391842569368109E-2</v>
      </c>
    </row>
    <row r="1395" spans="9:13" x14ac:dyDescent="0.35">
      <c r="I1395">
        <v>1391</v>
      </c>
      <c r="J1395" s="7">
        <v>7.1332827210426331E-2</v>
      </c>
      <c r="K1395">
        <v>2.4474766105413437E-2</v>
      </c>
      <c r="L1395">
        <v>0.30105024576187134</v>
      </c>
      <c r="M1395" s="10">
        <v>2.9710844903739098E-2</v>
      </c>
    </row>
    <row r="1396" spans="9:13" x14ac:dyDescent="0.35">
      <c r="I1396">
        <v>1392</v>
      </c>
      <c r="J1396" s="7">
        <v>4.9225900322198868E-2</v>
      </c>
      <c r="K1396">
        <v>2.1196300163865089E-2</v>
      </c>
      <c r="L1396">
        <v>0.36964890360832214</v>
      </c>
      <c r="M1396" s="10">
        <v>2.1432823157995773E-2</v>
      </c>
    </row>
    <row r="1397" spans="9:13" x14ac:dyDescent="0.35">
      <c r="I1397">
        <v>1393</v>
      </c>
      <c r="J1397" s="7">
        <v>6.3752561807632446E-2</v>
      </c>
      <c r="K1397">
        <v>2.5271927937865257E-2</v>
      </c>
      <c r="L1397">
        <v>0.34934952855110168</v>
      </c>
      <c r="M1397" s="10">
        <v>2.6872386073161003E-2</v>
      </c>
    </row>
    <row r="1398" spans="9:13" x14ac:dyDescent="0.35">
      <c r="I1398">
        <v>1394</v>
      </c>
      <c r="J1398" s="7">
        <v>6.4702898263931274E-2</v>
      </c>
      <c r="K1398">
        <v>2.5376999750733376E-2</v>
      </c>
      <c r="L1398">
        <v>0.34584230184555054</v>
      </c>
      <c r="M1398" s="10">
        <v>2.7228243126056206E-2</v>
      </c>
    </row>
    <row r="1399" spans="9:13" x14ac:dyDescent="0.35">
      <c r="I1399">
        <v>1395</v>
      </c>
      <c r="J1399" s="7">
        <v>6.993287056684494E-2</v>
      </c>
      <c r="K1399">
        <v>2.484477311372757E-2</v>
      </c>
      <c r="L1399">
        <v>0.31236773729324341</v>
      </c>
      <c r="M1399" s="10">
        <v>2.9186625884186634E-2</v>
      </c>
    </row>
    <row r="1400" spans="9:13" x14ac:dyDescent="0.35">
      <c r="I1400">
        <v>1396</v>
      </c>
      <c r="J1400" s="7">
        <v>5.8291774243116379E-2</v>
      </c>
      <c r="K1400">
        <v>2.4302840232849121E-2</v>
      </c>
      <c r="L1400">
        <v>0.36545190215110779</v>
      </c>
      <c r="M1400" s="10">
        <v>2.4827573674020109E-2</v>
      </c>
    </row>
    <row r="1401" spans="9:13" x14ac:dyDescent="0.35">
      <c r="I1401">
        <v>1397</v>
      </c>
      <c r="J1401" s="7">
        <v>6.985839456319809E-2</v>
      </c>
      <c r="K1401">
        <v>2.7799332514405251E-2</v>
      </c>
      <c r="L1401">
        <v>0.35499429702758789</v>
      </c>
      <c r="M1401" s="10">
        <v>2.915873806509528E-2</v>
      </c>
    </row>
    <row r="1402" spans="9:13" x14ac:dyDescent="0.35">
      <c r="I1402">
        <v>1398</v>
      </c>
      <c r="J1402" s="7">
        <v>7.1163415908813477E-2</v>
      </c>
      <c r="K1402">
        <v>2.5810167193412781E-2</v>
      </c>
      <c r="L1402">
        <v>0.32053220272064209</v>
      </c>
      <c r="M1402" s="10">
        <v>2.9647408206010084E-2</v>
      </c>
    </row>
    <row r="1403" spans="9:13" x14ac:dyDescent="0.35">
      <c r="I1403">
        <v>1399</v>
      </c>
      <c r="J1403" s="7">
        <v>8.1020727753639221E-2</v>
      </c>
      <c r="K1403">
        <v>3.0417514964938164E-2</v>
      </c>
      <c r="L1403">
        <v>0.33840122818946838</v>
      </c>
      <c r="M1403" s="10">
        <v>3.3338515623092757E-2</v>
      </c>
    </row>
    <row r="1404" spans="9:13" x14ac:dyDescent="0.35">
      <c r="I1404">
        <v>1400</v>
      </c>
      <c r="J1404" s="7">
        <v>6.2884598970413208E-2</v>
      </c>
      <c r="K1404">
        <v>2.579040639102459E-2</v>
      </c>
      <c r="L1404">
        <v>0.36241635680198669</v>
      </c>
      <c r="M1404" s="10">
        <v>2.6547374131097534E-2</v>
      </c>
    </row>
    <row r="1405" spans="9:13" x14ac:dyDescent="0.35">
      <c r="I1405">
        <v>1401</v>
      </c>
      <c r="J1405" s="7">
        <v>4.5825373381376266E-2</v>
      </c>
      <c r="K1405">
        <v>1.883234828710556E-2</v>
      </c>
      <c r="L1405">
        <v>0.34549304842948914</v>
      </c>
      <c r="M1405" s="10">
        <v>2.0159483082034968E-2</v>
      </c>
    </row>
    <row r="1406" spans="9:13" x14ac:dyDescent="0.35">
      <c r="I1406">
        <v>1402</v>
      </c>
      <c r="J1406" s="7">
        <v>5.9947974979877472E-2</v>
      </c>
      <c r="K1406">
        <v>2.531757578253746E-2</v>
      </c>
      <c r="L1406">
        <v>0.37228238582611084</v>
      </c>
      <c r="M1406" s="10">
        <v>2.5447744256007487E-2</v>
      </c>
    </row>
    <row r="1407" spans="9:13" x14ac:dyDescent="0.35">
      <c r="I1407">
        <v>1403</v>
      </c>
      <c r="J1407" s="7">
        <v>6.645704060792923E-2</v>
      </c>
      <c r="K1407">
        <v>2.6333175599575043E-2</v>
      </c>
      <c r="L1407">
        <v>0.35110163688659668</v>
      </c>
      <c r="M1407" s="10">
        <v>2.7885088310471096E-2</v>
      </c>
    </row>
    <row r="1408" spans="9:13" x14ac:dyDescent="0.35">
      <c r="I1408">
        <v>1404</v>
      </c>
      <c r="J1408" s="7">
        <v>5.6407742202281952E-2</v>
      </c>
      <c r="K1408">
        <v>2.2017085924744606E-2</v>
      </c>
      <c r="L1408">
        <v>0.33713608980178833</v>
      </c>
      <c r="M1408" s="10">
        <v>2.4122090805118512E-2</v>
      </c>
    </row>
    <row r="1409" spans="9:13" x14ac:dyDescent="0.35">
      <c r="I1409">
        <v>1405</v>
      </c>
      <c r="J1409" s="7">
        <v>4.6543281525373459E-2</v>
      </c>
      <c r="K1409">
        <v>1.9497212022542953E-2</v>
      </c>
      <c r="L1409">
        <v>0.3544488251209259</v>
      </c>
      <c r="M1409" s="10">
        <v>2.0428306481031222E-2</v>
      </c>
    </row>
    <row r="1410" spans="9:13" x14ac:dyDescent="0.35">
      <c r="I1410">
        <v>1406</v>
      </c>
      <c r="J1410" s="7">
        <v>5.4940566420555115E-2</v>
      </c>
      <c r="K1410">
        <v>2.324080653488636E-2</v>
      </c>
      <c r="L1410">
        <v>0.36841276288032532</v>
      </c>
      <c r="M1410" s="10">
        <v>2.3572701326998402E-2</v>
      </c>
    </row>
    <row r="1411" spans="9:13" x14ac:dyDescent="0.35">
      <c r="I1411">
        <v>1407</v>
      </c>
      <c r="J1411" s="7">
        <v>4.7159310430288315E-2</v>
      </c>
      <c r="K1411">
        <v>2.0324945449829102E-2</v>
      </c>
      <c r="L1411">
        <v>0.36737063527107239</v>
      </c>
      <c r="M1411" s="10">
        <v>2.0658980816576578E-2</v>
      </c>
    </row>
    <row r="1412" spans="9:13" x14ac:dyDescent="0.35">
      <c r="I1412">
        <v>1408</v>
      </c>
      <c r="J1412" s="7">
        <v>7.7532760798931122E-2</v>
      </c>
      <c r="K1412">
        <v>2.872922271490097E-2</v>
      </c>
      <c r="L1412">
        <v>0.33184969425201416</v>
      </c>
      <c r="M1412" s="10">
        <v>3.2032433305749786E-2</v>
      </c>
    </row>
    <row r="1413" spans="9:13" x14ac:dyDescent="0.35">
      <c r="I1413">
        <v>1409</v>
      </c>
      <c r="J1413" s="7">
        <v>4.8379924148321152E-2</v>
      </c>
      <c r="K1413">
        <v>2.0734591409564018E-2</v>
      </c>
      <c r="L1413">
        <v>0.36656922101974487</v>
      </c>
      <c r="M1413" s="10">
        <v>2.1116044204541606E-2</v>
      </c>
    </row>
    <row r="1414" spans="9:13" x14ac:dyDescent="0.35">
      <c r="I1414">
        <v>1410</v>
      </c>
      <c r="J1414" s="7">
        <v>4.6754911541938782E-2</v>
      </c>
      <c r="K1414">
        <v>2.0184516906738281E-2</v>
      </c>
      <c r="L1414">
        <v>0.36754462122917175</v>
      </c>
      <c r="M1414" s="10">
        <v>2.050755213503086E-2</v>
      </c>
    </row>
    <row r="1415" spans="9:13" x14ac:dyDescent="0.35">
      <c r="I1415">
        <v>1411</v>
      </c>
      <c r="J1415" s="7">
        <v>5.5759046226739883E-2</v>
      </c>
      <c r="K1415">
        <v>2.2983426228165627E-2</v>
      </c>
      <c r="L1415">
        <v>0.35838896036148071</v>
      </c>
      <c r="M1415" s="10">
        <v>2.3879184162369671E-2</v>
      </c>
    </row>
    <row r="1416" spans="9:13" x14ac:dyDescent="0.35">
      <c r="I1416">
        <v>1412</v>
      </c>
      <c r="J1416" s="7">
        <v>6.0982279479503632E-2</v>
      </c>
      <c r="K1416">
        <v>2.5414280593395233E-2</v>
      </c>
      <c r="L1416">
        <v>0.36755400896072388</v>
      </c>
      <c r="M1416" s="10">
        <v>2.5835043457878237E-2</v>
      </c>
    </row>
    <row r="1417" spans="9:13" x14ac:dyDescent="0.35">
      <c r="I1417">
        <v>1413</v>
      </c>
      <c r="J1417" s="7">
        <v>6.5734393894672394E-2</v>
      </c>
      <c r="K1417">
        <v>2.670225128531456E-2</v>
      </c>
      <c r="L1417">
        <v>0.3605760931968689</v>
      </c>
      <c r="M1417" s="10">
        <v>2.7614490536430614E-2</v>
      </c>
    </row>
    <row r="1418" spans="9:13" x14ac:dyDescent="0.35">
      <c r="I1418">
        <v>1414</v>
      </c>
      <c r="J1418" s="7">
        <v>5.877908319234848E-2</v>
      </c>
      <c r="K1418">
        <v>2.3143989965319633E-2</v>
      </c>
      <c r="L1418">
        <v>0.34270676970481873</v>
      </c>
      <c r="M1418" s="10">
        <v>2.5010048339044078E-2</v>
      </c>
    </row>
    <row r="1419" spans="9:13" x14ac:dyDescent="0.35">
      <c r="I1419">
        <v>1415</v>
      </c>
      <c r="J1419" s="7">
        <v>6.9934271275997162E-2</v>
      </c>
      <c r="K1419">
        <v>2.7971839532256126E-2</v>
      </c>
      <c r="L1419">
        <v>0.35707584023475647</v>
      </c>
      <c r="M1419" s="10">
        <v>2.9187150384985872E-2</v>
      </c>
    </row>
    <row r="1420" spans="9:13" x14ac:dyDescent="0.35">
      <c r="I1420">
        <v>1416</v>
      </c>
      <c r="J1420" s="7">
        <v>4.7653477638959885E-2</v>
      </c>
      <c r="K1420">
        <v>2.0531894639134407E-2</v>
      </c>
      <c r="L1420">
        <v>0.36790376901626587</v>
      </c>
      <c r="M1420" s="10">
        <v>2.08440235825883E-2</v>
      </c>
    </row>
    <row r="1421" spans="9:13" x14ac:dyDescent="0.35">
      <c r="I1421">
        <v>1417</v>
      </c>
      <c r="J1421" s="7">
        <v>4.8593852669000626E-2</v>
      </c>
      <c r="K1421">
        <v>1.9876109436154366E-2</v>
      </c>
      <c r="L1421">
        <v>0.34728896617889404</v>
      </c>
      <c r="M1421" s="10">
        <v>2.1196150542033609E-2</v>
      </c>
    </row>
    <row r="1422" spans="9:13" x14ac:dyDescent="0.35">
      <c r="I1422">
        <v>1418</v>
      </c>
      <c r="J1422" s="7">
        <v>7.574944943189621E-2</v>
      </c>
      <c r="K1422">
        <v>2.9699260368943214E-2</v>
      </c>
      <c r="L1422">
        <v>0.35246804356575012</v>
      </c>
      <c r="M1422" s="10">
        <v>3.1364665671180569E-2</v>
      </c>
    </row>
    <row r="1423" spans="9:13" x14ac:dyDescent="0.35">
      <c r="I1423">
        <v>1419</v>
      </c>
      <c r="J1423" s="7">
        <v>5.3837437182664871E-2</v>
      </c>
      <c r="K1423">
        <v>2.3012051358819008E-2</v>
      </c>
      <c r="L1423">
        <v>0.37171256542205811</v>
      </c>
      <c r="M1423" s="10">
        <v>2.315963044356939E-2</v>
      </c>
    </row>
    <row r="1424" spans="9:13" x14ac:dyDescent="0.35">
      <c r="I1424">
        <v>1420</v>
      </c>
      <c r="J1424" s="7">
        <v>5.4985970258712769E-2</v>
      </c>
      <c r="K1424">
        <v>2.3503599688410759E-2</v>
      </c>
      <c r="L1424">
        <v>0.37288784980773926</v>
      </c>
      <c r="M1424" s="10">
        <v>2.3589702964607717E-2</v>
      </c>
    </row>
    <row r="1425" spans="9:13" x14ac:dyDescent="0.35">
      <c r="I1425">
        <v>1421</v>
      </c>
      <c r="J1425" s="7">
        <v>4.3579816818237305E-2</v>
      </c>
      <c r="K1425">
        <v>1.8025059252977371E-2</v>
      </c>
      <c r="L1425">
        <v>0.34477105736732483</v>
      </c>
      <c r="M1425" s="10">
        <v>1.9318625998870687E-2</v>
      </c>
    </row>
    <row r="1426" spans="9:13" x14ac:dyDescent="0.35">
      <c r="I1426">
        <v>1422</v>
      </c>
      <c r="J1426" s="7">
        <v>6.3097864389419556E-2</v>
      </c>
      <c r="K1426">
        <v>2.5711908936500549E-2</v>
      </c>
      <c r="L1426">
        <v>0.35994735360145569</v>
      </c>
      <c r="M1426" s="10">
        <v>2.662723216767926E-2</v>
      </c>
    </row>
    <row r="1427" spans="9:13" x14ac:dyDescent="0.35">
      <c r="I1427">
        <v>1423</v>
      </c>
      <c r="J1427" s="7">
        <v>5.7363279163837433E-2</v>
      </c>
      <c r="K1427">
        <v>2.2852146998047829E-2</v>
      </c>
      <c r="L1427">
        <v>0.34607762098312378</v>
      </c>
      <c r="M1427" s="10">
        <v>2.4479895206725777E-2</v>
      </c>
    </row>
    <row r="1428" spans="9:13" x14ac:dyDescent="0.35">
      <c r="I1428">
        <v>1424</v>
      </c>
      <c r="J1428" s="7">
        <v>6.4258642494678497E-2</v>
      </c>
      <c r="K1428">
        <v>2.4988485500216484E-2</v>
      </c>
      <c r="L1428">
        <v>0.34218719601631165</v>
      </c>
      <c r="M1428" s="10">
        <v>2.706188988586411E-2</v>
      </c>
    </row>
    <row r="1429" spans="9:13" x14ac:dyDescent="0.35">
      <c r="I1429">
        <v>1425</v>
      </c>
      <c r="J1429" s="7">
        <v>7.2142340242862701E-2</v>
      </c>
      <c r="K1429">
        <v>2.8346981853246689E-2</v>
      </c>
      <c r="L1429">
        <v>0.35134682059288025</v>
      </c>
      <c r="M1429" s="10">
        <v>3.0013970097025888E-2</v>
      </c>
    </row>
    <row r="1430" spans="9:13" x14ac:dyDescent="0.35">
      <c r="I1430">
        <v>1426</v>
      </c>
      <c r="J1430" s="7">
        <v>6.1727575957775116E-2</v>
      </c>
      <c r="K1430">
        <v>2.4849807843565941E-2</v>
      </c>
      <c r="L1430">
        <v>0.35397157073020935</v>
      </c>
      <c r="M1430" s="10">
        <v>2.6114122521438299E-2</v>
      </c>
    </row>
    <row r="1431" spans="9:13" x14ac:dyDescent="0.35">
      <c r="I1431">
        <v>1427</v>
      </c>
      <c r="J1431" s="7">
        <v>4.9994491040706635E-2</v>
      </c>
      <c r="K1431">
        <v>2.0745910704135895E-2</v>
      </c>
      <c r="L1431">
        <v>0.35495731234550476</v>
      </c>
      <c r="M1431" s="10">
        <v>2.172062483724102E-2</v>
      </c>
    </row>
    <row r="1432" spans="9:13" x14ac:dyDescent="0.35">
      <c r="I1432">
        <v>1428</v>
      </c>
      <c r="J1432" s="7">
        <v>5.9682581573724747E-2</v>
      </c>
      <c r="K1432">
        <v>2.4678658694028854E-2</v>
      </c>
      <c r="L1432">
        <v>0.36323258280754089</v>
      </c>
      <c r="M1432" s="10">
        <v>2.5348366698990321E-2</v>
      </c>
    </row>
    <row r="1433" spans="9:13" x14ac:dyDescent="0.35">
      <c r="I1433">
        <v>1429</v>
      </c>
      <c r="J1433" s="7">
        <v>5.6484401226043701E-2</v>
      </c>
      <c r="K1433">
        <v>2.2479116916656494E-2</v>
      </c>
      <c r="L1433">
        <v>0.34485834836959839</v>
      </c>
      <c r="M1433" s="10">
        <v>2.4150796064285274E-2</v>
      </c>
    </row>
    <row r="1434" spans="9:13" x14ac:dyDescent="0.35">
      <c r="I1434">
        <v>1430</v>
      </c>
      <c r="J1434" s="7">
        <v>6.3699007034301758E-2</v>
      </c>
      <c r="K1434">
        <v>2.5526316836476326E-2</v>
      </c>
      <c r="L1434">
        <v>0.35363686084747314</v>
      </c>
      <c r="M1434" s="10">
        <v>2.6852332287283787E-2</v>
      </c>
    </row>
    <row r="1435" spans="9:13" x14ac:dyDescent="0.35">
      <c r="I1435">
        <v>1431</v>
      </c>
      <c r="J1435" s="7">
        <v>4.9763418734073639E-2</v>
      </c>
      <c r="K1435">
        <v>2.0940143615007401E-2</v>
      </c>
      <c r="L1435">
        <v>0.36050865054130554</v>
      </c>
      <c r="M1435" s="10">
        <v>2.1634098944754099E-2</v>
      </c>
    </row>
    <row r="1436" spans="9:13" x14ac:dyDescent="0.35">
      <c r="I1436">
        <v>1432</v>
      </c>
      <c r="J1436" s="7">
        <v>5.1196318119764328E-2</v>
      </c>
      <c r="K1436">
        <v>2.1905979141592979E-2</v>
      </c>
      <c r="L1436">
        <v>0.36928397417068481</v>
      </c>
      <c r="M1436" s="10">
        <v>2.2170653497731174E-2</v>
      </c>
    </row>
    <row r="1437" spans="9:13" x14ac:dyDescent="0.35">
      <c r="I1437">
        <v>1433</v>
      </c>
      <c r="J1437" s="7">
        <v>5.7183001190423965E-2</v>
      </c>
      <c r="K1437">
        <v>2.360459603369236E-2</v>
      </c>
      <c r="L1437">
        <v>0.36032730340957642</v>
      </c>
      <c r="M1437" s="10">
        <v>2.4412389442955873E-2</v>
      </c>
    </row>
    <row r="1438" spans="9:13" x14ac:dyDescent="0.35">
      <c r="I1438">
        <v>1434</v>
      </c>
      <c r="J1438" s="7">
        <v>6.5992556512355804E-2</v>
      </c>
      <c r="K1438">
        <v>2.6300268247723579E-2</v>
      </c>
      <c r="L1438">
        <v>0.35307419300079346</v>
      </c>
      <c r="M1438" s="10">
        <v>2.7711160497566611E-2</v>
      </c>
    </row>
    <row r="1439" spans="9:13" x14ac:dyDescent="0.35">
      <c r="I1439">
        <v>1435</v>
      </c>
      <c r="J1439" s="7">
        <v>5.1212333142757416E-2</v>
      </c>
      <c r="K1439">
        <v>2.1127639338374138E-2</v>
      </c>
      <c r="L1439">
        <v>0.35397019982337952</v>
      </c>
      <c r="M1439" s="10">
        <v>2.2176650383199048E-2</v>
      </c>
    </row>
    <row r="1440" spans="9:13" x14ac:dyDescent="0.35">
      <c r="I1440">
        <v>1436</v>
      </c>
      <c r="J1440" s="7">
        <v>4.2113788425922394E-2</v>
      </c>
      <c r="K1440">
        <v>1.3680640608072281E-2</v>
      </c>
      <c r="L1440">
        <v>0.25361385941505432</v>
      </c>
      <c r="M1440" s="10">
        <v>1.8769666165022292E-2</v>
      </c>
    </row>
    <row r="1441" spans="9:13" x14ac:dyDescent="0.35">
      <c r="I1441">
        <v>1437</v>
      </c>
      <c r="J1441" s="7">
        <v>5.4394125938415527E-2</v>
      </c>
      <c r="K1441">
        <v>2.2980483248829842E-2</v>
      </c>
      <c r="L1441">
        <v>0.36732795834541321</v>
      </c>
      <c r="M1441" s="10">
        <v>2.3368084637542808E-2</v>
      </c>
    </row>
    <row r="1442" spans="9:13" x14ac:dyDescent="0.35">
      <c r="I1442">
        <v>1438</v>
      </c>
      <c r="J1442" s="7">
        <v>5.4968349635601044E-2</v>
      </c>
      <c r="K1442">
        <v>2.2353528067469597E-2</v>
      </c>
      <c r="L1442">
        <v>0.3520849347114563</v>
      </c>
      <c r="M1442" s="10">
        <v>2.3583104856149228E-2</v>
      </c>
    </row>
    <row r="1443" spans="9:13" x14ac:dyDescent="0.35">
      <c r="I1443">
        <v>1439</v>
      </c>
      <c r="J1443" s="7">
        <v>5.1836553961038589E-2</v>
      </c>
      <c r="K1443">
        <v>2.1600443869829178E-2</v>
      </c>
      <c r="L1443">
        <v>0.35882872343063354</v>
      </c>
      <c r="M1443" s="10">
        <v>2.241039221145058E-2</v>
      </c>
    </row>
    <row r="1444" spans="9:13" x14ac:dyDescent="0.35">
      <c r="I1444">
        <v>1440</v>
      </c>
      <c r="J1444" s="7">
        <v>6.1658333986997604E-2</v>
      </c>
      <c r="K1444">
        <v>2.5690382346510887E-2</v>
      </c>
      <c r="L1444">
        <v>0.36800187826156616</v>
      </c>
      <c r="M1444" s="10">
        <v>2.6088194605599413E-2</v>
      </c>
    </row>
    <row r="1445" spans="9:13" x14ac:dyDescent="0.35">
      <c r="I1445">
        <v>1441</v>
      </c>
      <c r="J1445" s="7">
        <v>5.9989489614963531E-2</v>
      </c>
      <c r="K1445">
        <v>2.4455830454826355E-2</v>
      </c>
      <c r="L1445">
        <v>0.35765981674194336</v>
      </c>
      <c r="M1445" s="10">
        <v>2.5463289566929559E-2</v>
      </c>
    </row>
    <row r="1446" spans="9:13" x14ac:dyDescent="0.35">
      <c r="I1446">
        <v>1442</v>
      </c>
      <c r="J1446" s="7">
        <v>5.9082213789224625E-2</v>
      </c>
      <c r="K1446">
        <v>2.2178063169121742E-2</v>
      </c>
      <c r="L1446">
        <v>0.32459959387779236</v>
      </c>
      <c r="M1446" s="10">
        <v>2.5123556728764096E-2</v>
      </c>
    </row>
    <row r="1447" spans="9:13" x14ac:dyDescent="0.35">
      <c r="I1447">
        <v>1443</v>
      </c>
      <c r="J1447" s="7">
        <v>6.4420796930789948E-2</v>
      </c>
      <c r="K1447">
        <v>2.6101335883140564E-2</v>
      </c>
      <c r="L1447">
        <v>0.35860058665275574</v>
      </c>
      <c r="M1447" s="10">
        <v>2.7122609223069416E-2</v>
      </c>
    </row>
    <row r="1448" spans="9:13" x14ac:dyDescent="0.35">
      <c r="I1448">
        <v>1444</v>
      </c>
      <c r="J1448" s="7">
        <v>6.7441083490848541E-2</v>
      </c>
      <c r="K1448">
        <v>2.656221017241478E-2</v>
      </c>
      <c r="L1448">
        <v>0.34937474131584167</v>
      </c>
      <c r="M1448" s="10">
        <v>2.825356686132241E-2</v>
      </c>
    </row>
    <row r="1449" spans="9:13" x14ac:dyDescent="0.35">
      <c r="I1449">
        <v>1445</v>
      </c>
      <c r="J1449" s="7">
        <v>7.5088508427143097E-2</v>
      </c>
      <c r="K1449">
        <v>2.9454827308654785E-2</v>
      </c>
      <c r="L1449">
        <v>0.35231524705886841</v>
      </c>
      <c r="M1449" s="10">
        <v>3.1117173831285205E-2</v>
      </c>
    </row>
    <row r="1450" spans="9:13" x14ac:dyDescent="0.35">
      <c r="I1450">
        <v>1446</v>
      </c>
      <c r="J1450" s="7">
        <v>5.5262580513954163E-2</v>
      </c>
      <c r="K1450">
        <v>2.3430351167917252E-2</v>
      </c>
      <c r="L1450">
        <v>0.36969593167304993</v>
      </c>
      <c r="M1450" s="10">
        <v>2.3693280712865583E-2</v>
      </c>
    </row>
    <row r="1451" spans="9:13" x14ac:dyDescent="0.35">
      <c r="I1451">
        <v>1447</v>
      </c>
      <c r="J1451" s="7">
        <v>7.5286053121089935E-2</v>
      </c>
      <c r="K1451">
        <v>2.8038268908858299E-2</v>
      </c>
      <c r="L1451">
        <v>0.33257514238357544</v>
      </c>
      <c r="M1451" s="10">
        <v>3.1191145183364855E-2</v>
      </c>
    </row>
    <row r="1452" spans="9:13" x14ac:dyDescent="0.35">
      <c r="I1452">
        <v>1448</v>
      </c>
      <c r="J1452" s="7">
        <v>6.3736379146575928E-2</v>
      </c>
      <c r="K1452">
        <v>2.6088394224643707E-2</v>
      </c>
      <c r="L1452">
        <v>0.36224830150604248</v>
      </c>
      <c r="M1452" s="10">
        <v>2.6866326414991093E-2</v>
      </c>
    </row>
    <row r="1453" spans="9:13" x14ac:dyDescent="0.35">
      <c r="I1453">
        <v>1449</v>
      </c>
      <c r="J1453" s="7">
        <v>5.8225996792316437E-2</v>
      </c>
      <c r="K1453">
        <v>2.4386493489146233E-2</v>
      </c>
      <c r="L1453">
        <v>0.36730146408081055</v>
      </c>
      <c r="M1453" s="10">
        <v>2.4802943060689975E-2</v>
      </c>
    </row>
    <row r="1454" spans="9:13" x14ac:dyDescent="0.35">
      <c r="I1454">
        <v>1450</v>
      </c>
      <c r="J1454" s="7">
        <v>5.0736632198095322E-2</v>
      </c>
      <c r="K1454">
        <v>1.9974371418356895E-2</v>
      </c>
      <c r="L1454">
        <v>0.33455848693847656</v>
      </c>
      <c r="M1454" s="10">
        <v>2.1998522379053864E-2</v>
      </c>
    </row>
    <row r="1455" spans="9:13" x14ac:dyDescent="0.35">
      <c r="I1455">
        <v>1451</v>
      </c>
      <c r="J1455" s="7">
        <v>5.6550972163677216E-2</v>
      </c>
      <c r="K1455">
        <v>2.3453526198863983E-2</v>
      </c>
      <c r="L1455">
        <v>0.36168301105499268</v>
      </c>
      <c r="M1455" s="10">
        <v>2.417572380173838E-2</v>
      </c>
    </row>
    <row r="1456" spans="9:13" x14ac:dyDescent="0.35">
      <c r="I1456">
        <v>1452</v>
      </c>
      <c r="J1456" s="7">
        <v>6.4953722059726715E-2</v>
      </c>
      <c r="K1456">
        <v>2.5128886103630066E-2</v>
      </c>
      <c r="L1456">
        <v>0.34068694710731506</v>
      </c>
      <c r="M1456" s="10">
        <v>2.7322165037791946E-2</v>
      </c>
    </row>
    <row r="1457" spans="9:13" x14ac:dyDescent="0.35">
      <c r="I1457">
        <v>1453</v>
      </c>
      <c r="J1457" s="7">
        <v>6.8375438451766968E-2</v>
      </c>
      <c r="K1457">
        <v>2.5215456262230873E-2</v>
      </c>
      <c r="L1457">
        <v>0.32490405440330505</v>
      </c>
      <c r="M1457" s="10">
        <v>2.8603439583290147E-2</v>
      </c>
    </row>
    <row r="1458" spans="9:13" x14ac:dyDescent="0.35">
      <c r="I1458">
        <v>1454</v>
      </c>
      <c r="J1458" s="7">
        <v>4.7842670232057571E-2</v>
      </c>
      <c r="K1458">
        <v>2.066851407289505E-2</v>
      </c>
      <c r="L1458">
        <v>0.36930450797080994</v>
      </c>
      <c r="M1458" s="10">
        <v>2.0914867459157604E-2</v>
      </c>
    </row>
    <row r="1459" spans="9:13" x14ac:dyDescent="0.35">
      <c r="I1459">
        <v>1455</v>
      </c>
      <c r="J1459" s="7">
        <v>7.1292899549007416E-2</v>
      </c>
      <c r="K1459">
        <v>2.6667740195989609E-2</v>
      </c>
      <c r="L1459">
        <v>0.33197891712188721</v>
      </c>
      <c r="M1459" s="10">
        <v>2.969589384106297E-2</v>
      </c>
    </row>
    <row r="1460" spans="9:13" x14ac:dyDescent="0.35">
      <c r="I1460">
        <v>1456</v>
      </c>
      <c r="J1460" s="7">
        <v>4.8967856913805008E-2</v>
      </c>
      <c r="K1460">
        <v>2.0126735791563988E-2</v>
      </c>
      <c r="L1460">
        <v>0.34975466132164001</v>
      </c>
      <c r="M1460" s="10">
        <v>2.1336197835225668E-2</v>
      </c>
    </row>
    <row r="1461" spans="9:13" x14ac:dyDescent="0.35">
      <c r="I1461">
        <v>1457</v>
      </c>
      <c r="J1461" s="7">
        <v>5.9820357710123062E-2</v>
      </c>
      <c r="K1461">
        <v>2.5152100250124931E-2</v>
      </c>
      <c r="L1461">
        <v>0.37031039595603943</v>
      </c>
      <c r="M1461" s="10">
        <v>2.5399957490370606E-2</v>
      </c>
    </row>
    <row r="1462" spans="9:13" x14ac:dyDescent="0.35">
      <c r="I1462">
        <v>1458</v>
      </c>
      <c r="J1462" s="7">
        <v>7.2599224746227264E-2</v>
      </c>
      <c r="K1462">
        <v>2.7761669829487801E-2</v>
      </c>
      <c r="L1462">
        <v>0.34107348322868347</v>
      </c>
      <c r="M1462" s="10">
        <v>3.0185052214104724E-2</v>
      </c>
    </row>
    <row r="1463" spans="9:13" x14ac:dyDescent="0.35">
      <c r="I1463">
        <v>1459</v>
      </c>
      <c r="J1463" s="7">
        <v>4.6891938894987106E-2</v>
      </c>
      <c r="K1463">
        <v>1.9708985462784767E-2</v>
      </c>
      <c r="L1463">
        <v>0.35632959008216858</v>
      </c>
      <c r="M1463" s="10">
        <v>2.0558862541675382E-2</v>
      </c>
    </row>
    <row r="1464" spans="9:13" x14ac:dyDescent="0.35">
      <c r="I1464">
        <v>1460</v>
      </c>
      <c r="J1464" s="7">
        <v>4.5430529862642288E-2</v>
      </c>
      <c r="K1464">
        <v>1.9373394548892975E-2</v>
      </c>
      <c r="L1464">
        <v>0.3604050874710083</v>
      </c>
      <c r="M1464" s="10">
        <v>2.0011632444505323E-2</v>
      </c>
    </row>
    <row r="1465" spans="9:13" x14ac:dyDescent="0.35">
      <c r="I1465">
        <v>1461</v>
      </c>
      <c r="J1465" s="7">
        <v>4.5748729258775711E-2</v>
      </c>
      <c r="K1465">
        <v>1.8997466191649437E-2</v>
      </c>
      <c r="L1465">
        <v>0.34968110918998718</v>
      </c>
      <c r="M1465" s="10">
        <v>2.0130783402663943E-2</v>
      </c>
    </row>
    <row r="1466" spans="9:13" x14ac:dyDescent="0.35">
      <c r="I1466">
        <v>1462</v>
      </c>
      <c r="J1466" s="7">
        <v>7.5045548379421234E-2</v>
      </c>
      <c r="K1466">
        <v>2.8515815734863281E-2</v>
      </c>
      <c r="L1466">
        <v>0.34000438451766968</v>
      </c>
      <c r="M1466" s="10">
        <v>3.1101087280176687E-2</v>
      </c>
    </row>
    <row r="1467" spans="9:13" x14ac:dyDescent="0.35">
      <c r="I1467">
        <v>1463</v>
      </c>
      <c r="J1467" s="7">
        <v>5.9877175837755203E-2</v>
      </c>
      <c r="K1467">
        <v>2.3574292659759521E-2</v>
      </c>
      <c r="L1467">
        <v>0.34360826015472412</v>
      </c>
      <c r="M1467" s="10">
        <v>2.542123325151413E-2</v>
      </c>
    </row>
    <row r="1468" spans="9:13" x14ac:dyDescent="0.35">
      <c r="I1468">
        <v>1464</v>
      </c>
      <c r="J1468" s="7">
        <v>4.9189422279596329E-2</v>
      </c>
      <c r="K1468">
        <v>2.1134279668331146E-2</v>
      </c>
      <c r="L1468">
        <v>0.36866217851638794</v>
      </c>
      <c r="M1468" s="10">
        <v>2.141916381803266E-2</v>
      </c>
    </row>
    <row r="1469" spans="9:13" x14ac:dyDescent="0.35">
      <c r="I1469">
        <v>1465</v>
      </c>
      <c r="J1469" s="7">
        <v>6.0428332537412643E-2</v>
      </c>
      <c r="K1469">
        <v>2.4622589349746704E-2</v>
      </c>
      <c r="L1469">
        <v>0.35782203078269958</v>
      </c>
      <c r="M1469" s="10">
        <v>2.5627615946320348E-2</v>
      </c>
    </row>
    <row r="1470" spans="9:13" x14ac:dyDescent="0.35">
      <c r="I1470">
        <v>1466</v>
      </c>
      <c r="J1470" s="7">
        <v>4.96172234416008E-2</v>
      </c>
      <c r="K1470">
        <v>2.1250618621706963E-2</v>
      </c>
      <c r="L1470">
        <v>0.36782827973365784</v>
      </c>
      <c r="M1470" s="10">
        <v>2.1579355568782654E-2</v>
      </c>
    </row>
    <row r="1471" spans="9:13" x14ac:dyDescent="0.35">
      <c r="I1471">
        <v>1467</v>
      </c>
      <c r="J1471" s="7">
        <v>5.2139312028884888E-2</v>
      </c>
      <c r="K1471">
        <v>2.232414111495018E-2</v>
      </c>
      <c r="L1471">
        <v>0.37062516808509827</v>
      </c>
      <c r="M1471" s="10">
        <v>2.2523761106277185E-2</v>
      </c>
    </row>
    <row r="1472" spans="9:13" x14ac:dyDescent="0.35">
      <c r="I1472">
        <v>1468</v>
      </c>
      <c r="J1472" s="7">
        <v>5.2129480987787247E-2</v>
      </c>
      <c r="K1472">
        <v>2.1921543404459953E-2</v>
      </c>
      <c r="L1472">
        <v>0.36297202110290527</v>
      </c>
      <c r="M1472" s="10">
        <v>2.2520079836039986E-2</v>
      </c>
    </row>
    <row r="1473" spans="9:13" x14ac:dyDescent="0.35">
      <c r="I1473">
        <v>1469</v>
      </c>
      <c r="J1473" s="7">
        <v>6.3718222081661224E-2</v>
      </c>
      <c r="K1473">
        <v>2.6551187038421631E-2</v>
      </c>
      <c r="L1473">
        <v>0.36961463093757629</v>
      </c>
      <c r="M1473" s="10">
        <v>2.6859527433886088E-2</v>
      </c>
    </row>
    <row r="1474" spans="9:13" x14ac:dyDescent="0.35">
      <c r="I1474">
        <v>1470</v>
      </c>
      <c r="J1474" s="7">
        <v>6.2636449933052063E-2</v>
      </c>
      <c r="K1474">
        <v>2.615446038544178E-2</v>
      </c>
      <c r="L1474">
        <v>0.36966431140899658</v>
      </c>
      <c r="M1474" s="10">
        <v>2.6454453792696508E-2</v>
      </c>
    </row>
    <row r="1475" spans="9:13" x14ac:dyDescent="0.35">
      <c r="I1475">
        <v>1471</v>
      </c>
      <c r="J1475" s="7">
        <v>4.7944840043783188E-2</v>
      </c>
      <c r="K1475">
        <v>2.014610543847084E-2</v>
      </c>
      <c r="L1475">
        <v>0.35762149095535278</v>
      </c>
      <c r="M1475" s="10">
        <v>2.0953125328625366E-2</v>
      </c>
    </row>
    <row r="1476" spans="9:13" x14ac:dyDescent="0.35">
      <c r="I1476">
        <v>1472</v>
      </c>
      <c r="J1476" s="7">
        <v>5.2696771919727325E-2</v>
      </c>
      <c r="K1476">
        <v>2.0851753652095795E-2</v>
      </c>
      <c r="L1476">
        <v>0.33876371383666992</v>
      </c>
      <c r="M1476" s="10">
        <v>2.2732504054679969E-2</v>
      </c>
    </row>
    <row r="1477" spans="9:13" x14ac:dyDescent="0.35">
      <c r="I1477">
        <v>1473</v>
      </c>
      <c r="J1477" s="7">
        <v>5.6805379688739777E-2</v>
      </c>
      <c r="K1477">
        <v>2.3364109918475151E-2</v>
      </c>
      <c r="L1477">
        <v>0.35848909616470337</v>
      </c>
      <c r="M1477" s="10">
        <v>2.4270987654348763E-2</v>
      </c>
    </row>
    <row r="1478" spans="9:13" x14ac:dyDescent="0.35">
      <c r="I1478">
        <v>1474</v>
      </c>
      <c r="J1478" s="7">
        <v>6.0028456151485443E-2</v>
      </c>
      <c r="K1478">
        <v>2.4244563654065132E-2</v>
      </c>
      <c r="L1478">
        <v>0.35390821099281311</v>
      </c>
      <c r="M1478" s="10">
        <v>2.5477880732780678E-2</v>
      </c>
    </row>
    <row r="1479" spans="9:13" x14ac:dyDescent="0.35">
      <c r="I1479">
        <v>1475</v>
      </c>
      <c r="J1479" s="7">
        <v>5.1396910101175308E-2</v>
      </c>
      <c r="K1479">
        <v>2.0916314795613289E-2</v>
      </c>
      <c r="L1479">
        <v>0.34858739376068115</v>
      </c>
      <c r="M1479" s="10">
        <v>2.2245765918038951E-2</v>
      </c>
    </row>
    <row r="1480" spans="9:13" x14ac:dyDescent="0.35">
      <c r="I1480">
        <v>1476</v>
      </c>
      <c r="J1480" s="7">
        <v>6.0784682631492615E-2</v>
      </c>
      <c r="K1480">
        <v>2.4920918047428131E-2</v>
      </c>
      <c r="L1480">
        <v>0.3606322705745697</v>
      </c>
      <c r="M1480" s="10">
        <v>2.576105257651351E-2</v>
      </c>
    </row>
    <row r="1481" spans="9:13" x14ac:dyDescent="0.35">
      <c r="I1481">
        <v>1477</v>
      </c>
      <c r="J1481" s="7">
        <v>5.4607212543487549E-2</v>
      </c>
      <c r="K1481">
        <v>2.3186482489109039E-2</v>
      </c>
      <c r="L1481">
        <v>0.36966696381568909</v>
      </c>
      <c r="M1481" s="10">
        <v>2.3447875716575695E-2</v>
      </c>
    </row>
    <row r="1482" spans="9:13" x14ac:dyDescent="0.35">
      <c r="I1482">
        <v>1478</v>
      </c>
      <c r="J1482" s="7">
        <v>5.2931908518075943E-2</v>
      </c>
      <c r="K1482">
        <v>2.2418731823563576E-2</v>
      </c>
      <c r="L1482">
        <v>0.36686247587203979</v>
      </c>
      <c r="M1482" s="10">
        <v>2.2820551836454039E-2</v>
      </c>
    </row>
    <row r="1483" spans="9:13" x14ac:dyDescent="0.35">
      <c r="I1483">
        <v>1479</v>
      </c>
      <c r="J1483" s="7">
        <v>4.1249971836805344E-2</v>
      </c>
      <c r="K1483">
        <v>1.6344746574759483E-2</v>
      </c>
      <c r="L1483">
        <v>0.32350921630859375</v>
      </c>
      <c r="M1483" s="10">
        <v>1.8446206801122522E-2</v>
      </c>
    </row>
    <row r="1484" spans="9:13" x14ac:dyDescent="0.35">
      <c r="I1484">
        <v>1480</v>
      </c>
      <c r="J1484" s="7">
        <v>6.0559775680303574E-2</v>
      </c>
      <c r="K1484">
        <v>2.3682566359639168E-2</v>
      </c>
      <c r="L1484">
        <v>0.34152317047119141</v>
      </c>
      <c r="M1484" s="10">
        <v>2.5676835324512592E-2</v>
      </c>
    </row>
    <row r="1485" spans="9:13" x14ac:dyDescent="0.35">
      <c r="I1485">
        <v>1481</v>
      </c>
      <c r="J1485" s="7">
        <v>6.1009008437395096E-2</v>
      </c>
      <c r="K1485">
        <v>2.5307251140475273E-2</v>
      </c>
      <c r="L1485">
        <v>0.36563864350318909</v>
      </c>
      <c r="M1485" s="10">
        <v>2.5845052216480702E-2</v>
      </c>
    </row>
    <row r="1486" spans="9:13" x14ac:dyDescent="0.35">
      <c r="I1486">
        <v>1482</v>
      </c>
      <c r="J1486" s="7">
        <v>6.9951631128787994E-2</v>
      </c>
      <c r="K1486">
        <v>2.8095133602619171E-2</v>
      </c>
      <c r="L1486">
        <v>0.35874980688095093</v>
      </c>
      <c r="M1486" s="10">
        <v>2.919365084701897E-2</v>
      </c>
    </row>
    <row r="1487" spans="9:13" x14ac:dyDescent="0.35">
      <c r="I1487">
        <v>1483</v>
      </c>
      <c r="J1487" s="7">
        <v>6.2605902552604675E-2</v>
      </c>
      <c r="K1487">
        <v>2.5666987523436546E-2</v>
      </c>
      <c r="L1487">
        <v>0.36205831170082092</v>
      </c>
      <c r="M1487" s="10">
        <v>2.6443015211436549E-2</v>
      </c>
    </row>
    <row r="1488" spans="9:13" x14ac:dyDescent="0.35">
      <c r="I1488">
        <v>1484</v>
      </c>
      <c r="J1488" s="7">
        <v>6.2688060104846954E-2</v>
      </c>
      <c r="K1488">
        <v>2.5754304602742195E-2</v>
      </c>
      <c r="L1488">
        <v>0.36297670006752014</v>
      </c>
      <c r="M1488" s="10">
        <v>2.6473779415230103E-2</v>
      </c>
    </row>
    <row r="1489" spans="9:13" x14ac:dyDescent="0.35">
      <c r="I1489">
        <v>1485</v>
      </c>
      <c r="J1489" s="7">
        <v>5.3258024156093597E-2</v>
      </c>
      <c r="K1489">
        <v>2.166035957634449E-2</v>
      </c>
      <c r="L1489">
        <v>0.35037648677825928</v>
      </c>
      <c r="M1489" s="10">
        <v>2.294266706109771E-2</v>
      </c>
    </row>
    <row r="1490" spans="9:13" x14ac:dyDescent="0.35">
      <c r="I1490">
        <v>1486</v>
      </c>
      <c r="J1490" s="7">
        <v>6.9378182291984558E-2</v>
      </c>
      <c r="K1490">
        <v>2.7752965688705444E-2</v>
      </c>
      <c r="L1490">
        <v>0.35678315162658691</v>
      </c>
      <c r="M1490" s="10">
        <v>2.8978920777790851E-2</v>
      </c>
    </row>
    <row r="1491" spans="9:13" x14ac:dyDescent="0.35">
      <c r="I1491">
        <v>1487</v>
      </c>
      <c r="J1491" s="7">
        <v>5.6010201573371887E-2</v>
      </c>
      <c r="K1491">
        <v>2.2649252787232399E-2</v>
      </c>
      <c r="L1491">
        <v>0.35081559419631958</v>
      </c>
      <c r="M1491" s="10">
        <v>2.3973230224560549E-2</v>
      </c>
    </row>
    <row r="1492" spans="9:13" x14ac:dyDescent="0.35">
      <c r="I1492">
        <v>1488</v>
      </c>
      <c r="J1492" s="7">
        <v>6.1791256070137024E-2</v>
      </c>
      <c r="K1492">
        <v>2.5222105905413628E-2</v>
      </c>
      <c r="L1492">
        <v>0.35963189601898193</v>
      </c>
      <c r="M1492" s="10">
        <v>2.6137967778518512E-2</v>
      </c>
    </row>
    <row r="1493" spans="9:13" x14ac:dyDescent="0.35">
      <c r="I1493">
        <v>1489</v>
      </c>
      <c r="J1493" s="7">
        <v>6.0046903789043427E-2</v>
      </c>
      <c r="K1493">
        <v>2.2461859509348869E-2</v>
      </c>
      <c r="L1493">
        <v>0.32411095499992371</v>
      </c>
      <c r="M1493" s="10">
        <v>2.5484788519902546E-2</v>
      </c>
    </row>
    <row r="1494" spans="9:13" x14ac:dyDescent="0.35">
      <c r="I1494">
        <v>1490</v>
      </c>
      <c r="J1494" s="7">
        <v>8.2799166440963745E-2</v>
      </c>
      <c r="K1494">
        <v>3.0014600604772568E-2</v>
      </c>
      <c r="L1494">
        <v>0.3262665867805481</v>
      </c>
      <c r="M1494" s="10">
        <v>3.4004458664456116E-2</v>
      </c>
    </row>
    <row r="1495" spans="9:13" x14ac:dyDescent="0.35">
      <c r="I1495">
        <v>1491</v>
      </c>
      <c r="J1495" s="7">
        <v>5.9388097375631332E-2</v>
      </c>
      <c r="K1495">
        <v>2.443835511803627E-2</v>
      </c>
      <c r="L1495">
        <v>0.36098739504814148</v>
      </c>
      <c r="M1495" s="10">
        <v>2.5238095985746445E-2</v>
      </c>
    </row>
    <row r="1496" spans="9:13" x14ac:dyDescent="0.35">
      <c r="I1496">
        <v>1492</v>
      </c>
      <c r="J1496" s="7">
        <v>8.3771310746669769E-2</v>
      </c>
      <c r="K1496">
        <v>3.1026935204863548E-2</v>
      </c>
      <c r="L1496">
        <v>0.33456483483314514</v>
      </c>
      <c r="M1496" s="10">
        <v>3.4368481748411783E-2</v>
      </c>
    </row>
    <row r="1497" spans="9:13" x14ac:dyDescent="0.35">
      <c r="I1497">
        <v>1493</v>
      </c>
      <c r="J1497" s="7">
        <v>6.2645368278026581E-2</v>
      </c>
      <c r="K1497">
        <v>2.4923598393797874E-2</v>
      </c>
      <c r="L1497">
        <v>0.34996360540390015</v>
      </c>
      <c r="M1497" s="10">
        <v>2.6457793300444843E-2</v>
      </c>
    </row>
    <row r="1498" spans="9:13" x14ac:dyDescent="0.35">
      <c r="I1498">
        <v>1494</v>
      </c>
      <c r="J1498" s="7">
        <v>6.6504277288913727E-2</v>
      </c>
      <c r="K1498">
        <v>2.7102973312139511E-2</v>
      </c>
      <c r="L1498">
        <v>0.36242741346359253</v>
      </c>
      <c r="M1498" s="10">
        <v>2.7902776262956008E-2</v>
      </c>
    </row>
    <row r="1499" spans="9:13" x14ac:dyDescent="0.35">
      <c r="I1499">
        <v>1495</v>
      </c>
      <c r="J1499" s="7">
        <v>6.1627838760614395E-2</v>
      </c>
      <c r="K1499">
        <v>2.5612331926822662E-2</v>
      </c>
      <c r="L1499">
        <v>0.36691749095916748</v>
      </c>
      <c r="M1499" s="10">
        <v>2.6076775553624532E-2</v>
      </c>
    </row>
    <row r="1500" spans="9:13" x14ac:dyDescent="0.35">
      <c r="I1500">
        <v>1496</v>
      </c>
      <c r="J1500" s="7">
        <v>5.5207818746566772E-2</v>
      </c>
      <c r="K1500">
        <v>2.3247521370649338E-2</v>
      </c>
      <c r="L1500">
        <v>0.36675098538398743</v>
      </c>
      <c r="M1500" s="10">
        <v>2.3672774963533705E-2</v>
      </c>
    </row>
    <row r="1501" spans="9:13" x14ac:dyDescent="0.35">
      <c r="I1501">
        <v>1497</v>
      </c>
      <c r="J1501" s="7">
        <v>6.3226699829101563E-2</v>
      </c>
      <c r="K1501">
        <v>2.4681210517883301E-2</v>
      </c>
      <c r="L1501">
        <v>0.34291225671768188</v>
      </c>
      <c r="M1501" s="10">
        <v>2.6675475081617606E-2</v>
      </c>
    </row>
    <row r="1502" spans="9:13" x14ac:dyDescent="0.35">
      <c r="I1502">
        <v>1498</v>
      </c>
      <c r="J1502" s="7">
        <v>5.1201149821281433E-2</v>
      </c>
      <c r="K1502">
        <v>2.1919788792729378E-2</v>
      </c>
      <c r="L1502">
        <v>0.36951881647109985</v>
      </c>
      <c r="M1502" s="10">
        <v>2.2172462746498756E-2</v>
      </c>
    </row>
    <row r="1503" spans="9:13" x14ac:dyDescent="0.35">
      <c r="I1503">
        <v>1499</v>
      </c>
      <c r="J1503" s="7">
        <v>4.8606038093566895E-2</v>
      </c>
      <c r="K1503">
        <v>2.1010894328355789E-2</v>
      </c>
      <c r="L1503">
        <v>0.37054848670959473</v>
      </c>
      <c r="M1503" s="10">
        <v>2.1200713419997186E-2</v>
      </c>
    </row>
    <row r="1504" spans="9:13" x14ac:dyDescent="0.35">
      <c r="I1504">
        <v>1500</v>
      </c>
      <c r="J1504" s="7">
        <v>6.1313193291425705E-2</v>
      </c>
      <c r="K1504">
        <v>2.5459166616201401E-2</v>
      </c>
      <c r="L1504">
        <v>0.36630234122276306</v>
      </c>
      <c r="M1504" s="10">
        <v>2.5958955376749082E-2</v>
      </c>
    </row>
    <row r="1505" spans="9:13" x14ac:dyDescent="0.35">
      <c r="I1505">
        <v>1501</v>
      </c>
      <c r="L1505"/>
      <c r="M1505" s="10">
        <v>2.5189999570365829E-2</v>
      </c>
    </row>
    <row r="1506" spans="9:13" x14ac:dyDescent="0.35">
      <c r="I1506">
        <v>1502</v>
      </c>
      <c r="L1506"/>
      <c r="M1506" s="10">
        <v>2.9520446253490151E-2</v>
      </c>
    </row>
    <row r="1507" spans="9:13" x14ac:dyDescent="0.35">
      <c r="I1507">
        <v>1503</v>
      </c>
      <c r="L1507"/>
      <c r="M1507" s="10">
        <v>2.5132055469530123E-2</v>
      </c>
    </row>
    <row r="1508" spans="9:13" x14ac:dyDescent="0.35">
      <c r="I1508">
        <v>1504</v>
      </c>
      <c r="L1508"/>
      <c r="M1508" s="10">
        <v>2.3525190820981701E-2</v>
      </c>
    </row>
    <row r="1509" spans="9:13" x14ac:dyDescent="0.35">
      <c r="I1509">
        <v>1505</v>
      </c>
      <c r="L1509"/>
      <c r="M1509" s="10">
        <v>2.6247451504577746E-2</v>
      </c>
    </row>
    <row r="1510" spans="9:13" x14ac:dyDescent="0.35">
      <c r="I1510">
        <v>1506</v>
      </c>
      <c r="L1510"/>
      <c r="M1510" s="10">
        <v>3.0896027040296481E-2</v>
      </c>
    </row>
    <row r="1511" spans="9:13" x14ac:dyDescent="0.35">
      <c r="I1511">
        <v>1507</v>
      </c>
      <c r="L1511"/>
      <c r="M1511" s="10">
        <v>2.309155747476177E-2</v>
      </c>
    </row>
    <row r="1512" spans="9:13" x14ac:dyDescent="0.35">
      <c r="I1512">
        <v>1508</v>
      </c>
      <c r="L1512"/>
      <c r="M1512" s="10">
        <v>2.394024990717647E-2</v>
      </c>
    </row>
    <row r="1513" spans="9:13" x14ac:dyDescent="0.35">
      <c r="I1513">
        <v>1509</v>
      </c>
      <c r="L1513"/>
      <c r="M1513" s="10">
        <v>2.395525777532781E-2</v>
      </c>
    </row>
    <row r="1514" spans="9:13" x14ac:dyDescent="0.35">
      <c r="I1514">
        <v>1510</v>
      </c>
      <c r="L1514"/>
      <c r="M1514" s="10">
        <v>2.9897769397498886E-2</v>
      </c>
    </row>
    <row r="1515" spans="9:13" x14ac:dyDescent="0.35">
      <c r="I1515">
        <v>1511</v>
      </c>
      <c r="L1515"/>
      <c r="M1515" s="10">
        <v>2.658625175608087E-2</v>
      </c>
    </row>
    <row r="1516" spans="9:13" x14ac:dyDescent="0.35">
      <c r="I1516">
        <v>1512</v>
      </c>
      <c r="L1516"/>
      <c r="M1516" s="10">
        <v>2.5100243979572667E-2</v>
      </c>
    </row>
    <row r="1517" spans="9:13" x14ac:dyDescent="0.35">
      <c r="I1517">
        <v>1513</v>
      </c>
      <c r="L1517"/>
      <c r="M1517" s="10">
        <v>2.4723018506702887E-2</v>
      </c>
    </row>
    <row r="1518" spans="9:13" x14ac:dyDescent="0.35">
      <c r="I1518">
        <v>1514</v>
      </c>
      <c r="L1518"/>
      <c r="M1518" s="10">
        <v>2.6435760065179892E-2</v>
      </c>
    </row>
    <row r="1519" spans="9:13" x14ac:dyDescent="0.35">
      <c r="I1519">
        <v>1515</v>
      </c>
      <c r="L1519"/>
      <c r="M1519" s="10">
        <v>2.1941154708210897E-2</v>
      </c>
    </row>
    <row r="1520" spans="9:13" x14ac:dyDescent="0.35">
      <c r="I1520">
        <v>1516</v>
      </c>
      <c r="L1520"/>
      <c r="M1520" s="10">
        <v>2.3489639921704275E-2</v>
      </c>
    </row>
    <row r="1521" spans="9:13" x14ac:dyDescent="0.35">
      <c r="I1521">
        <v>1517</v>
      </c>
      <c r="L1521"/>
      <c r="M1521" s="10">
        <v>2.5461198835994625E-2</v>
      </c>
    </row>
    <row r="1522" spans="9:13" x14ac:dyDescent="0.35">
      <c r="I1522">
        <v>1518</v>
      </c>
      <c r="L1522"/>
      <c r="M1522" s="10">
        <v>1.9999472000024721E-2</v>
      </c>
    </row>
    <row r="1523" spans="9:13" x14ac:dyDescent="0.35">
      <c r="I1523">
        <v>1519</v>
      </c>
      <c r="L1523"/>
      <c r="M1523" s="10">
        <v>1.9366985796101521E-2</v>
      </c>
    </row>
    <row r="1524" spans="9:13" x14ac:dyDescent="0.35">
      <c r="I1524">
        <v>1520</v>
      </c>
      <c r="L1524"/>
      <c r="M1524" s="10">
        <v>2.0795049471774019E-2</v>
      </c>
    </row>
    <row r="1525" spans="9:13" x14ac:dyDescent="0.35">
      <c r="I1525">
        <v>1521</v>
      </c>
      <c r="L1525"/>
      <c r="M1525" s="10">
        <v>2.493542811849303E-2</v>
      </c>
    </row>
    <row r="1526" spans="9:13" x14ac:dyDescent="0.35">
      <c r="I1526">
        <v>1522</v>
      </c>
      <c r="L1526"/>
      <c r="M1526" s="10">
        <v>2.7720928073958095E-2</v>
      </c>
    </row>
    <row r="1527" spans="9:13" x14ac:dyDescent="0.35">
      <c r="I1527">
        <v>1523</v>
      </c>
      <c r="L1527"/>
      <c r="M1527" s="10">
        <v>2.3220145715101226E-2</v>
      </c>
    </row>
    <row r="1528" spans="9:13" x14ac:dyDescent="0.35">
      <c r="I1528">
        <v>1524</v>
      </c>
      <c r="L1528"/>
      <c r="M1528" s="10">
        <v>2.9837121201416128E-2</v>
      </c>
    </row>
    <row r="1529" spans="9:13" x14ac:dyDescent="0.35">
      <c r="I1529">
        <v>1525</v>
      </c>
      <c r="L1529"/>
      <c r="M1529" s="10">
        <v>2.5883185596545233E-2</v>
      </c>
    </row>
    <row r="1530" spans="9:13" x14ac:dyDescent="0.35">
      <c r="I1530">
        <v>1526</v>
      </c>
      <c r="L1530"/>
      <c r="M1530" s="10">
        <v>2.5543115620235701E-2</v>
      </c>
    </row>
    <row r="1531" spans="9:13" x14ac:dyDescent="0.35">
      <c r="I1531">
        <v>1527</v>
      </c>
      <c r="L1531"/>
      <c r="M1531" s="10">
        <v>2.5695017961443578E-2</v>
      </c>
    </row>
    <row r="1532" spans="9:13" x14ac:dyDescent="0.35">
      <c r="I1532">
        <v>1528</v>
      </c>
      <c r="L1532"/>
      <c r="M1532" s="10">
        <v>2.4757581532174888E-2</v>
      </c>
    </row>
    <row r="1533" spans="9:13" x14ac:dyDescent="0.35">
      <c r="I1533">
        <v>1529</v>
      </c>
      <c r="L1533"/>
      <c r="M1533" s="10">
        <v>2.3219342021157829E-2</v>
      </c>
    </row>
    <row r="1534" spans="9:13" x14ac:dyDescent="0.35">
      <c r="I1534">
        <v>1530</v>
      </c>
      <c r="L1534"/>
      <c r="M1534" s="10">
        <v>2.7879035323093548E-2</v>
      </c>
    </row>
    <row r="1535" spans="9:13" x14ac:dyDescent="0.35">
      <c r="I1535">
        <v>1531</v>
      </c>
      <c r="L1535"/>
      <c r="M1535" s="10">
        <v>2.0094408347088422E-2</v>
      </c>
    </row>
    <row r="1536" spans="9:13" x14ac:dyDescent="0.35">
      <c r="I1536">
        <v>1532</v>
      </c>
      <c r="L1536"/>
      <c r="M1536" s="10">
        <v>2.1478108396145834E-2</v>
      </c>
    </row>
    <row r="1537" spans="9:13" x14ac:dyDescent="0.35">
      <c r="I1537">
        <v>1533</v>
      </c>
      <c r="L1537"/>
      <c r="M1537" s="10">
        <v>2.6619956670832057E-2</v>
      </c>
    </row>
    <row r="1538" spans="9:13" x14ac:dyDescent="0.35">
      <c r="I1538">
        <v>1534</v>
      </c>
      <c r="L1538"/>
      <c r="M1538" s="10">
        <v>2.5874086832300636E-2</v>
      </c>
    </row>
    <row r="1539" spans="9:13" x14ac:dyDescent="0.35">
      <c r="I1539">
        <v>1535</v>
      </c>
      <c r="L1539"/>
      <c r="M1539" s="10">
        <v>1.9870243316074121E-2</v>
      </c>
    </row>
    <row r="1540" spans="9:13" x14ac:dyDescent="0.35">
      <c r="I1540">
        <v>1536</v>
      </c>
      <c r="L1540"/>
      <c r="M1540" s="10">
        <v>2.6988079193551284E-2</v>
      </c>
    </row>
    <row r="1541" spans="9:13" x14ac:dyDescent="0.35">
      <c r="I1541">
        <v>1537</v>
      </c>
      <c r="L1541"/>
      <c r="M1541" s="10">
        <v>2.7045534938692217E-2</v>
      </c>
    </row>
    <row r="1542" spans="9:13" x14ac:dyDescent="0.35">
      <c r="I1542">
        <v>1538</v>
      </c>
      <c r="L1542"/>
      <c r="M1542" s="10">
        <v>2.7318838319714489E-2</v>
      </c>
    </row>
    <row r="1543" spans="9:13" x14ac:dyDescent="0.35">
      <c r="I1543">
        <v>1539</v>
      </c>
      <c r="L1543"/>
      <c r="M1543" s="10">
        <v>2.6987297824439649E-2</v>
      </c>
    </row>
    <row r="1544" spans="9:13" x14ac:dyDescent="0.35">
      <c r="I1544">
        <v>1540</v>
      </c>
      <c r="L1544"/>
      <c r="M1544" s="10">
        <v>2.7937635215862233E-2</v>
      </c>
    </row>
    <row r="1545" spans="9:13" x14ac:dyDescent="0.35">
      <c r="I1545">
        <v>1541</v>
      </c>
      <c r="L1545"/>
      <c r="M1545" s="10">
        <v>2.2755318997703222E-2</v>
      </c>
    </row>
    <row r="1546" spans="9:13" x14ac:dyDescent="0.35">
      <c r="I1546">
        <v>1542</v>
      </c>
      <c r="L1546"/>
      <c r="M1546" s="10">
        <v>2.4123288412181032E-2</v>
      </c>
    </row>
    <row r="1547" spans="9:13" x14ac:dyDescent="0.35">
      <c r="I1547">
        <v>1543</v>
      </c>
      <c r="L1547"/>
      <c r="M1547" s="10">
        <v>2.1645735790725373E-2</v>
      </c>
    </row>
    <row r="1548" spans="9:13" x14ac:dyDescent="0.35">
      <c r="I1548">
        <v>1544</v>
      </c>
      <c r="L1548"/>
      <c r="M1548" s="10">
        <v>2.9081810749653769E-2</v>
      </c>
    </row>
    <row r="1549" spans="9:13" x14ac:dyDescent="0.35">
      <c r="I1549">
        <v>1545</v>
      </c>
      <c r="L1549"/>
      <c r="M1549" s="10">
        <v>3.1306363029271811E-2</v>
      </c>
    </row>
    <row r="1550" spans="9:13" x14ac:dyDescent="0.35">
      <c r="I1550">
        <v>1546</v>
      </c>
      <c r="L1550"/>
      <c r="M1550" s="10">
        <v>1.8216463033579933E-2</v>
      </c>
    </row>
    <row r="1551" spans="9:13" x14ac:dyDescent="0.35">
      <c r="I1551">
        <v>1547</v>
      </c>
      <c r="L1551"/>
      <c r="M1551" s="10">
        <v>2.0854718165863262E-2</v>
      </c>
    </row>
    <row r="1552" spans="9:13" x14ac:dyDescent="0.35">
      <c r="I1552">
        <v>1548</v>
      </c>
      <c r="L1552"/>
      <c r="M1552" s="10">
        <v>2.1893456309851511E-2</v>
      </c>
    </row>
    <row r="1553" spans="9:13" x14ac:dyDescent="0.35">
      <c r="I1553">
        <v>1549</v>
      </c>
      <c r="L1553"/>
      <c r="M1553" s="10">
        <v>2.0772406511160413E-2</v>
      </c>
    </row>
    <row r="1554" spans="9:13" x14ac:dyDescent="0.35">
      <c r="I1554">
        <v>1550</v>
      </c>
      <c r="L1554"/>
      <c r="M1554" s="10">
        <v>2.4028907395307386E-2</v>
      </c>
    </row>
    <row r="1555" spans="9:13" x14ac:dyDescent="0.35">
      <c r="I1555">
        <v>1551</v>
      </c>
      <c r="L1555"/>
      <c r="M1555" s="10">
        <v>2.1973811751171302E-2</v>
      </c>
    </row>
    <row r="1556" spans="9:13" x14ac:dyDescent="0.35">
      <c r="I1556">
        <v>1552</v>
      </c>
      <c r="L1556"/>
      <c r="M1556" s="10">
        <v>2.282767098683669E-2</v>
      </c>
    </row>
    <row r="1557" spans="9:13" x14ac:dyDescent="0.35">
      <c r="I1557">
        <v>1553</v>
      </c>
      <c r="L1557"/>
      <c r="M1557" s="10">
        <v>2.6242538646288338E-2</v>
      </c>
    </row>
    <row r="1558" spans="9:13" x14ac:dyDescent="0.35">
      <c r="I1558">
        <v>1554</v>
      </c>
      <c r="L1558"/>
      <c r="M1558" s="10">
        <v>2.0850201573337612E-2</v>
      </c>
    </row>
    <row r="1559" spans="9:13" x14ac:dyDescent="0.35">
      <c r="I1559">
        <v>1555</v>
      </c>
      <c r="L1559"/>
      <c r="M1559" s="10">
        <v>2.5003986281529111E-2</v>
      </c>
    </row>
    <row r="1560" spans="9:13" x14ac:dyDescent="0.35">
      <c r="I1560">
        <v>1556</v>
      </c>
      <c r="L1560"/>
      <c r="M1560" s="10">
        <v>2.7315525872801949E-2</v>
      </c>
    </row>
    <row r="1561" spans="9:13" x14ac:dyDescent="0.35">
      <c r="I1561">
        <v>1557</v>
      </c>
      <c r="L1561"/>
      <c r="M1561" s="10">
        <v>2.1823250295171071E-2</v>
      </c>
    </row>
    <row r="1562" spans="9:13" x14ac:dyDescent="0.35">
      <c r="I1562">
        <v>1558</v>
      </c>
      <c r="L1562"/>
      <c r="M1562" s="10">
        <v>2.4546681637132584E-2</v>
      </c>
    </row>
    <row r="1563" spans="9:13" x14ac:dyDescent="0.35">
      <c r="I1563">
        <v>1559</v>
      </c>
      <c r="L1563"/>
      <c r="M1563" s="10">
        <v>2.2923504513076787E-2</v>
      </c>
    </row>
    <row r="1564" spans="9:13" x14ac:dyDescent="0.35">
      <c r="I1564">
        <v>1560</v>
      </c>
      <c r="L1564"/>
      <c r="M1564" s="10">
        <v>2.4513649257938197E-2</v>
      </c>
    </row>
    <row r="1565" spans="9:13" x14ac:dyDescent="0.35">
      <c r="I1565">
        <v>1561</v>
      </c>
      <c r="L1565"/>
      <c r="M1565" s="10">
        <v>2.1859204436722179E-2</v>
      </c>
    </row>
    <row r="1566" spans="9:13" x14ac:dyDescent="0.35">
      <c r="I1566">
        <v>1562</v>
      </c>
      <c r="L1566"/>
      <c r="M1566" s="10">
        <v>2.4384483362576925E-2</v>
      </c>
    </row>
    <row r="1567" spans="9:13" x14ac:dyDescent="0.35">
      <c r="I1567">
        <v>1563</v>
      </c>
      <c r="L1567"/>
      <c r="M1567" s="10">
        <v>2.1593473359572846E-2</v>
      </c>
    </row>
    <row r="1568" spans="9:13" x14ac:dyDescent="0.35">
      <c r="I1568">
        <v>1564</v>
      </c>
      <c r="L1568"/>
      <c r="M1568" s="10">
        <v>2.6499053753826329E-2</v>
      </c>
    </row>
    <row r="1569" spans="9:13" x14ac:dyDescent="0.35">
      <c r="I1569">
        <v>1565</v>
      </c>
      <c r="L1569"/>
      <c r="M1569" s="10">
        <v>2.3867677460329362E-2</v>
      </c>
    </row>
    <row r="1570" spans="9:13" x14ac:dyDescent="0.35">
      <c r="I1570">
        <v>1566</v>
      </c>
      <c r="L1570"/>
      <c r="M1570" s="10">
        <v>2.3662117385983894E-2</v>
      </c>
    </row>
    <row r="1571" spans="9:13" x14ac:dyDescent="0.35">
      <c r="I1571">
        <v>1567</v>
      </c>
      <c r="L1571"/>
      <c r="M1571" s="10">
        <v>2.8195414466998692E-2</v>
      </c>
    </row>
    <row r="1572" spans="9:13" x14ac:dyDescent="0.35">
      <c r="I1572">
        <v>1568</v>
      </c>
      <c r="L1572"/>
      <c r="M1572" s="10">
        <v>2.9319374865630632E-2</v>
      </c>
    </row>
    <row r="1573" spans="9:13" x14ac:dyDescent="0.35">
      <c r="I1573">
        <v>1569</v>
      </c>
      <c r="L1573"/>
      <c r="M1573" s="10">
        <v>2.6157663821838928E-2</v>
      </c>
    </row>
    <row r="1574" spans="9:13" x14ac:dyDescent="0.35">
      <c r="I1574">
        <v>1570</v>
      </c>
      <c r="L1574"/>
      <c r="M1574" s="10">
        <v>3.2413278418854219E-2</v>
      </c>
    </row>
    <row r="1575" spans="9:13" x14ac:dyDescent="0.35">
      <c r="I1575">
        <v>1571</v>
      </c>
      <c r="L1575"/>
      <c r="M1575" s="10">
        <v>2.8108685286211132E-2</v>
      </c>
    </row>
    <row r="1576" spans="9:13" x14ac:dyDescent="0.35">
      <c r="I1576">
        <v>1572</v>
      </c>
      <c r="L1576"/>
      <c r="M1576" s="10">
        <v>2.5427632056139959E-2</v>
      </c>
    </row>
    <row r="1577" spans="9:13" x14ac:dyDescent="0.35">
      <c r="I1577">
        <v>1573</v>
      </c>
      <c r="L1577"/>
      <c r="M1577" s="10">
        <v>2.4867947128589418E-2</v>
      </c>
    </row>
    <row r="1578" spans="9:13" x14ac:dyDescent="0.35">
      <c r="I1578">
        <v>1574</v>
      </c>
      <c r="L1578"/>
      <c r="M1578" s="10">
        <v>2.5689703256182472E-2</v>
      </c>
    </row>
    <row r="1579" spans="9:13" x14ac:dyDescent="0.35">
      <c r="I1579">
        <v>1575</v>
      </c>
      <c r="L1579"/>
      <c r="M1579" s="10">
        <v>2.4801694004432662E-2</v>
      </c>
    </row>
    <row r="1580" spans="9:13" x14ac:dyDescent="0.35">
      <c r="I1580">
        <v>1576</v>
      </c>
      <c r="L1580"/>
      <c r="M1580" s="10">
        <v>2.2106781239743856E-2</v>
      </c>
    </row>
    <row r="1581" spans="9:13" x14ac:dyDescent="0.35">
      <c r="I1581">
        <v>1577</v>
      </c>
      <c r="L1581"/>
      <c r="M1581" s="10">
        <v>2.262261461650783E-2</v>
      </c>
    </row>
    <row r="1582" spans="9:13" x14ac:dyDescent="0.35">
      <c r="I1582">
        <v>1578</v>
      </c>
      <c r="L1582"/>
      <c r="M1582" s="10">
        <v>2.5535848887497492E-2</v>
      </c>
    </row>
    <row r="1583" spans="9:13" x14ac:dyDescent="0.35">
      <c r="I1583">
        <v>1579</v>
      </c>
      <c r="L1583"/>
      <c r="M1583" s="10">
        <v>3.5537167011736814E-2</v>
      </c>
    </row>
    <row r="1584" spans="9:13" x14ac:dyDescent="0.35">
      <c r="I1584">
        <v>1580</v>
      </c>
      <c r="L1584"/>
      <c r="M1584" s="10">
        <v>2.7841872850023375E-2</v>
      </c>
    </row>
    <row r="1585" spans="9:13" x14ac:dyDescent="0.35">
      <c r="I1585">
        <v>1581</v>
      </c>
      <c r="L1585"/>
      <c r="M1585" s="10">
        <v>2.543901911564006E-2</v>
      </c>
    </row>
    <row r="1586" spans="9:13" x14ac:dyDescent="0.35">
      <c r="I1586">
        <v>1582</v>
      </c>
      <c r="L1586"/>
      <c r="M1586" s="10">
        <v>1.8701255127082206E-2</v>
      </c>
    </row>
    <row r="1587" spans="9:13" x14ac:dyDescent="0.35">
      <c r="I1587">
        <v>1583</v>
      </c>
      <c r="L1587"/>
      <c r="M1587" s="10">
        <v>2.7455591867270535E-2</v>
      </c>
    </row>
    <row r="1588" spans="9:13" x14ac:dyDescent="0.35">
      <c r="I1588">
        <v>1584</v>
      </c>
      <c r="L1588"/>
      <c r="M1588" s="10">
        <v>2.4725475633498584E-2</v>
      </c>
    </row>
    <row r="1589" spans="9:13" x14ac:dyDescent="0.35">
      <c r="I1589">
        <v>1585</v>
      </c>
      <c r="L1589"/>
      <c r="M1589" s="10">
        <v>3.1468968732007108E-2</v>
      </c>
    </row>
    <row r="1590" spans="9:13" x14ac:dyDescent="0.35">
      <c r="I1590">
        <v>1586</v>
      </c>
      <c r="L1590"/>
      <c r="M1590" s="10">
        <v>2.0687676798117449E-2</v>
      </c>
    </row>
    <row r="1591" spans="9:13" x14ac:dyDescent="0.35">
      <c r="I1591">
        <v>1587</v>
      </c>
      <c r="L1591"/>
      <c r="M1591" s="10">
        <v>2.3049750041383321E-2</v>
      </c>
    </row>
    <row r="1592" spans="9:13" x14ac:dyDescent="0.35">
      <c r="I1592">
        <v>1588</v>
      </c>
      <c r="L1592"/>
      <c r="M1592" s="10">
        <v>2.3503899907991621E-2</v>
      </c>
    </row>
    <row r="1593" spans="9:13" x14ac:dyDescent="0.35">
      <c r="I1593">
        <v>1589</v>
      </c>
      <c r="L1593"/>
      <c r="M1593" s="10">
        <v>3.3972740473064089E-2</v>
      </c>
    </row>
    <row r="1594" spans="9:13" x14ac:dyDescent="0.35">
      <c r="I1594">
        <v>1590</v>
      </c>
      <c r="L1594"/>
      <c r="M1594" s="10">
        <v>2.338766985733387E-2</v>
      </c>
    </row>
    <row r="1595" spans="9:13" x14ac:dyDescent="0.35">
      <c r="I1595">
        <v>1591</v>
      </c>
      <c r="L1595"/>
      <c r="M1595" s="10">
        <v>2.3912346658079175E-2</v>
      </c>
    </row>
    <row r="1596" spans="9:13" x14ac:dyDescent="0.35">
      <c r="I1596">
        <v>1592</v>
      </c>
      <c r="L1596"/>
      <c r="M1596" s="10">
        <v>2.1941054246467973E-2</v>
      </c>
    </row>
    <row r="1597" spans="9:13" x14ac:dyDescent="0.35">
      <c r="I1597">
        <v>1593</v>
      </c>
      <c r="L1597"/>
      <c r="M1597" s="10">
        <v>2.1045225722393868E-2</v>
      </c>
    </row>
    <row r="1598" spans="9:13" x14ac:dyDescent="0.35">
      <c r="I1598">
        <v>1594</v>
      </c>
      <c r="L1598"/>
      <c r="M1598" s="10">
        <v>2.9807108255717418E-2</v>
      </c>
    </row>
    <row r="1599" spans="9:13" x14ac:dyDescent="0.35">
      <c r="I1599">
        <v>1595</v>
      </c>
      <c r="L1599"/>
      <c r="M1599" s="10">
        <v>2.9426243835270594E-2</v>
      </c>
    </row>
    <row r="1600" spans="9:13" x14ac:dyDescent="0.35">
      <c r="I1600">
        <v>1596</v>
      </c>
      <c r="L1600"/>
      <c r="M1600" s="10">
        <v>2.1228133069011834E-2</v>
      </c>
    </row>
    <row r="1601" spans="9:13" x14ac:dyDescent="0.35">
      <c r="I1601">
        <v>1597</v>
      </c>
      <c r="L1601"/>
      <c r="M1601" s="10">
        <v>2.3474159046179999E-2</v>
      </c>
    </row>
    <row r="1602" spans="9:13" x14ac:dyDescent="0.35">
      <c r="I1602">
        <v>1598</v>
      </c>
      <c r="L1602"/>
      <c r="M1602" s="10">
        <v>3.3040324340337657E-2</v>
      </c>
    </row>
    <row r="1603" spans="9:13" x14ac:dyDescent="0.35">
      <c r="I1603">
        <v>1599</v>
      </c>
      <c r="L1603"/>
      <c r="M1603" s="10">
        <v>2.82335731856862E-2</v>
      </c>
    </row>
    <row r="1604" spans="9:13" x14ac:dyDescent="0.35">
      <c r="I1604">
        <v>1600</v>
      </c>
      <c r="L1604"/>
      <c r="M1604" s="10">
        <v>2.7508663573574399E-2</v>
      </c>
    </row>
    <row r="1605" spans="9:13" x14ac:dyDescent="0.35">
      <c r="I1605">
        <v>1601</v>
      </c>
      <c r="L1605"/>
      <c r="M1605" s="10">
        <v>2.7185252107664537E-2</v>
      </c>
    </row>
    <row r="1606" spans="9:13" x14ac:dyDescent="0.35">
      <c r="I1606">
        <v>1602</v>
      </c>
      <c r="L1606"/>
      <c r="M1606" s="10">
        <v>3.1485371902143511E-2</v>
      </c>
    </row>
    <row r="1607" spans="9:13" x14ac:dyDescent="0.35">
      <c r="I1607">
        <v>1603</v>
      </c>
      <c r="L1607"/>
      <c r="M1607" s="10">
        <v>2.5605519106215668E-2</v>
      </c>
    </row>
    <row r="1608" spans="9:13" x14ac:dyDescent="0.35">
      <c r="I1608">
        <v>1604</v>
      </c>
      <c r="L1608"/>
      <c r="M1608" s="10">
        <v>1.8151468471813703E-2</v>
      </c>
    </row>
    <row r="1609" spans="9:13" x14ac:dyDescent="0.35">
      <c r="I1609">
        <v>1605</v>
      </c>
      <c r="L1609"/>
      <c r="M1609" s="10">
        <v>2.6222242583613609E-2</v>
      </c>
    </row>
    <row r="1610" spans="9:13" x14ac:dyDescent="0.35">
      <c r="I1610">
        <v>1606</v>
      </c>
      <c r="L1610"/>
      <c r="M1610" s="10">
        <v>3.3640982310679579E-2</v>
      </c>
    </row>
    <row r="1611" spans="9:13" x14ac:dyDescent="0.35">
      <c r="I1611">
        <v>1607</v>
      </c>
      <c r="L1611"/>
      <c r="M1611" s="10">
        <v>2.7284285061356384E-2</v>
      </c>
    </row>
    <row r="1612" spans="9:13" x14ac:dyDescent="0.35">
      <c r="I1612">
        <v>1608</v>
      </c>
      <c r="L1612"/>
      <c r="M1612" s="10">
        <v>2.5003751870795621E-2</v>
      </c>
    </row>
    <row r="1613" spans="9:13" x14ac:dyDescent="0.35">
      <c r="I1613">
        <v>1609</v>
      </c>
      <c r="L1613"/>
      <c r="M1613" s="10">
        <v>1.9761190698827535E-2</v>
      </c>
    </row>
    <row r="1614" spans="9:13" x14ac:dyDescent="0.35">
      <c r="I1614">
        <v>1610</v>
      </c>
      <c r="L1614"/>
      <c r="M1614" s="10">
        <v>2.0715288429099865E-2</v>
      </c>
    </row>
    <row r="1615" spans="9:13" x14ac:dyDescent="0.35">
      <c r="I1615">
        <v>1611</v>
      </c>
      <c r="L1615"/>
      <c r="M1615" s="10">
        <v>2.2601033480704857E-2</v>
      </c>
    </row>
    <row r="1616" spans="9:13" x14ac:dyDescent="0.35">
      <c r="I1616">
        <v>1612</v>
      </c>
      <c r="L1616"/>
      <c r="M1616" s="10">
        <v>2.2522814246724199E-2</v>
      </c>
    </row>
    <row r="1617" spans="9:13" x14ac:dyDescent="0.35">
      <c r="I1617">
        <v>1613</v>
      </c>
      <c r="L1617"/>
      <c r="M1617" s="10">
        <v>2.2685761798445836E-2</v>
      </c>
    </row>
    <row r="1618" spans="9:13" x14ac:dyDescent="0.35">
      <c r="I1618">
        <v>1614</v>
      </c>
      <c r="L1618"/>
      <c r="M1618" s="10">
        <v>2.3751228347259956E-2</v>
      </c>
    </row>
    <row r="1619" spans="9:13" x14ac:dyDescent="0.35">
      <c r="I1619">
        <v>1615</v>
      </c>
      <c r="L1619"/>
      <c r="M1619" s="10">
        <v>2.8368892362801601E-2</v>
      </c>
    </row>
    <row r="1620" spans="9:13" x14ac:dyDescent="0.35">
      <c r="I1620">
        <v>1616</v>
      </c>
      <c r="L1620"/>
      <c r="M1620" s="10">
        <v>2.4560963948251691E-2</v>
      </c>
    </row>
    <row r="1621" spans="9:13" x14ac:dyDescent="0.35">
      <c r="I1621">
        <v>1617</v>
      </c>
      <c r="L1621"/>
      <c r="M1621" s="10">
        <v>2.5509629767896169E-2</v>
      </c>
    </row>
    <row r="1622" spans="9:13" x14ac:dyDescent="0.35">
      <c r="I1622">
        <v>1618</v>
      </c>
      <c r="L1622"/>
      <c r="M1622" s="10">
        <v>2.4528902699238908E-2</v>
      </c>
    </row>
    <row r="1623" spans="9:13" x14ac:dyDescent="0.35">
      <c r="I1623">
        <v>1619</v>
      </c>
      <c r="L1623"/>
      <c r="M1623" s="10">
        <v>2.9707785079212679E-2</v>
      </c>
    </row>
    <row r="1624" spans="9:13" x14ac:dyDescent="0.35">
      <c r="I1624">
        <v>1620</v>
      </c>
      <c r="L1624"/>
      <c r="M1624" s="10">
        <v>1.8416741889911936E-2</v>
      </c>
    </row>
    <row r="1625" spans="9:13" x14ac:dyDescent="0.35">
      <c r="I1625">
        <v>1621</v>
      </c>
      <c r="L1625"/>
      <c r="M1625" s="10">
        <v>2.5986297017939419E-2</v>
      </c>
    </row>
    <row r="1626" spans="9:13" x14ac:dyDescent="0.35">
      <c r="I1626">
        <v>1622</v>
      </c>
      <c r="L1626"/>
      <c r="M1626" s="10">
        <v>2.2165205324462423E-2</v>
      </c>
    </row>
    <row r="1627" spans="9:13" x14ac:dyDescent="0.35">
      <c r="I1627">
        <v>1623</v>
      </c>
      <c r="L1627"/>
      <c r="M1627" s="10">
        <v>3.174140423519467E-2</v>
      </c>
    </row>
    <row r="1628" spans="9:13" x14ac:dyDescent="0.35">
      <c r="I1628">
        <v>1624</v>
      </c>
      <c r="L1628"/>
      <c r="M1628" s="10">
        <v>1.9221603701069845E-2</v>
      </c>
    </row>
    <row r="1629" spans="9:13" x14ac:dyDescent="0.35">
      <c r="I1629">
        <v>1625</v>
      </c>
      <c r="L1629"/>
      <c r="M1629" s="10">
        <v>2.0952205124955658E-2</v>
      </c>
    </row>
    <row r="1630" spans="9:13" x14ac:dyDescent="0.35">
      <c r="I1630">
        <v>1626</v>
      </c>
      <c r="L1630"/>
      <c r="M1630" s="10">
        <v>2.2510446289928598E-2</v>
      </c>
    </row>
    <row r="1631" spans="9:13" x14ac:dyDescent="0.35">
      <c r="I1631">
        <v>1627</v>
      </c>
      <c r="L1631"/>
      <c r="M1631" s="10">
        <v>2.2454338406505236E-2</v>
      </c>
    </row>
    <row r="1632" spans="9:13" x14ac:dyDescent="0.35">
      <c r="I1632">
        <v>1628</v>
      </c>
      <c r="L1632"/>
      <c r="M1632" s="10">
        <v>1.913529450617979E-2</v>
      </c>
    </row>
    <row r="1633" spans="9:13" x14ac:dyDescent="0.35">
      <c r="I1633">
        <v>1629</v>
      </c>
      <c r="L1633"/>
      <c r="M1633" s="10">
        <v>2.2381006915378254E-2</v>
      </c>
    </row>
    <row r="1634" spans="9:13" x14ac:dyDescent="0.35">
      <c r="I1634">
        <v>1630</v>
      </c>
      <c r="L1634"/>
      <c r="M1634" s="10">
        <v>2.7595283920807123E-2</v>
      </c>
    </row>
    <row r="1635" spans="9:13" x14ac:dyDescent="0.35">
      <c r="I1635">
        <v>1631</v>
      </c>
      <c r="L1635"/>
      <c r="M1635" s="10">
        <v>2.4448298894165776E-2</v>
      </c>
    </row>
    <row r="1636" spans="9:13" x14ac:dyDescent="0.35">
      <c r="I1636">
        <v>1632</v>
      </c>
      <c r="L1636"/>
      <c r="M1636" s="10">
        <v>2.3296334784693618E-2</v>
      </c>
    </row>
    <row r="1637" spans="9:13" x14ac:dyDescent="0.35">
      <c r="I1637">
        <v>1633</v>
      </c>
      <c r="L1637"/>
      <c r="M1637" s="10">
        <v>2.083801500580007E-2</v>
      </c>
    </row>
    <row r="1638" spans="9:13" x14ac:dyDescent="0.35">
      <c r="I1638">
        <v>1634</v>
      </c>
      <c r="L1638"/>
      <c r="M1638" s="10">
        <v>2.2636898322928922E-2</v>
      </c>
    </row>
    <row r="1639" spans="9:13" x14ac:dyDescent="0.35">
      <c r="I1639">
        <v>1635</v>
      </c>
      <c r="L1639"/>
      <c r="M1639" s="10">
        <v>2.7230300827554288E-2</v>
      </c>
    </row>
    <row r="1640" spans="9:13" x14ac:dyDescent="0.35">
      <c r="I1640">
        <v>1636</v>
      </c>
      <c r="L1640"/>
      <c r="M1640" s="10">
        <v>1.8673847210189609E-2</v>
      </c>
    </row>
    <row r="1641" spans="9:13" x14ac:dyDescent="0.35">
      <c r="I1641">
        <v>1637</v>
      </c>
      <c r="L1641"/>
      <c r="M1641" s="10">
        <v>2.219826840030048E-2</v>
      </c>
    </row>
    <row r="1642" spans="9:13" x14ac:dyDescent="0.35">
      <c r="I1642">
        <v>1638</v>
      </c>
      <c r="L1642"/>
      <c r="M1642" s="10">
        <v>1.9195589690860326E-2</v>
      </c>
    </row>
    <row r="1643" spans="9:13" x14ac:dyDescent="0.35">
      <c r="I1643">
        <v>1639</v>
      </c>
      <c r="L1643"/>
      <c r="M1643" s="10">
        <v>2.1781575415481202E-2</v>
      </c>
    </row>
    <row r="1644" spans="9:13" x14ac:dyDescent="0.35">
      <c r="I1644">
        <v>1640</v>
      </c>
      <c r="L1644"/>
      <c r="M1644" s="10">
        <v>2.3178742919298445E-2</v>
      </c>
    </row>
    <row r="1645" spans="9:13" x14ac:dyDescent="0.35">
      <c r="I1645">
        <v>1641</v>
      </c>
      <c r="L1645"/>
      <c r="M1645" s="10">
        <v>2.802188913092829E-2</v>
      </c>
    </row>
    <row r="1646" spans="9:13" x14ac:dyDescent="0.35">
      <c r="I1646">
        <v>1642</v>
      </c>
      <c r="L1646"/>
      <c r="M1646" s="10">
        <v>2.2969644359118857E-2</v>
      </c>
    </row>
    <row r="1647" spans="9:13" x14ac:dyDescent="0.35">
      <c r="I1647">
        <v>1643</v>
      </c>
      <c r="L1647"/>
      <c r="M1647" s="10">
        <v>2.6458405816397468E-2</v>
      </c>
    </row>
    <row r="1648" spans="9:13" x14ac:dyDescent="0.35">
      <c r="I1648">
        <v>1644</v>
      </c>
      <c r="L1648"/>
      <c r="M1648" s="10">
        <v>2.4754404429554899E-2</v>
      </c>
    </row>
    <row r="1649" spans="9:13" x14ac:dyDescent="0.35">
      <c r="I1649">
        <v>1645</v>
      </c>
      <c r="L1649"/>
      <c r="M1649" s="10">
        <v>3.1011873382908339E-2</v>
      </c>
    </row>
    <row r="1650" spans="9:13" x14ac:dyDescent="0.35">
      <c r="I1650">
        <v>1646</v>
      </c>
      <c r="L1650"/>
      <c r="M1650" s="10">
        <v>2.7681622417038865E-2</v>
      </c>
    </row>
    <row r="1651" spans="9:13" x14ac:dyDescent="0.35">
      <c r="I1651">
        <v>1647</v>
      </c>
      <c r="L1651"/>
      <c r="M1651" s="10">
        <v>2.7438295703863691E-2</v>
      </c>
    </row>
    <row r="1652" spans="9:13" x14ac:dyDescent="0.35">
      <c r="I1652">
        <v>1648</v>
      </c>
      <c r="L1652"/>
      <c r="M1652" s="10">
        <v>2.8227676639497323E-2</v>
      </c>
    </row>
    <row r="1653" spans="9:13" x14ac:dyDescent="0.35">
      <c r="I1653">
        <v>1649</v>
      </c>
      <c r="L1653"/>
      <c r="M1653" s="10">
        <v>2.6763753702808701E-2</v>
      </c>
    </row>
    <row r="1654" spans="9:13" x14ac:dyDescent="0.35">
      <c r="I1654">
        <v>1650</v>
      </c>
      <c r="L1654"/>
      <c r="M1654" s="10">
        <v>2.4570931985632982E-2</v>
      </c>
    </row>
    <row r="1655" spans="9:13" x14ac:dyDescent="0.35">
      <c r="I1655">
        <v>1651</v>
      </c>
      <c r="L1655"/>
      <c r="M1655" s="10">
        <v>2.3397233257139494E-2</v>
      </c>
    </row>
    <row r="1656" spans="9:13" x14ac:dyDescent="0.35">
      <c r="I1656">
        <v>1652</v>
      </c>
      <c r="L1656"/>
      <c r="M1656" s="10">
        <v>1.9935959248966628E-2</v>
      </c>
    </row>
    <row r="1657" spans="9:13" x14ac:dyDescent="0.35">
      <c r="I1657">
        <v>1653</v>
      </c>
      <c r="L1657"/>
      <c r="M1657" s="10">
        <v>2.6558083399606414E-2</v>
      </c>
    </row>
    <row r="1658" spans="9:13" x14ac:dyDescent="0.35">
      <c r="I1658">
        <v>1654</v>
      </c>
      <c r="L1658"/>
      <c r="M1658" s="10">
        <v>2.3911361574877721E-2</v>
      </c>
    </row>
    <row r="1659" spans="9:13" x14ac:dyDescent="0.35">
      <c r="I1659">
        <v>1655</v>
      </c>
      <c r="L1659"/>
      <c r="M1659" s="10">
        <v>2.5416254763753754E-2</v>
      </c>
    </row>
    <row r="1660" spans="9:13" x14ac:dyDescent="0.35">
      <c r="I1660">
        <v>1656</v>
      </c>
      <c r="L1660"/>
      <c r="M1660" s="10">
        <v>2.143927574659954E-2</v>
      </c>
    </row>
    <row r="1661" spans="9:13" x14ac:dyDescent="0.35">
      <c r="I1661">
        <v>1657</v>
      </c>
      <c r="L1661"/>
      <c r="M1661" s="10">
        <v>2.0545668543285656E-2</v>
      </c>
    </row>
    <row r="1662" spans="9:13" x14ac:dyDescent="0.35">
      <c r="I1662">
        <v>1658</v>
      </c>
      <c r="L1662"/>
      <c r="M1662" s="10">
        <v>2.0856477641666427E-2</v>
      </c>
    </row>
    <row r="1663" spans="9:13" x14ac:dyDescent="0.35">
      <c r="I1663">
        <v>1659</v>
      </c>
      <c r="L1663"/>
      <c r="M1663" s="10">
        <v>2.0584723045847575E-2</v>
      </c>
    </row>
    <row r="1664" spans="9:13" x14ac:dyDescent="0.35">
      <c r="I1664">
        <v>1660</v>
      </c>
      <c r="L1664"/>
      <c r="M1664" s="10">
        <v>3.0004540695999893E-2</v>
      </c>
    </row>
    <row r="1665" spans="9:13" x14ac:dyDescent="0.35">
      <c r="I1665">
        <v>1661</v>
      </c>
      <c r="L1665"/>
      <c r="M1665" s="10">
        <v>2.7097147159119706E-2</v>
      </c>
    </row>
    <row r="1666" spans="9:13" x14ac:dyDescent="0.35">
      <c r="I1666">
        <v>1662</v>
      </c>
      <c r="L1666"/>
      <c r="M1666" s="10">
        <v>2.5511672490002302E-2</v>
      </c>
    </row>
    <row r="1667" spans="9:13" x14ac:dyDescent="0.35">
      <c r="I1667">
        <v>1663</v>
      </c>
      <c r="L1667"/>
      <c r="M1667" s="10">
        <v>2.4274248924548991E-2</v>
      </c>
    </row>
    <row r="1668" spans="9:13" x14ac:dyDescent="0.35">
      <c r="I1668">
        <v>1664</v>
      </c>
      <c r="L1668"/>
      <c r="M1668" s="10">
        <v>2.8362007942807299E-2</v>
      </c>
    </row>
    <row r="1669" spans="9:13" x14ac:dyDescent="0.35">
      <c r="I1669">
        <v>1665</v>
      </c>
      <c r="L1669"/>
      <c r="M1669" s="10">
        <v>2.4500905964908615E-2</v>
      </c>
    </row>
    <row r="1670" spans="9:13" x14ac:dyDescent="0.35">
      <c r="I1670">
        <v>1666</v>
      </c>
      <c r="L1670"/>
      <c r="M1670" s="10">
        <v>2.1788646805941503E-2</v>
      </c>
    </row>
    <row r="1671" spans="9:13" x14ac:dyDescent="0.35">
      <c r="I1671">
        <v>1667</v>
      </c>
      <c r="L1671"/>
      <c r="M1671" s="10">
        <v>2.459450700797261E-2</v>
      </c>
    </row>
    <row r="1672" spans="9:13" x14ac:dyDescent="0.35">
      <c r="I1672">
        <v>1668</v>
      </c>
      <c r="L1672"/>
      <c r="M1672" s="10">
        <v>3.7721721564651034E-2</v>
      </c>
    </row>
    <row r="1673" spans="9:13" x14ac:dyDescent="0.35">
      <c r="I1673">
        <v>1669</v>
      </c>
      <c r="L1673"/>
      <c r="M1673" s="10">
        <v>2.5161949814560103E-2</v>
      </c>
    </row>
    <row r="1674" spans="9:13" x14ac:dyDescent="0.35">
      <c r="I1674">
        <v>1670</v>
      </c>
      <c r="L1674"/>
      <c r="M1674" s="10">
        <v>2.7921924115510421E-2</v>
      </c>
    </row>
    <row r="1675" spans="9:13" x14ac:dyDescent="0.35">
      <c r="I1675">
        <v>1671</v>
      </c>
      <c r="L1675"/>
      <c r="M1675" s="10">
        <v>2.5877767638937232E-2</v>
      </c>
    </row>
    <row r="1676" spans="9:13" x14ac:dyDescent="0.35">
      <c r="I1676">
        <v>1672</v>
      </c>
      <c r="L1676"/>
      <c r="M1676" s="10">
        <v>2.2798444991457556E-2</v>
      </c>
    </row>
    <row r="1677" spans="9:13" x14ac:dyDescent="0.35">
      <c r="I1677">
        <v>1673</v>
      </c>
      <c r="L1677"/>
      <c r="M1677" s="10">
        <v>3.8420522286018333E-2</v>
      </c>
    </row>
    <row r="1678" spans="9:13" x14ac:dyDescent="0.35">
      <c r="I1678">
        <v>1674</v>
      </c>
      <c r="L1678"/>
      <c r="M1678" s="10">
        <v>2.3688989506914226E-2</v>
      </c>
    </row>
    <row r="1679" spans="9:13" x14ac:dyDescent="0.35">
      <c r="I1679">
        <v>1675</v>
      </c>
      <c r="L1679"/>
      <c r="M1679" s="10">
        <v>3.0459663088091782E-2</v>
      </c>
    </row>
    <row r="1680" spans="9:13" x14ac:dyDescent="0.35">
      <c r="I1680">
        <v>1676</v>
      </c>
      <c r="L1680"/>
      <c r="M1680" s="10">
        <v>2.7998336433420423E-2</v>
      </c>
    </row>
    <row r="1681" spans="9:13" x14ac:dyDescent="0.35">
      <c r="I1681">
        <v>1677</v>
      </c>
      <c r="L1681"/>
      <c r="M1681" s="10">
        <v>2.7236548989843401E-2</v>
      </c>
    </row>
    <row r="1682" spans="9:13" x14ac:dyDescent="0.35">
      <c r="I1682">
        <v>1678</v>
      </c>
      <c r="L1682"/>
      <c r="M1682" s="10">
        <v>1.9989837439817859E-2</v>
      </c>
    </row>
    <row r="1683" spans="9:13" x14ac:dyDescent="0.35">
      <c r="I1683">
        <v>1679</v>
      </c>
      <c r="L1683"/>
      <c r="M1683" s="10">
        <v>3.3816497347380681E-2</v>
      </c>
    </row>
    <row r="1684" spans="9:13" x14ac:dyDescent="0.35">
      <c r="I1684">
        <v>1680</v>
      </c>
      <c r="L1684"/>
      <c r="M1684" s="10">
        <v>2.502041038119529E-2</v>
      </c>
    </row>
    <row r="1685" spans="9:13" x14ac:dyDescent="0.35">
      <c r="I1685">
        <v>1681</v>
      </c>
      <c r="L1685"/>
      <c r="M1685" s="10">
        <v>2.6689607355322442E-2</v>
      </c>
    </row>
    <row r="1686" spans="9:13" x14ac:dyDescent="0.35">
      <c r="I1686">
        <v>1682</v>
      </c>
      <c r="L1686"/>
      <c r="M1686" s="10">
        <v>2.7492296681289607E-2</v>
      </c>
    </row>
    <row r="1687" spans="9:13" x14ac:dyDescent="0.35">
      <c r="I1687">
        <v>1683</v>
      </c>
      <c r="L1687"/>
      <c r="M1687" s="10">
        <v>2.5396448452075782E-2</v>
      </c>
    </row>
    <row r="1688" spans="9:13" x14ac:dyDescent="0.35">
      <c r="I1688">
        <v>1684</v>
      </c>
      <c r="L1688"/>
      <c r="M1688" s="10">
        <v>2.1844055643070348E-2</v>
      </c>
    </row>
    <row r="1689" spans="9:13" x14ac:dyDescent="0.35">
      <c r="I1689">
        <v>1685</v>
      </c>
      <c r="L1689"/>
      <c r="M1689" s="10">
        <v>3.0501577959723081E-2</v>
      </c>
    </row>
    <row r="1690" spans="9:13" x14ac:dyDescent="0.35">
      <c r="I1690">
        <v>1686</v>
      </c>
      <c r="L1690"/>
      <c r="M1690" s="10">
        <v>2.4231739654272055E-2</v>
      </c>
    </row>
    <row r="1691" spans="9:13" x14ac:dyDescent="0.35">
      <c r="I1691">
        <v>1687</v>
      </c>
      <c r="L1691"/>
      <c r="M1691" s="10">
        <v>2.6746384983698634E-2</v>
      </c>
    </row>
    <row r="1692" spans="9:13" x14ac:dyDescent="0.35">
      <c r="I1692">
        <v>1688</v>
      </c>
      <c r="L1692"/>
      <c r="M1692" s="10">
        <v>2.6125542574840788E-2</v>
      </c>
    </row>
    <row r="1693" spans="9:13" x14ac:dyDescent="0.35">
      <c r="I1693">
        <v>1689</v>
      </c>
      <c r="L1693"/>
      <c r="M1693" s="10">
        <v>2.3775445208512713E-2</v>
      </c>
    </row>
    <row r="1694" spans="9:13" x14ac:dyDescent="0.35">
      <c r="I1694">
        <v>1690</v>
      </c>
      <c r="L1694"/>
      <c r="M1694" s="10">
        <v>2.0581227814374992E-2</v>
      </c>
    </row>
    <row r="1695" spans="9:13" x14ac:dyDescent="0.35">
      <c r="I1695">
        <v>1691</v>
      </c>
      <c r="L1695"/>
      <c r="M1695" s="10">
        <v>3.1426886424137601E-2</v>
      </c>
    </row>
    <row r="1696" spans="9:13" x14ac:dyDescent="0.35">
      <c r="I1696">
        <v>1692</v>
      </c>
      <c r="L1696"/>
      <c r="M1696" s="10">
        <v>2.3281709229286185E-2</v>
      </c>
    </row>
    <row r="1697" spans="9:13" x14ac:dyDescent="0.35">
      <c r="I1697">
        <v>1693</v>
      </c>
      <c r="L1697"/>
      <c r="M1697" s="10">
        <v>3.5591179151578611E-2</v>
      </c>
    </row>
    <row r="1698" spans="9:13" x14ac:dyDescent="0.35">
      <c r="I1698">
        <v>1694</v>
      </c>
      <c r="L1698"/>
      <c r="M1698" s="10">
        <v>2.578733393137933E-2</v>
      </c>
    </row>
    <row r="1699" spans="9:13" x14ac:dyDescent="0.35">
      <c r="I1699">
        <v>1695</v>
      </c>
      <c r="L1699"/>
      <c r="M1699" s="10">
        <v>2.3641235296475438E-2</v>
      </c>
    </row>
    <row r="1700" spans="9:13" x14ac:dyDescent="0.35">
      <c r="I1700">
        <v>1696</v>
      </c>
      <c r="L1700"/>
      <c r="M1700" s="10">
        <v>2.8743187701502748E-2</v>
      </c>
    </row>
    <row r="1701" spans="9:13" x14ac:dyDescent="0.35">
      <c r="I1701">
        <v>1697</v>
      </c>
      <c r="L1701"/>
      <c r="M1701" s="10">
        <v>2.0043830045431865E-2</v>
      </c>
    </row>
    <row r="1702" spans="9:13" x14ac:dyDescent="0.35">
      <c r="I1702">
        <v>1698</v>
      </c>
      <c r="L1702"/>
      <c r="M1702" s="10">
        <v>2.0822924814831612E-2</v>
      </c>
    </row>
    <row r="1703" spans="9:13" x14ac:dyDescent="0.35">
      <c r="I1703">
        <v>1699</v>
      </c>
      <c r="L1703"/>
      <c r="M1703" s="10">
        <v>2.3327103984068231E-2</v>
      </c>
    </row>
    <row r="1704" spans="9:13" x14ac:dyDescent="0.35">
      <c r="I1704">
        <v>1700</v>
      </c>
      <c r="L1704"/>
      <c r="M1704" s="10">
        <v>2.5314051683951844E-2</v>
      </c>
    </row>
    <row r="1705" spans="9:13" x14ac:dyDescent="0.35">
      <c r="I1705">
        <v>1701</v>
      </c>
      <c r="L1705"/>
      <c r="M1705" s="10">
        <v>2.9143084041025835E-2</v>
      </c>
    </row>
    <row r="1706" spans="9:13" x14ac:dyDescent="0.35">
      <c r="I1706">
        <v>1702</v>
      </c>
      <c r="L1706"/>
      <c r="M1706" s="10">
        <v>2.507348348280114E-2</v>
      </c>
    </row>
    <row r="1707" spans="9:13" x14ac:dyDescent="0.35">
      <c r="I1707">
        <v>1703</v>
      </c>
      <c r="L1707"/>
      <c r="M1707" s="10">
        <v>2.3973321354826438E-2</v>
      </c>
    </row>
    <row r="1708" spans="9:13" x14ac:dyDescent="0.35">
      <c r="I1708">
        <v>1704</v>
      </c>
      <c r="L1708"/>
      <c r="M1708" s="10">
        <v>2.2269572517643166E-2</v>
      </c>
    </row>
    <row r="1709" spans="9:13" x14ac:dyDescent="0.35">
      <c r="I1709">
        <v>1705</v>
      </c>
      <c r="L1709"/>
      <c r="M1709" s="10">
        <v>2.5585669540176159E-2</v>
      </c>
    </row>
    <row r="1710" spans="9:13" x14ac:dyDescent="0.35">
      <c r="I1710">
        <v>1706</v>
      </c>
      <c r="L1710"/>
      <c r="M1710" s="10">
        <v>2.2310135341650938E-2</v>
      </c>
    </row>
    <row r="1711" spans="9:13" x14ac:dyDescent="0.35">
      <c r="I1711">
        <v>1707</v>
      </c>
      <c r="L1711"/>
      <c r="M1711" s="10">
        <v>2.7445905680890226E-2</v>
      </c>
    </row>
    <row r="1712" spans="9:13" x14ac:dyDescent="0.35">
      <c r="I1712">
        <v>1708</v>
      </c>
      <c r="L1712"/>
      <c r="M1712" s="10">
        <v>2.1916203918113997E-2</v>
      </c>
    </row>
    <row r="1713" spans="9:13" x14ac:dyDescent="0.35">
      <c r="I1713">
        <v>1709</v>
      </c>
      <c r="L1713"/>
      <c r="M1713" s="10">
        <v>2.6011413848972542E-2</v>
      </c>
    </row>
    <row r="1714" spans="9:13" x14ac:dyDescent="0.35">
      <c r="I1714">
        <v>1710</v>
      </c>
      <c r="L1714"/>
      <c r="M1714" s="10">
        <v>2.6361211870721935E-2</v>
      </c>
    </row>
    <row r="1715" spans="9:13" x14ac:dyDescent="0.35">
      <c r="I1715">
        <v>1711</v>
      </c>
      <c r="L1715"/>
      <c r="M1715" s="10">
        <v>2.4763687373661525E-2</v>
      </c>
    </row>
    <row r="1716" spans="9:13" x14ac:dyDescent="0.35">
      <c r="I1716">
        <v>1712</v>
      </c>
      <c r="L1716"/>
      <c r="M1716" s="10">
        <v>2.3824184502152956E-2</v>
      </c>
    </row>
    <row r="1717" spans="9:13" x14ac:dyDescent="0.35">
      <c r="I1717">
        <v>1713</v>
      </c>
      <c r="L1717"/>
      <c r="M1717" s="10">
        <v>2.9023249925340666E-2</v>
      </c>
    </row>
    <row r="1718" spans="9:13" x14ac:dyDescent="0.35">
      <c r="I1718">
        <v>1714</v>
      </c>
      <c r="L1718"/>
      <c r="M1718" s="10">
        <v>2.5939088370576791E-2</v>
      </c>
    </row>
    <row r="1719" spans="9:13" x14ac:dyDescent="0.35">
      <c r="I1719">
        <v>1715</v>
      </c>
      <c r="L1719"/>
      <c r="M1719" s="10">
        <v>2.5090873131440983E-2</v>
      </c>
    </row>
    <row r="1720" spans="9:13" x14ac:dyDescent="0.35">
      <c r="I1720">
        <v>1716</v>
      </c>
      <c r="L1720"/>
      <c r="M1720" s="10">
        <v>1.9392946784835607E-2</v>
      </c>
    </row>
    <row r="1721" spans="9:13" x14ac:dyDescent="0.35">
      <c r="I1721">
        <v>1717</v>
      </c>
      <c r="L1721"/>
      <c r="M1721" s="10">
        <v>2.2755296672871461E-2</v>
      </c>
    </row>
    <row r="1722" spans="9:13" x14ac:dyDescent="0.35">
      <c r="I1722">
        <v>1718</v>
      </c>
      <c r="L1722"/>
      <c r="M1722" s="10">
        <v>2.5522794442125241E-2</v>
      </c>
    </row>
    <row r="1723" spans="9:13" x14ac:dyDescent="0.35">
      <c r="I1723">
        <v>1719</v>
      </c>
      <c r="L1723"/>
      <c r="M1723" s="10">
        <v>2.5028260350163256E-2</v>
      </c>
    </row>
    <row r="1724" spans="9:13" x14ac:dyDescent="0.35">
      <c r="I1724">
        <v>1720</v>
      </c>
      <c r="L1724"/>
      <c r="M1724" s="10">
        <v>2.9943872965689344E-2</v>
      </c>
    </row>
    <row r="1725" spans="9:13" x14ac:dyDescent="0.35">
      <c r="I1725">
        <v>1721</v>
      </c>
      <c r="L1725"/>
      <c r="M1725" s="10">
        <v>2.7060620943754721E-2</v>
      </c>
    </row>
    <row r="1726" spans="9:13" x14ac:dyDescent="0.35">
      <c r="I1726">
        <v>1722</v>
      </c>
      <c r="L1726"/>
      <c r="M1726" s="10">
        <v>2.3336515295957483E-2</v>
      </c>
    </row>
    <row r="1727" spans="9:13" x14ac:dyDescent="0.35">
      <c r="I1727">
        <v>1723</v>
      </c>
      <c r="L1727"/>
      <c r="M1727" s="10">
        <v>3.1212339209706341E-2</v>
      </c>
    </row>
    <row r="1728" spans="9:13" x14ac:dyDescent="0.35">
      <c r="I1728">
        <v>1724</v>
      </c>
      <c r="L1728"/>
      <c r="M1728" s="10">
        <v>2.4748389282697292E-2</v>
      </c>
    </row>
    <row r="1729" spans="9:13" x14ac:dyDescent="0.35">
      <c r="I1729">
        <v>1725</v>
      </c>
      <c r="L1729"/>
      <c r="M1729" s="10">
        <v>2.3350095770178103E-2</v>
      </c>
    </row>
    <row r="1730" spans="9:13" x14ac:dyDescent="0.35">
      <c r="I1730">
        <v>1726</v>
      </c>
      <c r="L1730"/>
      <c r="M1730" s="10">
        <v>2.5291172917302762E-2</v>
      </c>
    </row>
    <row r="1731" spans="9:13" x14ac:dyDescent="0.35">
      <c r="I1731">
        <v>1727</v>
      </c>
      <c r="L1731"/>
      <c r="M1731" s="10">
        <v>2.1029677872374308E-2</v>
      </c>
    </row>
    <row r="1732" spans="9:13" x14ac:dyDescent="0.35">
      <c r="I1732">
        <v>1728</v>
      </c>
      <c r="L1732"/>
      <c r="M1732" s="10">
        <v>2.7605997049448439E-2</v>
      </c>
    </row>
    <row r="1733" spans="9:13" x14ac:dyDescent="0.35">
      <c r="I1733">
        <v>1729</v>
      </c>
      <c r="L1733"/>
      <c r="M1733" s="10">
        <v>2.5768613164645737E-2</v>
      </c>
    </row>
    <row r="1734" spans="9:13" x14ac:dyDescent="0.35">
      <c r="I1734">
        <v>1730</v>
      </c>
      <c r="L1734"/>
      <c r="M1734" s="10">
        <v>2.678821613721083E-2</v>
      </c>
    </row>
    <row r="1735" spans="9:13" x14ac:dyDescent="0.35">
      <c r="I1735">
        <v>1731</v>
      </c>
      <c r="L1735"/>
      <c r="M1735" s="10">
        <v>2.5135577211740423E-2</v>
      </c>
    </row>
    <row r="1736" spans="9:13" x14ac:dyDescent="0.35">
      <c r="I1736">
        <v>1732</v>
      </c>
      <c r="L1736"/>
      <c r="M1736" s="10">
        <v>2.2954131391648924E-2</v>
      </c>
    </row>
    <row r="1737" spans="9:13" x14ac:dyDescent="0.35">
      <c r="I1737">
        <v>1733</v>
      </c>
      <c r="L1737"/>
      <c r="M1737" s="10">
        <v>2.7597812208004058E-2</v>
      </c>
    </row>
    <row r="1738" spans="9:13" x14ac:dyDescent="0.35">
      <c r="I1738">
        <v>1734</v>
      </c>
      <c r="L1738"/>
      <c r="M1738" s="10">
        <v>2.4140163194388387E-2</v>
      </c>
    </row>
    <row r="1739" spans="9:13" x14ac:dyDescent="0.35">
      <c r="I1739">
        <v>1735</v>
      </c>
      <c r="L1739"/>
      <c r="M1739" s="10">
        <v>3.1774972410351321E-2</v>
      </c>
    </row>
    <row r="1740" spans="9:13" x14ac:dyDescent="0.35">
      <c r="I1740">
        <v>1736</v>
      </c>
      <c r="L1740"/>
      <c r="M1740" s="10">
        <v>2.708930277135968E-2</v>
      </c>
    </row>
    <row r="1741" spans="9:13" x14ac:dyDescent="0.35">
      <c r="I1741">
        <v>1737</v>
      </c>
      <c r="L1741"/>
      <c r="M1741" s="10">
        <v>2.4474572430544517E-2</v>
      </c>
    </row>
    <row r="1742" spans="9:13" x14ac:dyDescent="0.35">
      <c r="I1742">
        <v>1738</v>
      </c>
      <c r="L1742"/>
      <c r="M1742" s="10">
        <v>2.2492349223182329E-2</v>
      </c>
    </row>
    <row r="1743" spans="9:13" x14ac:dyDescent="0.35">
      <c r="I1743">
        <v>1739</v>
      </c>
      <c r="L1743"/>
      <c r="M1743" s="10">
        <v>3.1019148487458459E-2</v>
      </c>
    </row>
    <row r="1744" spans="9:13" x14ac:dyDescent="0.35">
      <c r="I1744">
        <v>1740</v>
      </c>
      <c r="L1744"/>
      <c r="M1744" s="10">
        <v>2.3405969242867974E-2</v>
      </c>
    </row>
    <row r="1745" spans="9:13" x14ac:dyDescent="0.35">
      <c r="I1745">
        <v>1741</v>
      </c>
      <c r="L1745"/>
      <c r="M1745" s="10">
        <v>2.4240043096385167E-2</v>
      </c>
    </row>
    <row r="1746" spans="9:13" x14ac:dyDescent="0.35">
      <c r="I1746">
        <v>1742</v>
      </c>
      <c r="L1746"/>
      <c r="M1746" s="10">
        <v>2.5869461406220151E-2</v>
      </c>
    </row>
    <row r="1747" spans="9:13" x14ac:dyDescent="0.35">
      <c r="I1747">
        <v>1743</v>
      </c>
      <c r="L1747"/>
      <c r="M1747" s="10">
        <v>2.0030507702078482E-2</v>
      </c>
    </row>
    <row r="1748" spans="9:13" x14ac:dyDescent="0.35">
      <c r="I1748">
        <v>1744</v>
      </c>
      <c r="L1748"/>
      <c r="M1748" s="10">
        <v>2.7242311587041712E-2</v>
      </c>
    </row>
    <row r="1749" spans="9:13" x14ac:dyDescent="0.35">
      <c r="I1749">
        <v>1745</v>
      </c>
      <c r="L1749"/>
      <c r="M1749" s="10">
        <v>2.8786620661693796E-2</v>
      </c>
    </row>
    <row r="1750" spans="9:13" x14ac:dyDescent="0.35">
      <c r="I1750">
        <v>1746</v>
      </c>
      <c r="L1750"/>
      <c r="M1750" s="10">
        <v>2.8051123498119335E-2</v>
      </c>
    </row>
    <row r="1751" spans="9:13" x14ac:dyDescent="0.35">
      <c r="I1751">
        <v>1747</v>
      </c>
      <c r="L1751"/>
      <c r="M1751" s="10">
        <v>1.9989381176068743E-2</v>
      </c>
    </row>
    <row r="1752" spans="9:13" x14ac:dyDescent="0.35">
      <c r="I1752">
        <v>1748</v>
      </c>
      <c r="L1752"/>
      <c r="M1752" s="10">
        <v>1.8904127849804442E-2</v>
      </c>
    </row>
    <row r="1753" spans="9:13" x14ac:dyDescent="0.35">
      <c r="I1753">
        <v>1749</v>
      </c>
      <c r="L1753"/>
      <c r="M1753" s="10">
        <v>2.3904018100530333E-2</v>
      </c>
    </row>
    <row r="1754" spans="9:13" x14ac:dyDescent="0.35">
      <c r="I1754">
        <v>1750</v>
      </c>
      <c r="L1754"/>
      <c r="M1754" s="10">
        <v>2.5128279782358542E-2</v>
      </c>
    </row>
    <row r="1755" spans="9:13" x14ac:dyDescent="0.35">
      <c r="I1755">
        <v>1751</v>
      </c>
      <c r="L1755"/>
      <c r="M1755" s="10">
        <v>2.8198595755524636E-2</v>
      </c>
    </row>
    <row r="1756" spans="9:13" x14ac:dyDescent="0.35">
      <c r="I1756">
        <v>1752</v>
      </c>
      <c r="L1756"/>
      <c r="M1756" s="10">
        <v>1.9610879001882631E-2</v>
      </c>
    </row>
    <row r="1757" spans="9:13" x14ac:dyDescent="0.35">
      <c r="I1757">
        <v>1753</v>
      </c>
      <c r="L1757"/>
      <c r="M1757" s="10">
        <v>2.4816761870569359E-2</v>
      </c>
    </row>
    <row r="1758" spans="9:13" x14ac:dyDescent="0.35">
      <c r="I1758">
        <v>1754</v>
      </c>
      <c r="L1758"/>
      <c r="M1758" s="10">
        <v>2.0846663087503492E-2</v>
      </c>
    </row>
    <row r="1759" spans="9:13" x14ac:dyDescent="0.35">
      <c r="I1759">
        <v>1755</v>
      </c>
      <c r="L1759"/>
      <c r="M1759" s="10">
        <v>2.6302882666538352E-2</v>
      </c>
    </row>
    <row r="1760" spans="9:13" x14ac:dyDescent="0.35">
      <c r="I1760">
        <v>1756</v>
      </c>
      <c r="L1760"/>
      <c r="M1760" s="10">
        <v>2.8802638728482322E-2</v>
      </c>
    </row>
    <row r="1761" spans="9:13" x14ac:dyDescent="0.35">
      <c r="I1761">
        <v>1757</v>
      </c>
      <c r="L1761"/>
      <c r="M1761" s="10">
        <v>2.1675733388102247E-2</v>
      </c>
    </row>
    <row r="1762" spans="9:13" x14ac:dyDescent="0.35">
      <c r="I1762">
        <v>1758</v>
      </c>
      <c r="L1762"/>
      <c r="M1762" s="10">
        <v>2.346490819401903E-2</v>
      </c>
    </row>
    <row r="1763" spans="9:13" x14ac:dyDescent="0.35">
      <c r="I1763">
        <v>1759</v>
      </c>
      <c r="L1763"/>
      <c r="M1763" s="10">
        <v>2.6833103002070313E-2</v>
      </c>
    </row>
    <row r="1764" spans="9:13" x14ac:dyDescent="0.35">
      <c r="I1764">
        <v>1760</v>
      </c>
      <c r="L1764"/>
      <c r="M1764" s="10">
        <v>3.436785650798635E-2</v>
      </c>
    </row>
    <row r="1765" spans="9:13" x14ac:dyDescent="0.35">
      <c r="I1765">
        <v>1761</v>
      </c>
      <c r="L1765"/>
      <c r="M1765" s="10">
        <v>2.5493815415197463E-2</v>
      </c>
    </row>
    <row r="1766" spans="9:13" x14ac:dyDescent="0.35">
      <c r="I1766">
        <v>1762</v>
      </c>
      <c r="L1766"/>
      <c r="M1766" s="10">
        <v>2.4695803141484229E-2</v>
      </c>
    </row>
    <row r="1767" spans="9:13" x14ac:dyDescent="0.35">
      <c r="I1767">
        <v>1763</v>
      </c>
      <c r="L1767"/>
      <c r="M1767" s="10">
        <v>2.2900558771932422E-2</v>
      </c>
    </row>
    <row r="1768" spans="9:13" x14ac:dyDescent="0.35">
      <c r="I1768">
        <v>1764</v>
      </c>
      <c r="L1768"/>
      <c r="M1768" s="10">
        <v>3.2296134445396252E-2</v>
      </c>
    </row>
    <row r="1769" spans="9:13" x14ac:dyDescent="0.35">
      <c r="I1769">
        <v>1765</v>
      </c>
      <c r="L1769"/>
      <c r="M1769" s="10">
        <v>2.123190736088143E-2</v>
      </c>
    </row>
    <row r="1770" spans="9:13" x14ac:dyDescent="0.35">
      <c r="I1770">
        <v>1766</v>
      </c>
      <c r="L1770"/>
      <c r="M1770" s="10">
        <v>1.9664806028303339E-2</v>
      </c>
    </row>
    <row r="1771" spans="9:13" x14ac:dyDescent="0.35">
      <c r="I1771">
        <v>1767</v>
      </c>
      <c r="L1771"/>
      <c r="M1771" s="10">
        <v>2.2483158369006717E-2</v>
      </c>
    </row>
    <row r="1772" spans="9:13" x14ac:dyDescent="0.35">
      <c r="I1772">
        <v>1768</v>
      </c>
      <c r="L1772"/>
      <c r="M1772" s="10">
        <v>2.5062268045445202E-2</v>
      </c>
    </row>
    <row r="1773" spans="9:13" x14ac:dyDescent="0.35">
      <c r="I1773">
        <v>1769</v>
      </c>
      <c r="L1773"/>
      <c r="M1773" s="10">
        <v>2.1020570736317801E-2</v>
      </c>
    </row>
    <row r="1774" spans="9:13" x14ac:dyDescent="0.35">
      <c r="I1774">
        <v>1770</v>
      </c>
      <c r="L1774"/>
      <c r="M1774" s="10">
        <v>2.6042488619481885E-2</v>
      </c>
    </row>
    <row r="1775" spans="9:13" x14ac:dyDescent="0.35">
      <c r="I1775">
        <v>1771</v>
      </c>
      <c r="L1775"/>
      <c r="M1775" s="10">
        <v>2.3158350580786746E-2</v>
      </c>
    </row>
    <row r="1776" spans="9:13" x14ac:dyDescent="0.35">
      <c r="I1776">
        <v>1772</v>
      </c>
      <c r="L1776"/>
      <c r="M1776" s="10">
        <v>2.7153849441188704E-2</v>
      </c>
    </row>
    <row r="1777" spans="9:13" x14ac:dyDescent="0.35">
      <c r="I1777">
        <v>1773</v>
      </c>
      <c r="L1777"/>
      <c r="M1777" s="10">
        <v>2.6092913437920084E-2</v>
      </c>
    </row>
    <row r="1778" spans="9:13" x14ac:dyDescent="0.35">
      <c r="I1778">
        <v>1774</v>
      </c>
      <c r="L1778"/>
      <c r="M1778" s="10">
        <v>2.0692018977894966E-2</v>
      </c>
    </row>
    <row r="1779" spans="9:13" x14ac:dyDescent="0.35">
      <c r="I1779">
        <v>1775</v>
      </c>
      <c r="L1779"/>
      <c r="M1779" s="10">
        <v>2.182886917626492E-2</v>
      </c>
    </row>
    <row r="1780" spans="9:13" x14ac:dyDescent="0.35">
      <c r="I1780">
        <v>1776</v>
      </c>
      <c r="L1780"/>
      <c r="M1780" s="10">
        <v>1.9568792508107169E-2</v>
      </c>
    </row>
    <row r="1781" spans="9:13" x14ac:dyDescent="0.35">
      <c r="I1781">
        <v>1777</v>
      </c>
      <c r="L1781"/>
      <c r="M1781" s="10">
        <v>3.3220628053451495E-2</v>
      </c>
    </row>
    <row r="1782" spans="9:13" x14ac:dyDescent="0.35">
      <c r="I1782">
        <v>1778</v>
      </c>
      <c r="L1782"/>
      <c r="M1782" s="10">
        <v>2.4066978209969836E-2</v>
      </c>
    </row>
    <row r="1783" spans="9:13" x14ac:dyDescent="0.35">
      <c r="I1783">
        <v>1779</v>
      </c>
      <c r="L1783"/>
      <c r="M1783" s="10">
        <v>2.151023941025787E-2</v>
      </c>
    </row>
    <row r="1784" spans="9:13" x14ac:dyDescent="0.35">
      <c r="I1784">
        <v>1780</v>
      </c>
      <c r="L1784"/>
      <c r="M1784" s="10">
        <v>2.3728190516184577E-2</v>
      </c>
    </row>
    <row r="1785" spans="9:13" x14ac:dyDescent="0.35">
      <c r="I1785">
        <v>1781</v>
      </c>
      <c r="L1785"/>
      <c r="M1785" s="10">
        <v>2.6978326032675692E-2</v>
      </c>
    </row>
    <row r="1786" spans="9:13" x14ac:dyDescent="0.35">
      <c r="I1786">
        <v>1782</v>
      </c>
      <c r="L1786"/>
      <c r="M1786" s="10">
        <v>2.0167572401977196E-2</v>
      </c>
    </row>
    <row r="1787" spans="9:13" x14ac:dyDescent="0.35">
      <c r="I1787">
        <v>1783</v>
      </c>
      <c r="L1787"/>
      <c r="M1787" s="10">
        <v>3.2287277068395071E-2</v>
      </c>
    </row>
    <row r="1788" spans="9:13" x14ac:dyDescent="0.35">
      <c r="I1788">
        <v>1784</v>
      </c>
      <c r="L1788"/>
      <c r="M1788" s="10">
        <v>2.8184712500773257E-2</v>
      </c>
    </row>
    <row r="1789" spans="9:13" x14ac:dyDescent="0.35">
      <c r="I1789">
        <v>1785</v>
      </c>
      <c r="L1789"/>
      <c r="M1789" s="10">
        <v>3.228239909265529E-2</v>
      </c>
    </row>
    <row r="1790" spans="9:13" x14ac:dyDescent="0.35">
      <c r="I1790">
        <v>1786</v>
      </c>
      <c r="L1790"/>
      <c r="M1790" s="10">
        <v>1.9718200049365753E-2</v>
      </c>
    </row>
    <row r="1791" spans="9:13" x14ac:dyDescent="0.35">
      <c r="I1791">
        <v>1787</v>
      </c>
      <c r="L1791"/>
      <c r="M1791" s="10">
        <v>2.4895508528700372E-2</v>
      </c>
    </row>
    <row r="1792" spans="9:13" x14ac:dyDescent="0.35">
      <c r="I1792">
        <v>1788</v>
      </c>
      <c r="L1792"/>
      <c r="M1792" s="10">
        <v>2.4314366647223529E-2</v>
      </c>
    </row>
    <row r="1793" spans="9:13" x14ac:dyDescent="0.35">
      <c r="I1793">
        <v>1789</v>
      </c>
      <c r="L1793"/>
      <c r="M1793" s="10">
        <v>2.6621538943283118E-2</v>
      </c>
    </row>
    <row r="1794" spans="9:13" x14ac:dyDescent="0.35">
      <c r="I1794">
        <v>1790</v>
      </c>
      <c r="L1794"/>
      <c r="M1794" s="10">
        <v>2.6059829432552251E-2</v>
      </c>
    </row>
    <row r="1795" spans="9:13" x14ac:dyDescent="0.35">
      <c r="I1795">
        <v>1791</v>
      </c>
      <c r="L1795"/>
      <c r="M1795" s="10">
        <v>2.4878884900850329E-2</v>
      </c>
    </row>
    <row r="1796" spans="9:13" x14ac:dyDescent="0.35">
      <c r="I1796">
        <v>1792</v>
      </c>
      <c r="L1796"/>
      <c r="M1796" s="10">
        <v>2.8801963402321551E-2</v>
      </c>
    </row>
    <row r="1797" spans="9:13" x14ac:dyDescent="0.35">
      <c r="I1797">
        <v>1793</v>
      </c>
      <c r="L1797"/>
      <c r="M1797" s="10">
        <v>2.6743703213283343E-2</v>
      </c>
    </row>
    <row r="1798" spans="9:13" x14ac:dyDescent="0.35">
      <c r="I1798">
        <v>1794</v>
      </c>
      <c r="L1798"/>
      <c r="M1798" s="10">
        <v>2.7782555772034367E-2</v>
      </c>
    </row>
    <row r="1799" spans="9:13" x14ac:dyDescent="0.35">
      <c r="I1799">
        <v>1795</v>
      </c>
      <c r="L1799"/>
      <c r="M1799" s="10">
        <v>2.5678567351039683E-2</v>
      </c>
    </row>
    <row r="1800" spans="9:13" x14ac:dyDescent="0.35">
      <c r="I1800">
        <v>1796</v>
      </c>
      <c r="L1800"/>
      <c r="M1800" s="10">
        <v>2.8824584038103396E-2</v>
      </c>
    </row>
    <row r="1801" spans="9:13" x14ac:dyDescent="0.35">
      <c r="I1801">
        <v>1797</v>
      </c>
      <c r="L1801"/>
      <c r="M1801" s="10">
        <v>2.1825203717950159E-2</v>
      </c>
    </row>
    <row r="1802" spans="9:13" x14ac:dyDescent="0.35">
      <c r="I1802">
        <v>1798</v>
      </c>
      <c r="L1802"/>
      <c r="M1802" s="10">
        <v>2.563203542513981E-2</v>
      </c>
    </row>
    <row r="1803" spans="9:13" x14ac:dyDescent="0.35">
      <c r="I1803">
        <v>1799</v>
      </c>
      <c r="L1803"/>
      <c r="M1803" s="10">
        <v>2.1382509280639228E-2</v>
      </c>
    </row>
    <row r="1804" spans="9:13" x14ac:dyDescent="0.35">
      <c r="I1804">
        <v>1800</v>
      </c>
      <c r="L1804"/>
      <c r="M1804" s="10">
        <v>2.1707807194832895E-2</v>
      </c>
    </row>
    <row r="1805" spans="9:13" x14ac:dyDescent="0.35">
      <c r="I1805">
        <v>1801</v>
      </c>
      <c r="L1805"/>
      <c r="M1805" s="10">
        <v>2.5691476685005488E-2</v>
      </c>
    </row>
    <row r="1806" spans="9:13" x14ac:dyDescent="0.35">
      <c r="I1806">
        <v>1802</v>
      </c>
      <c r="L1806"/>
      <c r="M1806" s="10">
        <v>2.5135930223142644E-2</v>
      </c>
    </row>
    <row r="1807" spans="9:13" x14ac:dyDescent="0.35">
      <c r="I1807">
        <v>1803</v>
      </c>
      <c r="L1807"/>
      <c r="M1807" s="10">
        <v>2.6617233041357213E-2</v>
      </c>
    </row>
    <row r="1808" spans="9:13" x14ac:dyDescent="0.35">
      <c r="I1808">
        <v>1804</v>
      </c>
      <c r="L1808"/>
      <c r="M1808" s="10">
        <v>2.3470566143568461E-2</v>
      </c>
    </row>
    <row r="1809" spans="9:13" x14ac:dyDescent="0.35">
      <c r="I1809">
        <v>1805</v>
      </c>
      <c r="L1809"/>
      <c r="M1809" s="10">
        <v>2.4282654223707012E-2</v>
      </c>
    </row>
    <row r="1810" spans="9:13" x14ac:dyDescent="0.35">
      <c r="I1810">
        <v>1806</v>
      </c>
      <c r="L1810"/>
      <c r="M1810" s="10">
        <v>2.2438791951787662E-2</v>
      </c>
    </row>
    <row r="1811" spans="9:13" x14ac:dyDescent="0.35">
      <c r="I1811">
        <v>1807</v>
      </c>
      <c r="L1811"/>
      <c r="M1811" s="10">
        <v>2.0589313589378433E-2</v>
      </c>
    </row>
    <row r="1812" spans="9:13" x14ac:dyDescent="0.35">
      <c r="I1812">
        <v>1808</v>
      </c>
      <c r="L1812"/>
      <c r="M1812" s="10">
        <v>2.5912627863732052E-2</v>
      </c>
    </row>
    <row r="1813" spans="9:13" x14ac:dyDescent="0.35">
      <c r="I1813">
        <v>1809</v>
      </c>
      <c r="L1813"/>
      <c r="M1813" s="10">
        <v>2.0571389540078311E-2</v>
      </c>
    </row>
    <row r="1814" spans="9:13" x14ac:dyDescent="0.35">
      <c r="I1814">
        <v>1810</v>
      </c>
      <c r="L1814"/>
      <c r="M1814" s="10">
        <v>2.4419050573954881E-2</v>
      </c>
    </row>
    <row r="1815" spans="9:13" x14ac:dyDescent="0.35">
      <c r="I1815">
        <v>1811</v>
      </c>
      <c r="L1815"/>
      <c r="M1815" s="10">
        <v>2.6355076727893612E-2</v>
      </c>
    </row>
    <row r="1816" spans="9:13" x14ac:dyDescent="0.35">
      <c r="I1816">
        <v>1812</v>
      </c>
      <c r="L1816"/>
      <c r="M1816" s="10">
        <v>2.3205686200630016E-2</v>
      </c>
    </row>
    <row r="1817" spans="9:13" x14ac:dyDescent="0.35">
      <c r="I1817">
        <v>1813</v>
      </c>
      <c r="L1817"/>
      <c r="M1817" s="10">
        <v>2.4986052465115094E-2</v>
      </c>
    </row>
    <row r="1818" spans="9:13" x14ac:dyDescent="0.35">
      <c r="I1818">
        <v>1814</v>
      </c>
      <c r="L1818"/>
      <c r="M1818" s="10">
        <v>2.1170748484272139E-2</v>
      </c>
    </row>
    <row r="1819" spans="9:13" x14ac:dyDescent="0.35">
      <c r="I1819">
        <v>1815</v>
      </c>
      <c r="L1819"/>
      <c r="M1819" s="10">
        <v>2.7581163464718284E-2</v>
      </c>
    </row>
    <row r="1820" spans="9:13" x14ac:dyDescent="0.35">
      <c r="I1820">
        <v>1816</v>
      </c>
      <c r="L1820"/>
      <c r="M1820" s="10">
        <v>2.7958037321487827E-2</v>
      </c>
    </row>
    <row r="1821" spans="9:13" x14ac:dyDescent="0.35">
      <c r="I1821">
        <v>1817</v>
      </c>
      <c r="L1821"/>
      <c r="M1821" s="10">
        <v>2.0188801921679933E-2</v>
      </c>
    </row>
    <row r="1822" spans="9:13" x14ac:dyDescent="0.35">
      <c r="I1822">
        <v>1818</v>
      </c>
      <c r="L1822"/>
      <c r="M1822" s="10">
        <v>2.0542280750065922E-2</v>
      </c>
    </row>
    <row r="1823" spans="9:13" x14ac:dyDescent="0.35">
      <c r="I1823">
        <v>1819</v>
      </c>
      <c r="L1823"/>
      <c r="M1823" s="10">
        <v>2.0467168853605999E-2</v>
      </c>
    </row>
    <row r="1824" spans="9:13" x14ac:dyDescent="0.35">
      <c r="I1824">
        <v>1820</v>
      </c>
      <c r="L1824"/>
      <c r="M1824" s="10">
        <v>2.6036013022969207E-2</v>
      </c>
    </row>
    <row r="1825" spans="9:13" x14ac:dyDescent="0.35">
      <c r="I1825">
        <v>1821</v>
      </c>
      <c r="L1825"/>
      <c r="M1825" s="10">
        <v>2.2129115838618763E-2</v>
      </c>
    </row>
    <row r="1826" spans="9:13" x14ac:dyDescent="0.35">
      <c r="I1826">
        <v>1822</v>
      </c>
      <c r="L1826"/>
      <c r="M1826" s="10">
        <v>2.538571439390469E-2</v>
      </c>
    </row>
    <row r="1827" spans="9:13" x14ac:dyDescent="0.35">
      <c r="I1827">
        <v>1823</v>
      </c>
      <c r="L1827"/>
      <c r="M1827" s="10">
        <v>2.6474725268414767E-2</v>
      </c>
    </row>
    <row r="1828" spans="9:13" x14ac:dyDescent="0.35">
      <c r="I1828">
        <v>1824</v>
      </c>
      <c r="L1828"/>
      <c r="M1828" s="10">
        <v>2.3302820148320191E-2</v>
      </c>
    </row>
    <row r="1829" spans="9:13" x14ac:dyDescent="0.35">
      <c r="I1829">
        <v>1825</v>
      </c>
      <c r="L1829"/>
      <c r="M1829" s="10">
        <v>2.6853192560051253E-2</v>
      </c>
    </row>
    <row r="1830" spans="9:13" x14ac:dyDescent="0.35">
      <c r="I1830">
        <v>1826</v>
      </c>
      <c r="L1830"/>
      <c r="M1830" s="10">
        <v>2.518242447588892E-2</v>
      </c>
    </row>
    <row r="1831" spans="9:13" x14ac:dyDescent="0.35">
      <c r="I1831">
        <v>1827</v>
      </c>
      <c r="L1831"/>
      <c r="M1831" s="10">
        <v>2.5183366304728838E-2</v>
      </c>
    </row>
    <row r="1832" spans="9:13" x14ac:dyDescent="0.35">
      <c r="I1832">
        <v>1828</v>
      </c>
      <c r="L1832"/>
      <c r="M1832" s="10">
        <v>2.4337856556142068E-2</v>
      </c>
    </row>
    <row r="1833" spans="9:13" x14ac:dyDescent="0.35">
      <c r="I1833">
        <v>1829</v>
      </c>
      <c r="L1833"/>
      <c r="M1833" s="10">
        <v>2.4094162878544823E-2</v>
      </c>
    </row>
    <row r="1834" spans="9:13" x14ac:dyDescent="0.35">
      <c r="I1834">
        <v>1830</v>
      </c>
      <c r="L1834"/>
      <c r="M1834" s="10">
        <v>2.5664946413061496E-2</v>
      </c>
    </row>
    <row r="1835" spans="9:13" x14ac:dyDescent="0.35">
      <c r="I1835">
        <v>1831</v>
      </c>
      <c r="L1835"/>
      <c r="M1835" s="10">
        <v>2.0797233119380643E-2</v>
      </c>
    </row>
    <row r="1836" spans="9:13" x14ac:dyDescent="0.35">
      <c r="I1836">
        <v>1832</v>
      </c>
      <c r="L1836"/>
      <c r="M1836" s="10">
        <v>3.0740157855545069E-2</v>
      </c>
    </row>
    <row r="1837" spans="9:13" x14ac:dyDescent="0.35">
      <c r="I1837">
        <v>1833</v>
      </c>
      <c r="L1837"/>
      <c r="M1837" s="10">
        <v>2.7533003221401842E-2</v>
      </c>
    </row>
    <row r="1838" spans="9:13" x14ac:dyDescent="0.35">
      <c r="I1838">
        <v>1834</v>
      </c>
      <c r="L1838"/>
      <c r="M1838" s="10">
        <v>2.8256040338249688E-2</v>
      </c>
    </row>
    <row r="1839" spans="9:13" x14ac:dyDescent="0.35">
      <c r="I1839">
        <v>1835</v>
      </c>
      <c r="L1839"/>
      <c r="M1839" s="10">
        <v>2.6466537636366416E-2</v>
      </c>
    </row>
    <row r="1840" spans="9:13" x14ac:dyDescent="0.35">
      <c r="I1840">
        <v>1836</v>
      </c>
      <c r="L1840"/>
      <c r="M1840" s="10">
        <v>2.3019180370192571E-2</v>
      </c>
    </row>
    <row r="1841" spans="9:13" x14ac:dyDescent="0.35">
      <c r="I1841">
        <v>1837</v>
      </c>
      <c r="L1841"/>
      <c r="M1841" s="10">
        <v>2.9747648856925935E-2</v>
      </c>
    </row>
    <row r="1842" spans="9:13" x14ac:dyDescent="0.35">
      <c r="I1842">
        <v>1838</v>
      </c>
      <c r="L1842"/>
      <c r="M1842" s="10">
        <v>2.058108967947847E-2</v>
      </c>
    </row>
    <row r="1843" spans="9:13" x14ac:dyDescent="0.35">
      <c r="I1843">
        <v>1839</v>
      </c>
      <c r="L1843"/>
      <c r="M1843" s="10">
        <v>2.2415779236148015E-2</v>
      </c>
    </row>
    <row r="1844" spans="9:13" x14ac:dyDescent="0.35">
      <c r="I1844">
        <v>1840</v>
      </c>
      <c r="L1844"/>
      <c r="M1844" s="10">
        <v>2.0925374863084878E-2</v>
      </c>
    </row>
    <row r="1845" spans="9:13" x14ac:dyDescent="0.35">
      <c r="I1845">
        <v>1841</v>
      </c>
      <c r="L1845"/>
      <c r="M1845" s="10">
        <v>2.8159719851616805E-2</v>
      </c>
    </row>
    <row r="1846" spans="9:13" x14ac:dyDescent="0.35">
      <c r="I1846">
        <v>1842</v>
      </c>
      <c r="L1846"/>
      <c r="M1846" s="10">
        <v>2.6785269259418376E-2</v>
      </c>
    </row>
    <row r="1847" spans="9:13" x14ac:dyDescent="0.35">
      <c r="I1847">
        <v>1843</v>
      </c>
      <c r="L1847"/>
      <c r="M1847" s="10">
        <v>2.3778293019864227E-2</v>
      </c>
    </row>
    <row r="1848" spans="9:13" x14ac:dyDescent="0.35">
      <c r="I1848">
        <v>1844</v>
      </c>
      <c r="L1848"/>
      <c r="M1848" s="10">
        <v>1.8028743290415483E-2</v>
      </c>
    </row>
    <row r="1849" spans="9:13" x14ac:dyDescent="0.35">
      <c r="I1849">
        <v>1845</v>
      </c>
      <c r="L1849"/>
      <c r="M1849" s="10">
        <v>2.5277346869932771E-2</v>
      </c>
    </row>
    <row r="1850" spans="9:13" x14ac:dyDescent="0.35">
      <c r="I1850">
        <v>1846</v>
      </c>
      <c r="L1850"/>
      <c r="M1850" s="10">
        <v>2.1720196081158272E-2</v>
      </c>
    </row>
    <row r="1851" spans="9:13" x14ac:dyDescent="0.35">
      <c r="I1851">
        <v>1847</v>
      </c>
      <c r="L1851"/>
      <c r="M1851" s="10">
        <v>1.9819867333205399E-2</v>
      </c>
    </row>
    <row r="1852" spans="9:13" x14ac:dyDescent="0.35">
      <c r="I1852">
        <v>1848</v>
      </c>
      <c r="L1852"/>
      <c r="M1852" s="10">
        <v>2.6149827805890813E-2</v>
      </c>
    </row>
    <row r="1853" spans="9:13" x14ac:dyDescent="0.35">
      <c r="I1853">
        <v>1849</v>
      </c>
      <c r="L1853"/>
      <c r="M1853" s="10">
        <v>1.9819212936574404E-2</v>
      </c>
    </row>
    <row r="1854" spans="9:13" x14ac:dyDescent="0.35">
      <c r="I1854">
        <v>1850</v>
      </c>
      <c r="L1854"/>
      <c r="M1854" s="10">
        <v>2.8878961747065279E-2</v>
      </c>
    </row>
    <row r="1855" spans="9:13" x14ac:dyDescent="0.35">
      <c r="I1855">
        <v>1851</v>
      </c>
      <c r="L1855"/>
      <c r="M1855" s="10">
        <v>2.444430414458254E-2</v>
      </c>
    </row>
    <row r="1856" spans="9:13" x14ac:dyDescent="0.35">
      <c r="I1856">
        <v>1852</v>
      </c>
      <c r="L1856"/>
      <c r="M1856" s="10">
        <v>2.4119189014948916E-2</v>
      </c>
    </row>
    <row r="1857" spans="9:13" x14ac:dyDescent="0.35">
      <c r="I1857">
        <v>1853</v>
      </c>
      <c r="L1857"/>
      <c r="M1857" s="10">
        <v>2.7251908474094977E-2</v>
      </c>
    </row>
    <row r="1858" spans="9:13" x14ac:dyDescent="0.35">
      <c r="I1858">
        <v>1854</v>
      </c>
      <c r="L1858"/>
      <c r="M1858" s="10">
        <v>1.9413826083740093E-2</v>
      </c>
    </row>
    <row r="1859" spans="9:13" x14ac:dyDescent="0.35">
      <c r="I1859">
        <v>1855</v>
      </c>
      <c r="L1859"/>
      <c r="M1859" s="10">
        <v>2.0438140991108744E-2</v>
      </c>
    </row>
    <row r="1860" spans="9:13" x14ac:dyDescent="0.35">
      <c r="I1860">
        <v>1856</v>
      </c>
      <c r="L1860"/>
      <c r="M1860" s="10">
        <v>2.5881063342225952E-2</v>
      </c>
    </row>
    <row r="1861" spans="9:13" x14ac:dyDescent="0.35">
      <c r="I1861">
        <v>1857</v>
      </c>
      <c r="L1861"/>
      <c r="M1861" s="10">
        <v>1.9537840524172512E-2</v>
      </c>
    </row>
    <row r="1862" spans="9:13" x14ac:dyDescent="0.35">
      <c r="I1862">
        <v>1858</v>
      </c>
      <c r="L1862"/>
      <c r="M1862" s="10">
        <v>2.394268052323445E-2</v>
      </c>
    </row>
    <row r="1863" spans="9:13" x14ac:dyDescent="0.35">
      <c r="I1863">
        <v>1859</v>
      </c>
      <c r="L1863"/>
      <c r="M1863" s="10">
        <v>2.3018143660817669E-2</v>
      </c>
    </row>
    <row r="1864" spans="9:13" x14ac:dyDescent="0.35">
      <c r="I1864">
        <v>1860</v>
      </c>
      <c r="L1864"/>
      <c r="M1864" s="10">
        <v>2.7430166674498713E-2</v>
      </c>
    </row>
    <row r="1865" spans="9:13" x14ac:dyDescent="0.35">
      <c r="I1865">
        <v>1861</v>
      </c>
      <c r="L1865"/>
      <c r="M1865" s="10">
        <v>2.6397719947161113E-2</v>
      </c>
    </row>
    <row r="1866" spans="9:13" x14ac:dyDescent="0.35">
      <c r="I1866">
        <v>1862</v>
      </c>
      <c r="L1866"/>
      <c r="M1866" s="10">
        <v>2.2460590754700305E-2</v>
      </c>
    </row>
    <row r="1867" spans="9:13" x14ac:dyDescent="0.35">
      <c r="I1867">
        <v>1863</v>
      </c>
      <c r="L1867"/>
      <c r="M1867" s="10">
        <v>2.6015627660967433E-2</v>
      </c>
    </row>
    <row r="1868" spans="9:13" x14ac:dyDescent="0.35">
      <c r="I1868">
        <v>1864</v>
      </c>
      <c r="L1868"/>
      <c r="M1868" s="10">
        <v>2.4302667040078774E-2</v>
      </c>
    </row>
    <row r="1869" spans="9:13" x14ac:dyDescent="0.35">
      <c r="I1869">
        <v>1865</v>
      </c>
      <c r="L1869"/>
      <c r="M1869" s="10">
        <v>2.7888328034314069E-2</v>
      </c>
    </row>
    <row r="1870" spans="9:13" x14ac:dyDescent="0.35">
      <c r="I1870">
        <v>1866</v>
      </c>
      <c r="L1870"/>
      <c r="M1870" s="10">
        <v>1.9415785087727122E-2</v>
      </c>
    </row>
    <row r="1871" spans="9:13" x14ac:dyDescent="0.35">
      <c r="I1871">
        <v>1867</v>
      </c>
      <c r="L1871"/>
      <c r="M1871" s="10">
        <v>2.6467106919576322E-2</v>
      </c>
    </row>
    <row r="1872" spans="9:13" x14ac:dyDescent="0.35">
      <c r="I1872">
        <v>1868</v>
      </c>
      <c r="L1872"/>
      <c r="M1872" s="10">
        <v>2.1385325000045086E-2</v>
      </c>
    </row>
    <row r="1873" spans="9:13" x14ac:dyDescent="0.35">
      <c r="I1873">
        <v>1869</v>
      </c>
      <c r="L1873"/>
      <c r="M1873" s="10">
        <v>3.0089489471454511E-2</v>
      </c>
    </row>
    <row r="1874" spans="9:13" x14ac:dyDescent="0.35">
      <c r="I1874">
        <v>1870</v>
      </c>
      <c r="L1874"/>
      <c r="M1874" s="10">
        <v>2.6989376824397393E-2</v>
      </c>
    </row>
    <row r="1875" spans="9:13" x14ac:dyDescent="0.35">
      <c r="I1875">
        <v>1871</v>
      </c>
      <c r="L1875"/>
      <c r="M1875" s="10">
        <v>2.3296052933692635E-2</v>
      </c>
    </row>
    <row r="1876" spans="9:13" x14ac:dyDescent="0.35">
      <c r="I1876">
        <v>1872</v>
      </c>
      <c r="L1876"/>
      <c r="M1876" s="10">
        <v>2.5768049462643772E-2</v>
      </c>
    </row>
    <row r="1877" spans="9:13" x14ac:dyDescent="0.35">
      <c r="I1877">
        <v>1873</v>
      </c>
      <c r="L1877"/>
      <c r="M1877" s="10">
        <v>2.5233929258063559E-2</v>
      </c>
    </row>
    <row r="1878" spans="9:13" x14ac:dyDescent="0.35">
      <c r="I1878">
        <v>1874</v>
      </c>
      <c r="L1878"/>
      <c r="M1878" s="10">
        <v>2.6660618561280769E-2</v>
      </c>
    </row>
    <row r="1879" spans="9:13" x14ac:dyDescent="0.35">
      <c r="I1879">
        <v>1875</v>
      </c>
      <c r="L1879"/>
      <c r="M1879" s="10">
        <v>2.4042319037987814E-2</v>
      </c>
    </row>
    <row r="1880" spans="9:13" x14ac:dyDescent="0.35">
      <c r="I1880">
        <v>1876</v>
      </c>
      <c r="L1880"/>
      <c r="M1880" s="10">
        <v>2.1151805864522921E-2</v>
      </c>
    </row>
    <row r="1881" spans="9:13" x14ac:dyDescent="0.35">
      <c r="I1881">
        <v>1877</v>
      </c>
      <c r="L1881"/>
      <c r="M1881" s="10">
        <v>2.5316761360406836E-2</v>
      </c>
    </row>
    <row r="1882" spans="9:13" x14ac:dyDescent="0.35">
      <c r="I1882">
        <v>1878</v>
      </c>
      <c r="L1882"/>
      <c r="M1882" s="10">
        <v>2.2132763158007718E-2</v>
      </c>
    </row>
    <row r="1883" spans="9:13" x14ac:dyDescent="0.35">
      <c r="I1883">
        <v>1879</v>
      </c>
      <c r="L1883"/>
      <c r="M1883" s="10">
        <v>2.6713712592416394E-2</v>
      </c>
    </row>
    <row r="1884" spans="9:13" x14ac:dyDescent="0.35">
      <c r="I1884">
        <v>1880</v>
      </c>
      <c r="L1884"/>
      <c r="M1884" s="10">
        <v>2.6589237702328905E-2</v>
      </c>
    </row>
    <row r="1885" spans="9:13" x14ac:dyDescent="0.35">
      <c r="I1885">
        <v>1881</v>
      </c>
      <c r="L1885"/>
      <c r="M1885" s="10">
        <v>2.99186179997597E-2</v>
      </c>
    </row>
    <row r="1886" spans="9:13" x14ac:dyDescent="0.35">
      <c r="I1886">
        <v>1882</v>
      </c>
      <c r="L1886"/>
      <c r="M1886" s="10">
        <v>2.2626105662074458E-2</v>
      </c>
    </row>
    <row r="1887" spans="9:13" x14ac:dyDescent="0.35">
      <c r="I1887">
        <v>1883</v>
      </c>
      <c r="L1887"/>
      <c r="M1887" s="10">
        <v>2.0653849096791577E-2</v>
      </c>
    </row>
    <row r="1888" spans="9:13" x14ac:dyDescent="0.35">
      <c r="I1888">
        <v>1884</v>
      </c>
      <c r="L1888"/>
      <c r="M1888" s="10">
        <v>2.6395116313656986E-2</v>
      </c>
    </row>
    <row r="1889" spans="9:13" x14ac:dyDescent="0.35">
      <c r="I1889">
        <v>1885</v>
      </c>
      <c r="L1889"/>
      <c r="M1889" s="10">
        <v>2.8683987828880486E-2</v>
      </c>
    </row>
    <row r="1890" spans="9:13" x14ac:dyDescent="0.35">
      <c r="I1890">
        <v>1886</v>
      </c>
      <c r="L1890"/>
      <c r="M1890" s="10">
        <v>3.2866623196217137E-2</v>
      </c>
    </row>
    <row r="1891" spans="9:13" x14ac:dyDescent="0.35">
      <c r="I1891">
        <v>1887</v>
      </c>
      <c r="L1891"/>
      <c r="M1891" s="10">
        <v>2.6204414810150456E-2</v>
      </c>
    </row>
    <row r="1892" spans="9:13" x14ac:dyDescent="0.35">
      <c r="I1892">
        <v>1888</v>
      </c>
      <c r="L1892"/>
      <c r="M1892" s="10">
        <v>2.7591307310149693E-2</v>
      </c>
    </row>
    <row r="1893" spans="9:13" x14ac:dyDescent="0.35">
      <c r="I1893">
        <v>1889</v>
      </c>
      <c r="L1893"/>
      <c r="M1893" s="10">
        <v>2.5341088450516414E-2</v>
      </c>
    </row>
    <row r="1894" spans="9:13" x14ac:dyDescent="0.35">
      <c r="I1894">
        <v>1890</v>
      </c>
      <c r="L1894"/>
      <c r="M1894" s="10">
        <v>2.0019830851288778E-2</v>
      </c>
    </row>
    <row r="1895" spans="9:13" x14ac:dyDescent="0.35">
      <c r="I1895">
        <v>1891</v>
      </c>
      <c r="L1895"/>
      <c r="M1895" s="10">
        <v>2.6447402464943259E-2</v>
      </c>
    </row>
    <row r="1896" spans="9:13" x14ac:dyDescent="0.35">
      <c r="I1896">
        <v>1892</v>
      </c>
      <c r="L1896"/>
      <c r="M1896" s="10">
        <v>2.9575351386602389E-2</v>
      </c>
    </row>
    <row r="1897" spans="9:13" x14ac:dyDescent="0.35">
      <c r="I1897">
        <v>1893</v>
      </c>
      <c r="L1897"/>
      <c r="M1897" s="10">
        <v>3.4247849374855033E-2</v>
      </c>
    </row>
    <row r="1898" spans="9:13" x14ac:dyDescent="0.35">
      <c r="I1898">
        <v>1894</v>
      </c>
      <c r="L1898"/>
      <c r="M1898" s="10">
        <v>2.134691094109431E-2</v>
      </c>
    </row>
    <row r="1899" spans="9:13" x14ac:dyDescent="0.35">
      <c r="I1899">
        <v>1895</v>
      </c>
      <c r="L1899"/>
      <c r="M1899" s="10">
        <v>2.5020540144279901E-2</v>
      </c>
    </row>
    <row r="1900" spans="9:13" x14ac:dyDescent="0.35">
      <c r="I1900">
        <v>1896</v>
      </c>
      <c r="L1900"/>
      <c r="M1900" s="10">
        <v>2.5742956351744395E-2</v>
      </c>
    </row>
    <row r="1901" spans="9:13" x14ac:dyDescent="0.35">
      <c r="I1901">
        <v>1897</v>
      </c>
      <c r="L1901"/>
      <c r="M1901" s="10">
        <v>2.8202198425250069E-2</v>
      </c>
    </row>
    <row r="1902" spans="9:13" x14ac:dyDescent="0.35">
      <c r="I1902">
        <v>1898</v>
      </c>
      <c r="L1902"/>
      <c r="M1902" s="10">
        <v>2.4857780958326248E-2</v>
      </c>
    </row>
    <row r="1903" spans="9:13" x14ac:dyDescent="0.35">
      <c r="I1903">
        <v>1899</v>
      </c>
      <c r="L1903"/>
      <c r="M1903" s="10">
        <v>2.2064150578194219E-2</v>
      </c>
    </row>
    <row r="1904" spans="9:13" x14ac:dyDescent="0.35">
      <c r="I1904">
        <v>1900</v>
      </c>
      <c r="L1904"/>
      <c r="M1904" s="10">
        <v>2.3072992981850504E-2</v>
      </c>
    </row>
    <row r="1905" spans="9:13" x14ac:dyDescent="0.35">
      <c r="I1905">
        <v>1901</v>
      </c>
      <c r="L1905"/>
      <c r="M1905" s="10">
        <v>2.1833265772819854E-2</v>
      </c>
    </row>
    <row r="1906" spans="9:13" x14ac:dyDescent="0.35">
      <c r="I1906">
        <v>1902</v>
      </c>
      <c r="L1906"/>
      <c r="M1906" s="10">
        <v>2.3515277200377827E-2</v>
      </c>
    </row>
    <row r="1907" spans="9:13" x14ac:dyDescent="0.35">
      <c r="I1907">
        <v>1903</v>
      </c>
      <c r="L1907"/>
      <c r="M1907" s="10">
        <v>2.5744639085938381E-2</v>
      </c>
    </row>
    <row r="1908" spans="9:13" x14ac:dyDescent="0.35">
      <c r="I1908">
        <v>1904</v>
      </c>
      <c r="L1908"/>
      <c r="M1908" s="10">
        <v>2.1730399924575039E-2</v>
      </c>
    </row>
    <row r="1909" spans="9:13" x14ac:dyDescent="0.35">
      <c r="I1909">
        <v>1905</v>
      </c>
      <c r="L1909"/>
      <c r="M1909" s="10">
        <v>1.9786837744614982E-2</v>
      </c>
    </row>
    <row r="1910" spans="9:13" x14ac:dyDescent="0.35">
      <c r="I1910">
        <v>1906</v>
      </c>
      <c r="L1910"/>
      <c r="M1910" s="10">
        <v>3.1741063781510315E-2</v>
      </c>
    </row>
    <row r="1911" spans="9:13" x14ac:dyDescent="0.35">
      <c r="I1911">
        <v>1907</v>
      </c>
      <c r="L1911"/>
      <c r="M1911" s="10">
        <v>2.2632184992823379E-2</v>
      </c>
    </row>
    <row r="1912" spans="9:13" x14ac:dyDescent="0.35">
      <c r="I1912">
        <v>1908</v>
      </c>
      <c r="L1912"/>
      <c r="M1912" s="10">
        <v>2.4186930926323735E-2</v>
      </c>
    </row>
    <row r="1913" spans="9:13" x14ac:dyDescent="0.35">
      <c r="I1913">
        <v>1909</v>
      </c>
      <c r="L1913"/>
      <c r="M1913" s="10">
        <v>2.4563955475707666E-2</v>
      </c>
    </row>
    <row r="1914" spans="9:13" x14ac:dyDescent="0.35">
      <c r="I1914">
        <v>1910</v>
      </c>
      <c r="L1914"/>
      <c r="M1914" s="10">
        <v>2.1768028428508224E-2</v>
      </c>
    </row>
    <row r="1915" spans="9:13" x14ac:dyDescent="0.35">
      <c r="I1915">
        <v>1911</v>
      </c>
      <c r="L1915"/>
      <c r="M1915" s="10">
        <v>2.415788911080663E-2</v>
      </c>
    </row>
    <row r="1916" spans="9:13" x14ac:dyDescent="0.35">
      <c r="I1916">
        <v>1912</v>
      </c>
      <c r="L1916"/>
      <c r="M1916" s="10">
        <v>2.8296311544142583E-2</v>
      </c>
    </row>
    <row r="1917" spans="9:13" x14ac:dyDescent="0.35">
      <c r="I1917">
        <v>1913</v>
      </c>
      <c r="L1917"/>
      <c r="M1917" s="10">
        <v>2.3469716404659557E-2</v>
      </c>
    </row>
    <row r="1918" spans="9:13" x14ac:dyDescent="0.35">
      <c r="I1918">
        <v>1914</v>
      </c>
      <c r="L1918"/>
      <c r="M1918" s="10">
        <v>2.055072651298151E-2</v>
      </c>
    </row>
    <row r="1919" spans="9:13" x14ac:dyDescent="0.35">
      <c r="I1919">
        <v>1915</v>
      </c>
      <c r="L1919"/>
      <c r="M1919" s="10">
        <v>2.1386379848345793E-2</v>
      </c>
    </row>
    <row r="1920" spans="9:13" x14ac:dyDescent="0.35">
      <c r="I1920">
        <v>1916</v>
      </c>
      <c r="L1920"/>
      <c r="M1920" s="10">
        <v>2.3804696319327578E-2</v>
      </c>
    </row>
    <row r="1921" spans="9:13" x14ac:dyDescent="0.35">
      <c r="I1921">
        <v>1917</v>
      </c>
      <c r="L1921"/>
      <c r="M1921" s="10">
        <v>3.3332684755871922E-2</v>
      </c>
    </row>
    <row r="1922" spans="9:13" x14ac:dyDescent="0.35">
      <c r="I1922">
        <v>1918</v>
      </c>
      <c r="L1922"/>
      <c r="M1922" s="10">
        <v>2.256312591637466E-2</v>
      </c>
    </row>
    <row r="1923" spans="9:13" x14ac:dyDescent="0.35">
      <c r="I1923">
        <v>1919</v>
      </c>
      <c r="L1923"/>
      <c r="M1923" s="10">
        <v>2.0096278051748406E-2</v>
      </c>
    </row>
    <row r="1924" spans="9:13" x14ac:dyDescent="0.35">
      <c r="I1924">
        <v>1920</v>
      </c>
      <c r="L1924"/>
      <c r="M1924" s="10">
        <v>2.0300788859001107E-2</v>
      </c>
    </row>
    <row r="1925" spans="9:13" x14ac:dyDescent="0.35">
      <c r="I1925">
        <v>1921</v>
      </c>
      <c r="L1925"/>
      <c r="M1925" s="10">
        <v>2.3092493722393748E-2</v>
      </c>
    </row>
    <row r="1926" spans="9:13" x14ac:dyDescent="0.35">
      <c r="I1926">
        <v>1922</v>
      </c>
      <c r="L1926"/>
      <c r="M1926" s="10">
        <v>2.9508407587963026E-2</v>
      </c>
    </row>
    <row r="1927" spans="9:13" x14ac:dyDescent="0.35">
      <c r="I1927">
        <v>1923</v>
      </c>
      <c r="L1927"/>
      <c r="M1927" s="10">
        <v>2.5438183329751007E-2</v>
      </c>
    </row>
    <row r="1928" spans="9:13" x14ac:dyDescent="0.35">
      <c r="I1928">
        <v>1924</v>
      </c>
      <c r="L1928"/>
      <c r="M1928" s="10">
        <v>2.2888845211767817E-2</v>
      </c>
    </row>
    <row r="1929" spans="9:13" x14ac:dyDescent="0.35">
      <c r="I1929">
        <v>1925</v>
      </c>
      <c r="L1929"/>
      <c r="M1929" s="10">
        <v>2.5764326796947623E-2</v>
      </c>
    </row>
    <row r="1930" spans="9:13" x14ac:dyDescent="0.35">
      <c r="I1930">
        <v>1926</v>
      </c>
      <c r="L1930"/>
      <c r="M1930" s="10">
        <v>2.5260713474968832E-2</v>
      </c>
    </row>
    <row r="1931" spans="9:13" x14ac:dyDescent="0.35">
      <c r="I1931">
        <v>1927</v>
      </c>
      <c r="L1931"/>
      <c r="M1931" s="10">
        <v>2.1856215699870174E-2</v>
      </c>
    </row>
    <row r="1932" spans="9:13" x14ac:dyDescent="0.35">
      <c r="I1932">
        <v>1928</v>
      </c>
      <c r="L1932"/>
      <c r="M1932" s="10">
        <v>2.5967383699531887E-2</v>
      </c>
    </row>
    <row r="1933" spans="9:13" x14ac:dyDescent="0.35">
      <c r="I1933">
        <v>1929</v>
      </c>
      <c r="L1933"/>
      <c r="M1933" s="10">
        <v>3.6198235976824034E-2</v>
      </c>
    </row>
    <row r="1934" spans="9:13" x14ac:dyDescent="0.35">
      <c r="I1934">
        <v>1930</v>
      </c>
      <c r="L1934"/>
      <c r="M1934" s="10">
        <v>2.2937015222198154E-2</v>
      </c>
    </row>
    <row r="1935" spans="9:13" x14ac:dyDescent="0.35">
      <c r="I1935">
        <v>1931</v>
      </c>
      <c r="L1935"/>
      <c r="M1935" s="10">
        <v>1.9772749380471799E-2</v>
      </c>
    </row>
    <row r="1936" spans="9:13" x14ac:dyDescent="0.35">
      <c r="I1936">
        <v>1932</v>
      </c>
      <c r="L1936"/>
      <c r="M1936" s="10">
        <v>1.9281146817980432E-2</v>
      </c>
    </row>
    <row r="1937" spans="9:13" x14ac:dyDescent="0.35">
      <c r="I1937">
        <v>1933</v>
      </c>
      <c r="L1937"/>
      <c r="M1937" s="10">
        <v>2.4282225865997598E-2</v>
      </c>
    </row>
    <row r="1938" spans="9:13" x14ac:dyDescent="0.35">
      <c r="I1938">
        <v>1934</v>
      </c>
      <c r="L1938"/>
      <c r="M1938" s="10">
        <v>2.5011663233050929E-2</v>
      </c>
    </row>
    <row r="1939" spans="9:13" x14ac:dyDescent="0.35">
      <c r="I1939">
        <v>1935</v>
      </c>
      <c r="L1939"/>
      <c r="M1939" s="10">
        <v>2.5622950613915063E-2</v>
      </c>
    </row>
    <row r="1940" spans="9:13" x14ac:dyDescent="0.35">
      <c r="I1940">
        <v>1936</v>
      </c>
      <c r="L1940"/>
      <c r="M1940" s="10">
        <v>2.5593446953440901E-2</v>
      </c>
    </row>
    <row r="1941" spans="9:13" x14ac:dyDescent="0.35">
      <c r="I1941">
        <v>1937</v>
      </c>
      <c r="L1941"/>
      <c r="M1941" s="10">
        <v>2.4682037092099596E-2</v>
      </c>
    </row>
    <row r="1942" spans="9:13" x14ac:dyDescent="0.35">
      <c r="I1942">
        <v>1938</v>
      </c>
      <c r="L1942"/>
      <c r="M1942" s="10">
        <v>2.1399165000434928E-2</v>
      </c>
    </row>
    <row r="1943" spans="9:13" x14ac:dyDescent="0.35">
      <c r="I1943">
        <v>1939</v>
      </c>
      <c r="L1943"/>
      <c r="M1943" s="10">
        <v>2.360177057512991E-2</v>
      </c>
    </row>
    <row r="1944" spans="9:13" x14ac:dyDescent="0.35">
      <c r="I1944">
        <v>1940</v>
      </c>
      <c r="L1944"/>
      <c r="M1944" s="10">
        <v>2.9709864079170423E-2</v>
      </c>
    </row>
    <row r="1945" spans="9:13" x14ac:dyDescent="0.35">
      <c r="I1945">
        <v>1941</v>
      </c>
      <c r="L1945"/>
      <c r="M1945" s="10">
        <v>2.8504937096949234E-2</v>
      </c>
    </row>
    <row r="1946" spans="9:13" x14ac:dyDescent="0.35">
      <c r="I1946">
        <v>1942</v>
      </c>
      <c r="L1946"/>
      <c r="M1946" s="10">
        <v>2.5331593420508058E-2</v>
      </c>
    </row>
    <row r="1947" spans="9:13" x14ac:dyDescent="0.35">
      <c r="I1947">
        <v>1943</v>
      </c>
      <c r="L1947"/>
      <c r="M1947" s="10">
        <v>2.8389989328815757E-2</v>
      </c>
    </row>
    <row r="1948" spans="9:13" x14ac:dyDescent="0.35">
      <c r="I1948">
        <v>1944</v>
      </c>
      <c r="L1948"/>
      <c r="M1948" s="10">
        <v>2.1020866540338634E-2</v>
      </c>
    </row>
    <row r="1949" spans="9:13" x14ac:dyDescent="0.35">
      <c r="I1949">
        <v>1945</v>
      </c>
      <c r="L1949"/>
      <c r="M1949" s="10">
        <v>2.0062577322903175E-2</v>
      </c>
    </row>
    <row r="1950" spans="9:13" x14ac:dyDescent="0.35">
      <c r="I1950">
        <v>1946</v>
      </c>
      <c r="L1950"/>
      <c r="M1950" s="10">
        <v>2.2246986764410948E-2</v>
      </c>
    </row>
    <row r="1951" spans="9:13" x14ac:dyDescent="0.35">
      <c r="I1951">
        <v>1947</v>
      </c>
      <c r="L1951"/>
      <c r="M1951" s="10">
        <v>2.3119191430575947E-2</v>
      </c>
    </row>
    <row r="1952" spans="9:13" x14ac:dyDescent="0.35">
      <c r="I1952">
        <v>1948</v>
      </c>
      <c r="L1952"/>
      <c r="M1952" s="10">
        <v>2.9396197402324242E-2</v>
      </c>
    </row>
    <row r="1953" spans="9:13" x14ac:dyDescent="0.35">
      <c r="I1953">
        <v>1949</v>
      </c>
      <c r="L1953"/>
      <c r="M1953" s="10">
        <v>2.3361722821619635E-2</v>
      </c>
    </row>
    <row r="1954" spans="9:13" x14ac:dyDescent="0.35">
      <c r="I1954">
        <v>1950</v>
      </c>
      <c r="L1954"/>
      <c r="M1954" s="10">
        <v>1.9328797776072326E-2</v>
      </c>
    </row>
    <row r="1955" spans="9:13" x14ac:dyDescent="0.35">
      <c r="I1955">
        <v>1951</v>
      </c>
      <c r="L1955"/>
      <c r="M1955" s="10">
        <v>2.4893933232759236E-2</v>
      </c>
    </row>
    <row r="1956" spans="9:13" x14ac:dyDescent="0.35">
      <c r="I1956">
        <v>1952</v>
      </c>
      <c r="L1956"/>
      <c r="M1956" s="10">
        <v>3.1510144093586323E-2</v>
      </c>
    </row>
    <row r="1957" spans="9:13" x14ac:dyDescent="0.35">
      <c r="I1957">
        <v>1953</v>
      </c>
      <c r="L1957"/>
      <c r="M1957" s="10">
        <v>2.6045262479828191E-2</v>
      </c>
    </row>
    <row r="1958" spans="9:13" x14ac:dyDescent="0.35">
      <c r="I1958">
        <v>1954</v>
      </c>
      <c r="L1958"/>
      <c r="M1958" s="10">
        <v>2.18165123818852E-2</v>
      </c>
    </row>
    <row r="1959" spans="9:13" x14ac:dyDescent="0.35">
      <c r="I1959">
        <v>1955</v>
      </c>
      <c r="L1959"/>
      <c r="M1959" s="10">
        <v>3.2454088211313348E-2</v>
      </c>
    </row>
    <row r="1960" spans="9:13" x14ac:dyDescent="0.35">
      <c r="I1960">
        <v>1956</v>
      </c>
      <c r="L1960"/>
      <c r="M1960" s="10">
        <v>2.4488731955088938E-2</v>
      </c>
    </row>
    <row r="1961" spans="9:13" x14ac:dyDescent="0.35">
      <c r="I1961">
        <v>1957</v>
      </c>
      <c r="L1961"/>
      <c r="M1961" s="10">
        <v>2.6500465799435213E-2</v>
      </c>
    </row>
    <row r="1962" spans="9:13" x14ac:dyDescent="0.35">
      <c r="I1962">
        <v>1958</v>
      </c>
      <c r="L1962"/>
      <c r="M1962" s="10">
        <v>2.3562949087999496E-2</v>
      </c>
    </row>
    <row r="1963" spans="9:13" x14ac:dyDescent="0.35">
      <c r="I1963">
        <v>1959</v>
      </c>
      <c r="L1963"/>
      <c r="M1963" s="10">
        <v>2.1863380575563474E-2</v>
      </c>
    </row>
    <row r="1964" spans="9:13" x14ac:dyDescent="0.35">
      <c r="I1964">
        <v>1960</v>
      </c>
      <c r="L1964"/>
      <c r="M1964" s="10">
        <v>2.4925517288493126E-2</v>
      </c>
    </row>
    <row r="1965" spans="9:13" x14ac:dyDescent="0.35">
      <c r="I1965">
        <v>1961</v>
      </c>
      <c r="L1965"/>
      <c r="M1965" s="10">
        <v>2.6185470795099253E-2</v>
      </c>
    </row>
    <row r="1966" spans="9:13" x14ac:dyDescent="0.35">
      <c r="I1966">
        <v>1962</v>
      </c>
      <c r="L1966"/>
      <c r="M1966" s="10">
        <v>2.6647421795106041E-2</v>
      </c>
    </row>
    <row r="1967" spans="9:13" x14ac:dyDescent="0.35">
      <c r="I1967">
        <v>1963</v>
      </c>
      <c r="L1967"/>
      <c r="M1967" s="10">
        <v>2.5463781539968977E-2</v>
      </c>
    </row>
    <row r="1968" spans="9:13" x14ac:dyDescent="0.35">
      <c r="I1968">
        <v>1964</v>
      </c>
      <c r="L1968"/>
      <c r="M1968" s="10">
        <v>3.0834974206638055E-2</v>
      </c>
    </row>
    <row r="1969" spans="9:13" x14ac:dyDescent="0.35">
      <c r="I1969">
        <v>1965</v>
      </c>
      <c r="L1969"/>
      <c r="M1969" s="10">
        <v>2.4513262759288335E-2</v>
      </c>
    </row>
    <row r="1970" spans="9:13" x14ac:dyDescent="0.35">
      <c r="I1970">
        <v>1966</v>
      </c>
      <c r="L1970"/>
      <c r="M1970" s="10">
        <v>3.0308367703247407E-2</v>
      </c>
    </row>
    <row r="1971" spans="9:13" x14ac:dyDescent="0.35">
      <c r="I1971">
        <v>1967</v>
      </c>
      <c r="L1971"/>
      <c r="M1971" s="10">
        <v>2.2830848089456679E-2</v>
      </c>
    </row>
    <row r="1972" spans="9:13" x14ac:dyDescent="0.35">
      <c r="I1972">
        <v>1968</v>
      </c>
      <c r="L1972"/>
      <c r="M1972" s="10">
        <v>2.0220705501568403E-2</v>
      </c>
    </row>
    <row r="1973" spans="9:13" x14ac:dyDescent="0.35">
      <c r="I1973">
        <v>1969</v>
      </c>
      <c r="L1973"/>
      <c r="M1973" s="10">
        <v>2.4787357276536137E-2</v>
      </c>
    </row>
    <row r="1974" spans="9:13" x14ac:dyDescent="0.35">
      <c r="I1974">
        <v>1970</v>
      </c>
      <c r="L1974"/>
      <c r="M1974" s="10">
        <v>2.3181680029977003E-2</v>
      </c>
    </row>
    <row r="1975" spans="9:13" x14ac:dyDescent="0.35">
      <c r="I1975">
        <v>1971</v>
      </c>
      <c r="L1975"/>
      <c r="M1975" s="10">
        <v>2.432807409392479E-2</v>
      </c>
    </row>
    <row r="1976" spans="9:13" x14ac:dyDescent="0.35">
      <c r="I1976">
        <v>1972</v>
      </c>
      <c r="L1976"/>
      <c r="M1976" s="10">
        <v>2.5144614582697677E-2</v>
      </c>
    </row>
    <row r="1977" spans="9:13" x14ac:dyDescent="0.35">
      <c r="I1977">
        <v>1973</v>
      </c>
      <c r="L1977"/>
      <c r="M1977" s="10">
        <v>2.0196477477899766E-2</v>
      </c>
    </row>
    <row r="1978" spans="9:13" x14ac:dyDescent="0.35">
      <c r="I1978">
        <v>1974</v>
      </c>
      <c r="L1978"/>
      <c r="M1978" s="10">
        <v>2.6850990773518824E-2</v>
      </c>
    </row>
    <row r="1979" spans="9:13" x14ac:dyDescent="0.35">
      <c r="I1979">
        <v>1975</v>
      </c>
      <c r="L1979"/>
      <c r="M1979" s="10">
        <v>2.6111544905326634E-2</v>
      </c>
    </row>
    <row r="1980" spans="9:13" x14ac:dyDescent="0.35">
      <c r="I1980">
        <v>1976</v>
      </c>
      <c r="L1980"/>
      <c r="M1980" s="10">
        <v>2.7581671354640847E-2</v>
      </c>
    </row>
    <row r="1981" spans="9:13" x14ac:dyDescent="0.35">
      <c r="I1981">
        <v>1977</v>
      </c>
      <c r="L1981"/>
      <c r="M1981" s="10">
        <v>2.3861222793346459E-2</v>
      </c>
    </row>
    <row r="1982" spans="9:13" x14ac:dyDescent="0.35">
      <c r="I1982">
        <v>1978</v>
      </c>
      <c r="L1982"/>
      <c r="M1982" s="10">
        <v>1.8495044842011699E-2</v>
      </c>
    </row>
    <row r="1983" spans="9:13" x14ac:dyDescent="0.35">
      <c r="I1983">
        <v>1979</v>
      </c>
      <c r="L1983"/>
      <c r="M1983" s="10">
        <v>2.797156337893103E-2</v>
      </c>
    </row>
    <row r="1984" spans="9:13" x14ac:dyDescent="0.35">
      <c r="I1984">
        <v>1980</v>
      </c>
      <c r="L1984"/>
      <c r="M1984" s="10">
        <v>3.1469881259505339E-2</v>
      </c>
    </row>
    <row r="1985" spans="9:13" x14ac:dyDescent="0.35">
      <c r="I1985">
        <v>1981</v>
      </c>
      <c r="L1985"/>
      <c r="M1985" s="10">
        <v>2.5301230254011098E-2</v>
      </c>
    </row>
    <row r="1986" spans="9:13" x14ac:dyDescent="0.35">
      <c r="I1986">
        <v>1982</v>
      </c>
      <c r="L1986"/>
      <c r="M1986" s="10">
        <v>2.5962202943261348E-2</v>
      </c>
    </row>
    <row r="1987" spans="9:13" x14ac:dyDescent="0.35">
      <c r="I1987">
        <v>1983</v>
      </c>
      <c r="L1987"/>
      <c r="M1987" s="10">
        <v>2.2525846237937741E-2</v>
      </c>
    </row>
    <row r="1988" spans="9:13" x14ac:dyDescent="0.35">
      <c r="I1988">
        <v>1984</v>
      </c>
      <c r="L1988"/>
      <c r="M1988" s="10">
        <v>2.9122500546142183E-2</v>
      </c>
    </row>
    <row r="1989" spans="9:13" x14ac:dyDescent="0.35">
      <c r="I1989">
        <v>1985</v>
      </c>
      <c r="L1989"/>
      <c r="M1989" s="10">
        <v>2.4944898033065654E-2</v>
      </c>
    </row>
    <row r="1990" spans="9:13" x14ac:dyDescent="0.35">
      <c r="I1990">
        <v>1986</v>
      </c>
      <c r="L1990"/>
      <c r="M1990" s="10">
        <v>2.9193990238648881E-2</v>
      </c>
    </row>
    <row r="1991" spans="9:13" x14ac:dyDescent="0.35">
      <c r="I1991">
        <v>1987</v>
      </c>
      <c r="L1991"/>
      <c r="M1991" s="10">
        <v>2.5334410535215901E-2</v>
      </c>
    </row>
    <row r="1992" spans="9:13" x14ac:dyDescent="0.35">
      <c r="I1992">
        <v>1988</v>
      </c>
      <c r="L1992"/>
      <c r="M1992" s="10">
        <v>2.6801742194654032E-2</v>
      </c>
    </row>
    <row r="1993" spans="9:13" x14ac:dyDescent="0.35">
      <c r="I1993">
        <v>1989</v>
      </c>
      <c r="L1993"/>
      <c r="M1993" s="10">
        <v>2.405404934177624E-2</v>
      </c>
    </row>
    <row r="1994" spans="9:13" x14ac:dyDescent="0.35">
      <c r="I1994">
        <v>1990</v>
      </c>
      <c r="L1994"/>
      <c r="M1994" s="10">
        <v>2.4241145384953366E-2</v>
      </c>
    </row>
    <row r="1995" spans="9:13" x14ac:dyDescent="0.35">
      <c r="I1995">
        <v>1991</v>
      </c>
      <c r="L1995"/>
      <c r="M1995" s="10">
        <v>2.5170702543912404E-2</v>
      </c>
    </row>
    <row r="1996" spans="9:13" x14ac:dyDescent="0.35">
      <c r="I1996">
        <v>1992</v>
      </c>
      <c r="L1996"/>
      <c r="M1996" s="10">
        <v>1.803848947478115E-2</v>
      </c>
    </row>
    <row r="1997" spans="9:13" x14ac:dyDescent="0.35">
      <c r="I1997">
        <v>1993</v>
      </c>
      <c r="L1997"/>
      <c r="M1997" s="10">
        <v>3.2264422021879735E-2</v>
      </c>
    </row>
    <row r="1998" spans="9:13" x14ac:dyDescent="0.35">
      <c r="I1998">
        <v>1994</v>
      </c>
      <c r="L1998"/>
      <c r="M1998" s="10">
        <v>2.1386985409407311E-2</v>
      </c>
    </row>
    <row r="1999" spans="9:13" x14ac:dyDescent="0.35">
      <c r="I1999">
        <v>1995</v>
      </c>
      <c r="L1999"/>
      <c r="M1999" s="10">
        <v>2.3970039604557569E-2</v>
      </c>
    </row>
    <row r="2000" spans="9:13" x14ac:dyDescent="0.35">
      <c r="I2000">
        <v>1996</v>
      </c>
      <c r="L2000"/>
      <c r="M2000" s="10">
        <v>2.4941500472732026E-2</v>
      </c>
    </row>
    <row r="2001" spans="9:13" x14ac:dyDescent="0.35">
      <c r="I2001">
        <v>1997</v>
      </c>
      <c r="L2001"/>
      <c r="M2001" s="10">
        <v>2.2381615267043742E-2</v>
      </c>
    </row>
    <row r="2002" spans="9:13" x14ac:dyDescent="0.35">
      <c r="I2002">
        <v>1998</v>
      </c>
      <c r="L2002"/>
      <c r="M2002" s="10">
        <v>2.0470273400522765E-2</v>
      </c>
    </row>
    <row r="2003" spans="9:13" x14ac:dyDescent="0.35">
      <c r="I2003">
        <v>1999</v>
      </c>
      <c r="L2003"/>
      <c r="M2003" s="10">
        <v>2.5163049312524333E-2</v>
      </c>
    </row>
    <row r="2004" spans="9:13" x14ac:dyDescent="0.35">
      <c r="I2004">
        <v>2000</v>
      </c>
      <c r="L2004"/>
      <c r="M2004" s="10">
        <v>2.1417644379925105E-2</v>
      </c>
    </row>
    <row r="2005" spans="9:13" x14ac:dyDescent="0.35">
      <c r="I2005">
        <v>2001</v>
      </c>
      <c r="L2005"/>
      <c r="M2005" s="10">
        <v>2.4111618106377963E-2</v>
      </c>
    </row>
    <row r="2006" spans="9:13" x14ac:dyDescent="0.35">
      <c r="I2006">
        <v>2002</v>
      </c>
      <c r="L2006"/>
      <c r="M2006" s="10">
        <v>2.5542021703479412E-2</v>
      </c>
    </row>
    <row r="2007" spans="9:13" x14ac:dyDescent="0.35">
      <c r="I2007">
        <v>2003</v>
      </c>
      <c r="L2007"/>
      <c r="M2007" s="10">
        <v>3.1138307276982857E-2</v>
      </c>
    </row>
    <row r="2008" spans="9:13" x14ac:dyDescent="0.35">
      <c r="I2008">
        <v>2004</v>
      </c>
      <c r="L2008"/>
      <c r="M2008" s="10">
        <v>2.3977152854077421E-2</v>
      </c>
    </row>
    <row r="2009" spans="9:13" x14ac:dyDescent="0.35">
      <c r="I2009">
        <v>2005</v>
      </c>
      <c r="L2009"/>
      <c r="M2009" s="10">
        <v>2.6533369810846974E-2</v>
      </c>
    </row>
    <row r="2010" spans="9:13" x14ac:dyDescent="0.35">
      <c r="I2010">
        <v>2006</v>
      </c>
      <c r="L2010"/>
      <c r="M2010" s="10">
        <v>2.8494994175003674E-2</v>
      </c>
    </row>
    <row r="2011" spans="9:13" x14ac:dyDescent="0.35">
      <c r="I2011">
        <v>2007</v>
      </c>
      <c r="L2011"/>
      <c r="M2011" s="10">
        <v>2.2423885940681232E-2</v>
      </c>
    </row>
    <row r="2012" spans="9:13" x14ac:dyDescent="0.35">
      <c r="I2012">
        <v>2008</v>
      </c>
      <c r="L2012"/>
      <c r="M2012" s="10">
        <v>2.1779916401420962E-2</v>
      </c>
    </row>
    <row r="2013" spans="9:13" x14ac:dyDescent="0.35">
      <c r="I2013">
        <v>2009</v>
      </c>
      <c r="L2013"/>
      <c r="M2013" s="10">
        <v>2.3545488278958415E-2</v>
      </c>
    </row>
    <row r="2014" spans="9:13" x14ac:dyDescent="0.35">
      <c r="I2014">
        <v>2010</v>
      </c>
      <c r="L2014"/>
      <c r="M2014" s="10">
        <v>2.4642118897608922E-2</v>
      </c>
    </row>
    <row r="2015" spans="9:13" x14ac:dyDescent="0.35">
      <c r="I2015">
        <v>2011</v>
      </c>
      <c r="L2015"/>
      <c r="M2015" s="10">
        <v>2.3738257620006809E-2</v>
      </c>
    </row>
    <row r="2016" spans="9:13" x14ac:dyDescent="0.35">
      <c r="I2016">
        <v>2012</v>
      </c>
      <c r="L2016"/>
      <c r="M2016" s="10">
        <v>2.3494616963884996E-2</v>
      </c>
    </row>
    <row r="2017" spans="9:13" x14ac:dyDescent="0.35">
      <c r="I2017">
        <v>2013</v>
      </c>
      <c r="L2017"/>
      <c r="M2017" s="10">
        <v>2.1458645328756187E-2</v>
      </c>
    </row>
    <row r="2018" spans="9:13" x14ac:dyDescent="0.35">
      <c r="I2018">
        <v>2014</v>
      </c>
      <c r="L2018"/>
      <c r="M2018" s="10">
        <v>2.7174192944130926E-2</v>
      </c>
    </row>
    <row r="2019" spans="9:13" x14ac:dyDescent="0.35">
      <c r="I2019">
        <v>2015</v>
      </c>
      <c r="L2019"/>
      <c r="M2019" s="10">
        <v>2.1994024095726927E-2</v>
      </c>
    </row>
    <row r="2020" spans="9:13" x14ac:dyDescent="0.35">
      <c r="I2020">
        <v>2016</v>
      </c>
      <c r="L2020"/>
      <c r="M2020" s="10">
        <v>2.3866879347593906E-2</v>
      </c>
    </row>
    <row r="2021" spans="9:13" x14ac:dyDescent="0.35">
      <c r="I2021">
        <v>2017</v>
      </c>
      <c r="L2021"/>
      <c r="M2021" s="10">
        <v>2.5137102276810097E-2</v>
      </c>
    </row>
    <row r="2022" spans="9:13" x14ac:dyDescent="0.35">
      <c r="I2022">
        <v>2018</v>
      </c>
      <c r="L2022"/>
      <c r="M2022" s="10">
        <v>1.9564916359192663E-2</v>
      </c>
    </row>
    <row r="2023" spans="9:13" x14ac:dyDescent="0.35">
      <c r="I2023">
        <v>2019</v>
      </c>
      <c r="L2023"/>
      <c r="M2023" s="10">
        <v>2.5109185074692952E-2</v>
      </c>
    </row>
    <row r="2024" spans="9:13" x14ac:dyDescent="0.35">
      <c r="I2024">
        <v>2020</v>
      </c>
      <c r="L2024"/>
      <c r="M2024" s="10">
        <v>2.4090544860497554E-2</v>
      </c>
    </row>
    <row r="2025" spans="9:13" x14ac:dyDescent="0.35">
      <c r="I2025">
        <v>2021</v>
      </c>
      <c r="L2025"/>
      <c r="M2025" s="10">
        <v>2.4307132006430976E-2</v>
      </c>
    </row>
    <row r="2026" spans="9:13" x14ac:dyDescent="0.35">
      <c r="I2026">
        <v>2022</v>
      </c>
      <c r="L2026"/>
      <c r="M2026" s="10">
        <v>2.6279363456278126E-2</v>
      </c>
    </row>
    <row r="2027" spans="9:13" x14ac:dyDescent="0.35">
      <c r="I2027">
        <v>2023</v>
      </c>
      <c r="L2027"/>
      <c r="M2027" s="10">
        <v>2.8520497504686659E-2</v>
      </c>
    </row>
    <row r="2028" spans="9:13" x14ac:dyDescent="0.35">
      <c r="I2028">
        <v>2024</v>
      </c>
      <c r="L2028"/>
      <c r="M2028" s="10">
        <v>2.3485692612388531E-2</v>
      </c>
    </row>
    <row r="2029" spans="9:13" x14ac:dyDescent="0.35">
      <c r="I2029">
        <v>2025</v>
      </c>
      <c r="L2029"/>
      <c r="M2029" s="10">
        <v>1.8404978098875868E-2</v>
      </c>
    </row>
    <row r="2030" spans="9:13" x14ac:dyDescent="0.35">
      <c r="I2030">
        <v>2026</v>
      </c>
      <c r="L2030"/>
      <c r="M2030" s="10">
        <v>2.8384807177243232E-2</v>
      </c>
    </row>
    <row r="2031" spans="9:13" x14ac:dyDescent="0.35">
      <c r="I2031">
        <v>2027</v>
      </c>
      <c r="L2031"/>
      <c r="M2031" s="10">
        <v>2.8480890462538655E-2</v>
      </c>
    </row>
    <row r="2032" spans="9:13" x14ac:dyDescent="0.35">
      <c r="I2032">
        <v>2028</v>
      </c>
      <c r="L2032"/>
      <c r="M2032" s="10">
        <v>1.9232343340448876E-2</v>
      </c>
    </row>
    <row r="2033" spans="9:13" x14ac:dyDescent="0.35">
      <c r="I2033">
        <v>2029</v>
      </c>
      <c r="L2033"/>
      <c r="M2033" s="10">
        <v>2.4986316177190271E-2</v>
      </c>
    </row>
    <row r="2034" spans="9:13" x14ac:dyDescent="0.35">
      <c r="I2034">
        <v>2030</v>
      </c>
      <c r="L2034"/>
      <c r="M2034" s="10">
        <v>2.2647516571035253E-2</v>
      </c>
    </row>
    <row r="2035" spans="9:13" x14ac:dyDescent="0.35">
      <c r="I2035">
        <v>2031</v>
      </c>
      <c r="L2035"/>
      <c r="M2035" s="10">
        <v>2.9798376455894893E-2</v>
      </c>
    </row>
    <row r="2036" spans="9:13" x14ac:dyDescent="0.35">
      <c r="I2036">
        <v>2032</v>
      </c>
      <c r="L2036"/>
      <c r="M2036" s="10">
        <v>2.4083092552595331E-2</v>
      </c>
    </row>
    <row r="2037" spans="9:13" x14ac:dyDescent="0.35">
      <c r="I2037">
        <v>2033</v>
      </c>
      <c r="L2037"/>
      <c r="M2037" s="10">
        <v>2.5280290957121254E-2</v>
      </c>
    </row>
    <row r="2038" spans="9:13" x14ac:dyDescent="0.35">
      <c r="I2038">
        <v>2034</v>
      </c>
      <c r="L2038"/>
      <c r="M2038" s="10">
        <v>2.073890670580103E-2</v>
      </c>
    </row>
    <row r="2039" spans="9:13" x14ac:dyDescent="0.35">
      <c r="I2039">
        <v>2035</v>
      </c>
      <c r="L2039"/>
      <c r="M2039" s="10">
        <v>2.3893447292691494E-2</v>
      </c>
    </row>
    <row r="2040" spans="9:13" x14ac:dyDescent="0.35">
      <c r="I2040">
        <v>2036</v>
      </c>
      <c r="L2040"/>
      <c r="M2040" s="10">
        <v>2.3653250241868817E-2</v>
      </c>
    </row>
    <row r="2041" spans="9:13" x14ac:dyDescent="0.35">
      <c r="I2041">
        <v>2037</v>
      </c>
      <c r="L2041"/>
      <c r="M2041" s="10">
        <v>3.6472382120245284E-2</v>
      </c>
    </row>
    <row r="2042" spans="9:13" x14ac:dyDescent="0.35">
      <c r="I2042">
        <v>2038</v>
      </c>
      <c r="L2042"/>
      <c r="M2042" s="10">
        <v>2.6113162060327322E-2</v>
      </c>
    </row>
    <row r="2043" spans="9:13" x14ac:dyDescent="0.35">
      <c r="I2043">
        <v>2039</v>
      </c>
      <c r="L2043"/>
      <c r="M2043" s="10">
        <v>2.2613125167707415E-2</v>
      </c>
    </row>
    <row r="2044" spans="9:13" x14ac:dyDescent="0.35">
      <c r="I2044">
        <v>2040</v>
      </c>
      <c r="L2044"/>
      <c r="M2044" s="10">
        <v>2.3362853016227536E-2</v>
      </c>
    </row>
    <row r="2045" spans="9:13" x14ac:dyDescent="0.35">
      <c r="I2045">
        <v>2041</v>
      </c>
      <c r="L2045"/>
      <c r="M2045" s="10">
        <v>3.1491081477866389E-2</v>
      </c>
    </row>
    <row r="2046" spans="9:13" x14ac:dyDescent="0.35">
      <c r="I2046">
        <v>2042</v>
      </c>
      <c r="L2046"/>
      <c r="M2046" s="10">
        <v>2.9559665401686308E-2</v>
      </c>
    </row>
    <row r="2047" spans="9:13" x14ac:dyDescent="0.35">
      <c r="I2047">
        <v>2043</v>
      </c>
      <c r="L2047"/>
      <c r="M2047" s="10">
        <v>2.1749875549682551E-2</v>
      </c>
    </row>
    <row r="2048" spans="9:13" x14ac:dyDescent="0.35">
      <c r="I2048">
        <v>2044</v>
      </c>
      <c r="L2048"/>
      <c r="M2048" s="10">
        <v>2.385384304114746E-2</v>
      </c>
    </row>
    <row r="2049" spans="9:13" x14ac:dyDescent="0.35">
      <c r="I2049">
        <v>2045</v>
      </c>
      <c r="L2049"/>
      <c r="M2049" s="10">
        <v>2.9091918317233567E-2</v>
      </c>
    </row>
    <row r="2050" spans="9:13" x14ac:dyDescent="0.35">
      <c r="I2050">
        <v>2046</v>
      </c>
      <c r="L2050"/>
      <c r="M2050" s="10">
        <v>2.1841537122987309E-2</v>
      </c>
    </row>
    <row r="2051" spans="9:13" x14ac:dyDescent="0.35">
      <c r="I2051">
        <v>2047</v>
      </c>
      <c r="L2051"/>
      <c r="M2051" s="10">
        <v>2.2943589885151772E-2</v>
      </c>
    </row>
    <row r="2052" spans="9:13" x14ac:dyDescent="0.35">
      <c r="I2052">
        <v>2048</v>
      </c>
      <c r="L2052"/>
      <c r="M2052" s="10">
        <v>2.9330353101649109E-2</v>
      </c>
    </row>
    <row r="2053" spans="9:13" x14ac:dyDescent="0.35">
      <c r="I2053">
        <v>2049</v>
      </c>
      <c r="L2053"/>
      <c r="M2053" s="10">
        <v>2.6249435624000506E-2</v>
      </c>
    </row>
    <row r="2054" spans="9:13" x14ac:dyDescent="0.35">
      <c r="I2054">
        <v>2050</v>
      </c>
      <c r="L2054"/>
      <c r="M2054" s="10">
        <v>2.2191109105815121E-2</v>
      </c>
    </row>
    <row r="2055" spans="9:13" x14ac:dyDescent="0.35">
      <c r="I2055">
        <v>2051</v>
      </c>
      <c r="L2055"/>
      <c r="M2055" s="10">
        <v>2.9299207170738528E-2</v>
      </c>
    </row>
    <row r="2056" spans="9:13" x14ac:dyDescent="0.35">
      <c r="I2056">
        <v>2052</v>
      </c>
      <c r="L2056"/>
      <c r="M2056" s="10">
        <v>2.187423742030925E-2</v>
      </c>
    </row>
    <row r="2057" spans="9:13" x14ac:dyDescent="0.35">
      <c r="I2057">
        <v>2053</v>
      </c>
      <c r="L2057"/>
      <c r="M2057" s="10">
        <v>2.5741887550423836E-2</v>
      </c>
    </row>
    <row r="2058" spans="9:13" x14ac:dyDescent="0.35">
      <c r="I2058">
        <v>2054</v>
      </c>
      <c r="L2058"/>
      <c r="M2058" s="10">
        <v>2.5863764388215138E-2</v>
      </c>
    </row>
    <row r="2059" spans="9:13" x14ac:dyDescent="0.35">
      <c r="I2059">
        <v>2055</v>
      </c>
      <c r="L2059"/>
      <c r="M2059" s="10">
        <v>3.0742451732008513E-2</v>
      </c>
    </row>
    <row r="2060" spans="9:13" x14ac:dyDescent="0.35">
      <c r="I2060">
        <v>2056</v>
      </c>
      <c r="L2060"/>
      <c r="M2060" s="10">
        <v>2.0370895807240608E-2</v>
      </c>
    </row>
    <row r="2061" spans="9:13" x14ac:dyDescent="0.35">
      <c r="I2061">
        <v>2057</v>
      </c>
      <c r="L2061"/>
      <c r="M2061" s="10">
        <v>2.8737796254632464E-2</v>
      </c>
    </row>
    <row r="2062" spans="9:13" x14ac:dyDescent="0.35">
      <c r="I2062">
        <v>2058</v>
      </c>
      <c r="L2062"/>
      <c r="M2062" s="10">
        <v>2.6708496953596228E-2</v>
      </c>
    </row>
    <row r="2063" spans="9:13" x14ac:dyDescent="0.35">
      <c r="I2063">
        <v>2059</v>
      </c>
      <c r="L2063"/>
      <c r="M2063" s="10">
        <v>2.5495971156764385E-2</v>
      </c>
    </row>
    <row r="2064" spans="9:13" x14ac:dyDescent="0.35">
      <c r="I2064">
        <v>2060</v>
      </c>
      <c r="L2064"/>
      <c r="M2064" s="10">
        <v>2.9268901211622955E-2</v>
      </c>
    </row>
    <row r="2065" spans="9:13" x14ac:dyDescent="0.35">
      <c r="I2065">
        <v>2061</v>
      </c>
      <c r="L2065"/>
      <c r="M2065" s="10">
        <v>2.4632961530680952E-2</v>
      </c>
    </row>
    <row r="2066" spans="9:13" x14ac:dyDescent="0.35">
      <c r="I2066">
        <v>2062</v>
      </c>
      <c r="L2066"/>
      <c r="M2066" s="10">
        <v>3.179547776832381E-2</v>
      </c>
    </row>
    <row r="2067" spans="9:13" x14ac:dyDescent="0.35">
      <c r="I2067">
        <v>2063</v>
      </c>
      <c r="L2067"/>
      <c r="M2067" s="10">
        <v>3.624628459598167E-2</v>
      </c>
    </row>
    <row r="2068" spans="9:13" x14ac:dyDescent="0.35">
      <c r="I2068">
        <v>2064</v>
      </c>
      <c r="L2068"/>
      <c r="M2068" s="10">
        <v>2.7102856734842584E-2</v>
      </c>
    </row>
    <row r="2069" spans="9:13" x14ac:dyDescent="0.35">
      <c r="I2069">
        <v>2065</v>
      </c>
      <c r="L2069"/>
      <c r="M2069" s="10">
        <v>2.5193864556864454E-2</v>
      </c>
    </row>
    <row r="2070" spans="9:13" x14ac:dyDescent="0.35">
      <c r="I2070">
        <v>2066</v>
      </c>
      <c r="L2070"/>
      <c r="M2070" s="10">
        <v>2.3649085265443404E-2</v>
      </c>
    </row>
    <row r="2071" spans="9:13" x14ac:dyDescent="0.35">
      <c r="I2071">
        <v>2067</v>
      </c>
      <c r="L2071"/>
      <c r="M2071" s="10">
        <v>3.2387158365693836E-2</v>
      </c>
    </row>
    <row r="2072" spans="9:13" x14ac:dyDescent="0.35">
      <c r="I2072">
        <v>2068</v>
      </c>
      <c r="L2072"/>
      <c r="M2072" s="10">
        <v>3.3802455028203005E-2</v>
      </c>
    </row>
    <row r="2073" spans="9:13" x14ac:dyDescent="0.35">
      <c r="I2073">
        <v>2069</v>
      </c>
      <c r="L2073"/>
      <c r="M2073" s="10">
        <v>2.1042204893596206E-2</v>
      </c>
    </row>
    <row r="2074" spans="9:13" x14ac:dyDescent="0.35">
      <c r="I2074">
        <v>2070</v>
      </c>
      <c r="L2074"/>
      <c r="M2074" s="10">
        <v>2.5037924211711804E-2</v>
      </c>
    </row>
    <row r="2075" spans="9:13" x14ac:dyDescent="0.35">
      <c r="I2075">
        <v>2071</v>
      </c>
      <c r="L2075"/>
      <c r="M2075" s="10">
        <v>2.1674126000215455E-2</v>
      </c>
    </row>
    <row r="2076" spans="9:13" x14ac:dyDescent="0.35">
      <c r="I2076">
        <v>2072</v>
      </c>
      <c r="L2076"/>
      <c r="M2076" s="10">
        <v>2.7176177063553686E-2</v>
      </c>
    </row>
    <row r="2077" spans="9:13" x14ac:dyDescent="0.35">
      <c r="I2077">
        <v>2073</v>
      </c>
      <c r="L2077"/>
      <c r="M2077" s="10">
        <v>2.6974608948187484E-2</v>
      </c>
    </row>
    <row r="2078" spans="9:13" x14ac:dyDescent="0.35">
      <c r="I2078">
        <v>2074</v>
      </c>
      <c r="L2078"/>
      <c r="M2078" s="10">
        <v>2.4511493516371274E-2</v>
      </c>
    </row>
    <row r="2079" spans="9:13" x14ac:dyDescent="0.35">
      <c r="I2079">
        <v>2075</v>
      </c>
      <c r="L2079"/>
      <c r="M2079" s="10">
        <v>2.3270499373138187E-2</v>
      </c>
    </row>
    <row r="2080" spans="9:13" x14ac:dyDescent="0.35">
      <c r="I2080">
        <v>2076</v>
      </c>
      <c r="L2080"/>
      <c r="M2080" s="10">
        <v>2.3184384125224056E-2</v>
      </c>
    </row>
    <row r="2081" spans="9:13" x14ac:dyDescent="0.35">
      <c r="I2081">
        <v>2077</v>
      </c>
      <c r="L2081"/>
      <c r="M2081" s="10">
        <v>2.463224434546063E-2</v>
      </c>
    </row>
    <row r="2082" spans="9:13" x14ac:dyDescent="0.35">
      <c r="I2082">
        <v>2078</v>
      </c>
      <c r="L2082"/>
      <c r="M2082" s="10">
        <v>2.262536475672039E-2</v>
      </c>
    </row>
    <row r="2083" spans="9:13" x14ac:dyDescent="0.35">
      <c r="I2083">
        <v>2079</v>
      </c>
      <c r="L2083"/>
      <c r="M2083" s="10">
        <v>2.0829816211335839E-2</v>
      </c>
    </row>
    <row r="2084" spans="9:13" x14ac:dyDescent="0.35">
      <c r="I2084">
        <v>2080</v>
      </c>
      <c r="L2084"/>
      <c r="M2084" s="10">
        <v>2.8262243850875279E-2</v>
      </c>
    </row>
    <row r="2085" spans="9:13" x14ac:dyDescent="0.35">
      <c r="I2085">
        <v>2081</v>
      </c>
      <c r="L2085"/>
      <c r="M2085" s="10">
        <v>2.1809360063909766E-2</v>
      </c>
    </row>
    <row r="2086" spans="9:13" x14ac:dyDescent="0.35">
      <c r="I2086">
        <v>2082</v>
      </c>
      <c r="L2086"/>
      <c r="M2086" s="10">
        <v>2.6244476720745591E-2</v>
      </c>
    </row>
    <row r="2087" spans="9:13" x14ac:dyDescent="0.35">
      <c r="I2087">
        <v>2083</v>
      </c>
      <c r="L2087"/>
      <c r="M2087" s="10">
        <v>2.6586550350705673E-2</v>
      </c>
    </row>
    <row r="2088" spans="9:13" x14ac:dyDescent="0.35">
      <c r="I2088">
        <v>2084</v>
      </c>
      <c r="L2088"/>
      <c r="M2088" s="10">
        <v>3.6377643906063462E-2</v>
      </c>
    </row>
    <row r="2089" spans="9:13" x14ac:dyDescent="0.35">
      <c r="I2089">
        <v>2085</v>
      </c>
      <c r="L2089"/>
      <c r="M2089" s="10">
        <v>2.1172540052020961E-2</v>
      </c>
    </row>
    <row r="2090" spans="9:13" x14ac:dyDescent="0.35">
      <c r="I2090">
        <v>2086</v>
      </c>
      <c r="L2090"/>
      <c r="M2090" s="10">
        <v>2.280140582226986E-2</v>
      </c>
    </row>
    <row r="2091" spans="9:13" x14ac:dyDescent="0.35">
      <c r="I2091">
        <v>2087</v>
      </c>
      <c r="L2091"/>
      <c r="M2091" s="10">
        <v>2.8317818728940347E-2</v>
      </c>
    </row>
    <row r="2092" spans="9:13" x14ac:dyDescent="0.35">
      <c r="I2092">
        <v>2088</v>
      </c>
      <c r="L2092"/>
      <c r="M2092" s="10">
        <v>2.6198398267990863E-2</v>
      </c>
    </row>
    <row r="2093" spans="9:13" x14ac:dyDescent="0.35">
      <c r="I2093">
        <v>2089</v>
      </c>
      <c r="L2093"/>
      <c r="M2093" s="10">
        <v>2.3361397716257115E-2</v>
      </c>
    </row>
    <row r="2094" spans="9:13" x14ac:dyDescent="0.35">
      <c r="I2094">
        <v>2090</v>
      </c>
      <c r="L2094"/>
      <c r="M2094" s="10">
        <v>3.2591466854158702E-2</v>
      </c>
    </row>
    <row r="2095" spans="9:13" x14ac:dyDescent="0.35">
      <c r="I2095">
        <v>2091</v>
      </c>
      <c r="L2095"/>
      <c r="M2095" s="10">
        <v>2.6039473371892163E-2</v>
      </c>
    </row>
    <row r="2096" spans="9:13" x14ac:dyDescent="0.35">
      <c r="I2096">
        <v>2092</v>
      </c>
      <c r="L2096"/>
      <c r="M2096" s="10">
        <v>2.4621649817488045E-2</v>
      </c>
    </row>
    <row r="2097" spans="9:13" x14ac:dyDescent="0.35">
      <c r="I2097">
        <v>2093</v>
      </c>
      <c r="L2097"/>
      <c r="M2097" s="10">
        <v>2.7956022505421396E-2</v>
      </c>
    </row>
    <row r="2098" spans="9:13" x14ac:dyDescent="0.35">
      <c r="I2098">
        <v>2094</v>
      </c>
      <c r="L2098"/>
      <c r="M2098" s="10">
        <v>2.5320359844226314E-2</v>
      </c>
    </row>
    <row r="2099" spans="9:13" x14ac:dyDescent="0.35">
      <c r="I2099">
        <v>2095</v>
      </c>
      <c r="L2099"/>
      <c r="M2099" s="10">
        <v>2.6741724675068523E-2</v>
      </c>
    </row>
    <row r="2100" spans="9:13" x14ac:dyDescent="0.35">
      <c r="I2100">
        <v>2096</v>
      </c>
      <c r="L2100"/>
      <c r="M2100" s="10">
        <v>2.6114229466345895E-2</v>
      </c>
    </row>
    <row r="2101" spans="9:13" x14ac:dyDescent="0.35">
      <c r="I2101">
        <v>2097</v>
      </c>
      <c r="L2101"/>
      <c r="M2101" s="10">
        <v>2.8018827838373062E-2</v>
      </c>
    </row>
    <row r="2102" spans="9:13" x14ac:dyDescent="0.35">
      <c r="I2102">
        <v>2098</v>
      </c>
      <c r="L2102"/>
      <c r="M2102" s="10">
        <v>2.5992074963459566E-2</v>
      </c>
    </row>
    <row r="2103" spans="9:13" x14ac:dyDescent="0.35">
      <c r="I2103">
        <v>2099</v>
      </c>
      <c r="L2103"/>
      <c r="M2103" s="10">
        <v>2.6809265662957493E-2</v>
      </c>
    </row>
    <row r="2104" spans="9:13" x14ac:dyDescent="0.35">
      <c r="I2104">
        <v>2100</v>
      </c>
      <c r="L2104"/>
      <c r="M2104" s="10">
        <v>2.6263137489493826E-2</v>
      </c>
    </row>
    <row r="2105" spans="9:13" x14ac:dyDescent="0.35">
      <c r="I2105">
        <v>2101</v>
      </c>
      <c r="L2105"/>
      <c r="M2105" s="10">
        <v>2.9423662526598227E-2</v>
      </c>
    </row>
    <row r="2106" spans="9:13" x14ac:dyDescent="0.35">
      <c r="I2106">
        <v>2102</v>
      </c>
      <c r="L2106"/>
      <c r="M2106" s="10">
        <v>2.0613016979500687E-2</v>
      </c>
    </row>
    <row r="2107" spans="9:13" x14ac:dyDescent="0.35">
      <c r="I2107">
        <v>2103</v>
      </c>
      <c r="L2107"/>
      <c r="M2107" s="10">
        <v>2.6949426537961063E-2</v>
      </c>
    </row>
    <row r="2108" spans="9:13" x14ac:dyDescent="0.35">
      <c r="I2108">
        <v>2104</v>
      </c>
      <c r="L2108"/>
      <c r="M2108" s="10">
        <v>2.592152291388683E-2</v>
      </c>
    </row>
    <row r="2109" spans="9:13" x14ac:dyDescent="0.35">
      <c r="I2109">
        <v>2105</v>
      </c>
      <c r="L2109"/>
      <c r="M2109" s="10">
        <v>2.1073295012427384E-2</v>
      </c>
    </row>
    <row r="2110" spans="9:13" x14ac:dyDescent="0.35">
      <c r="I2110">
        <v>2106</v>
      </c>
      <c r="L2110"/>
      <c r="M2110" s="10">
        <v>2.5319515686525351E-2</v>
      </c>
    </row>
    <row r="2111" spans="9:13" x14ac:dyDescent="0.35">
      <c r="I2111">
        <v>2107</v>
      </c>
      <c r="L2111"/>
      <c r="M2111" s="10">
        <v>2.3113417670961756E-2</v>
      </c>
    </row>
    <row r="2112" spans="9:13" x14ac:dyDescent="0.35">
      <c r="I2112">
        <v>2108</v>
      </c>
      <c r="L2112"/>
      <c r="M2112" s="10">
        <v>2.2278930808056985E-2</v>
      </c>
    </row>
    <row r="2113" spans="9:13" x14ac:dyDescent="0.35">
      <c r="I2113">
        <v>2109</v>
      </c>
      <c r="L2113"/>
      <c r="M2113" s="10">
        <v>2.4630211390468393E-2</v>
      </c>
    </row>
    <row r="2114" spans="9:13" x14ac:dyDescent="0.35">
      <c r="I2114">
        <v>2110</v>
      </c>
      <c r="L2114"/>
      <c r="M2114" s="10">
        <v>2.6353647938660907E-2</v>
      </c>
    </row>
    <row r="2115" spans="9:13" x14ac:dyDescent="0.35">
      <c r="I2115">
        <v>2111</v>
      </c>
      <c r="L2115"/>
      <c r="M2115" s="10">
        <v>2.061495784456191E-2</v>
      </c>
    </row>
    <row r="2116" spans="9:13" x14ac:dyDescent="0.35">
      <c r="I2116">
        <v>2112</v>
      </c>
      <c r="L2116"/>
      <c r="M2116" s="10">
        <v>1.9395269962640738E-2</v>
      </c>
    </row>
    <row r="2117" spans="9:13" x14ac:dyDescent="0.35">
      <c r="I2117">
        <v>2113</v>
      </c>
      <c r="L2117"/>
      <c r="M2117" s="10">
        <v>2.2816165326667859E-2</v>
      </c>
    </row>
    <row r="2118" spans="9:13" x14ac:dyDescent="0.35">
      <c r="I2118">
        <v>2114</v>
      </c>
      <c r="L2118"/>
      <c r="M2118" s="10">
        <v>2.7462786044305521E-2</v>
      </c>
    </row>
    <row r="2119" spans="9:13" x14ac:dyDescent="0.35">
      <c r="I2119">
        <v>2115</v>
      </c>
      <c r="L2119"/>
      <c r="M2119" s="10">
        <v>2.3434080391961043E-2</v>
      </c>
    </row>
    <row r="2120" spans="9:13" x14ac:dyDescent="0.35">
      <c r="I2120">
        <v>2116</v>
      </c>
      <c r="L2120"/>
      <c r="M2120" s="10">
        <v>2.5315248853055028E-2</v>
      </c>
    </row>
    <row r="2121" spans="9:13" x14ac:dyDescent="0.35">
      <c r="I2121">
        <v>2117</v>
      </c>
      <c r="L2121"/>
      <c r="M2121" s="10">
        <v>2.5619836299884402E-2</v>
      </c>
    </row>
    <row r="2122" spans="9:13" x14ac:dyDescent="0.35">
      <c r="I2122">
        <v>2118</v>
      </c>
      <c r="L2122"/>
      <c r="M2122" s="10">
        <v>2.5509278151795933E-2</v>
      </c>
    </row>
    <row r="2123" spans="9:13" x14ac:dyDescent="0.35">
      <c r="I2123">
        <v>2119</v>
      </c>
      <c r="L2123"/>
      <c r="M2123" s="10">
        <v>2.8586205065767256E-2</v>
      </c>
    </row>
    <row r="2124" spans="9:13" x14ac:dyDescent="0.35">
      <c r="I2124">
        <v>2120</v>
      </c>
      <c r="L2124"/>
      <c r="M2124" s="10">
        <v>2.5692397584315629E-2</v>
      </c>
    </row>
    <row r="2125" spans="9:13" x14ac:dyDescent="0.35">
      <c r="I2125">
        <v>2121</v>
      </c>
      <c r="L2125"/>
      <c r="M2125" s="10">
        <v>2.2829458368679556E-2</v>
      </c>
    </row>
    <row r="2126" spans="9:13" x14ac:dyDescent="0.35">
      <c r="I2126">
        <v>2122</v>
      </c>
      <c r="L2126"/>
      <c r="M2126" s="10">
        <v>2.0017651389588109E-2</v>
      </c>
    </row>
    <row r="2127" spans="9:13" x14ac:dyDescent="0.35">
      <c r="I2127">
        <v>2123</v>
      </c>
      <c r="L2127"/>
      <c r="M2127" s="10">
        <v>2.4979620122963953E-2</v>
      </c>
    </row>
    <row r="2128" spans="9:13" x14ac:dyDescent="0.35">
      <c r="I2128">
        <v>2124</v>
      </c>
      <c r="L2128"/>
      <c r="M2128" s="10">
        <v>2.6028122590243674E-2</v>
      </c>
    </row>
    <row r="2129" spans="9:13" x14ac:dyDescent="0.35">
      <c r="I2129">
        <v>2125</v>
      </c>
      <c r="L2129"/>
      <c r="M2129" s="10">
        <v>2.3646413262142008E-2</v>
      </c>
    </row>
    <row r="2130" spans="9:13" x14ac:dyDescent="0.35">
      <c r="I2130">
        <v>2126</v>
      </c>
      <c r="L2130"/>
      <c r="M2130" s="10">
        <v>2.0757914904743546E-2</v>
      </c>
    </row>
    <row r="2131" spans="9:13" x14ac:dyDescent="0.35">
      <c r="I2131">
        <v>2127</v>
      </c>
      <c r="L2131"/>
      <c r="M2131" s="10">
        <v>2.5800152570716106E-2</v>
      </c>
    </row>
    <row r="2132" spans="9:13" x14ac:dyDescent="0.35">
      <c r="I2132">
        <v>2128</v>
      </c>
      <c r="L2132"/>
      <c r="M2132" s="10">
        <v>2.2601959961222939E-2</v>
      </c>
    </row>
    <row r="2133" spans="9:13" x14ac:dyDescent="0.35">
      <c r="I2133">
        <v>2129</v>
      </c>
      <c r="L2133"/>
      <c r="M2133" s="10">
        <v>2.3808612931999651E-2</v>
      </c>
    </row>
    <row r="2134" spans="9:13" x14ac:dyDescent="0.35">
      <c r="I2134">
        <v>2130</v>
      </c>
      <c r="L2134"/>
      <c r="M2134" s="10">
        <v>2.0063081026919782E-2</v>
      </c>
    </row>
    <row r="2135" spans="9:13" x14ac:dyDescent="0.35">
      <c r="I2135">
        <v>2131</v>
      </c>
      <c r="L2135"/>
      <c r="M2135" s="10">
        <v>2.1025282671121359E-2</v>
      </c>
    </row>
    <row r="2136" spans="9:13" x14ac:dyDescent="0.35">
      <c r="I2136">
        <v>2132</v>
      </c>
      <c r="L2136"/>
      <c r="M2136" s="10">
        <v>2.5258151700524256E-2</v>
      </c>
    </row>
    <row r="2137" spans="9:13" x14ac:dyDescent="0.35">
      <c r="I2137">
        <v>2133</v>
      </c>
      <c r="L2137"/>
      <c r="M2137" s="10">
        <v>2.6986602964051087E-2</v>
      </c>
    </row>
    <row r="2138" spans="9:13" x14ac:dyDescent="0.35">
      <c r="I2138">
        <v>2134</v>
      </c>
      <c r="L2138"/>
      <c r="M2138" s="10">
        <v>2.3180594485032624E-2</v>
      </c>
    </row>
    <row r="2139" spans="9:13" x14ac:dyDescent="0.35">
      <c r="I2139">
        <v>2135</v>
      </c>
      <c r="L2139"/>
      <c r="M2139" s="10">
        <v>2.5770357292127066E-2</v>
      </c>
    </row>
    <row r="2140" spans="9:13" x14ac:dyDescent="0.35">
      <c r="I2140">
        <v>2136</v>
      </c>
      <c r="L2140"/>
      <c r="M2140" s="10">
        <v>2.3433513899355107E-2</v>
      </c>
    </row>
    <row r="2141" spans="9:13" x14ac:dyDescent="0.35">
      <c r="I2141">
        <v>2137</v>
      </c>
      <c r="L2141"/>
      <c r="M2141" s="10">
        <v>2.3483047119824851E-2</v>
      </c>
    </row>
    <row r="2142" spans="9:13" x14ac:dyDescent="0.35">
      <c r="I2142">
        <v>2138</v>
      </c>
      <c r="L2142"/>
      <c r="M2142" s="10">
        <v>2.9583940865622438E-2</v>
      </c>
    </row>
    <row r="2143" spans="9:13" x14ac:dyDescent="0.35">
      <c r="I2143">
        <v>2139</v>
      </c>
      <c r="L2143"/>
      <c r="M2143" s="10">
        <v>2.9129920762098749E-2</v>
      </c>
    </row>
    <row r="2144" spans="9:13" x14ac:dyDescent="0.35">
      <c r="I2144">
        <v>2140</v>
      </c>
      <c r="L2144"/>
      <c r="M2144" s="10">
        <v>2.7726559512769811E-2</v>
      </c>
    </row>
    <row r="2145" spans="9:13" x14ac:dyDescent="0.35">
      <c r="I2145">
        <v>2141</v>
      </c>
      <c r="L2145"/>
      <c r="M2145" s="10">
        <v>2.2713123670372926E-2</v>
      </c>
    </row>
    <row r="2146" spans="9:13" x14ac:dyDescent="0.35">
      <c r="I2146">
        <v>2142</v>
      </c>
      <c r="L2146"/>
      <c r="M2146" s="10">
        <v>2.263971683293875E-2</v>
      </c>
    </row>
    <row r="2147" spans="9:13" x14ac:dyDescent="0.35">
      <c r="I2147">
        <v>2143</v>
      </c>
      <c r="L2147"/>
      <c r="M2147" s="10">
        <v>2.4735958537312364E-2</v>
      </c>
    </row>
    <row r="2148" spans="9:13" x14ac:dyDescent="0.35">
      <c r="I2148">
        <v>2144</v>
      </c>
      <c r="L2148"/>
      <c r="M2148" s="10">
        <v>2.3491737060587825E-2</v>
      </c>
    </row>
    <row r="2149" spans="9:13" x14ac:dyDescent="0.35">
      <c r="I2149">
        <v>2145</v>
      </c>
      <c r="L2149"/>
      <c r="M2149" s="10">
        <v>2.3009169078449743E-2</v>
      </c>
    </row>
    <row r="2150" spans="9:13" x14ac:dyDescent="0.35">
      <c r="I2150">
        <v>2146</v>
      </c>
      <c r="L2150"/>
      <c r="M2150" s="10">
        <v>2.4283417453892842E-2</v>
      </c>
    </row>
    <row r="2151" spans="9:13" x14ac:dyDescent="0.35">
      <c r="I2151">
        <v>2147</v>
      </c>
      <c r="L2151"/>
      <c r="M2151" s="10">
        <v>2.84465660337061E-2</v>
      </c>
    </row>
    <row r="2152" spans="9:13" x14ac:dyDescent="0.35">
      <c r="I2152">
        <v>2148</v>
      </c>
      <c r="L2152"/>
      <c r="M2152" s="10">
        <v>2.395703539005678E-2</v>
      </c>
    </row>
    <row r="2153" spans="9:13" x14ac:dyDescent="0.35">
      <c r="I2153">
        <v>2149</v>
      </c>
      <c r="L2153"/>
      <c r="M2153" s="10">
        <v>3.2318417418097711E-2</v>
      </c>
    </row>
    <row r="2154" spans="9:13" x14ac:dyDescent="0.35">
      <c r="I2154">
        <v>2150</v>
      </c>
      <c r="L2154"/>
      <c r="M2154" s="10">
        <v>2.6289794733918459E-2</v>
      </c>
    </row>
    <row r="2155" spans="9:13" x14ac:dyDescent="0.35">
      <c r="I2155">
        <v>2151</v>
      </c>
      <c r="L2155"/>
      <c r="M2155" s="10">
        <v>2.0030599792009496E-2</v>
      </c>
    </row>
    <row r="2156" spans="9:13" x14ac:dyDescent="0.35">
      <c r="I2156">
        <v>2152</v>
      </c>
      <c r="L2156"/>
      <c r="M2156" s="10">
        <v>2.7940788598348476E-2</v>
      </c>
    </row>
    <row r="2157" spans="9:13" x14ac:dyDescent="0.35">
      <c r="I2157">
        <v>2153</v>
      </c>
      <c r="L2157"/>
      <c r="M2157" s="10">
        <v>2.4990924859646935E-2</v>
      </c>
    </row>
    <row r="2158" spans="9:13" x14ac:dyDescent="0.35">
      <c r="I2158">
        <v>2154</v>
      </c>
      <c r="L2158"/>
      <c r="M2158" s="10">
        <v>2.0329395340298873E-2</v>
      </c>
    </row>
    <row r="2159" spans="9:13" x14ac:dyDescent="0.35">
      <c r="I2159">
        <v>2155</v>
      </c>
      <c r="L2159"/>
      <c r="M2159" s="10">
        <v>1.9414354903192432E-2</v>
      </c>
    </row>
    <row r="2160" spans="9:13" x14ac:dyDescent="0.35">
      <c r="I2160">
        <v>2156</v>
      </c>
      <c r="L2160"/>
      <c r="M2160" s="10">
        <v>2.8913710347701294E-2</v>
      </c>
    </row>
    <row r="2161" spans="9:13" x14ac:dyDescent="0.35">
      <c r="I2161">
        <v>2157</v>
      </c>
      <c r="L2161"/>
      <c r="M2161" s="10">
        <v>2.2138761561241505E-2</v>
      </c>
    </row>
    <row r="2162" spans="9:13" x14ac:dyDescent="0.35">
      <c r="I2162">
        <v>2158</v>
      </c>
      <c r="L2162"/>
      <c r="M2162" s="10">
        <v>2.5889103072263886E-2</v>
      </c>
    </row>
    <row r="2163" spans="9:13" x14ac:dyDescent="0.35">
      <c r="I2163">
        <v>2159</v>
      </c>
      <c r="L2163"/>
      <c r="M2163" s="10">
        <v>2.240387591491344E-2</v>
      </c>
    </row>
    <row r="2164" spans="9:13" x14ac:dyDescent="0.35">
      <c r="I2164">
        <v>2160</v>
      </c>
      <c r="L2164"/>
      <c r="M2164" s="10">
        <v>2.12971223803613E-2</v>
      </c>
    </row>
    <row r="2165" spans="9:13" x14ac:dyDescent="0.35">
      <c r="I2165">
        <v>2161</v>
      </c>
      <c r="L2165"/>
      <c r="M2165" s="10">
        <v>2.8213952449172242E-2</v>
      </c>
    </row>
    <row r="2166" spans="9:13" x14ac:dyDescent="0.35">
      <c r="I2166">
        <v>2162</v>
      </c>
      <c r="L2166"/>
      <c r="M2166" s="10">
        <v>2.6337594989322755E-2</v>
      </c>
    </row>
    <row r="2167" spans="9:13" x14ac:dyDescent="0.35">
      <c r="I2167">
        <v>2163</v>
      </c>
      <c r="L2167"/>
      <c r="M2167" s="10">
        <v>2.6535828332944655E-2</v>
      </c>
    </row>
    <row r="2168" spans="9:13" x14ac:dyDescent="0.35">
      <c r="I2168">
        <v>2164</v>
      </c>
      <c r="L2168"/>
      <c r="M2168" s="10">
        <v>3.3706075938886748E-2</v>
      </c>
    </row>
    <row r="2169" spans="9:13" x14ac:dyDescent="0.35">
      <c r="I2169">
        <v>2165</v>
      </c>
      <c r="L2169"/>
      <c r="M2169" s="10">
        <v>3.2711995830232432E-2</v>
      </c>
    </row>
    <row r="2170" spans="9:13" x14ac:dyDescent="0.35">
      <c r="I2170">
        <v>2166</v>
      </c>
      <c r="L2170"/>
      <c r="M2170" s="10">
        <v>2.3233814093346905E-2</v>
      </c>
    </row>
    <row r="2171" spans="9:13" x14ac:dyDescent="0.35">
      <c r="I2171">
        <v>2167</v>
      </c>
      <c r="L2171"/>
      <c r="M2171" s="10">
        <v>2.5706241770611427E-2</v>
      </c>
    </row>
    <row r="2172" spans="9:13" x14ac:dyDescent="0.35">
      <c r="I2172">
        <v>2168</v>
      </c>
      <c r="L2172"/>
      <c r="M2172" s="10">
        <v>3.7466598968494136E-2</v>
      </c>
    </row>
    <row r="2173" spans="9:13" x14ac:dyDescent="0.35">
      <c r="I2173">
        <v>2169</v>
      </c>
      <c r="L2173"/>
      <c r="M2173" s="10">
        <v>2.6330531970674365E-2</v>
      </c>
    </row>
    <row r="2174" spans="9:13" x14ac:dyDescent="0.35">
      <c r="I2174">
        <v>2170</v>
      </c>
      <c r="L2174"/>
      <c r="M2174" s="10">
        <v>2.6581560750807087E-2</v>
      </c>
    </row>
    <row r="2175" spans="9:13" x14ac:dyDescent="0.35">
      <c r="I2175">
        <v>2171</v>
      </c>
      <c r="L2175"/>
      <c r="M2175" s="10">
        <v>2.1978258578597698E-2</v>
      </c>
    </row>
    <row r="2176" spans="9:13" x14ac:dyDescent="0.35">
      <c r="I2176">
        <v>2172</v>
      </c>
      <c r="L2176"/>
      <c r="M2176" s="10">
        <v>2.4918335669176006E-2</v>
      </c>
    </row>
    <row r="2177" spans="9:13" x14ac:dyDescent="0.35">
      <c r="I2177">
        <v>2173</v>
      </c>
      <c r="L2177"/>
      <c r="M2177" s="10">
        <v>2.1071302521192714E-2</v>
      </c>
    </row>
    <row r="2178" spans="9:13" x14ac:dyDescent="0.35">
      <c r="I2178">
        <v>2174</v>
      </c>
      <c r="L2178"/>
      <c r="M2178" s="10">
        <v>2.2735835000783799E-2</v>
      </c>
    </row>
    <row r="2179" spans="9:13" x14ac:dyDescent="0.35">
      <c r="I2179">
        <v>2175</v>
      </c>
      <c r="L2179"/>
      <c r="M2179" s="10">
        <v>2.7828508647610439E-2</v>
      </c>
    </row>
    <row r="2180" spans="9:13" x14ac:dyDescent="0.35">
      <c r="I2180">
        <v>2176</v>
      </c>
      <c r="L2180"/>
      <c r="M2180" s="10">
        <v>2.6625035570057687E-2</v>
      </c>
    </row>
    <row r="2181" spans="9:13" x14ac:dyDescent="0.35">
      <c r="I2181">
        <v>2177</v>
      </c>
      <c r="L2181"/>
      <c r="M2181" s="10">
        <v>2.4949068590699008E-2</v>
      </c>
    </row>
    <row r="2182" spans="9:13" x14ac:dyDescent="0.35">
      <c r="I2182">
        <v>2178</v>
      </c>
      <c r="L2182"/>
      <c r="M2182" s="10">
        <v>2.5343580459861736E-2</v>
      </c>
    </row>
    <row r="2183" spans="9:13" x14ac:dyDescent="0.35">
      <c r="I2183">
        <v>2179</v>
      </c>
      <c r="L2183"/>
      <c r="M2183" s="10">
        <v>2.1150706366558691E-2</v>
      </c>
    </row>
    <row r="2184" spans="9:13" x14ac:dyDescent="0.35">
      <c r="I2184">
        <v>2180</v>
      </c>
      <c r="L2184"/>
      <c r="M2184" s="10">
        <v>2.4261293545617679E-2</v>
      </c>
    </row>
    <row r="2185" spans="9:13" x14ac:dyDescent="0.35">
      <c r="I2185">
        <v>2181</v>
      </c>
      <c r="L2185"/>
      <c r="M2185" s="10">
        <v>2.0817880798155608E-2</v>
      </c>
    </row>
    <row r="2186" spans="9:13" x14ac:dyDescent="0.35">
      <c r="I2186">
        <v>2182</v>
      </c>
      <c r="L2186"/>
      <c r="M2186" s="10">
        <v>2.2519902251481372E-2</v>
      </c>
    </row>
    <row r="2187" spans="9:13" x14ac:dyDescent="0.35">
      <c r="I2187">
        <v>2183</v>
      </c>
      <c r="L2187"/>
      <c r="M2187" s="10">
        <v>2.2533471563286112E-2</v>
      </c>
    </row>
    <row r="2188" spans="9:13" x14ac:dyDescent="0.35">
      <c r="I2188">
        <v>2184</v>
      </c>
      <c r="L2188"/>
      <c r="M2188" s="10">
        <v>3.6759772470108754E-2</v>
      </c>
    </row>
    <row r="2189" spans="9:13" x14ac:dyDescent="0.35">
      <c r="I2189">
        <v>2185</v>
      </c>
      <c r="L2189"/>
      <c r="M2189" s="10">
        <v>2.0118731251292044E-2</v>
      </c>
    </row>
    <row r="2190" spans="9:13" x14ac:dyDescent="0.35">
      <c r="I2190">
        <v>2186</v>
      </c>
      <c r="L2190"/>
      <c r="M2190" s="10">
        <v>1.8694560468157873E-2</v>
      </c>
    </row>
    <row r="2191" spans="9:13" x14ac:dyDescent="0.35">
      <c r="I2191">
        <v>2187</v>
      </c>
      <c r="L2191"/>
      <c r="M2191" s="10">
        <v>2.2880820830051718E-2</v>
      </c>
    </row>
    <row r="2192" spans="9:13" x14ac:dyDescent="0.35">
      <c r="I2192">
        <v>2188</v>
      </c>
      <c r="L2192"/>
      <c r="M2192" s="10">
        <v>3.0268093706750543E-2</v>
      </c>
    </row>
    <row r="2193" spans="9:13" x14ac:dyDescent="0.35">
      <c r="I2193">
        <v>2189</v>
      </c>
      <c r="L2193"/>
      <c r="M2193" s="10">
        <v>2.120993554052264E-2</v>
      </c>
    </row>
    <row r="2194" spans="9:13" x14ac:dyDescent="0.35">
      <c r="I2194">
        <v>2190</v>
      </c>
      <c r="L2194"/>
      <c r="M2194" s="10">
        <v>2.6573788918750285E-2</v>
      </c>
    </row>
    <row r="2195" spans="9:13" x14ac:dyDescent="0.35">
      <c r="I2195">
        <v>2191</v>
      </c>
      <c r="L2195"/>
      <c r="M2195" s="10">
        <v>2.391144947890278E-2</v>
      </c>
    </row>
    <row r="2196" spans="9:13" x14ac:dyDescent="0.35">
      <c r="I2196">
        <v>2192</v>
      </c>
      <c r="L2196"/>
      <c r="M2196" s="10">
        <v>2.1310316355932057E-2</v>
      </c>
    </row>
    <row r="2197" spans="9:13" x14ac:dyDescent="0.35">
      <c r="I2197">
        <v>2193</v>
      </c>
      <c r="L2197"/>
      <c r="M2197" s="10">
        <v>2.5908167083285805E-2</v>
      </c>
    </row>
    <row r="2198" spans="9:13" x14ac:dyDescent="0.35">
      <c r="I2198">
        <v>2194</v>
      </c>
      <c r="L2198"/>
      <c r="M2198" s="10">
        <v>2.5666549615042333E-2</v>
      </c>
    </row>
    <row r="2199" spans="9:13" x14ac:dyDescent="0.35">
      <c r="I2199">
        <v>2195</v>
      </c>
      <c r="L2199"/>
      <c r="M2199" s="10">
        <v>3.4597752044253305E-2</v>
      </c>
    </row>
    <row r="2200" spans="9:13" x14ac:dyDescent="0.35">
      <c r="I2200">
        <v>2196</v>
      </c>
      <c r="L2200"/>
      <c r="M2200" s="10">
        <v>2.8862915774237052E-2</v>
      </c>
    </row>
    <row r="2201" spans="9:13" x14ac:dyDescent="0.35">
      <c r="I2201">
        <v>2197</v>
      </c>
      <c r="L2201"/>
      <c r="M2201" s="10">
        <v>2.5908465677910608E-2</v>
      </c>
    </row>
    <row r="2202" spans="9:13" x14ac:dyDescent="0.35">
      <c r="I2202">
        <v>2198</v>
      </c>
      <c r="L2202"/>
      <c r="M2202" s="10">
        <v>2.6388734202377306E-2</v>
      </c>
    </row>
    <row r="2203" spans="9:13" x14ac:dyDescent="0.35">
      <c r="I2203">
        <v>2199</v>
      </c>
      <c r="L2203"/>
      <c r="M2203" s="10">
        <v>2.5982559003921435E-2</v>
      </c>
    </row>
    <row r="2204" spans="9:13" x14ac:dyDescent="0.35">
      <c r="I2204">
        <v>2200</v>
      </c>
      <c r="L2204"/>
      <c r="M2204" s="10">
        <v>1.9611974313940905E-2</v>
      </c>
    </row>
    <row r="2205" spans="9:13" x14ac:dyDescent="0.35">
      <c r="I2205">
        <v>2201</v>
      </c>
      <c r="L2205"/>
      <c r="M2205" s="10">
        <v>2.2573959040986691E-2</v>
      </c>
    </row>
    <row r="2206" spans="9:13" x14ac:dyDescent="0.35">
      <c r="I2206">
        <v>2202</v>
      </c>
      <c r="L2206"/>
      <c r="M2206" s="10">
        <v>2.2703881190023867E-2</v>
      </c>
    </row>
    <row r="2207" spans="9:13" x14ac:dyDescent="0.35">
      <c r="I2207">
        <v>2203</v>
      </c>
      <c r="L2207"/>
      <c r="M2207" s="10">
        <v>2.2521289181654525E-2</v>
      </c>
    </row>
    <row r="2208" spans="9:13" x14ac:dyDescent="0.35">
      <c r="I2208">
        <v>2204</v>
      </c>
      <c r="L2208"/>
      <c r="M2208" s="10">
        <v>2.3172924510020732E-2</v>
      </c>
    </row>
    <row r="2209" spans="9:13" x14ac:dyDescent="0.35">
      <c r="I2209">
        <v>2205</v>
      </c>
      <c r="L2209"/>
      <c r="M2209" s="10">
        <v>2.3997298224137764E-2</v>
      </c>
    </row>
    <row r="2210" spans="9:13" x14ac:dyDescent="0.35">
      <c r="I2210">
        <v>2206</v>
      </c>
      <c r="L2210"/>
      <c r="M2210" s="10">
        <v>2.0125755201484852E-2</v>
      </c>
    </row>
    <row r="2211" spans="9:13" x14ac:dyDescent="0.35">
      <c r="I2211">
        <v>2207</v>
      </c>
      <c r="L2211"/>
      <c r="M2211" s="10">
        <v>2.6660693907587962E-2</v>
      </c>
    </row>
    <row r="2212" spans="9:13" x14ac:dyDescent="0.35">
      <c r="I2212">
        <v>2208</v>
      </c>
      <c r="L2212"/>
      <c r="M2212" s="10">
        <v>2.5431820752699119E-2</v>
      </c>
    </row>
    <row r="2213" spans="9:13" x14ac:dyDescent="0.35">
      <c r="I2213">
        <v>2209</v>
      </c>
      <c r="L2213"/>
      <c r="M2213" s="10">
        <v>2.4274639609104809E-2</v>
      </c>
    </row>
    <row r="2214" spans="9:13" x14ac:dyDescent="0.35">
      <c r="I2214">
        <v>2210</v>
      </c>
      <c r="L2214"/>
      <c r="M2214" s="10">
        <v>1.9921949021734608E-2</v>
      </c>
    </row>
    <row r="2215" spans="9:13" x14ac:dyDescent="0.35">
      <c r="I2215">
        <v>2211</v>
      </c>
      <c r="L2215"/>
      <c r="M2215" s="10">
        <v>1.8995859188208453E-2</v>
      </c>
    </row>
    <row r="2216" spans="9:13" x14ac:dyDescent="0.35">
      <c r="I2216">
        <v>2212</v>
      </c>
      <c r="L2216"/>
      <c r="M2216" s="10">
        <v>2.923545024183305E-2</v>
      </c>
    </row>
    <row r="2217" spans="9:13" x14ac:dyDescent="0.35">
      <c r="I2217">
        <v>2213</v>
      </c>
      <c r="L2217"/>
      <c r="M2217" s="10">
        <v>2.1500236490326952E-2</v>
      </c>
    </row>
    <row r="2218" spans="9:13" x14ac:dyDescent="0.35">
      <c r="I2218">
        <v>2214</v>
      </c>
      <c r="L2218"/>
      <c r="M2218" s="10">
        <v>2.1514026259845331E-2</v>
      </c>
    </row>
    <row r="2219" spans="9:13" x14ac:dyDescent="0.35">
      <c r="I2219">
        <v>2215</v>
      </c>
      <c r="L2219"/>
      <c r="M2219" s="10">
        <v>2.5466548423805357E-2</v>
      </c>
    </row>
    <row r="2220" spans="9:13" x14ac:dyDescent="0.35">
      <c r="I2220">
        <v>2216</v>
      </c>
      <c r="L2220"/>
      <c r="M2220" s="10">
        <v>2.1963803250032443E-2</v>
      </c>
    </row>
    <row r="2221" spans="9:13" x14ac:dyDescent="0.35">
      <c r="I2221">
        <v>2217</v>
      </c>
      <c r="L2221"/>
      <c r="M2221" s="10">
        <v>2.669617364646415E-2</v>
      </c>
    </row>
    <row r="2222" spans="9:13" x14ac:dyDescent="0.35">
      <c r="I2222">
        <v>2218</v>
      </c>
      <c r="L2222"/>
      <c r="M2222" s="10">
        <v>2.4167343677057418E-2</v>
      </c>
    </row>
    <row r="2223" spans="9:13" x14ac:dyDescent="0.35">
      <c r="I2223">
        <v>2219</v>
      </c>
      <c r="L2223"/>
      <c r="M2223" s="10">
        <v>2.9406260320240518E-2</v>
      </c>
    </row>
    <row r="2224" spans="9:13" x14ac:dyDescent="0.35">
      <c r="I2224">
        <v>2220</v>
      </c>
      <c r="L2224"/>
      <c r="M2224" s="10">
        <v>2.831875637187431E-2</v>
      </c>
    </row>
    <row r="2225" spans="9:13" x14ac:dyDescent="0.35">
      <c r="I2225">
        <v>2221</v>
      </c>
      <c r="L2225"/>
      <c r="M2225" s="10">
        <v>1.9894012285389673E-2</v>
      </c>
    </row>
    <row r="2226" spans="9:13" x14ac:dyDescent="0.35">
      <c r="I2226">
        <v>2222</v>
      </c>
      <c r="L2226"/>
      <c r="M2226" s="10">
        <v>2.9561099772126953E-2</v>
      </c>
    </row>
    <row r="2227" spans="9:13" x14ac:dyDescent="0.35">
      <c r="I2227">
        <v>2223</v>
      </c>
      <c r="L2227"/>
      <c r="M2227" s="10">
        <v>2.3303396408040022E-2</v>
      </c>
    </row>
    <row r="2228" spans="9:13" x14ac:dyDescent="0.35">
      <c r="I2228">
        <v>2224</v>
      </c>
      <c r="L2228"/>
      <c r="M2228" s="10">
        <v>2.4144801178186737E-2</v>
      </c>
    </row>
    <row r="2229" spans="9:13" x14ac:dyDescent="0.35">
      <c r="I2229">
        <v>2225</v>
      </c>
      <c r="L2229"/>
      <c r="M2229" s="10">
        <v>1.9885694890256711E-2</v>
      </c>
    </row>
    <row r="2230" spans="9:13" x14ac:dyDescent="0.35">
      <c r="I2230">
        <v>2226</v>
      </c>
      <c r="L2230"/>
      <c r="M2230" s="10">
        <v>2.6126859739914687E-2</v>
      </c>
    </row>
    <row r="2231" spans="9:13" x14ac:dyDescent="0.35">
      <c r="I2231">
        <v>2227</v>
      </c>
      <c r="L2231"/>
      <c r="M2231" s="10">
        <v>2.4397804310628324E-2</v>
      </c>
    </row>
    <row r="2232" spans="9:13" x14ac:dyDescent="0.35">
      <c r="I2232">
        <v>2228</v>
      </c>
      <c r="L2232"/>
      <c r="M2232" s="10">
        <v>2.2127000560809407E-2</v>
      </c>
    </row>
    <row r="2233" spans="9:13" x14ac:dyDescent="0.35">
      <c r="I2233">
        <v>2229</v>
      </c>
      <c r="L2233"/>
      <c r="M2233" s="10">
        <v>1.9381269502522613E-2</v>
      </c>
    </row>
    <row r="2234" spans="9:13" x14ac:dyDescent="0.35">
      <c r="I2234">
        <v>2230</v>
      </c>
      <c r="L2234"/>
      <c r="M2234" s="10">
        <v>2.1529525274295414E-2</v>
      </c>
    </row>
    <row r="2235" spans="9:13" x14ac:dyDescent="0.35">
      <c r="I2235">
        <v>2231</v>
      </c>
      <c r="L2235"/>
      <c r="M2235" s="10">
        <v>2.6910899459549498E-2</v>
      </c>
    </row>
    <row r="2236" spans="9:13" x14ac:dyDescent="0.35">
      <c r="I2236">
        <v>2232</v>
      </c>
      <c r="L2236"/>
      <c r="M2236" s="10">
        <v>2.8596329376970875E-2</v>
      </c>
    </row>
    <row r="2237" spans="9:13" x14ac:dyDescent="0.35">
      <c r="I2237">
        <v>2233</v>
      </c>
      <c r="L2237"/>
      <c r="M2237" s="10">
        <v>3.3357083006382737E-2</v>
      </c>
    </row>
    <row r="2238" spans="9:13" x14ac:dyDescent="0.35">
      <c r="I2238">
        <v>2234</v>
      </c>
      <c r="L2238"/>
      <c r="M2238" s="10">
        <v>2.5815492520739891E-2</v>
      </c>
    </row>
    <row r="2239" spans="9:13" x14ac:dyDescent="0.35">
      <c r="I2239">
        <v>2235</v>
      </c>
      <c r="L2239"/>
      <c r="M2239" s="10">
        <v>2.7975219070131896E-2</v>
      </c>
    </row>
    <row r="2240" spans="9:13" x14ac:dyDescent="0.35">
      <c r="I2240">
        <v>2236</v>
      </c>
      <c r="L2240"/>
      <c r="M2240" s="10">
        <v>3.1240214552763934E-2</v>
      </c>
    </row>
    <row r="2241" spans="9:13" x14ac:dyDescent="0.35">
      <c r="I2241">
        <v>2237</v>
      </c>
      <c r="L2241"/>
      <c r="M2241" s="10">
        <v>2.1194792328078749E-2</v>
      </c>
    </row>
    <row r="2242" spans="9:13" x14ac:dyDescent="0.35">
      <c r="I2242">
        <v>2238</v>
      </c>
      <c r="L2242"/>
      <c r="M2242" s="10">
        <v>2.593102212980114E-2</v>
      </c>
    </row>
    <row r="2243" spans="9:13" x14ac:dyDescent="0.35">
      <c r="I2243">
        <v>2239</v>
      </c>
      <c r="L2243"/>
      <c r="M2243" s="10">
        <v>2.4757101548292026E-2</v>
      </c>
    </row>
    <row r="2244" spans="9:13" x14ac:dyDescent="0.35">
      <c r="I2244">
        <v>2240</v>
      </c>
      <c r="L2244"/>
      <c r="M2244" s="10">
        <v>2.8412916931034315E-2</v>
      </c>
    </row>
    <row r="2245" spans="9:13" x14ac:dyDescent="0.35">
      <c r="I2245">
        <v>2241</v>
      </c>
      <c r="L2245"/>
      <c r="M2245" s="10">
        <v>2.3607577821991743E-2</v>
      </c>
    </row>
    <row r="2246" spans="9:13" x14ac:dyDescent="0.35">
      <c r="I2246">
        <v>2242</v>
      </c>
      <c r="L2246"/>
      <c r="M2246" s="10">
        <v>3.0946629062086783E-2</v>
      </c>
    </row>
    <row r="2247" spans="9:13" x14ac:dyDescent="0.35">
      <c r="I2247">
        <v>2243</v>
      </c>
      <c r="L2247"/>
      <c r="M2247" s="10">
        <v>2.2995352798193647E-2</v>
      </c>
    </row>
    <row r="2248" spans="9:13" x14ac:dyDescent="0.35">
      <c r="I2248">
        <v>2244</v>
      </c>
      <c r="L2248"/>
      <c r="M2248" s="10">
        <v>2.7532392079132384E-2</v>
      </c>
    </row>
    <row r="2249" spans="9:13" x14ac:dyDescent="0.35">
      <c r="I2249">
        <v>2245</v>
      </c>
      <c r="L2249"/>
      <c r="M2249" s="10">
        <v>2.6645222799177581E-2</v>
      </c>
    </row>
    <row r="2250" spans="9:13" x14ac:dyDescent="0.35">
      <c r="I2250">
        <v>2246</v>
      </c>
      <c r="L2250"/>
      <c r="M2250" s="10">
        <v>2.2941766225457294E-2</v>
      </c>
    </row>
    <row r="2251" spans="9:13" x14ac:dyDescent="0.35">
      <c r="I2251">
        <v>2247</v>
      </c>
      <c r="L2251"/>
      <c r="M2251" s="10">
        <v>2.2550603081058718E-2</v>
      </c>
    </row>
    <row r="2252" spans="9:13" x14ac:dyDescent="0.35">
      <c r="I2252">
        <v>2248</v>
      </c>
      <c r="L2252"/>
      <c r="M2252" s="10">
        <v>2.3634528079833239E-2</v>
      </c>
    </row>
    <row r="2253" spans="9:13" x14ac:dyDescent="0.35">
      <c r="I2253">
        <v>2249</v>
      </c>
      <c r="L2253"/>
      <c r="M2253" s="10">
        <v>2.3815502933201893E-2</v>
      </c>
    </row>
    <row r="2254" spans="9:13" x14ac:dyDescent="0.35">
      <c r="I2254">
        <v>2250</v>
      </c>
      <c r="L2254"/>
      <c r="M2254" s="10">
        <v>2.8389964213380026E-2</v>
      </c>
    </row>
    <row r="2255" spans="9:13" x14ac:dyDescent="0.35">
      <c r="I2255">
        <v>2251</v>
      </c>
      <c r="L2255"/>
      <c r="M2255" s="10">
        <v>2.3108669458306585E-2</v>
      </c>
    </row>
    <row r="2256" spans="9:13" x14ac:dyDescent="0.35">
      <c r="I2256">
        <v>2252</v>
      </c>
      <c r="L2256"/>
      <c r="M2256" s="10">
        <v>2.5827806060758074E-2</v>
      </c>
    </row>
    <row r="2257" spans="9:13" x14ac:dyDescent="0.35">
      <c r="I2257">
        <v>2253</v>
      </c>
      <c r="L2257"/>
      <c r="M2257" s="10">
        <v>2.8247612714259906E-2</v>
      </c>
    </row>
    <row r="2258" spans="9:13" x14ac:dyDescent="0.35">
      <c r="I2258">
        <v>2254</v>
      </c>
      <c r="L2258"/>
      <c r="M2258" s="10">
        <v>2.7137490920715823E-2</v>
      </c>
    </row>
    <row r="2259" spans="9:13" x14ac:dyDescent="0.35">
      <c r="I2259">
        <v>2255</v>
      </c>
      <c r="L2259"/>
      <c r="M2259" s="10">
        <v>2.7408441822591278E-2</v>
      </c>
    </row>
    <row r="2260" spans="9:13" x14ac:dyDescent="0.35">
      <c r="I2260">
        <v>2256</v>
      </c>
      <c r="L2260"/>
      <c r="M2260" s="10">
        <v>2.6814726874927031E-2</v>
      </c>
    </row>
    <row r="2261" spans="9:13" x14ac:dyDescent="0.35">
      <c r="I2261">
        <v>2257</v>
      </c>
      <c r="L2261"/>
      <c r="M2261" s="10">
        <v>2.5663450649333508E-2</v>
      </c>
    </row>
    <row r="2262" spans="9:13" x14ac:dyDescent="0.35">
      <c r="I2262">
        <v>2258</v>
      </c>
      <c r="L2262"/>
      <c r="M2262" s="10">
        <v>2.1933625658699496E-2</v>
      </c>
    </row>
    <row r="2263" spans="9:13" x14ac:dyDescent="0.35">
      <c r="I2263">
        <v>2259</v>
      </c>
      <c r="L2263"/>
      <c r="M2263" s="10">
        <v>3.0617315468780104E-2</v>
      </c>
    </row>
    <row r="2264" spans="9:13" x14ac:dyDescent="0.35">
      <c r="I2264">
        <v>2260</v>
      </c>
      <c r="L2264"/>
      <c r="M2264" s="10">
        <v>2.3990875649100518E-2</v>
      </c>
    </row>
    <row r="2265" spans="9:13" x14ac:dyDescent="0.35">
      <c r="I2265">
        <v>2261</v>
      </c>
      <c r="L2265"/>
      <c r="M2265" s="10">
        <v>2.4146923432506018E-2</v>
      </c>
    </row>
    <row r="2266" spans="9:13" x14ac:dyDescent="0.35">
      <c r="I2266">
        <v>2262</v>
      </c>
      <c r="L2266"/>
      <c r="M2266" s="10">
        <v>2.5060861581044258E-2</v>
      </c>
    </row>
    <row r="2267" spans="9:13" x14ac:dyDescent="0.35">
      <c r="I2267">
        <v>2263</v>
      </c>
      <c r="L2267"/>
      <c r="M2267" s="10">
        <v>2.4034046292518374E-2</v>
      </c>
    </row>
    <row r="2268" spans="9:13" x14ac:dyDescent="0.35">
      <c r="I2268">
        <v>2264</v>
      </c>
      <c r="L2268"/>
      <c r="M2268" s="10">
        <v>2.5055668267055853E-2</v>
      </c>
    </row>
    <row r="2269" spans="9:13" x14ac:dyDescent="0.35">
      <c r="I2269">
        <v>2265</v>
      </c>
      <c r="L2269"/>
      <c r="M2269" s="10">
        <v>2.7899094184430817E-2</v>
      </c>
    </row>
    <row r="2270" spans="9:13" x14ac:dyDescent="0.35">
      <c r="I2270">
        <v>2266</v>
      </c>
      <c r="L2270"/>
      <c r="M2270" s="10">
        <v>2.7245021263496705E-2</v>
      </c>
    </row>
    <row r="2271" spans="9:13" x14ac:dyDescent="0.35">
      <c r="I2271">
        <v>2267</v>
      </c>
      <c r="L2271"/>
      <c r="M2271" s="10">
        <v>2.6187304221907626E-2</v>
      </c>
    </row>
    <row r="2272" spans="9:13" x14ac:dyDescent="0.35">
      <c r="I2272">
        <v>2268</v>
      </c>
      <c r="L2272"/>
      <c r="M2272" s="10">
        <v>2.1221137024858727E-2</v>
      </c>
    </row>
    <row r="2273" spans="9:13" x14ac:dyDescent="0.35">
      <c r="I2273">
        <v>2269</v>
      </c>
      <c r="L2273"/>
      <c r="M2273" s="10">
        <v>2.3926737802753117E-2</v>
      </c>
    </row>
    <row r="2274" spans="9:13" x14ac:dyDescent="0.35">
      <c r="I2274">
        <v>2270</v>
      </c>
      <c r="L2274"/>
      <c r="M2274" s="10">
        <v>2.6669651746332068E-2</v>
      </c>
    </row>
    <row r="2275" spans="9:13" x14ac:dyDescent="0.35">
      <c r="I2275">
        <v>2271</v>
      </c>
      <c r="L2275"/>
      <c r="M2275" s="10">
        <v>3.2104983654650532E-2</v>
      </c>
    </row>
    <row r="2276" spans="9:13" x14ac:dyDescent="0.35">
      <c r="I2276">
        <v>2272</v>
      </c>
      <c r="L2276"/>
      <c r="M2276" s="10">
        <v>2.7099120116126585E-2</v>
      </c>
    </row>
    <row r="2277" spans="9:13" x14ac:dyDescent="0.35">
      <c r="I2277">
        <v>2273</v>
      </c>
      <c r="L2277"/>
      <c r="M2277" s="10">
        <v>2.5264380328585578E-2</v>
      </c>
    </row>
    <row r="2278" spans="9:13" x14ac:dyDescent="0.35">
      <c r="I2278">
        <v>2274</v>
      </c>
      <c r="L2278"/>
      <c r="M2278" s="10">
        <v>1.9917972411077178E-2</v>
      </c>
    </row>
    <row r="2279" spans="9:13" x14ac:dyDescent="0.35">
      <c r="I2279">
        <v>2275</v>
      </c>
      <c r="L2279"/>
      <c r="M2279" s="10">
        <v>3.1149528295546736E-2</v>
      </c>
    </row>
    <row r="2280" spans="9:13" x14ac:dyDescent="0.35">
      <c r="I2280">
        <v>2276</v>
      </c>
      <c r="L2280"/>
      <c r="M2280" s="10">
        <v>2.138276880680845E-2</v>
      </c>
    </row>
    <row r="2281" spans="9:13" x14ac:dyDescent="0.35">
      <c r="I2281">
        <v>2277</v>
      </c>
      <c r="L2281"/>
      <c r="M2281" s="10">
        <v>2.0971633309795679E-2</v>
      </c>
    </row>
    <row r="2282" spans="9:13" x14ac:dyDescent="0.35">
      <c r="I2282">
        <v>2278</v>
      </c>
      <c r="L2282"/>
      <c r="M2282" s="10">
        <v>2.263884616450007E-2</v>
      </c>
    </row>
    <row r="2283" spans="9:13" x14ac:dyDescent="0.35">
      <c r="I2283">
        <v>2279</v>
      </c>
      <c r="L2283"/>
      <c r="M2283" s="10">
        <v>2.8027534522759856E-2</v>
      </c>
    </row>
    <row r="2284" spans="9:13" x14ac:dyDescent="0.35">
      <c r="I2284">
        <v>2280</v>
      </c>
      <c r="L2284"/>
      <c r="M2284" s="10">
        <v>2.2650675534729436E-2</v>
      </c>
    </row>
    <row r="2285" spans="9:13" x14ac:dyDescent="0.35">
      <c r="I2285">
        <v>2281</v>
      </c>
      <c r="L2285"/>
      <c r="M2285" s="10">
        <v>2.2501926576007802E-2</v>
      </c>
    </row>
    <row r="2286" spans="9:13" x14ac:dyDescent="0.35">
      <c r="I2286">
        <v>2282</v>
      </c>
      <c r="L2286"/>
      <c r="M2286" s="10">
        <v>2.4793333354938163E-2</v>
      </c>
    </row>
    <row r="2287" spans="9:13" x14ac:dyDescent="0.35">
      <c r="I2287">
        <v>2283</v>
      </c>
      <c r="L2287"/>
      <c r="M2287" s="10">
        <v>2.0074759704534761E-2</v>
      </c>
    </row>
    <row r="2288" spans="9:13" x14ac:dyDescent="0.35">
      <c r="I2288">
        <v>2284</v>
      </c>
      <c r="L2288"/>
      <c r="M2288" s="10">
        <v>2.2383145913321356E-2</v>
      </c>
    </row>
    <row r="2289" spans="9:13" x14ac:dyDescent="0.35">
      <c r="I2289">
        <v>2285</v>
      </c>
      <c r="L2289"/>
      <c r="M2289" s="10">
        <v>2.3442968465605896E-2</v>
      </c>
    </row>
    <row r="2290" spans="9:13" x14ac:dyDescent="0.35">
      <c r="I2290">
        <v>2286</v>
      </c>
      <c r="L2290"/>
      <c r="M2290" s="10">
        <v>2.4215237417694713E-2</v>
      </c>
    </row>
    <row r="2291" spans="9:13" x14ac:dyDescent="0.35">
      <c r="I2291">
        <v>2287</v>
      </c>
      <c r="L2291"/>
      <c r="M2291" s="10">
        <v>2.8259461618717063E-2</v>
      </c>
    </row>
    <row r="2292" spans="9:13" x14ac:dyDescent="0.35">
      <c r="I2292">
        <v>2288</v>
      </c>
      <c r="L2292"/>
      <c r="M2292" s="10">
        <v>2.2111417828240221E-2</v>
      </c>
    </row>
    <row r="2293" spans="9:13" x14ac:dyDescent="0.35">
      <c r="I2293">
        <v>2289</v>
      </c>
      <c r="L2293"/>
      <c r="M2293" s="10">
        <v>2.0512199434569944E-2</v>
      </c>
    </row>
    <row r="2294" spans="9:13" x14ac:dyDescent="0.35">
      <c r="I2294">
        <v>2290</v>
      </c>
      <c r="L2294"/>
      <c r="M2294" s="10">
        <v>2.0273087928691647E-2</v>
      </c>
    </row>
    <row r="2295" spans="9:13" x14ac:dyDescent="0.35">
      <c r="I2295">
        <v>2291</v>
      </c>
      <c r="L2295"/>
      <c r="M2295" s="10">
        <v>2.5435514117053581E-2</v>
      </c>
    </row>
    <row r="2296" spans="9:13" x14ac:dyDescent="0.35">
      <c r="I2296">
        <v>2292</v>
      </c>
      <c r="L2296"/>
      <c r="M2296" s="10">
        <v>2.4845414396832632E-2</v>
      </c>
    </row>
    <row r="2297" spans="9:13" x14ac:dyDescent="0.35">
      <c r="I2297">
        <v>2293</v>
      </c>
      <c r="L2297"/>
      <c r="M2297" s="10">
        <v>2.3440399714651394E-2</v>
      </c>
    </row>
    <row r="2298" spans="9:13" x14ac:dyDescent="0.35">
      <c r="I2298">
        <v>2294</v>
      </c>
      <c r="L2298"/>
      <c r="M2298" s="10">
        <v>3.097304770987197E-2</v>
      </c>
    </row>
    <row r="2299" spans="9:13" x14ac:dyDescent="0.35">
      <c r="I2299">
        <v>2295</v>
      </c>
      <c r="L2299"/>
      <c r="M2299" s="10">
        <v>2.6414682633393527E-2</v>
      </c>
    </row>
    <row r="2300" spans="9:13" x14ac:dyDescent="0.35">
      <c r="I2300">
        <v>2296</v>
      </c>
      <c r="L2300"/>
      <c r="M2300" s="10">
        <v>2.8019260381988431E-2</v>
      </c>
    </row>
    <row r="2301" spans="9:13" x14ac:dyDescent="0.35">
      <c r="I2301">
        <v>2297</v>
      </c>
      <c r="L2301"/>
      <c r="M2301" s="10">
        <v>2.5489802526688421E-2</v>
      </c>
    </row>
    <row r="2302" spans="9:13" x14ac:dyDescent="0.35">
      <c r="I2302">
        <v>2298</v>
      </c>
      <c r="L2302"/>
      <c r="M2302" s="10">
        <v>3.0639221709945597E-2</v>
      </c>
    </row>
    <row r="2303" spans="9:13" x14ac:dyDescent="0.35">
      <c r="I2303">
        <v>2299</v>
      </c>
      <c r="L2303"/>
      <c r="M2303" s="10">
        <v>2.6486172325900226E-2</v>
      </c>
    </row>
    <row r="2304" spans="9:13" x14ac:dyDescent="0.35">
      <c r="I2304">
        <v>2300</v>
      </c>
      <c r="L2304"/>
      <c r="M2304" s="10">
        <v>2.3428834056497205E-2</v>
      </c>
    </row>
    <row r="2305" spans="9:13" x14ac:dyDescent="0.35">
      <c r="I2305">
        <v>2301</v>
      </c>
      <c r="L2305"/>
      <c r="M2305" s="10">
        <v>2.1790829058246142E-2</v>
      </c>
    </row>
    <row r="2306" spans="9:13" x14ac:dyDescent="0.35">
      <c r="I2306">
        <v>2302</v>
      </c>
      <c r="L2306"/>
      <c r="M2306" s="10">
        <v>2.7106643584430046E-2</v>
      </c>
    </row>
    <row r="2307" spans="9:13" x14ac:dyDescent="0.35">
      <c r="I2307">
        <v>2303</v>
      </c>
      <c r="L2307"/>
      <c r="M2307" s="10">
        <v>2.8733551745993902E-2</v>
      </c>
    </row>
    <row r="2308" spans="9:13" x14ac:dyDescent="0.35">
      <c r="I2308">
        <v>2304</v>
      </c>
      <c r="L2308"/>
      <c r="M2308" s="10">
        <v>2.2588779938672032E-2</v>
      </c>
    </row>
    <row r="2309" spans="9:13" x14ac:dyDescent="0.35">
      <c r="I2309">
        <v>2305</v>
      </c>
      <c r="L2309"/>
      <c r="M2309" s="10">
        <v>2.7528197801365284E-2</v>
      </c>
    </row>
    <row r="2310" spans="9:13" x14ac:dyDescent="0.35">
      <c r="I2310">
        <v>2306</v>
      </c>
      <c r="L2310"/>
      <c r="M2310" s="10">
        <v>2.527523019682143E-2</v>
      </c>
    </row>
    <row r="2311" spans="9:13" x14ac:dyDescent="0.35">
      <c r="I2311">
        <v>2307</v>
      </c>
      <c r="L2311"/>
      <c r="M2311" s="10">
        <v>3.1556895081897851E-2</v>
      </c>
    </row>
    <row r="2312" spans="9:13" x14ac:dyDescent="0.35">
      <c r="I2312">
        <v>2308</v>
      </c>
      <c r="L2312"/>
      <c r="M2312" s="10">
        <v>1.942633636133817E-2</v>
      </c>
    </row>
    <row r="2313" spans="9:13" x14ac:dyDescent="0.35">
      <c r="I2313">
        <v>2309</v>
      </c>
      <c r="L2313"/>
      <c r="M2313" s="10">
        <v>2.3894372377907591E-2</v>
      </c>
    </row>
    <row r="2314" spans="9:13" x14ac:dyDescent="0.35">
      <c r="I2314">
        <v>2310</v>
      </c>
      <c r="L2314"/>
      <c r="M2314" s="10">
        <v>3.0613344439330614E-2</v>
      </c>
    </row>
    <row r="2315" spans="9:13" x14ac:dyDescent="0.35">
      <c r="I2315">
        <v>2311</v>
      </c>
      <c r="L2315"/>
      <c r="M2315" s="10">
        <v>1.9489391453345162E-2</v>
      </c>
    </row>
    <row r="2316" spans="9:13" x14ac:dyDescent="0.35">
      <c r="I2316">
        <v>2312</v>
      </c>
      <c r="L2316"/>
      <c r="M2316" s="10">
        <v>2.1620344085201193E-2</v>
      </c>
    </row>
    <row r="2317" spans="9:13" x14ac:dyDescent="0.35">
      <c r="I2317">
        <v>2313</v>
      </c>
      <c r="L2317"/>
      <c r="M2317" s="10">
        <v>2.3271843048949803E-2</v>
      </c>
    </row>
    <row r="2318" spans="9:13" x14ac:dyDescent="0.35">
      <c r="I2318">
        <v>2314</v>
      </c>
      <c r="L2318"/>
      <c r="M2318" s="10">
        <v>2.768636365318411E-2</v>
      </c>
    </row>
    <row r="2319" spans="9:13" x14ac:dyDescent="0.35">
      <c r="I2319">
        <v>2315</v>
      </c>
      <c r="L2319"/>
      <c r="M2319" s="10">
        <v>2.7353826912291934E-2</v>
      </c>
    </row>
    <row r="2320" spans="9:13" x14ac:dyDescent="0.35">
      <c r="I2320">
        <v>2316</v>
      </c>
      <c r="L2320"/>
      <c r="M2320" s="10">
        <v>2.2359291830584715E-2</v>
      </c>
    </row>
    <row r="2321" spans="9:13" x14ac:dyDescent="0.35">
      <c r="I2321">
        <v>2317</v>
      </c>
      <c r="L2321"/>
      <c r="M2321" s="10">
        <v>2.4237952934011542E-2</v>
      </c>
    </row>
    <row r="2322" spans="9:13" x14ac:dyDescent="0.35">
      <c r="I2322">
        <v>2318</v>
      </c>
      <c r="L2322"/>
      <c r="M2322" s="10">
        <v>2.2001628491545522E-2</v>
      </c>
    </row>
    <row r="2323" spans="9:13" x14ac:dyDescent="0.35">
      <c r="I2323">
        <v>2319</v>
      </c>
      <c r="L2323"/>
      <c r="M2323" s="10">
        <v>2.9090916490408292E-2</v>
      </c>
    </row>
    <row r="2324" spans="9:13" x14ac:dyDescent="0.35">
      <c r="I2324">
        <v>2320</v>
      </c>
      <c r="L2324"/>
      <c r="M2324" s="10">
        <v>2.3295815732355174E-2</v>
      </c>
    </row>
    <row r="2325" spans="9:13" x14ac:dyDescent="0.35">
      <c r="I2325">
        <v>2321</v>
      </c>
      <c r="L2325"/>
      <c r="M2325" s="10">
        <v>2.1512024001496766E-2</v>
      </c>
    </row>
    <row r="2326" spans="9:13" x14ac:dyDescent="0.35">
      <c r="I2326">
        <v>2322</v>
      </c>
      <c r="L2326"/>
      <c r="M2326" s="10">
        <v>3.0141682137507786E-2</v>
      </c>
    </row>
    <row r="2327" spans="9:13" x14ac:dyDescent="0.35">
      <c r="I2327">
        <v>2323</v>
      </c>
      <c r="L2327"/>
      <c r="M2327" s="10">
        <v>2.5097083620576499E-2</v>
      </c>
    </row>
    <row r="2328" spans="9:13" x14ac:dyDescent="0.35">
      <c r="I2328">
        <v>2324</v>
      </c>
      <c r="L2328"/>
      <c r="M2328" s="10">
        <v>2.4611552017022142E-2</v>
      </c>
    </row>
    <row r="2329" spans="9:13" x14ac:dyDescent="0.35">
      <c r="I2329">
        <v>2325</v>
      </c>
      <c r="L2329"/>
      <c r="M2329" s="10">
        <v>2.4376679438574467E-2</v>
      </c>
    </row>
    <row r="2330" spans="9:13" x14ac:dyDescent="0.35">
      <c r="I2330">
        <v>2326</v>
      </c>
      <c r="L2330"/>
      <c r="M2330" s="10">
        <v>2.7570907995128069E-2</v>
      </c>
    </row>
    <row r="2331" spans="9:13" x14ac:dyDescent="0.35">
      <c r="I2331">
        <v>2327</v>
      </c>
      <c r="L2331"/>
      <c r="M2331" s="10">
        <v>2.5532738759372786E-2</v>
      </c>
    </row>
    <row r="2332" spans="9:13" x14ac:dyDescent="0.35">
      <c r="I2332">
        <v>2328</v>
      </c>
      <c r="L2332"/>
      <c r="M2332" s="10">
        <v>2.1841793858552561E-2</v>
      </c>
    </row>
    <row r="2333" spans="9:13" x14ac:dyDescent="0.35">
      <c r="I2333">
        <v>2329</v>
      </c>
      <c r="L2333"/>
      <c r="M2333" s="10">
        <v>1.9976492771632715E-2</v>
      </c>
    </row>
    <row r="2334" spans="9:13" x14ac:dyDescent="0.35">
      <c r="I2334">
        <v>2330</v>
      </c>
      <c r="L2334"/>
      <c r="M2334" s="10">
        <v>2.1352112626894626E-2</v>
      </c>
    </row>
    <row r="2335" spans="9:13" x14ac:dyDescent="0.35">
      <c r="I2335">
        <v>2331</v>
      </c>
      <c r="L2335"/>
      <c r="M2335" s="10">
        <v>2.0778597466068138E-2</v>
      </c>
    </row>
    <row r="2336" spans="9:13" x14ac:dyDescent="0.35">
      <c r="I2336">
        <v>2332</v>
      </c>
      <c r="L2336"/>
      <c r="M2336" s="10">
        <v>2.4461438452959117E-2</v>
      </c>
    </row>
    <row r="2337" spans="9:13" x14ac:dyDescent="0.35">
      <c r="I2337">
        <v>2333</v>
      </c>
      <c r="L2337"/>
      <c r="M2337" s="10">
        <v>2.240739486651977E-2</v>
      </c>
    </row>
    <row r="2338" spans="9:13" x14ac:dyDescent="0.35">
      <c r="I2338">
        <v>2334</v>
      </c>
      <c r="L2338"/>
      <c r="M2338" s="10">
        <v>2.5142045831743176E-2</v>
      </c>
    </row>
    <row r="2339" spans="9:13" x14ac:dyDescent="0.35">
      <c r="I2339">
        <v>2335</v>
      </c>
      <c r="L2339"/>
      <c r="M2339" s="10">
        <v>2.4795936988442291E-2</v>
      </c>
    </row>
    <row r="2340" spans="9:13" x14ac:dyDescent="0.35">
      <c r="I2340">
        <v>2336</v>
      </c>
      <c r="L2340"/>
      <c r="M2340" s="10">
        <v>2.019238087127162E-2</v>
      </c>
    </row>
    <row r="2341" spans="9:13" x14ac:dyDescent="0.35">
      <c r="I2341">
        <v>2337</v>
      </c>
      <c r="L2341"/>
      <c r="M2341" s="10">
        <v>2.9694538082166488E-2</v>
      </c>
    </row>
    <row r="2342" spans="9:13" x14ac:dyDescent="0.35">
      <c r="I2342">
        <v>2338</v>
      </c>
      <c r="L2342"/>
      <c r="M2342" s="10">
        <v>2.8202686780944841E-2</v>
      </c>
    </row>
    <row r="2343" spans="9:13" x14ac:dyDescent="0.35">
      <c r="I2343">
        <v>2339</v>
      </c>
      <c r="L2343"/>
      <c r="M2343" s="10">
        <v>2.4052345678052478E-2</v>
      </c>
    </row>
    <row r="2344" spans="9:13" x14ac:dyDescent="0.35">
      <c r="I2344">
        <v>2340</v>
      </c>
      <c r="L2344"/>
      <c r="M2344" s="10">
        <v>2.793733383063346E-2</v>
      </c>
    </row>
    <row r="2345" spans="9:13" x14ac:dyDescent="0.35">
      <c r="I2345">
        <v>2341</v>
      </c>
      <c r="L2345"/>
      <c r="M2345" s="10">
        <v>2.0692267341648307E-2</v>
      </c>
    </row>
    <row r="2346" spans="9:13" x14ac:dyDescent="0.35">
      <c r="I2346">
        <v>2342</v>
      </c>
      <c r="L2346"/>
      <c r="M2346" s="10">
        <v>2.4169549649495803E-2</v>
      </c>
    </row>
    <row r="2347" spans="9:13" x14ac:dyDescent="0.35">
      <c r="I2347">
        <v>2343</v>
      </c>
      <c r="L2347"/>
      <c r="M2347" s="10">
        <v>1.9047716981785312E-2</v>
      </c>
    </row>
    <row r="2348" spans="9:13" x14ac:dyDescent="0.35">
      <c r="I2348">
        <v>2344</v>
      </c>
      <c r="L2348"/>
      <c r="M2348" s="10">
        <v>2.4751135237003896E-2</v>
      </c>
    </row>
    <row r="2349" spans="9:13" x14ac:dyDescent="0.35">
      <c r="I2349">
        <v>2345</v>
      </c>
      <c r="L2349"/>
      <c r="M2349" s="10">
        <v>2.6914451898403469E-2</v>
      </c>
    </row>
    <row r="2350" spans="9:13" x14ac:dyDescent="0.35">
      <c r="I2350">
        <v>2346</v>
      </c>
      <c r="L2350"/>
      <c r="M2350" s="10">
        <v>2.1145360964653914E-2</v>
      </c>
    </row>
    <row r="2351" spans="9:13" x14ac:dyDescent="0.35">
      <c r="I2351">
        <v>2347</v>
      </c>
      <c r="L2351"/>
      <c r="M2351" s="10">
        <v>2.6432902486714482E-2</v>
      </c>
    </row>
    <row r="2352" spans="9:13" x14ac:dyDescent="0.35">
      <c r="I2352">
        <v>2348</v>
      </c>
      <c r="L2352"/>
      <c r="M2352" s="10">
        <v>2.038164381843155E-2</v>
      </c>
    </row>
    <row r="2353" spans="9:13" x14ac:dyDescent="0.35">
      <c r="I2353">
        <v>2349</v>
      </c>
      <c r="L2353"/>
      <c r="M2353" s="10">
        <v>3.0987140259921109E-2</v>
      </c>
    </row>
    <row r="2354" spans="9:13" x14ac:dyDescent="0.35">
      <c r="I2354">
        <v>2350</v>
      </c>
      <c r="L2354"/>
      <c r="M2354" s="10">
        <v>2.2808493956353981E-2</v>
      </c>
    </row>
    <row r="2355" spans="9:13" x14ac:dyDescent="0.35">
      <c r="I2355">
        <v>2351</v>
      </c>
      <c r="L2355"/>
      <c r="M2355" s="10">
        <v>2.7177672827281674E-2</v>
      </c>
    </row>
    <row r="2356" spans="9:13" x14ac:dyDescent="0.35">
      <c r="I2356">
        <v>2352</v>
      </c>
      <c r="L2356"/>
      <c r="M2356" s="10">
        <v>2.5651718950243096E-2</v>
      </c>
    </row>
    <row r="2357" spans="9:13" x14ac:dyDescent="0.35">
      <c r="I2357">
        <v>2353</v>
      </c>
      <c r="L2357"/>
      <c r="M2357" s="10">
        <v>2.9135334533800794E-2</v>
      </c>
    </row>
    <row r="2358" spans="9:13" x14ac:dyDescent="0.35">
      <c r="I2358">
        <v>2354</v>
      </c>
      <c r="L2358"/>
      <c r="M2358" s="10">
        <v>2.699792165375392E-2</v>
      </c>
    </row>
    <row r="2359" spans="9:13" x14ac:dyDescent="0.35">
      <c r="I2359">
        <v>2355</v>
      </c>
      <c r="L2359"/>
      <c r="M2359" s="10">
        <v>2.5263684072895032E-2</v>
      </c>
    </row>
    <row r="2360" spans="9:13" x14ac:dyDescent="0.35">
      <c r="I2360">
        <v>2356</v>
      </c>
      <c r="L2360"/>
      <c r="M2360" s="10">
        <v>2.3509661109887947E-2</v>
      </c>
    </row>
    <row r="2361" spans="9:13" x14ac:dyDescent="0.35">
      <c r="I2361">
        <v>2357</v>
      </c>
      <c r="L2361"/>
      <c r="M2361" s="10">
        <v>2.3079393232055989E-2</v>
      </c>
    </row>
    <row r="2362" spans="9:13" x14ac:dyDescent="0.35">
      <c r="I2362">
        <v>2358</v>
      </c>
      <c r="L2362"/>
      <c r="M2362" s="10">
        <v>2.1074948445279684E-2</v>
      </c>
    </row>
    <row r="2363" spans="9:13" x14ac:dyDescent="0.35">
      <c r="I2363">
        <v>2359</v>
      </c>
      <c r="L2363"/>
      <c r="M2363" s="10">
        <v>3.4619596892131455E-2</v>
      </c>
    </row>
    <row r="2364" spans="9:13" x14ac:dyDescent="0.35">
      <c r="I2364">
        <v>2360</v>
      </c>
      <c r="L2364"/>
      <c r="M2364" s="10">
        <v>2.9275517733636125E-2</v>
      </c>
    </row>
    <row r="2365" spans="9:13" x14ac:dyDescent="0.35">
      <c r="I2365">
        <v>2361</v>
      </c>
      <c r="L2365"/>
      <c r="M2365" s="10">
        <v>2.403043246037706E-2</v>
      </c>
    </row>
    <row r="2366" spans="9:13" x14ac:dyDescent="0.35">
      <c r="I2366">
        <v>2362</v>
      </c>
      <c r="L2366"/>
      <c r="M2366" s="10">
        <v>2.2696947934460088E-2</v>
      </c>
    </row>
    <row r="2367" spans="9:13" x14ac:dyDescent="0.35">
      <c r="I2367">
        <v>2363</v>
      </c>
      <c r="L2367"/>
      <c r="M2367" s="10">
        <v>2.6857565436472441E-2</v>
      </c>
    </row>
    <row r="2368" spans="9:13" x14ac:dyDescent="0.35">
      <c r="I2368">
        <v>2364</v>
      </c>
      <c r="L2368"/>
      <c r="M2368" s="10">
        <v>2.3175401171044219E-2</v>
      </c>
    </row>
    <row r="2369" spans="9:13" x14ac:dyDescent="0.35">
      <c r="I2369">
        <v>2365</v>
      </c>
      <c r="L2369"/>
      <c r="M2369" s="10">
        <v>3.3101611584729573E-2</v>
      </c>
    </row>
    <row r="2370" spans="9:13" x14ac:dyDescent="0.35">
      <c r="I2370">
        <v>2366</v>
      </c>
      <c r="L2370"/>
      <c r="M2370" s="10">
        <v>2.2424413364831586E-2</v>
      </c>
    </row>
    <row r="2371" spans="9:13" x14ac:dyDescent="0.35">
      <c r="I2371">
        <v>2367</v>
      </c>
      <c r="L2371"/>
      <c r="M2371" s="10">
        <v>2.4929460411902915E-2</v>
      </c>
    </row>
    <row r="2372" spans="9:13" x14ac:dyDescent="0.35">
      <c r="I2372">
        <v>2368</v>
      </c>
      <c r="L2372"/>
      <c r="M2372" s="10">
        <v>2.5846839375136321E-2</v>
      </c>
    </row>
    <row r="2373" spans="9:13" x14ac:dyDescent="0.35">
      <c r="I2373">
        <v>2369</v>
      </c>
      <c r="L2373"/>
      <c r="M2373" s="10">
        <v>3.1130700090560293E-2</v>
      </c>
    </row>
    <row r="2374" spans="9:13" x14ac:dyDescent="0.35">
      <c r="I2374">
        <v>2370</v>
      </c>
      <c r="L2374"/>
      <c r="M2374" s="10">
        <v>1.9824760657267015E-2</v>
      </c>
    </row>
    <row r="2375" spans="9:13" x14ac:dyDescent="0.35">
      <c r="I2375">
        <v>2371</v>
      </c>
      <c r="L2375"/>
      <c r="M2375" s="10">
        <v>2.3975445004447704E-2</v>
      </c>
    </row>
    <row r="2376" spans="9:13" x14ac:dyDescent="0.35">
      <c r="I2376">
        <v>2372</v>
      </c>
      <c r="L2376"/>
      <c r="M2376" s="10">
        <v>2.6111934194580466E-2</v>
      </c>
    </row>
    <row r="2377" spans="9:13" x14ac:dyDescent="0.35">
      <c r="I2377">
        <v>2373</v>
      </c>
      <c r="L2377"/>
      <c r="M2377" s="10">
        <v>2.3799049532194028E-2</v>
      </c>
    </row>
    <row r="2378" spans="9:13" x14ac:dyDescent="0.35">
      <c r="I2378">
        <v>2374</v>
      </c>
      <c r="L2378"/>
      <c r="M2378" s="10">
        <v>4.0498403211570499E-2</v>
      </c>
    </row>
    <row r="2379" spans="9:13" x14ac:dyDescent="0.35">
      <c r="I2379">
        <v>2375</v>
      </c>
      <c r="L2379"/>
      <c r="M2379" s="10">
        <v>2.947847556977945E-2</v>
      </c>
    </row>
    <row r="2380" spans="9:13" x14ac:dyDescent="0.35">
      <c r="I2380">
        <v>2376</v>
      </c>
      <c r="L2380"/>
      <c r="M2380" s="10">
        <v>2.1944836910149479E-2</v>
      </c>
    </row>
    <row r="2381" spans="9:13" x14ac:dyDescent="0.35">
      <c r="I2381">
        <v>2377</v>
      </c>
      <c r="L2381"/>
      <c r="M2381" s="10">
        <v>2.652577099623632E-2</v>
      </c>
    </row>
    <row r="2382" spans="9:13" x14ac:dyDescent="0.35">
      <c r="I2382">
        <v>2378</v>
      </c>
      <c r="L2382"/>
      <c r="M2382" s="10">
        <v>2.8066318336736673E-2</v>
      </c>
    </row>
    <row r="2383" spans="9:13" x14ac:dyDescent="0.35">
      <c r="I2383">
        <v>2379</v>
      </c>
      <c r="L2383"/>
      <c r="M2383" s="10">
        <v>1.8320393497239351E-2</v>
      </c>
    </row>
    <row r="2384" spans="9:13" x14ac:dyDescent="0.35">
      <c r="I2384">
        <v>2380</v>
      </c>
      <c r="L2384"/>
      <c r="M2384" s="10">
        <v>2.1382213476618395E-2</v>
      </c>
    </row>
    <row r="2385" spans="9:13" x14ac:dyDescent="0.35">
      <c r="I2385">
        <v>2381</v>
      </c>
      <c r="L2385"/>
      <c r="M2385" s="10">
        <v>2.6122333380275142E-2</v>
      </c>
    </row>
    <row r="2386" spans="9:13" x14ac:dyDescent="0.35">
      <c r="I2386">
        <v>2382</v>
      </c>
      <c r="L2386"/>
      <c r="M2386" s="10">
        <v>2.7669265622659145E-2</v>
      </c>
    </row>
    <row r="2387" spans="9:13" x14ac:dyDescent="0.35">
      <c r="I2387">
        <v>2383</v>
      </c>
      <c r="L2387"/>
      <c r="M2387" s="10">
        <v>2.2178531853721761E-2</v>
      </c>
    </row>
    <row r="2388" spans="9:13" x14ac:dyDescent="0.35">
      <c r="I2388">
        <v>2384</v>
      </c>
      <c r="L2388"/>
      <c r="M2388" s="10">
        <v>2.4059126845699885E-2</v>
      </c>
    </row>
    <row r="2389" spans="9:13" x14ac:dyDescent="0.35">
      <c r="I2389">
        <v>2385</v>
      </c>
      <c r="L2389"/>
      <c r="M2389" s="10">
        <v>2.4161607590596823E-2</v>
      </c>
    </row>
    <row r="2390" spans="9:13" x14ac:dyDescent="0.35">
      <c r="I2390">
        <v>2386</v>
      </c>
      <c r="L2390"/>
      <c r="M2390" s="10">
        <v>2.6440071548313737E-2</v>
      </c>
    </row>
    <row r="2391" spans="9:13" x14ac:dyDescent="0.35">
      <c r="I2391">
        <v>2387</v>
      </c>
      <c r="L2391"/>
      <c r="M2391" s="10">
        <v>2.5399218126516132E-2</v>
      </c>
    </row>
    <row r="2392" spans="9:13" x14ac:dyDescent="0.35">
      <c r="I2392">
        <v>2388</v>
      </c>
      <c r="L2392"/>
      <c r="M2392" s="10">
        <v>2.0717437194156862E-2</v>
      </c>
    </row>
    <row r="2393" spans="9:13" x14ac:dyDescent="0.35">
      <c r="I2393">
        <v>2389</v>
      </c>
      <c r="L2393"/>
      <c r="M2393" s="10">
        <v>2.3600613869784293E-2</v>
      </c>
    </row>
    <row r="2394" spans="9:13" x14ac:dyDescent="0.35">
      <c r="I2394">
        <v>2390</v>
      </c>
      <c r="L2394"/>
      <c r="M2394" s="10">
        <v>2.6758953863980084E-2</v>
      </c>
    </row>
    <row r="2395" spans="9:13" x14ac:dyDescent="0.35">
      <c r="I2395">
        <v>2391</v>
      </c>
      <c r="L2395"/>
      <c r="M2395" s="10">
        <v>2.4344595864729923E-2</v>
      </c>
    </row>
    <row r="2396" spans="9:13" x14ac:dyDescent="0.35">
      <c r="I2396">
        <v>2392</v>
      </c>
      <c r="L2396"/>
      <c r="M2396" s="10">
        <v>2.0501625836127135E-2</v>
      </c>
    </row>
    <row r="2397" spans="9:13" x14ac:dyDescent="0.35">
      <c r="I2397">
        <v>2393</v>
      </c>
      <c r="L2397"/>
      <c r="M2397" s="10">
        <v>2.417313138969146E-2</v>
      </c>
    </row>
    <row r="2398" spans="9:13" x14ac:dyDescent="0.35">
      <c r="I2398">
        <v>2394</v>
      </c>
      <c r="L2398"/>
      <c r="M2398" s="10">
        <v>2.0228208040342088E-2</v>
      </c>
    </row>
    <row r="2399" spans="9:13" x14ac:dyDescent="0.35">
      <c r="I2399">
        <v>2395</v>
      </c>
      <c r="L2399"/>
      <c r="M2399" s="10">
        <v>2.7984213186727613E-2</v>
      </c>
    </row>
    <row r="2400" spans="9:13" x14ac:dyDescent="0.35">
      <c r="I2400">
        <v>2396</v>
      </c>
      <c r="L2400"/>
      <c r="M2400" s="10">
        <v>2.9741632314766342E-2</v>
      </c>
    </row>
    <row r="2401" spans="9:13" x14ac:dyDescent="0.35">
      <c r="I2401">
        <v>2397</v>
      </c>
      <c r="L2401"/>
      <c r="M2401" s="10">
        <v>2.7415627627814354E-2</v>
      </c>
    </row>
    <row r="2402" spans="9:13" x14ac:dyDescent="0.35">
      <c r="I2402">
        <v>2398</v>
      </c>
      <c r="L2402"/>
      <c r="M2402" s="10">
        <v>3.1426216679184771E-2</v>
      </c>
    </row>
    <row r="2403" spans="9:13" x14ac:dyDescent="0.35">
      <c r="I2403">
        <v>2399</v>
      </c>
      <c r="L2403"/>
      <c r="M2403" s="10">
        <v>2.3376418142126321E-2</v>
      </c>
    </row>
    <row r="2404" spans="9:13" x14ac:dyDescent="0.35">
      <c r="I2404">
        <v>2400</v>
      </c>
      <c r="L2404"/>
      <c r="M2404" s="10">
        <v>2.7037779850259236E-2</v>
      </c>
    </row>
    <row r="2405" spans="9:13" x14ac:dyDescent="0.35">
      <c r="I2405">
        <v>2401</v>
      </c>
      <c r="L2405"/>
      <c r="M2405" s="10">
        <v>2.9292484605774494E-2</v>
      </c>
    </row>
    <row r="2406" spans="9:13" x14ac:dyDescent="0.35">
      <c r="I2406">
        <v>2402</v>
      </c>
      <c r="L2406"/>
      <c r="M2406" s="10">
        <v>3.4514572511715746E-2</v>
      </c>
    </row>
    <row r="2407" spans="9:13" x14ac:dyDescent="0.35">
      <c r="I2407">
        <v>2403</v>
      </c>
      <c r="L2407"/>
      <c r="M2407" s="10">
        <v>3.2331870919837691E-2</v>
      </c>
    </row>
    <row r="2408" spans="9:13" x14ac:dyDescent="0.35">
      <c r="I2408">
        <v>2404</v>
      </c>
      <c r="L2408"/>
      <c r="M2408" s="10">
        <v>2.7348516392936784E-2</v>
      </c>
    </row>
    <row r="2409" spans="9:13" x14ac:dyDescent="0.35">
      <c r="I2409">
        <v>2405</v>
      </c>
      <c r="L2409"/>
      <c r="M2409" s="10">
        <v>2.5412945107445184E-2</v>
      </c>
    </row>
    <row r="2410" spans="9:13" x14ac:dyDescent="0.35">
      <c r="I2410">
        <v>2406</v>
      </c>
      <c r="L2410"/>
      <c r="M2410" s="10">
        <v>2.5124358983780515E-2</v>
      </c>
    </row>
    <row r="2411" spans="9:13" x14ac:dyDescent="0.35">
      <c r="I2411">
        <v>2407</v>
      </c>
      <c r="L2411"/>
      <c r="M2411" s="10">
        <v>4.0055863652779911E-2</v>
      </c>
    </row>
    <row r="2412" spans="9:13" x14ac:dyDescent="0.35">
      <c r="I2412">
        <v>2408</v>
      </c>
      <c r="L2412"/>
      <c r="M2412" s="10">
        <v>2.383330419592733E-2</v>
      </c>
    </row>
    <row r="2413" spans="9:13" x14ac:dyDescent="0.35">
      <c r="I2413">
        <v>2409</v>
      </c>
      <c r="L2413"/>
      <c r="M2413" s="10">
        <v>2.4877244025715894E-2</v>
      </c>
    </row>
    <row r="2414" spans="9:13" x14ac:dyDescent="0.35">
      <c r="I2414">
        <v>2410</v>
      </c>
      <c r="L2414"/>
      <c r="M2414" s="10">
        <v>2.8075387799639584E-2</v>
      </c>
    </row>
    <row r="2415" spans="9:13" x14ac:dyDescent="0.35">
      <c r="I2415">
        <v>2411</v>
      </c>
      <c r="L2415"/>
      <c r="M2415" s="10">
        <v>2.1642211257911104E-2</v>
      </c>
    </row>
    <row r="2416" spans="9:13" x14ac:dyDescent="0.35">
      <c r="I2416">
        <v>2412</v>
      </c>
      <c r="L2416"/>
      <c r="M2416" s="10">
        <v>2.9807035700014195E-2</v>
      </c>
    </row>
    <row r="2417" spans="9:13" x14ac:dyDescent="0.35">
      <c r="I2417">
        <v>2413</v>
      </c>
      <c r="L2417"/>
      <c r="M2417" s="10">
        <v>2.4727363477084374E-2</v>
      </c>
    </row>
    <row r="2418" spans="9:13" x14ac:dyDescent="0.35">
      <c r="I2418">
        <v>2414</v>
      </c>
      <c r="L2418"/>
      <c r="M2418" s="10">
        <v>2.0883683239771189E-2</v>
      </c>
    </row>
    <row r="2419" spans="9:13" x14ac:dyDescent="0.35">
      <c r="I2419">
        <v>2415</v>
      </c>
      <c r="L2419"/>
      <c r="M2419" s="10">
        <v>2.5951900033403641E-2</v>
      </c>
    </row>
    <row r="2420" spans="9:13" x14ac:dyDescent="0.35">
      <c r="I2420">
        <v>2416</v>
      </c>
      <c r="L2420"/>
      <c r="M2420" s="10">
        <v>2.495119363562226E-2</v>
      </c>
    </row>
    <row r="2421" spans="9:13" x14ac:dyDescent="0.35">
      <c r="I2421">
        <v>2417</v>
      </c>
      <c r="L2421"/>
      <c r="M2421" s="10">
        <v>2.1161404146878171E-2</v>
      </c>
    </row>
    <row r="2422" spans="9:13" x14ac:dyDescent="0.35">
      <c r="I2422">
        <v>2418</v>
      </c>
      <c r="L2422"/>
      <c r="M2422" s="10">
        <v>2.2673153849708805E-2</v>
      </c>
    </row>
    <row r="2423" spans="9:13" x14ac:dyDescent="0.35">
      <c r="I2423">
        <v>2419</v>
      </c>
      <c r="L2423"/>
      <c r="M2423" s="10">
        <v>2.5186324344937172E-2</v>
      </c>
    </row>
    <row r="2424" spans="9:13" x14ac:dyDescent="0.35">
      <c r="I2424">
        <v>2420</v>
      </c>
      <c r="L2424"/>
      <c r="M2424" s="10">
        <v>2.3176390440151629E-2</v>
      </c>
    </row>
    <row r="2425" spans="9:13" x14ac:dyDescent="0.35">
      <c r="I2425">
        <v>2421</v>
      </c>
      <c r="L2425"/>
      <c r="M2425" s="10">
        <v>2.6185980080323801E-2</v>
      </c>
    </row>
    <row r="2426" spans="9:13" x14ac:dyDescent="0.35">
      <c r="I2426">
        <v>2422</v>
      </c>
      <c r="L2426"/>
      <c r="M2426" s="10">
        <v>2.1946123378579707E-2</v>
      </c>
    </row>
    <row r="2427" spans="9:13" x14ac:dyDescent="0.35">
      <c r="I2427">
        <v>2423</v>
      </c>
      <c r="L2427"/>
      <c r="M2427" s="10">
        <v>2.253299716061119E-2</v>
      </c>
    </row>
    <row r="2428" spans="9:13" x14ac:dyDescent="0.35">
      <c r="I2428">
        <v>2424</v>
      </c>
      <c r="L2428"/>
      <c r="M2428" s="10">
        <v>2.9083524180491427E-2</v>
      </c>
    </row>
    <row r="2429" spans="9:13" x14ac:dyDescent="0.35">
      <c r="I2429">
        <v>2425</v>
      </c>
      <c r="L2429"/>
      <c r="M2429" s="10">
        <v>2.1248187744443148E-2</v>
      </c>
    </row>
    <row r="2430" spans="9:13" x14ac:dyDescent="0.35">
      <c r="I2430">
        <v>2426</v>
      </c>
      <c r="L2430"/>
      <c r="M2430" s="10">
        <v>2.9769942992043275E-2</v>
      </c>
    </row>
    <row r="2431" spans="9:13" x14ac:dyDescent="0.35">
      <c r="I2431">
        <v>2427</v>
      </c>
      <c r="L2431"/>
      <c r="M2431" s="10">
        <v>3.0284918258086435E-2</v>
      </c>
    </row>
    <row r="2432" spans="9:13" x14ac:dyDescent="0.35">
      <c r="I2432">
        <v>2428</v>
      </c>
      <c r="L2432"/>
      <c r="M2432" s="10">
        <v>3.1388833748400957E-2</v>
      </c>
    </row>
    <row r="2433" spans="9:13" x14ac:dyDescent="0.35">
      <c r="I2433">
        <v>2429</v>
      </c>
      <c r="L2433"/>
      <c r="M2433" s="10">
        <v>2.8136278778267743E-2</v>
      </c>
    </row>
    <row r="2434" spans="9:13" x14ac:dyDescent="0.35">
      <c r="I2434">
        <v>2430</v>
      </c>
      <c r="L2434"/>
      <c r="M2434" s="10">
        <v>2.1279424369982758E-2</v>
      </c>
    </row>
    <row r="2435" spans="9:13" x14ac:dyDescent="0.35">
      <c r="I2435">
        <v>2431</v>
      </c>
      <c r="L2435"/>
      <c r="M2435" s="10">
        <v>2.7490867892056903E-2</v>
      </c>
    </row>
    <row r="2436" spans="9:13" x14ac:dyDescent="0.35">
      <c r="I2436">
        <v>2432</v>
      </c>
      <c r="L2436"/>
      <c r="M2436" s="10">
        <v>2.9052950323394722E-2</v>
      </c>
    </row>
    <row r="2437" spans="9:13" x14ac:dyDescent="0.35">
      <c r="I2437">
        <v>2433</v>
      </c>
      <c r="L2437"/>
      <c r="M2437" s="10">
        <v>3.0428888307509228E-2</v>
      </c>
    </row>
    <row r="2438" spans="9:13" x14ac:dyDescent="0.35">
      <c r="I2438">
        <v>2434</v>
      </c>
      <c r="L2438"/>
      <c r="M2438" s="10">
        <v>2.4641440780844182E-2</v>
      </c>
    </row>
    <row r="2439" spans="9:13" x14ac:dyDescent="0.35">
      <c r="I2439">
        <v>2435</v>
      </c>
      <c r="L2439"/>
      <c r="M2439" s="10">
        <v>2.865317956105029E-2</v>
      </c>
    </row>
    <row r="2440" spans="9:13" x14ac:dyDescent="0.35">
      <c r="I2440">
        <v>2436</v>
      </c>
      <c r="L2440"/>
      <c r="M2440" s="10">
        <v>1.9053691664885353E-2</v>
      </c>
    </row>
    <row r="2441" spans="9:13" x14ac:dyDescent="0.35">
      <c r="I2441">
        <v>2437</v>
      </c>
      <c r="L2441"/>
      <c r="M2441" s="10">
        <v>2.2803872716179452E-2</v>
      </c>
    </row>
    <row r="2442" spans="9:13" x14ac:dyDescent="0.35">
      <c r="I2442">
        <v>2438</v>
      </c>
      <c r="L2442"/>
      <c r="M2442" s="10">
        <v>2.902487405685128E-2</v>
      </c>
    </row>
    <row r="2443" spans="9:13" x14ac:dyDescent="0.35">
      <c r="I2443">
        <v>2439</v>
      </c>
      <c r="L2443"/>
      <c r="M2443" s="10">
        <v>2.8534104489644996E-2</v>
      </c>
    </row>
    <row r="2444" spans="9:13" x14ac:dyDescent="0.35">
      <c r="I2444">
        <v>2440</v>
      </c>
      <c r="L2444"/>
      <c r="M2444" s="10">
        <v>2.5350429997306412E-2</v>
      </c>
    </row>
    <row r="2445" spans="9:13" x14ac:dyDescent="0.35">
      <c r="I2445">
        <v>2441</v>
      </c>
      <c r="L2445"/>
      <c r="M2445" s="10">
        <v>2.6264962544490289E-2</v>
      </c>
    </row>
    <row r="2446" spans="9:13" x14ac:dyDescent="0.35">
      <c r="I2446">
        <v>2442</v>
      </c>
      <c r="L2446"/>
      <c r="M2446" s="10">
        <v>3.2915949911993092E-2</v>
      </c>
    </row>
    <row r="2447" spans="9:13" x14ac:dyDescent="0.35">
      <c r="I2447">
        <v>2443</v>
      </c>
      <c r="L2447"/>
      <c r="M2447" s="10">
        <v>2.6642828460971213E-2</v>
      </c>
    </row>
    <row r="2448" spans="9:13" x14ac:dyDescent="0.35">
      <c r="I2448">
        <v>2444</v>
      </c>
      <c r="L2448"/>
      <c r="M2448" s="10">
        <v>2.4772629864083795E-2</v>
      </c>
    </row>
    <row r="2449" spans="9:13" x14ac:dyDescent="0.35">
      <c r="I2449">
        <v>2445</v>
      </c>
      <c r="L2449"/>
      <c r="M2449" s="10">
        <v>2.3958709752438856E-2</v>
      </c>
    </row>
    <row r="2450" spans="9:13" x14ac:dyDescent="0.35">
      <c r="I2450">
        <v>2446</v>
      </c>
      <c r="L2450"/>
      <c r="M2450" s="10">
        <v>2.4975116088156168E-2</v>
      </c>
    </row>
    <row r="2451" spans="9:13" x14ac:dyDescent="0.35">
      <c r="I2451">
        <v>2447</v>
      </c>
      <c r="L2451"/>
      <c r="M2451" s="10">
        <v>2.1861573659492817E-2</v>
      </c>
    </row>
    <row r="2452" spans="9:13" x14ac:dyDescent="0.35">
      <c r="I2452">
        <v>2448</v>
      </c>
      <c r="L2452"/>
      <c r="M2452" s="10">
        <v>2.7377265195037026E-2</v>
      </c>
    </row>
    <row r="2453" spans="9:13" x14ac:dyDescent="0.35">
      <c r="I2453">
        <v>2449</v>
      </c>
      <c r="L2453"/>
      <c r="M2453" s="10">
        <v>2.0489666702813158E-2</v>
      </c>
    </row>
    <row r="2454" spans="9:13" x14ac:dyDescent="0.35">
      <c r="I2454">
        <v>2450</v>
      </c>
      <c r="L2454"/>
      <c r="M2454" s="10">
        <v>2.1831931864122134E-2</v>
      </c>
    </row>
    <row r="2455" spans="9:13" x14ac:dyDescent="0.35">
      <c r="I2455">
        <v>2451</v>
      </c>
      <c r="L2455"/>
      <c r="M2455" s="10">
        <v>2.8995419231946595E-2</v>
      </c>
    </row>
    <row r="2456" spans="9:13" x14ac:dyDescent="0.35">
      <c r="I2456">
        <v>2452</v>
      </c>
      <c r="L2456"/>
      <c r="M2456" s="10">
        <v>2.0906641538633419E-2</v>
      </c>
    </row>
    <row r="2457" spans="9:13" x14ac:dyDescent="0.35">
      <c r="I2457">
        <v>2453</v>
      </c>
      <c r="L2457"/>
      <c r="M2457" s="10">
        <v>3.0931116094616851E-2</v>
      </c>
    </row>
    <row r="2458" spans="9:13" x14ac:dyDescent="0.35">
      <c r="I2458">
        <v>2454</v>
      </c>
      <c r="L2458"/>
      <c r="M2458" s="10">
        <v>2.4069795324677679E-2</v>
      </c>
    </row>
    <row r="2459" spans="9:13" x14ac:dyDescent="0.35">
      <c r="I2459">
        <v>2455</v>
      </c>
      <c r="L2459"/>
      <c r="M2459" s="10">
        <v>2.4568001851464349E-2</v>
      </c>
    </row>
    <row r="2460" spans="9:13" x14ac:dyDescent="0.35">
      <c r="I2460">
        <v>2456</v>
      </c>
      <c r="L2460"/>
      <c r="M2460" s="10">
        <v>3.1316439900207937E-2</v>
      </c>
    </row>
    <row r="2461" spans="9:13" x14ac:dyDescent="0.35">
      <c r="I2461">
        <v>2457</v>
      </c>
      <c r="L2461"/>
      <c r="M2461" s="10">
        <v>2.5769125240474255E-2</v>
      </c>
    </row>
    <row r="2462" spans="9:13" x14ac:dyDescent="0.35">
      <c r="I2462">
        <v>2458</v>
      </c>
      <c r="L2462"/>
      <c r="M2462" s="10">
        <v>3.2944941496638736E-2</v>
      </c>
    </row>
    <row r="2463" spans="9:13" x14ac:dyDescent="0.35">
      <c r="I2463">
        <v>2459</v>
      </c>
      <c r="L2463"/>
      <c r="M2463" s="10">
        <v>2.0884304149154542E-2</v>
      </c>
    </row>
    <row r="2464" spans="9:13" x14ac:dyDescent="0.35">
      <c r="I2464">
        <v>2460</v>
      </c>
      <c r="L2464"/>
      <c r="M2464" s="10">
        <v>2.5996485513034351E-2</v>
      </c>
    </row>
    <row r="2465" spans="9:13" x14ac:dyDescent="0.35">
      <c r="I2465">
        <v>2461</v>
      </c>
      <c r="L2465"/>
      <c r="M2465" s="10">
        <v>2.5212772294064045E-2</v>
      </c>
    </row>
    <row r="2466" spans="9:13" x14ac:dyDescent="0.35">
      <c r="I2466">
        <v>2462</v>
      </c>
      <c r="L2466"/>
      <c r="M2466" s="10">
        <v>2.7627548883909725E-2</v>
      </c>
    </row>
    <row r="2467" spans="9:13" x14ac:dyDescent="0.35">
      <c r="I2467">
        <v>2463</v>
      </c>
      <c r="L2467"/>
      <c r="M2467" s="10">
        <v>3.0381110376936693E-2</v>
      </c>
    </row>
    <row r="2468" spans="9:13" x14ac:dyDescent="0.35">
      <c r="I2468">
        <v>2464</v>
      </c>
      <c r="L2468"/>
      <c r="M2468" s="10">
        <v>2.3711488751423371E-2</v>
      </c>
    </row>
    <row r="2469" spans="9:13" x14ac:dyDescent="0.35">
      <c r="I2469">
        <v>2465</v>
      </c>
      <c r="L2469"/>
      <c r="M2469" s="10">
        <v>2.3096898690760592E-2</v>
      </c>
    </row>
    <row r="2470" spans="9:13" x14ac:dyDescent="0.35">
      <c r="I2470">
        <v>2466</v>
      </c>
      <c r="L2470"/>
      <c r="M2470" s="10">
        <v>2.0414212957366895E-2</v>
      </c>
    </row>
    <row r="2471" spans="9:13" x14ac:dyDescent="0.35">
      <c r="I2471">
        <v>2467</v>
      </c>
      <c r="L2471"/>
      <c r="M2471" s="10">
        <v>2.250120101897557E-2</v>
      </c>
    </row>
    <row r="2472" spans="9:13" x14ac:dyDescent="0.35">
      <c r="I2472">
        <v>2468</v>
      </c>
      <c r="L2472"/>
      <c r="M2472" s="10">
        <v>2.0384412097569915E-2</v>
      </c>
    </row>
    <row r="2473" spans="9:13" x14ac:dyDescent="0.35">
      <c r="I2473">
        <v>2469</v>
      </c>
      <c r="L2473"/>
      <c r="M2473" s="10">
        <v>2.3477763111207417E-2</v>
      </c>
    </row>
    <row r="2474" spans="9:13" x14ac:dyDescent="0.35">
      <c r="I2474">
        <v>2470</v>
      </c>
      <c r="L2474"/>
      <c r="M2474" s="10">
        <v>2.1063502783096211E-2</v>
      </c>
    </row>
    <row r="2475" spans="9:13" x14ac:dyDescent="0.35">
      <c r="I2475">
        <v>2471</v>
      </c>
      <c r="L2475"/>
      <c r="M2475" s="10">
        <v>2.7984179699479972E-2</v>
      </c>
    </row>
    <row r="2476" spans="9:13" x14ac:dyDescent="0.35">
      <c r="I2476">
        <v>2472</v>
      </c>
      <c r="L2476"/>
      <c r="M2476" s="10">
        <v>2.1815750547001356E-2</v>
      </c>
    </row>
    <row r="2477" spans="9:13" x14ac:dyDescent="0.35">
      <c r="I2477">
        <v>2473</v>
      </c>
      <c r="L2477"/>
      <c r="M2477" s="10">
        <v>2.5738224882713046E-2</v>
      </c>
    </row>
    <row r="2478" spans="9:13" x14ac:dyDescent="0.35">
      <c r="I2478">
        <v>2474</v>
      </c>
      <c r="L2478"/>
      <c r="M2478" s="10">
        <v>2.4652956208126908E-2</v>
      </c>
    </row>
    <row r="2479" spans="9:13" x14ac:dyDescent="0.35">
      <c r="I2479">
        <v>2475</v>
      </c>
      <c r="L2479"/>
      <c r="M2479" s="10">
        <v>2.2285573840807871E-2</v>
      </c>
    </row>
    <row r="2480" spans="9:13" x14ac:dyDescent="0.35">
      <c r="I2480">
        <v>2476</v>
      </c>
      <c r="L2480"/>
      <c r="M2480" s="10">
        <v>2.8376108864668348E-2</v>
      </c>
    </row>
    <row r="2481" spans="9:13" x14ac:dyDescent="0.35">
      <c r="I2481">
        <v>2477</v>
      </c>
      <c r="L2481"/>
      <c r="M2481" s="10">
        <v>2.4973577070066644E-2</v>
      </c>
    </row>
    <row r="2482" spans="9:13" x14ac:dyDescent="0.35">
      <c r="I2482">
        <v>2478</v>
      </c>
      <c r="L2482"/>
      <c r="M2482" s="10">
        <v>2.1251207177938825E-2</v>
      </c>
    </row>
    <row r="2483" spans="9:13" x14ac:dyDescent="0.35">
      <c r="I2483">
        <v>2479</v>
      </c>
      <c r="L2483"/>
      <c r="M2483" s="10">
        <v>3.448088434058838E-2</v>
      </c>
    </row>
    <row r="2484" spans="9:13" x14ac:dyDescent="0.35">
      <c r="I2484">
        <v>2480</v>
      </c>
      <c r="L2484"/>
      <c r="M2484" s="10">
        <v>1.9759008446522897E-2</v>
      </c>
    </row>
    <row r="2485" spans="9:13" x14ac:dyDescent="0.35">
      <c r="I2485">
        <v>2481</v>
      </c>
      <c r="L2485"/>
      <c r="M2485" s="10">
        <v>2.0804742634664253E-2</v>
      </c>
    </row>
    <row r="2486" spans="9:13" x14ac:dyDescent="0.35">
      <c r="I2486">
        <v>2482</v>
      </c>
      <c r="L2486"/>
      <c r="M2486" s="10">
        <v>3.1592126457020697E-2</v>
      </c>
    </row>
    <row r="2487" spans="9:13" x14ac:dyDescent="0.35">
      <c r="I2487">
        <v>2483</v>
      </c>
      <c r="L2487"/>
      <c r="M2487" s="10">
        <v>2.6204738520210991E-2</v>
      </c>
    </row>
    <row r="2488" spans="9:13" x14ac:dyDescent="0.35">
      <c r="I2488">
        <v>2484</v>
      </c>
      <c r="L2488"/>
      <c r="M2488" s="10">
        <v>2.4356361051067976E-2</v>
      </c>
    </row>
    <row r="2489" spans="9:13" x14ac:dyDescent="0.35">
      <c r="I2489">
        <v>2485</v>
      </c>
      <c r="L2489"/>
      <c r="M2489" s="10">
        <v>3.2578825418174029E-2</v>
      </c>
    </row>
    <row r="2490" spans="9:13" x14ac:dyDescent="0.35">
      <c r="I2490">
        <v>2486</v>
      </c>
      <c r="L2490"/>
      <c r="M2490" s="10">
        <v>3.2159612517969727E-2</v>
      </c>
    </row>
    <row r="2491" spans="9:13" x14ac:dyDescent="0.35">
      <c r="I2491">
        <v>2487</v>
      </c>
      <c r="L2491"/>
      <c r="M2491" s="10">
        <v>2.6489420588921453E-2</v>
      </c>
    </row>
    <row r="2492" spans="9:13" x14ac:dyDescent="0.35">
      <c r="I2492">
        <v>2488</v>
      </c>
      <c r="L2492"/>
      <c r="M2492" s="10">
        <v>2.2566498361272558E-2</v>
      </c>
    </row>
    <row r="2493" spans="9:13" x14ac:dyDescent="0.35">
      <c r="I2493">
        <v>2489</v>
      </c>
      <c r="L2493"/>
      <c r="M2493" s="10">
        <v>2.4429636730115556E-2</v>
      </c>
    </row>
    <row r="2494" spans="9:13" x14ac:dyDescent="0.35">
      <c r="I2494">
        <v>2490</v>
      </c>
      <c r="L2494"/>
      <c r="M2494" s="10">
        <v>2.7359374632984546E-2</v>
      </c>
    </row>
    <row r="2495" spans="9:13" x14ac:dyDescent="0.35">
      <c r="I2495">
        <v>2491</v>
      </c>
      <c r="L2495"/>
      <c r="M2495" s="10">
        <v>2.7308769820590273E-2</v>
      </c>
    </row>
    <row r="2496" spans="9:13" x14ac:dyDescent="0.35">
      <c r="I2496">
        <v>2492</v>
      </c>
      <c r="L2496"/>
      <c r="M2496" s="10">
        <v>3.6573577792013978E-2</v>
      </c>
    </row>
    <row r="2497" spans="9:13" x14ac:dyDescent="0.35">
      <c r="I2497">
        <v>2493</v>
      </c>
      <c r="L2497"/>
      <c r="M2497" s="10">
        <v>2.1171114053392226E-2</v>
      </c>
    </row>
    <row r="2498" spans="9:13" x14ac:dyDescent="0.35">
      <c r="I2498">
        <v>2494</v>
      </c>
      <c r="L2498"/>
      <c r="M2498" s="10">
        <v>1.989195840086766E-2</v>
      </c>
    </row>
    <row r="2499" spans="9:13" x14ac:dyDescent="0.35">
      <c r="I2499">
        <v>2495</v>
      </c>
      <c r="L2499"/>
      <c r="M2499" s="10">
        <v>2.8169227439343025E-2</v>
      </c>
    </row>
    <row r="2500" spans="9:13" x14ac:dyDescent="0.35">
      <c r="I2500">
        <v>2496</v>
      </c>
      <c r="L2500"/>
      <c r="M2500" s="10">
        <v>2.5964044741881631E-2</v>
      </c>
    </row>
    <row r="2501" spans="9:13" x14ac:dyDescent="0.35">
      <c r="I2501">
        <v>2497</v>
      </c>
      <c r="L2501"/>
      <c r="M2501" s="10">
        <v>2.3569447009343936E-2</v>
      </c>
    </row>
    <row r="2502" spans="9:13" x14ac:dyDescent="0.35">
      <c r="I2502">
        <v>2498</v>
      </c>
      <c r="L2502"/>
      <c r="M2502" s="10">
        <v>2.7548245500286672E-2</v>
      </c>
    </row>
    <row r="2503" spans="9:13" x14ac:dyDescent="0.35">
      <c r="I2503">
        <v>2499</v>
      </c>
      <c r="L2503"/>
      <c r="M2503" s="10">
        <v>2.9751580817919843E-2</v>
      </c>
    </row>
    <row r="2504" spans="9:13" x14ac:dyDescent="0.35">
      <c r="I2504">
        <v>2500</v>
      </c>
      <c r="L2504"/>
      <c r="M2504" s="10">
        <v>2.4369274570939736E-2</v>
      </c>
    </row>
    <row r="2505" spans="9:13" x14ac:dyDescent="0.35">
      <c r="I2505">
        <v>2501</v>
      </c>
      <c r="L2505"/>
      <c r="M2505" s="10">
        <v>2.4443891135194962E-2</v>
      </c>
    </row>
    <row r="2506" spans="9:13" x14ac:dyDescent="0.35">
      <c r="I2506">
        <v>2502</v>
      </c>
      <c r="L2506"/>
      <c r="M2506" s="10">
        <v>2.259171704935059E-2</v>
      </c>
    </row>
    <row r="2507" spans="9:13" x14ac:dyDescent="0.35">
      <c r="I2507">
        <v>2503</v>
      </c>
      <c r="L2507"/>
      <c r="M2507" s="10">
        <v>2.7655440970591139E-2</v>
      </c>
    </row>
    <row r="2508" spans="9:13" x14ac:dyDescent="0.35">
      <c r="I2508">
        <v>2504</v>
      </c>
      <c r="L2508"/>
      <c r="M2508" s="10">
        <v>2.8408971017020557E-2</v>
      </c>
    </row>
    <row r="2509" spans="9:13" x14ac:dyDescent="0.35">
      <c r="I2509">
        <v>2505</v>
      </c>
      <c r="L2509"/>
      <c r="M2509" s="10">
        <v>2.4384788933711654E-2</v>
      </c>
    </row>
    <row r="2510" spans="9:13" x14ac:dyDescent="0.35">
      <c r="I2510">
        <v>2506</v>
      </c>
      <c r="L2510"/>
      <c r="M2510" s="10">
        <v>2.592063550182433E-2</v>
      </c>
    </row>
    <row r="2511" spans="9:13" x14ac:dyDescent="0.35">
      <c r="I2511">
        <v>2507</v>
      </c>
      <c r="L2511"/>
      <c r="M2511" s="10">
        <v>2.0840807005072182E-2</v>
      </c>
    </row>
    <row r="2512" spans="9:13" x14ac:dyDescent="0.35">
      <c r="I2512">
        <v>2508</v>
      </c>
      <c r="L2512"/>
      <c r="M2512" s="10">
        <v>2.6194328172100434E-2</v>
      </c>
    </row>
    <row r="2513" spans="9:13" x14ac:dyDescent="0.35">
      <c r="I2513">
        <v>2509</v>
      </c>
      <c r="L2513"/>
      <c r="M2513" s="10">
        <v>2.8349483712189372E-2</v>
      </c>
    </row>
    <row r="2514" spans="9:13" x14ac:dyDescent="0.35">
      <c r="I2514">
        <v>2510</v>
      </c>
      <c r="L2514"/>
      <c r="M2514" s="10">
        <v>2.5010477226363625E-2</v>
      </c>
    </row>
    <row r="2515" spans="9:13" x14ac:dyDescent="0.35">
      <c r="I2515">
        <v>2511</v>
      </c>
      <c r="L2515"/>
      <c r="M2515" s="10">
        <v>2.5195258463547532E-2</v>
      </c>
    </row>
    <row r="2516" spans="9:13" x14ac:dyDescent="0.35">
      <c r="I2516">
        <v>2512</v>
      </c>
      <c r="L2516"/>
      <c r="M2516" s="10">
        <v>2.1999892735876103E-2</v>
      </c>
    </row>
    <row r="2517" spans="9:13" x14ac:dyDescent="0.35">
      <c r="I2517">
        <v>2513</v>
      </c>
      <c r="L2517"/>
      <c r="M2517" s="10">
        <v>2.126666851923531E-2</v>
      </c>
    </row>
    <row r="2518" spans="9:13" x14ac:dyDescent="0.35">
      <c r="I2518">
        <v>2514</v>
      </c>
      <c r="L2518"/>
      <c r="M2518" s="10">
        <v>2.5140215195538773E-2</v>
      </c>
    </row>
    <row r="2519" spans="9:13" x14ac:dyDescent="0.35">
      <c r="I2519">
        <v>2515</v>
      </c>
      <c r="L2519"/>
      <c r="M2519" s="10">
        <v>2.1785605047614065E-2</v>
      </c>
    </row>
    <row r="2520" spans="9:13" x14ac:dyDescent="0.35">
      <c r="I2520">
        <v>2516</v>
      </c>
      <c r="L2520"/>
      <c r="M2520" s="10">
        <v>3.3037003521613206E-2</v>
      </c>
    </row>
    <row r="2521" spans="9:13" x14ac:dyDescent="0.35">
      <c r="I2521">
        <v>2517</v>
      </c>
      <c r="L2521"/>
      <c r="M2521" s="10">
        <v>2.4546765355251687E-2</v>
      </c>
    </row>
    <row r="2522" spans="9:13" x14ac:dyDescent="0.35">
      <c r="I2522">
        <v>2518</v>
      </c>
      <c r="L2522"/>
      <c r="M2522" s="10">
        <v>3.1685310304791159E-2</v>
      </c>
    </row>
    <row r="2523" spans="9:13" x14ac:dyDescent="0.35">
      <c r="I2523">
        <v>2519</v>
      </c>
      <c r="L2523"/>
      <c r="M2523" s="10">
        <v>2.5242672220301965E-2</v>
      </c>
    </row>
    <row r="2524" spans="9:13" x14ac:dyDescent="0.35">
      <c r="I2524">
        <v>2520</v>
      </c>
      <c r="L2524"/>
      <c r="M2524" s="10">
        <v>2.1753241018070524E-2</v>
      </c>
    </row>
    <row r="2525" spans="9:13" x14ac:dyDescent="0.35">
      <c r="I2525">
        <v>2521</v>
      </c>
      <c r="L2525"/>
      <c r="M2525" s="10">
        <v>2.3824424494094387E-2</v>
      </c>
    </row>
    <row r="2526" spans="9:13" x14ac:dyDescent="0.35">
      <c r="I2526">
        <v>2522</v>
      </c>
      <c r="L2526"/>
      <c r="M2526" s="10">
        <v>2.9654437103115772E-2</v>
      </c>
    </row>
    <row r="2527" spans="9:13" x14ac:dyDescent="0.35">
      <c r="I2527">
        <v>2523</v>
      </c>
      <c r="L2527"/>
      <c r="M2527" s="10">
        <v>2.235960995943731E-2</v>
      </c>
    </row>
    <row r="2528" spans="9:13" x14ac:dyDescent="0.35">
      <c r="I2528">
        <v>2524</v>
      </c>
      <c r="L2528"/>
      <c r="M2528" s="10">
        <v>1.9943359930695403E-2</v>
      </c>
    </row>
    <row r="2529" spans="9:13" x14ac:dyDescent="0.35">
      <c r="I2529">
        <v>2525</v>
      </c>
      <c r="L2529"/>
      <c r="M2529" s="10">
        <v>2.7884214684062103E-2</v>
      </c>
    </row>
    <row r="2530" spans="9:13" x14ac:dyDescent="0.35">
      <c r="I2530">
        <v>2526</v>
      </c>
      <c r="L2530"/>
      <c r="M2530" s="10">
        <v>2.2409024579238324E-2</v>
      </c>
    </row>
    <row r="2531" spans="9:13" x14ac:dyDescent="0.35">
      <c r="I2531">
        <v>2527</v>
      </c>
      <c r="L2531"/>
      <c r="M2531" s="10">
        <v>3.0373023206631267E-2</v>
      </c>
    </row>
    <row r="2532" spans="9:13" x14ac:dyDescent="0.35">
      <c r="I2532">
        <v>2528</v>
      </c>
      <c r="L2532"/>
      <c r="M2532" s="10">
        <v>2.456305829653127E-2</v>
      </c>
    </row>
    <row r="2533" spans="9:13" x14ac:dyDescent="0.35">
      <c r="I2533">
        <v>2529</v>
      </c>
      <c r="L2533"/>
      <c r="M2533" s="10">
        <v>2.6348070916626609E-2</v>
      </c>
    </row>
    <row r="2534" spans="9:13" x14ac:dyDescent="0.35">
      <c r="I2534">
        <v>2530</v>
      </c>
      <c r="L2534"/>
      <c r="M2534" s="10">
        <v>2.1175326470085132E-2</v>
      </c>
    </row>
    <row r="2535" spans="9:13" x14ac:dyDescent="0.35">
      <c r="I2535">
        <v>2531</v>
      </c>
      <c r="L2535"/>
      <c r="M2535" s="10">
        <v>2.7906330220525355E-2</v>
      </c>
    </row>
    <row r="2536" spans="9:13" x14ac:dyDescent="0.35">
      <c r="I2536">
        <v>2532</v>
      </c>
      <c r="L2536"/>
      <c r="M2536" s="10">
        <v>2.5719497139469527E-2</v>
      </c>
    </row>
    <row r="2537" spans="9:13" x14ac:dyDescent="0.35">
      <c r="I2537">
        <v>2533</v>
      </c>
      <c r="L2537"/>
      <c r="M2537" s="10">
        <v>2.077719518757315E-2</v>
      </c>
    </row>
    <row r="2538" spans="9:13" x14ac:dyDescent="0.35">
      <c r="I2538">
        <v>2534</v>
      </c>
      <c r="L2538"/>
      <c r="M2538" s="10">
        <v>2.7208988985034432E-2</v>
      </c>
    </row>
    <row r="2539" spans="9:13" x14ac:dyDescent="0.35">
      <c r="I2539">
        <v>2535</v>
      </c>
      <c r="L2539"/>
      <c r="M2539" s="10">
        <v>2.6343202708000724E-2</v>
      </c>
    </row>
    <row r="2540" spans="9:13" x14ac:dyDescent="0.35">
      <c r="I2540">
        <v>2536</v>
      </c>
      <c r="L2540"/>
      <c r="M2540" s="10">
        <v>2.2167606639178716E-2</v>
      </c>
    </row>
    <row r="2541" spans="9:13" x14ac:dyDescent="0.35">
      <c r="I2541">
        <v>2537</v>
      </c>
      <c r="L2541"/>
      <c r="M2541" s="10">
        <v>2.5378497892037943E-2</v>
      </c>
    </row>
    <row r="2542" spans="9:13" x14ac:dyDescent="0.35">
      <c r="I2542">
        <v>2538</v>
      </c>
      <c r="L2542"/>
      <c r="M2542" s="10">
        <v>2.4914102322953324E-2</v>
      </c>
    </row>
    <row r="2543" spans="9:13" x14ac:dyDescent="0.35">
      <c r="I2543">
        <v>2539</v>
      </c>
      <c r="L2543"/>
      <c r="M2543" s="10">
        <v>2.7985033624294831E-2</v>
      </c>
    </row>
    <row r="2544" spans="9:13" x14ac:dyDescent="0.35">
      <c r="I2544">
        <v>2540</v>
      </c>
      <c r="L2544"/>
      <c r="M2544" s="10">
        <v>2.2752754432654676E-2</v>
      </c>
    </row>
    <row r="2545" spans="9:13" x14ac:dyDescent="0.35">
      <c r="I2545">
        <v>2541</v>
      </c>
      <c r="L2545"/>
      <c r="M2545" s="10">
        <v>2.695619096198465E-2</v>
      </c>
    </row>
    <row r="2546" spans="9:13" x14ac:dyDescent="0.35">
      <c r="I2546">
        <v>2542</v>
      </c>
      <c r="L2546"/>
      <c r="M2546" s="10">
        <v>2.0985971432994188E-2</v>
      </c>
    </row>
    <row r="2547" spans="9:13" x14ac:dyDescent="0.35">
      <c r="I2547">
        <v>2543</v>
      </c>
      <c r="L2547"/>
      <c r="M2547" s="10">
        <v>2.7201906432158252E-2</v>
      </c>
    </row>
    <row r="2548" spans="9:13" x14ac:dyDescent="0.35">
      <c r="I2548">
        <v>2544</v>
      </c>
      <c r="L2548"/>
      <c r="M2548" s="10">
        <v>2.5363716062808184E-2</v>
      </c>
    </row>
    <row r="2549" spans="9:13" x14ac:dyDescent="0.35">
      <c r="I2549">
        <v>2545</v>
      </c>
      <c r="L2549"/>
      <c r="M2549" s="10">
        <v>2.352891906788579E-2</v>
      </c>
    </row>
    <row r="2550" spans="9:13" x14ac:dyDescent="0.35">
      <c r="I2550">
        <v>2546</v>
      </c>
      <c r="L2550"/>
      <c r="M2550" s="10">
        <v>2.4813209431715388E-2</v>
      </c>
    </row>
    <row r="2551" spans="9:13" x14ac:dyDescent="0.35">
      <c r="I2551">
        <v>2547</v>
      </c>
      <c r="L2551"/>
      <c r="M2551" s="10">
        <v>2.8174161227162209E-2</v>
      </c>
    </row>
    <row r="2552" spans="9:13" x14ac:dyDescent="0.35">
      <c r="I2552">
        <v>2548</v>
      </c>
      <c r="L2552"/>
      <c r="M2552" s="10">
        <v>2.6105676265177458E-2</v>
      </c>
    </row>
    <row r="2553" spans="9:13" x14ac:dyDescent="0.35">
      <c r="I2553">
        <v>2549</v>
      </c>
      <c r="L2553"/>
      <c r="M2553" s="10">
        <v>2.5868751197509754E-2</v>
      </c>
    </row>
    <row r="2554" spans="9:13" x14ac:dyDescent="0.35">
      <c r="I2554">
        <v>2550</v>
      </c>
      <c r="L2554"/>
      <c r="M2554" s="10">
        <v>2.6761138906888693E-2</v>
      </c>
    </row>
    <row r="2555" spans="9:13" x14ac:dyDescent="0.35">
      <c r="I2555">
        <v>2551</v>
      </c>
      <c r="L2555"/>
      <c r="M2555" s="10">
        <v>3.0700896848289361E-2</v>
      </c>
    </row>
    <row r="2556" spans="9:13" x14ac:dyDescent="0.35">
      <c r="I2556">
        <v>2552</v>
      </c>
      <c r="L2556"/>
      <c r="M2556" s="10">
        <v>2.4184172414299265E-2</v>
      </c>
    </row>
    <row r="2557" spans="9:13" x14ac:dyDescent="0.35">
      <c r="I2557">
        <v>2553</v>
      </c>
      <c r="L2557"/>
      <c r="M2557" s="10">
        <v>2.7364623759052353E-2</v>
      </c>
    </row>
    <row r="2558" spans="9:13" x14ac:dyDescent="0.35">
      <c r="I2558">
        <v>2554</v>
      </c>
      <c r="L2558"/>
      <c r="M2558" s="10">
        <v>2.1092897610015537E-2</v>
      </c>
    </row>
    <row r="2559" spans="9:13" x14ac:dyDescent="0.35">
      <c r="I2559">
        <v>2555</v>
      </c>
      <c r="L2559"/>
      <c r="M2559" s="10">
        <v>2.0305387774343875E-2</v>
      </c>
    </row>
    <row r="2560" spans="9:13" x14ac:dyDescent="0.35">
      <c r="I2560">
        <v>2556</v>
      </c>
      <c r="L2560"/>
      <c r="M2560" s="10">
        <v>2.1624382089145966E-2</v>
      </c>
    </row>
    <row r="2561" spans="9:13" x14ac:dyDescent="0.35">
      <c r="I2561">
        <v>2557</v>
      </c>
      <c r="L2561"/>
      <c r="M2561" s="10">
        <v>2.9137960492136683E-2</v>
      </c>
    </row>
    <row r="2562" spans="9:13" x14ac:dyDescent="0.35">
      <c r="I2562">
        <v>2558</v>
      </c>
      <c r="L2562"/>
      <c r="M2562" s="10">
        <v>2.3075999857628315E-2</v>
      </c>
    </row>
    <row r="2563" spans="9:13" x14ac:dyDescent="0.35">
      <c r="I2563">
        <v>2559</v>
      </c>
      <c r="L2563"/>
      <c r="M2563" s="10">
        <v>2.2556701946035429E-2</v>
      </c>
    </row>
    <row r="2564" spans="9:13" x14ac:dyDescent="0.35">
      <c r="I2564">
        <v>2560</v>
      </c>
      <c r="L2564"/>
      <c r="M2564" s="10">
        <v>2.387250520519768E-2</v>
      </c>
    </row>
    <row r="2565" spans="9:13" x14ac:dyDescent="0.35">
      <c r="I2565">
        <v>2561</v>
      </c>
      <c r="L2565"/>
      <c r="M2565" s="10">
        <v>2.855471589056835E-2</v>
      </c>
    </row>
    <row r="2566" spans="9:13" x14ac:dyDescent="0.35">
      <c r="I2566">
        <v>2562</v>
      </c>
      <c r="L2566"/>
      <c r="M2566" s="10">
        <v>2.4932075207822924E-2</v>
      </c>
    </row>
    <row r="2567" spans="9:13" x14ac:dyDescent="0.35">
      <c r="I2567">
        <v>2563</v>
      </c>
      <c r="L2567"/>
      <c r="M2567" s="10">
        <v>2.2159052042708294E-2</v>
      </c>
    </row>
    <row r="2568" spans="9:13" x14ac:dyDescent="0.35">
      <c r="I2568">
        <v>2564</v>
      </c>
      <c r="L2568"/>
      <c r="M2568" s="10">
        <v>2.3243695622005123E-2</v>
      </c>
    </row>
    <row r="2569" spans="9:13" x14ac:dyDescent="0.35">
      <c r="I2569">
        <v>2565</v>
      </c>
      <c r="L2569"/>
      <c r="M2569" s="10">
        <v>2.2115473971110799E-2</v>
      </c>
    </row>
    <row r="2570" spans="9:13" x14ac:dyDescent="0.35">
      <c r="I2570">
        <v>2566</v>
      </c>
      <c r="L2570"/>
      <c r="M2570" s="10">
        <v>3.2768176269359017E-2</v>
      </c>
    </row>
    <row r="2571" spans="9:13" x14ac:dyDescent="0.35">
      <c r="I2571">
        <v>2567</v>
      </c>
      <c r="L2571"/>
      <c r="M2571" s="10">
        <v>2.7485808527059064E-2</v>
      </c>
    </row>
    <row r="2572" spans="9:13" x14ac:dyDescent="0.35">
      <c r="I2572">
        <v>2568</v>
      </c>
      <c r="L2572"/>
      <c r="M2572" s="10">
        <v>3.9589436524005039E-2</v>
      </c>
    </row>
    <row r="2573" spans="9:13" x14ac:dyDescent="0.35">
      <c r="I2573">
        <v>2569</v>
      </c>
      <c r="L2573"/>
      <c r="M2573" s="10">
        <v>2.6528497416315133E-2</v>
      </c>
    </row>
    <row r="2574" spans="9:13" x14ac:dyDescent="0.35">
      <c r="I2574">
        <v>2570</v>
      </c>
      <c r="L2574"/>
      <c r="M2574" s="10">
        <v>2.1371090129193471E-2</v>
      </c>
    </row>
    <row r="2575" spans="9:13" x14ac:dyDescent="0.35">
      <c r="I2575">
        <v>2571</v>
      </c>
      <c r="L2575"/>
      <c r="M2575" s="10">
        <v>2.2098761043933712E-2</v>
      </c>
    </row>
    <row r="2576" spans="9:13" x14ac:dyDescent="0.35">
      <c r="I2576">
        <v>2572</v>
      </c>
      <c r="L2576"/>
      <c r="M2576" s="10">
        <v>2.4194346956374346E-2</v>
      </c>
    </row>
    <row r="2577" spans="9:13" x14ac:dyDescent="0.35">
      <c r="I2577">
        <v>2573</v>
      </c>
      <c r="L2577"/>
      <c r="M2577" s="10">
        <v>2.8240985029830856E-2</v>
      </c>
    </row>
    <row r="2578" spans="9:13" x14ac:dyDescent="0.35">
      <c r="I2578">
        <v>2574</v>
      </c>
      <c r="L2578"/>
      <c r="M2578" s="10">
        <v>2.7927971354313685E-2</v>
      </c>
    </row>
    <row r="2579" spans="9:13" x14ac:dyDescent="0.35">
      <c r="I2579">
        <v>2575</v>
      </c>
      <c r="L2579"/>
      <c r="M2579" s="10">
        <v>2.8761731264884238E-2</v>
      </c>
    </row>
    <row r="2580" spans="9:13" x14ac:dyDescent="0.35">
      <c r="I2580">
        <v>2576</v>
      </c>
      <c r="L2580"/>
      <c r="M2580" s="10">
        <v>2.7500216415356826E-2</v>
      </c>
    </row>
    <row r="2581" spans="9:13" x14ac:dyDescent="0.35">
      <c r="I2581">
        <v>2577</v>
      </c>
      <c r="L2581"/>
      <c r="M2581" s="10">
        <v>2.0639183077626577E-2</v>
      </c>
    </row>
    <row r="2582" spans="9:13" x14ac:dyDescent="0.35">
      <c r="I2582">
        <v>2578</v>
      </c>
      <c r="L2582"/>
      <c r="M2582" s="10">
        <v>2.1486251378530663E-2</v>
      </c>
    </row>
    <row r="2583" spans="9:13" x14ac:dyDescent="0.35">
      <c r="I2583">
        <v>2579</v>
      </c>
      <c r="L2583"/>
      <c r="M2583" s="10">
        <v>2.8771579306294814E-2</v>
      </c>
    </row>
    <row r="2584" spans="9:13" x14ac:dyDescent="0.35">
      <c r="I2584">
        <v>2580</v>
      </c>
      <c r="L2584"/>
      <c r="M2584" s="10">
        <v>2.4900389295044123E-2</v>
      </c>
    </row>
    <row r="2585" spans="9:13" x14ac:dyDescent="0.35">
      <c r="I2585">
        <v>2581</v>
      </c>
      <c r="L2585"/>
      <c r="M2585" s="10">
        <v>2.5086048177176634E-2</v>
      </c>
    </row>
    <row r="2586" spans="9:13" x14ac:dyDescent="0.35">
      <c r="I2586">
        <v>2582</v>
      </c>
      <c r="L2586"/>
      <c r="M2586" s="10">
        <v>2.1789168648883916E-2</v>
      </c>
    </row>
    <row r="2587" spans="9:13" x14ac:dyDescent="0.35">
      <c r="I2587">
        <v>2583</v>
      </c>
      <c r="L2587"/>
      <c r="M2587" s="10">
        <v>1.9724142640520137E-2</v>
      </c>
    </row>
    <row r="2588" spans="9:13" x14ac:dyDescent="0.35">
      <c r="I2588">
        <v>2584</v>
      </c>
      <c r="L2588"/>
      <c r="M2588" s="10">
        <v>2.4449539317630498E-2</v>
      </c>
    </row>
    <row r="2589" spans="9:13" x14ac:dyDescent="0.35">
      <c r="I2589">
        <v>2585</v>
      </c>
      <c r="L2589"/>
      <c r="M2589" s="10">
        <v>1.9918911449313126E-2</v>
      </c>
    </row>
    <row r="2590" spans="9:13" x14ac:dyDescent="0.35">
      <c r="I2590">
        <v>2586</v>
      </c>
      <c r="L2590"/>
      <c r="M2590" s="10">
        <v>2.5480659112780302E-2</v>
      </c>
    </row>
    <row r="2591" spans="9:13" x14ac:dyDescent="0.35">
      <c r="I2591">
        <v>2587</v>
      </c>
      <c r="L2591"/>
      <c r="M2591" s="10">
        <v>2.7679334121783361E-2</v>
      </c>
    </row>
    <row r="2592" spans="9:13" x14ac:dyDescent="0.35">
      <c r="I2592">
        <v>2588</v>
      </c>
      <c r="L2592"/>
      <c r="M2592" s="10">
        <v>2.3919457116995058E-2</v>
      </c>
    </row>
    <row r="2593" spans="9:13" x14ac:dyDescent="0.35">
      <c r="I2593">
        <v>2589</v>
      </c>
      <c r="L2593"/>
      <c r="M2593" s="10">
        <v>2.8496911319931151E-2</v>
      </c>
    </row>
    <row r="2594" spans="9:13" x14ac:dyDescent="0.35">
      <c r="I2594">
        <v>2590</v>
      </c>
      <c r="L2594"/>
      <c r="M2594" s="10">
        <v>2.1955395160270452E-2</v>
      </c>
    </row>
    <row r="2595" spans="9:13" x14ac:dyDescent="0.35">
      <c r="I2595">
        <v>2591</v>
      </c>
      <c r="L2595"/>
      <c r="M2595" s="10">
        <v>2.1772401304929412E-2</v>
      </c>
    </row>
    <row r="2596" spans="9:13" x14ac:dyDescent="0.35">
      <c r="I2596">
        <v>2592</v>
      </c>
      <c r="L2596"/>
      <c r="M2596" s="10">
        <v>2.8451547261792776E-2</v>
      </c>
    </row>
    <row r="2597" spans="9:13" x14ac:dyDescent="0.35">
      <c r="I2597">
        <v>2593</v>
      </c>
      <c r="L2597"/>
      <c r="M2597" s="10">
        <v>2.3617042155356427E-2</v>
      </c>
    </row>
    <row r="2598" spans="9:13" x14ac:dyDescent="0.35">
      <c r="I2598">
        <v>2594</v>
      </c>
      <c r="L2598"/>
      <c r="M2598" s="10">
        <v>2.4881810849113006E-2</v>
      </c>
    </row>
    <row r="2599" spans="9:13" x14ac:dyDescent="0.35">
      <c r="I2599">
        <v>2595</v>
      </c>
      <c r="L2599"/>
      <c r="M2599" s="10">
        <v>2.6618862754075767E-2</v>
      </c>
    </row>
    <row r="2600" spans="9:13" x14ac:dyDescent="0.35">
      <c r="I2600">
        <v>2596</v>
      </c>
      <c r="L2600"/>
      <c r="M2600" s="10">
        <v>2.287270296310262E-2</v>
      </c>
    </row>
    <row r="2601" spans="9:13" x14ac:dyDescent="0.35">
      <c r="I2601">
        <v>2597</v>
      </c>
      <c r="L2601"/>
      <c r="M2601" s="10">
        <v>2.8083767983361874E-2</v>
      </c>
    </row>
    <row r="2602" spans="9:13" x14ac:dyDescent="0.35">
      <c r="I2602">
        <v>2598</v>
      </c>
      <c r="L2602"/>
      <c r="M2602" s="10">
        <v>2.5886560832047101E-2</v>
      </c>
    </row>
    <row r="2603" spans="9:13" x14ac:dyDescent="0.35">
      <c r="I2603">
        <v>2599</v>
      </c>
      <c r="L2603"/>
      <c r="M2603" s="10">
        <v>2.5010460482739805E-2</v>
      </c>
    </row>
    <row r="2604" spans="9:13" x14ac:dyDescent="0.35">
      <c r="I2604">
        <v>2600</v>
      </c>
      <c r="L2604"/>
      <c r="M2604" s="10">
        <v>2.7783582714295374E-2</v>
      </c>
    </row>
    <row r="2605" spans="9:13" x14ac:dyDescent="0.35">
      <c r="I2605">
        <v>2601</v>
      </c>
      <c r="L2605"/>
      <c r="M2605" s="10">
        <v>2.8200716614541932E-2</v>
      </c>
    </row>
    <row r="2606" spans="9:13" x14ac:dyDescent="0.35">
      <c r="I2606">
        <v>2602</v>
      </c>
      <c r="L2606"/>
      <c r="M2606" s="10">
        <v>2.7150400254681628E-2</v>
      </c>
    </row>
    <row r="2607" spans="9:13" x14ac:dyDescent="0.35">
      <c r="I2607">
        <v>2603</v>
      </c>
      <c r="L2607"/>
      <c r="M2607" s="10">
        <v>2.5414202274533726E-2</v>
      </c>
    </row>
    <row r="2608" spans="9:13" x14ac:dyDescent="0.35">
      <c r="I2608">
        <v>2604</v>
      </c>
      <c r="L2608"/>
      <c r="M2608" s="10">
        <v>2.5156442557625058E-2</v>
      </c>
    </row>
    <row r="2609" spans="9:13" x14ac:dyDescent="0.35">
      <c r="I2609">
        <v>2605</v>
      </c>
      <c r="L2609"/>
      <c r="M2609" s="10">
        <v>2.2583469419316882E-2</v>
      </c>
    </row>
    <row r="2610" spans="9:13" x14ac:dyDescent="0.35">
      <c r="I2610">
        <v>2606</v>
      </c>
      <c r="L2610"/>
      <c r="M2610" s="10">
        <v>2.2528410802986287E-2</v>
      </c>
    </row>
    <row r="2611" spans="9:13" x14ac:dyDescent="0.35">
      <c r="I2611">
        <v>2607</v>
      </c>
      <c r="L2611"/>
      <c r="M2611" s="10">
        <v>2.3062659375349126E-2</v>
      </c>
    </row>
    <row r="2612" spans="9:13" x14ac:dyDescent="0.35">
      <c r="I2612">
        <v>2608</v>
      </c>
      <c r="L2612"/>
      <c r="M2612" s="10">
        <v>3.0614270919848696E-2</v>
      </c>
    </row>
    <row r="2613" spans="9:13" x14ac:dyDescent="0.35">
      <c r="I2613">
        <v>2609</v>
      </c>
      <c r="L2613"/>
      <c r="M2613" s="10">
        <v>2.7683193527074046E-2</v>
      </c>
    </row>
    <row r="2614" spans="9:13" x14ac:dyDescent="0.35">
      <c r="I2614">
        <v>2610</v>
      </c>
      <c r="L2614"/>
      <c r="M2614" s="10">
        <v>2.7272631499177136E-2</v>
      </c>
    </row>
    <row r="2615" spans="9:13" x14ac:dyDescent="0.35">
      <c r="I2615">
        <v>2611</v>
      </c>
      <c r="L2615"/>
      <c r="M2615" s="10">
        <v>2.6240321511434073E-2</v>
      </c>
    </row>
    <row r="2616" spans="9:13" x14ac:dyDescent="0.35">
      <c r="I2616">
        <v>2612</v>
      </c>
      <c r="L2616"/>
      <c r="M2616" s="10">
        <v>2.3640840426013665E-2</v>
      </c>
    </row>
    <row r="2617" spans="9:13" x14ac:dyDescent="0.35">
      <c r="I2617">
        <v>2613</v>
      </c>
      <c r="L2617"/>
      <c r="M2617" s="10">
        <v>1.9233177731035944E-2</v>
      </c>
    </row>
    <row r="2618" spans="9:13" x14ac:dyDescent="0.35">
      <c r="I2618">
        <v>2614</v>
      </c>
      <c r="L2618"/>
      <c r="M2618" s="10">
        <v>2.7124369500848289E-2</v>
      </c>
    </row>
    <row r="2619" spans="9:13" x14ac:dyDescent="0.35">
      <c r="I2619">
        <v>2615</v>
      </c>
      <c r="L2619"/>
      <c r="M2619" s="10">
        <v>2.728110935403838E-2</v>
      </c>
    </row>
    <row r="2620" spans="9:13" x14ac:dyDescent="0.35">
      <c r="I2620">
        <v>2616</v>
      </c>
      <c r="L2620"/>
      <c r="M2620" s="10">
        <v>2.584195023698066E-2</v>
      </c>
    </row>
    <row r="2621" spans="9:13" x14ac:dyDescent="0.35">
      <c r="I2621">
        <v>2617</v>
      </c>
      <c r="L2621"/>
      <c r="M2621" s="10">
        <v>2.2262302994300986E-2</v>
      </c>
    </row>
    <row r="2622" spans="9:13" x14ac:dyDescent="0.35">
      <c r="I2622">
        <v>2618</v>
      </c>
      <c r="L2622"/>
      <c r="M2622" s="10">
        <v>2.9860472975438146E-2</v>
      </c>
    </row>
    <row r="2623" spans="9:13" x14ac:dyDescent="0.35">
      <c r="I2623">
        <v>2619</v>
      </c>
      <c r="L2623"/>
      <c r="M2623" s="10">
        <v>2.1169735495030984E-2</v>
      </c>
    </row>
    <row r="2624" spans="9:13" x14ac:dyDescent="0.35">
      <c r="I2624">
        <v>2620</v>
      </c>
      <c r="L2624"/>
      <c r="M2624" s="10">
        <v>2.3419364141924581E-2</v>
      </c>
    </row>
    <row r="2625" spans="9:13" x14ac:dyDescent="0.35">
      <c r="I2625">
        <v>2621</v>
      </c>
      <c r="L2625"/>
      <c r="M2625" s="10">
        <v>2.2180845264412996E-2</v>
      </c>
    </row>
    <row r="2626" spans="9:13" x14ac:dyDescent="0.35">
      <c r="I2626">
        <v>2622</v>
      </c>
      <c r="L2626"/>
      <c r="M2626" s="10">
        <v>2.5044804445800151E-2</v>
      </c>
    </row>
    <row r="2627" spans="9:13" x14ac:dyDescent="0.35">
      <c r="I2627">
        <v>2623</v>
      </c>
      <c r="L2627"/>
      <c r="M2627" s="10">
        <v>2.6812751127316181E-2</v>
      </c>
    </row>
    <row r="2628" spans="9:13" x14ac:dyDescent="0.35">
      <c r="I2628">
        <v>2624</v>
      </c>
      <c r="L2628"/>
      <c r="M2628" s="10">
        <v>2.7641596784295341E-2</v>
      </c>
    </row>
    <row r="2629" spans="9:13" x14ac:dyDescent="0.35">
      <c r="I2629">
        <v>2625</v>
      </c>
      <c r="L2629"/>
      <c r="M2629" s="10">
        <v>2.7570126626016433E-2</v>
      </c>
    </row>
    <row r="2630" spans="9:13" x14ac:dyDescent="0.35">
      <c r="I2630">
        <v>2626</v>
      </c>
      <c r="L2630"/>
      <c r="M2630" s="10">
        <v>3.1140269071573856E-2</v>
      </c>
    </row>
    <row r="2631" spans="9:13" x14ac:dyDescent="0.35">
      <c r="I2631">
        <v>2627</v>
      </c>
      <c r="L2631"/>
      <c r="M2631" s="10">
        <v>2.5054312033526371E-2</v>
      </c>
    </row>
    <row r="2632" spans="9:13" x14ac:dyDescent="0.35">
      <c r="I2632">
        <v>2628</v>
      </c>
      <c r="L2632"/>
      <c r="M2632" s="10">
        <v>2.8397275595781757E-2</v>
      </c>
    </row>
    <row r="2633" spans="9:13" x14ac:dyDescent="0.35">
      <c r="I2633">
        <v>2629</v>
      </c>
      <c r="L2633"/>
      <c r="M2633" s="10">
        <v>2.4989596532157154E-2</v>
      </c>
    </row>
    <row r="2634" spans="9:13" x14ac:dyDescent="0.35">
      <c r="I2634">
        <v>2630</v>
      </c>
      <c r="L2634"/>
      <c r="M2634" s="10">
        <v>2.5050620064473894E-2</v>
      </c>
    </row>
    <row r="2635" spans="9:13" x14ac:dyDescent="0.35">
      <c r="I2635">
        <v>2631</v>
      </c>
      <c r="L2635"/>
      <c r="M2635" s="10">
        <v>2.3027902402901201E-2</v>
      </c>
    </row>
    <row r="2636" spans="9:13" x14ac:dyDescent="0.35">
      <c r="I2636">
        <v>2632</v>
      </c>
      <c r="L2636"/>
      <c r="M2636" s="10">
        <v>2.4177904717782361E-2</v>
      </c>
    </row>
    <row r="2637" spans="9:13" x14ac:dyDescent="0.35">
      <c r="I2637">
        <v>2633</v>
      </c>
      <c r="L2637"/>
      <c r="M2637" s="10">
        <v>2.3506557958273167E-2</v>
      </c>
    </row>
    <row r="2638" spans="9:13" x14ac:dyDescent="0.35">
      <c r="I2638">
        <v>2634</v>
      </c>
      <c r="L2638"/>
      <c r="M2638" s="10">
        <v>2.4320824104810401E-2</v>
      </c>
    </row>
    <row r="2639" spans="9:13" x14ac:dyDescent="0.35">
      <c r="I2639">
        <v>2635</v>
      </c>
      <c r="L2639"/>
      <c r="M2639" s="10">
        <v>2.4573200746660695E-2</v>
      </c>
    </row>
    <row r="2640" spans="9:13" x14ac:dyDescent="0.35">
      <c r="I2640">
        <v>2636</v>
      </c>
      <c r="L2640"/>
      <c r="M2640" s="10">
        <v>2.0239177904548655E-2</v>
      </c>
    </row>
    <row r="2641" spans="9:13" x14ac:dyDescent="0.35">
      <c r="I2641">
        <v>2637</v>
      </c>
      <c r="L2641"/>
      <c r="M2641" s="10">
        <v>3.1321055559174527E-2</v>
      </c>
    </row>
    <row r="2642" spans="9:13" x14ac:dyDescent="0.35">
      <c r="I2642">
        <v>2638</v>
      </c>
      <c r="L2642"/>
      <c r="M2642" s="10">
        <v>2.429055721415041E-2</v>
      </c>
    </row>
    <row r="2643" spans="9:13" x14ac:dyDescent="0.35">
      <c r="I2643">
        <v>2639</v>
      </c>
      <c r="L2643"/>
      <c r="M2643" s="10">
        <v>2.5128826740736687E-2</v>
      </c>
    </row>
    <row r="2644" spans="9:13" x14ac:dyDescent="0.35">
      <c r="I2644">
        <v>2640</v>
      </c>
      <c r="L2644"/>
      <c r="M2644" s="10">
        <v>2.3846265156066582E-2</v>
      </c>
    </row>
    <row r="2645" spans="9:13" x14ac:dyDescent="0.35">
      <c r="I2645">
        <v>2641</v>
      </c>
      <c r="L2645"/>
      <c r="M2645" s="10">
        <v>2.4335431521292028E-2</v>
      </c>
    </row>
    <row r="2646" spans="9:13" x14ac:dyDescent="0.35">
      <c r="I2646">
        <v>2642</v>
      </c>
      <c r="L2646"/>
      <c r="M2646" s="10">
        <v>1.9976933687059995E-2</v>
      </c>
    </row>
    <row r="2647" spans="9:13" x14ac:dyDescent="0.35">
      <c r="I2647">
        <v>2643</v>
      </c>
      <c r="L2647"/>
      <c r="M2647" s="10">
        <v>2.7681588929791223E-2</v>
      </c>
    </row>
    <row r="2648" spans="9:13" x14ac:dyDescent="0.35">
      <c r="I2648">
        <v>2644</v>
      </c>
      <c r="L2648"/>
      <c r="M2648" s="10">
        <v>2.2284445041501955E-2</v>
      </c>
    </row>
    <row r="2649" spans="9:13" x14ac:dyDescent="0.35">
      <c r="I2649">
        <v>2645</v>
      </c>
      <c r="L2649"/>
      <c r="M2649" s="10">
        <v>2.8636569886220098E-2</v>
      </c>
    </row>
    <row r="2650" spans="9:13" x14ac:dyDescent="0.35">
      <c r="I2650">
        <v>2646</v>
      </c>
      <c r="L2650"/>
      <c r="M2650" s="10">
        <v>2.0748351504937923E-2</v>
      </c>
    </row>
    <row r="2651" spans="9:13" x14ac:dyDescent="0.35">
      <c r="I2651">
        <v>2647</v>
      </c>
      <c r="L2651"/>
      <c r="M2651" s="10">
        <v>3.1378664787533816E-2</v>
      </c>
    </row>
    <row r="2652" spans="9:13" x14ac:dyDescent="0.35">
      <c r="I2652">
        <v>2648</v>
      </c>
      <c r="L2652"/>
      <c r="M2652" s="10">
        <v>2.0782655004240702E-2</v>
      </c>
    </row>
    <row r="2653" spans="9:13" x14ac:dyDescent="0.35">
      <c r="I2653">
        <v>2649</v>
      </c>
      <c r="L2653"/>
      <c r="M2653" s="10">
        <v>2.6862485271271774E-2</v>
      </c>
    </row>
    <row r="2654" spans="9:13" x14ac:dyDescent="0.35">
      <c r="I2654">
        <v>2650</v>
      </c>
      <c r="L2654"/>
      <c r="M2654" s="10">
        <v>2.7217966358006329E-2</v>
      </c>
    </row>
    <row r="2655" spans="9:13" x14ac:dyDescent="0.35">
      <c r="I2655">
        <v>2651</v>
      </c>
      <c r="L2655"/>
      <c r="M2655" s="10">
        <v>2.5436831282127481E-2</v>
      </c>
    </row>
    <row r="2656" spans="9:13" x14ac:dyDescent="0.35">
      <c r="I2656">
        <v>2652</v>
      </c>
      <c r="L2656"/>
      <c r="M2656" s="10">
        <v>2.4573124005051517E-2</v>
      </c>
    </row>
    <row r="2657" spans="9:13" x14ac:dyDescent="0.35">
      <c r="I2657">
        <v>2653</v>
      </c>
      <c r="L2657"/>
      <c r="M2657" s="10">
        <v>3.1487498342368747E-2</v>
      </c>
    </row>
    <row r="2658" spans="9:13" x14ac:dyDescent="0.35">
      <c r="I2658">
        <v>2654</v>
      </c>
      <c r="L2658"/>
      <c r="M2658" s="10">
        <v>2.8268508756788213E-2</v>
      </c>
    </row>
    <row r="2659" spans="9:13" x14ac:dyDescent="0.35">
      <c r="I2659">
        <v>2655</v>
      </c>
      <c r="L2659"/>
      <c r="M2659" s="10">
        <v>2.6742999981082871E-2</v>
      </c>
    </row>
    <row r="2660" spans="9:13" x14ac:dyDescent="0.35">
      <c r="I2660">
        <v>2656</v>
      </c>
      <c r="L2660"/>
      <c r="M2660" s="10">
        <v>2.5687925641453502E-2</v>
      </c>
    </row>
    <row r="2661" spans="9:13" x14ac:dyDescent="0.35">
      <c r="I2661">
        <v>2657</v>
      </c>
      <c r="L2661"/>
      <c r="M2661" s="10">
        <v>1.8884315956918529E-2</v>
      </c>
    </row>
    <row r="2662" spans="9:13" x14ac:dyDescent="0.35">
      <c r="I2662">
        <v>2658</v>
      </c>
      <c r="L2662"/>
      <c r="M2662" s="10">
        <v>2.9726242133871095E-2</v>
      </c>
    </row>
    <row r="2663" spans="9:13" x14ac:dyDescent="0.35">
      <c r="I2663">
        <v>2659</v>
      </c>
      <c r="L2663"/>
      <c r="M2663" s="10">
        <v>3.1469493365553491E-2</v>
      </c>
    </row>
    <row r="2664" spans="9:13" x14ac:dyDescent="0.35">
      <c r="I2664">
        <v>2660</v>
      </c>
      <c r="L2664"/>
      <c r="M2664" s="10">
        <v>2.1710417804846949E-2</v>
      </c>
    </row>
    <row r="2665" spans="9:13" x14ac:dyDescent="0.35">
      <c r="I2665">
        <v>2661</v>
      </c>
      <c r="L2665"/>
      <c r="M2665" s="10">
        <v>2.3332724260464066E-2</v>
      </c>
    </row>
    <row r="2666" spans="9:13" x14ac:dyDescent="0.35">
      <c r="I2666">
        <v>2662</v>
      </c>
      <c r="L2666"/>
      <c r="M2666" s="10">
        <v>2.6029170462034457E-2</v>
      </c>
    </row>
    <row r="2667" spans="9:13" x14ac:dyDescent="0.35">
      <c r="I2667">
        <v>2663</v>
      </c>
      <c r="L2667"/>
      <c r="M2667" s="10">
        <v>2.5800204196889553E-2</v>
      </c>
    </row>
    <row r="2668" spans="9:13" x14ac:dyDescent="0.35">
      <c r="I2668">
        <v>2664</v>
      </c>
      <c r="L2668"/>
      <c r="M2668" s="10">
        <v>1.9901364131548971E-2</v>
      </c>
    </row>
    <row r="2669" spans="9:13" x14ac:dyDescent="0.35">
      <c r="I2669">
        <v>2665</v>
      </c>
      <c r="L2669"/>
      <c r="M2669" s="10">
        <v>2.1818476967080169E-2</v>
      </c>
    </row>
    <row r="2670" spans="9:13" x14ac:dyDescent="0.35">
      <c r="I2670">
        <v>2666</v>
      </c>
      <c r="L2670"/>
      <c r="M2670" s="10">
        <v>2.6953696162035357E-2</v>
      </c>
    </row>
    <row r="2671" spans="9:13" x14ac:dyDescent="0.35">
      <c r="I2671">
        <v>2667</v>
      </c>
      <c r="L2671"/>
      <c r="M2671" s="10">
        <v>2.4755909960396782E-2</v>
      </c>
    </row>
    <row r="2672" spans="9:13" x14ac:dyDescent="0.35">
      <c r="I2672">
        <v>2668</v>
      </c>
      <c r="L2672"/>
      <c r="M2672" s="10">
        <v>2.4939470308343759E-2</v>
      </c>
    </row>
    <row r="2673" spans="9:13" x14ac:dyDescent="0.35">
      <c r="I2673">
        <v>2669</v>
      </c>
      <c r="L2673"/>
      <c r="M2673" s="10">
        <v>2.7235519256978424E-2</v>
      </c>
    </row>
    <row r="2674" spans="9:13" x14ac:dyDescent="0.35">
      <c r="I2674">
        <v>2670</v>
      </c>
      <c r="L2674"/>
      <c r="M2674" s="10">
        <v>2.3236276801350542E-2</v>
      </c>
    </row>
    <row r="2675" spans="9:13" x14ac:dyDescent="0.35">
      <c r="I2675">
        <v>2671</v>
      </c>
      <c r="L2675"/>
      <c r="M2675" s="10">
        <v>3.3567324318888092E-2</v>
      </c>
    </row>
    <row r="2676" spans="9:13" x14ac:dyDescent="0.35">
      <c r="I2676">
        <v>2672</v>
      </c>
      <c r="L2676"/>
      <c r="M2676" s="10">
        <v>2.2284551084452819E-2</v>
      </c>
    </row>
    <row r="2677" spans="9:13" x14ac:dyDescent="0.35">
      <c r="I2677">
        <v>2673</v>
      </c>
      <c r="L2677"/>
      <c r="M2677" s="10">
        <v>2.1677688206183321E-2</v>
      </c>
    </row>
    <row r="2678" spans="9:13" x14ac:dyDescent="0.35">
      <c r="I2678">
        <v>2674</v>
      </c>
      <c r="L2678"/>
      <c r="M2678" s="10">
        <v>2.4578423361990787E-2</v>
      </c>
    </row>
    <row r="2679" spans="9:13" x14ac:dyDescent="0.35">
      <c r="I2679">
        <v>2675</v>
      </c>
      <c r="L2679"/>
      <c r="M2679" s="10">
        <v>2.2835020042392018E-2</v>
      </c>
    </row>
    <row r="2680" spans="9:13" x14ac:dyDescent="0.35">
      <c r="I2680">
        <v>2676</v>
      </c>
      <c r="L2680"/>
      <c r="M2680" s="10">
        <v>2.8608529897528268E-2</v>
      </c>
    </row>
    <row r="2681" spans="9:13" x14ac:dyDescent="0.35">
      <c r="I2681">
        <v>2677</v>
      </c>
      <c r="L2681"/>
      <c r="M2681" s="10">
        <v>2.3299687695363724E-2</v>
      </c>
    </row>
    <row r="2682" spans="9:13" x14ac:dyDescent="0.35">
      <c r="I2682">
        <v>2678</v>
      </c>
      <c r="L2682"/>
      <c r="M2682" s="10">
        <v>2.4071164115925026E-2</v>
      </c>
    </row>
    <row r="2683" spans="9:13" x14ac:dyDescent="0.35">
      <c r="I2683">
        <v>2679</v>
      </c>
      <c r="L2683"/>
      <c r="M2683" s="10">
        <v>2.7988220494028715E-2</v>
      </c>
    </row>
    <row r="2684" spans="9:13" x14ac:dyDescent="0.35">
      <c r="I2684">
        <v>2680</v>
      </c>
      <c r="L2684"/>
      <c r="M2684" s="10">
        <v>2.8599795307101772E-2</v>
      </c>
    </row>
    <row r="2685" spans="9:13" x14ac:dyDescent="0.35">
      <c r="I2685">
        <v>2681</v>
      </c>
      <c r="L2685"/>
      <c r="M2685" s="10">
        <v>2.1092498553647809E-2</v>
      </c>
    </row>
    <row r="2686" spans="9:13" x14ac:dyDescent="0.35">
      <c r="I2686">
        <v>2682</v>
      </c>
      <c r="L2686"/>
      <c r="M2686" s="10">
        <v>2.1806040640487301E-2</v>
      </c>
    </row>
    <row r="2687" spans="9:13" x14ac:dyDescent="0.35">
      <c r="I2687">
        <v>2683</v>
      </c>
      <c r="L2687"/>
      <c r="M2687" s="10">
        <v>3.0924725611525261E-2</v>
      </c>
    </row>
    <row r="2688" spans="9:13" x14ac:dyDescent="0.35">
      <c r="I2688">
        <v>2684</v>
      </c>
      <c r="L2688"/>
      <c r="M2688" s="10">
        <v>2.4551944716220242E-2</v>
      </c>
    </row>
    <row r="2689" spans="9:13" x14ac:dyDescent="0.35">
      <c r="I2689">
        <v>2685</v>
      </c>
      <c r="L2689"/>
      <c r="M2689" s="10">
        <v>2.7778294519771984E-2</v>
      </c>
    </row>
    <row r="2690" spans="9:13" x14ac:dyDescent="0.35">
      <c r="I2690">
        <v>2686</v>
      </c>
      <c r="L2690"/>
      <c r="M2690" s="10">
        <v>3.0290083666035139E-2</v>
      </c>
    </row>
    <row r="2691" spans="9:13" x14ac:dyDescent="0.35">
      <c r="I2691">
        <v>2687</v>
      </c>
      <c r="L2691"/>
      <c r="M2691" s="10">
        <v>2.2130078596988456E-2</v>
      </c>
    </row>
    <row r="2692" spans="9:13" x14ac:dyDescent="0.35">
      <c r="I2692">
        <v>2688</v>
      </c>
      <c r="L2692"/>
      <c r="M2692" s="10">
        <v>2.6986792725121056E-2</v>
      </c>
    </row>
    <row r="2693" spans="9:13" x14ac:dyDescent="0.35">
      <c r="I2693">
        <v>2689</v>
      </c>
      <c r="L2693"/>
      <c r="M2693" s="10">
        <v>2.755151329753569E-2</v>
      </c>
    </row>
    <row r="2694" spans="9:13" x14ac:dyDescent="0.35">
      <c r="I2694">
        <v>2690</v>
      </c>
      <c r="L2694"/>
      <c r="M2694" s="10">
        <v>2.373607536770217E-2</v>
      </c>
    </row>
    <row r="2695" spans="9:13" x14ac:dyDescent="0.35">
      <c r="I2695">
        <v>2691</v>
      </c>
      <c r="L2695"/>
      <c r="M2695" s="10">
        <v>2.4402756237373313E-2</v>
      </c>
    </row>
    <row r="2696" spans="9:13" x14ac:dyDescent="0.35">
      <c r="I2696">
        <v>2692</v>
      </c>
      <c r="L2696"/>
      <c r="M2696" s="10">
        <v>2.51055935673834E-2</v>
      </c>
    </row>
    <row r="2697" spans="9:13" x14ac:dyDescent="0.35">
      <c r="I2697">
        <v>2693</v>
      </c>
      <c r="L2697"/>
      <c r="M2697" s="10">
        <v>2.2698369747182867E-2</v>
      </c>
    </row>
    <row r="2698" spans="9:13" x14ac:dyDescent="0.35">
      <c r="I2698">
        <v>2694</v>
      </c>
      <c r="L2698"/>
      <c r="M2698" s="10">
        <v>2.7166588548312331E-2</v>
      </c>
    </row>
    <row r="2699" spans="9:13" x14ac:dyDescent="0.35">
      <c r="I2699">
        <v>2695</v>
      </c>
      <c r="L2699"/>
      <c r="M2699" s="10">
        <v>2.9098473445959394E-2</v>
      </c>
    </row>
    <row r="2700" spans="9:13" x14ac:dyDescent="0.35">
      <c r="I2700">
        <v>2696</v>
      </c>
      <c r="L2700"/>
      <c r="M2700" s="10">
        <v>2.2301375635788712E-2</v>
      </c>
    </row>
    <row r="2701" spans="9:13" x14ac:dyDescent="0.35">
      <c r="I2701">
        <v>2697</v>
      </c>
      <c r="L2701"/>
      <c r="M2701" s="10">
        <v>2.0676479499687317E-2</v>
      </c>
    </row>
    <row r="2702" spans="9:13" x14ac:dyDescent="0.35">
      <c r="I2702">
        <v>2698</v>
      </c>
      <c r="L2702"/>
      <c r="M2702" s="10">
        <v>2.6802643559736383E-2</v>
      </c>
    </row>
    <row r="2703" spans="9:13" x14ac:dyDescent="0.35">
      <c r="I2703">
        <v>2699</v>
      </c>
      <c r="L2703"/>
      <c r="M2703" s="10">
        <v>2.4058380359137876E-2</v>
      </c>
    </row>
    <row r="2704" spans="9:13" x14ac:dyDescent="0.35">
      <c r="I2704">
        <v>2700</v>
      </c>
      <c r="L2704"/>
      <c r="M2704" s="10">
        <v>2.4555612965138973E-2</v>
      </c>
    </row>
    <row r="2705" spans="9:13" x14ac:dyDescent="0.35">
      <c r="I2705">
        <v>2701</v>
      </c>
      <c r="L2705"/>
      <c r="M2705" s="10">
        <v>2.2461457237233029E-2</v>
      </c>
    </row>
    <row r="2706" spans="9:13" x14ac:dyDescent="0.35">
      <c r="I2706">
        <v>2702</v>
      </c>
      <c r="L2706"/>
      <c r="M2706" s="10">
        <v>2.0725119726886621E-2</v>
      </c>
    </row>
    <row r="2707" spans="9:13" x14ac:dyDescent="0.35">
      <c r="I2707">
        <v>2703</v>
      </c>
      <c r="L2707"/>
      <c r="M2707" s="10">
        <v>2.1316846369222153E-2</v>
      </c>
    </row>
    <row r="2708" spans="9:13" x14ac:dyDescent="0.35">
      <c r="I2708">
        <v>2704</v>
      </c>
      <c r="L2708"/>
      <c r="M2708" s="10">
        <v>2.1993932005795913E-2</v>
      </c>
    </row>
    <row r="2709" spans="9:13" x14ac:dyDescent="0.35">
      <c r="I2709">
        <v>2705</v>
      </c>
      <c r="L2709"/>
      <c r="M2709" s="10">
        <v>3.1916922062499742E-2</v>
      </c>
    </row>
    <row r="2710" spans="9:13" x14ac:dyDescent="0.35">
      <c r="I2710">
        <v>2706</v>
      </c>
      <c r="L2710"/>
      <c r="M2710" s="10">
        <v>2.312952364177534E-2</v>
      </c>
    </row>
    <row r="2711" spans="9:13" x14ac:dyDescent="0.35">
      <c r="I2711">
        <v>2707</v>
      </c>
      <c r="L2711"/>
      <c r="M2711" s="10">
        <v>2.1008899035212747E-2</v>
      </c>
    </row>
    <row r="2712" spans="9:13" x14ac:dyDescent="0.35">
      <c r="I2712">
        <v>2708</v>
      </c>
      <c r="L2712"/>
      <c r="M2712" s="10">
        <v>2.4484315824306213E-2</v>
      </c>
    </row>
    <row r="2713" spans="9:13" x14ac:dyDescent="0.35">
      <c r="I2713">
        <v>2709</v>
      </c>
      <c r="L2713"/>
      <c r="M2713" s="10">
        <v>3.2785812886450216E-2</v>
      </c>
    </row>
    <row r="2714" spans="9:13" x14ac:dyDescent="0.35">
      <c r="I2714">
        <v>2710</v>
      </c>
      <c r="L2714"/>
      <c r="M2714" s="10">
        <v>2.3667151635546002E-2</v>
      </c>
    </row>
    <row r="2715" spans="9:13" x14ac:dyDescent="0.35">
      <c r="I2715">
        <v>2711</v>
      </c>
      <c r="L2715"/>
      <c r="M2715" s="10">
        <v>2.0129525307448493E-2</v>
      </c>
    </row>
    <row r="2716" spans="9:13" x14ac:dyDescent="0.35">
      <c r="I2716">
        <v>2712</v>
      </c>
      <c r="L2716"/>
      <c r="M2716" s="10">
        <v>2.9263074430533331E-2</v>
      </c>
    </row>
    <row r="2717" spans="9:13" x14ac:dyDescent="0.35">
      <c r="I2717">
        <v>2713</v>
      </c>
      <c r="L2717"/>
      <c r="M2717" s="10">
        <v>2.1087255008787942E-2</v>
      </c>
    </row>
    <row r="2718" spans="9:13" x14ac:dyDescent="0.35">
      <c r="I2718">
        <v>2714</v>
      </c>
      <c r="L2718"/>
      <c r="M2718" s="10">
        <v>2.3331234077944019E-2</v>
      </c>
    </row>
    <row r="2719" spans="9:13" x14ac:dyDescent="0.35">
      <c r="I2719">
        <v>2715</v>
      </c>
      <c r="L2719"/>
      <c r="M2719" s="10">
        <v>2.295503694263723E-2</v>
      </c>
    </row>
    <row r="2720" spans="9:13" x14ac:dyDescent="0.35">
      <c r="I2720">
        <v>2716</v>
      </c>
      <c r="L2720"/>
      <c r="M2720" s="10">
        <v>2.8702821615074869E-2</v>
      </c>
    </row>
    <row r="2721" spans="9:13" x14ac:dyDescent="0.35">
      <c r="I2721">
        <v>2717</v>
      </c>
      <c r="L2721"/>
      <c r="M2721" s="10">
        <v>2.3640765079706472E-2</v>
      </c>
    </row>
    <row r="2722" spans="9:13" x14ac:dyDescent="0.35">
      <c r="I2722">
        <v>2718</v>
      </c>
      <c r="L2722"/>
      <c r="M2722" s="10">
        <v>2.5253563947597368E-2</v>
      </c>
    </row>
    <row r="2723" spans="9:13" x14ac:dyDescent="0.35">
      <c r="I2723">
        <v>2719</v>
      </c>
      <c r="L2723"/>
      <c r="M2723" s="10">
        <v>2.2074693479993357E-2</v>
      </c>
    </row>
    <row r="2724" spans="9:13" x14ac:dyDescent="0.35">
      <c r="I2724">
        <v>2720</v>
      </c>
      <c r="L2724"/>
      <c r="M2724" s="10">
        <v>2.2937103126223213E-2</v>
      </c>
    </row>
    <row r="2725" spans="9:13" x14ac:dyDescent="0.35">
      <c r="I2725">
        <v>2721</v>
      </c>
      <c r="L2725"/>
      <c r="M2725" s="10">
        <v>2.8366271985673652E-2</v>
      </c>
    </row>
    <row r="2726" spans="9:13" x14ac:dyDescent="0.35">
      <c r="I2726">
        <v>2722</v>
      </c>
      <c r="L2726"/>
      <c r="M2726" s="10">
        <v>1.9465326680008777E-2</v>
      </c>
    </row>
    <row r="2727" spans="9:13" x14ac:dyDescent="0.35">
      <c r="I2727">
        <v>2723</v>
      </c>
      <c r="L2727"/>
      <c r="M2727" s="10">
        <v>2.5314800961117823E-2</v>
      </c>
    </row>
    <row r="2728" spans="9:13" x14ac:dyDescent="0.35">
      <c r="I2728">
        <v>2724</v>
      </c>
      <c r="L2728"/>
      <c r="M2728" s="10">
        <v>2.1388626284541745E-2</v>
      </c>
    </row>
    <row r="2729" spans="9:13" x14ac:dyDescent="0.35">
      <c r="I2729">
        <v>2725</v>
      </c>
      <c r="L2729"/>
      <c r="M2729" s="10">
        <v>2.4795419331405832E-2</v>
      </c>
    </row>
    <row r="2730" spans="9:13" x14ac:dyDescent="0.35">
      <c r="I2730">
        <v>2726</v>
      </c>
      <c r="L2730"/>
      <c r="M2730" s="10">
        <v>1.9598557090052537E-2</v>
      </c>
    </row>
    <row r="2731" spans="9:13" x14ac:dyDescent="0.35">
      <c r="I2731">
        <v>2727</v>
      </c>
      <c r="L2731"/>
      <c r="M2731" s="10">
        <v>2.6259377150644081E-2</v>
      </c>
    </row>
    <row r="2732" spans="9:13" x14ac:dyDescent="0.35">
      <c r="I2732">
        <v>2728</v>
      </c>
      <c r="L2732"/>
      <c r="M2732" s="10">
        <v>2.4525245612736057E-2</v>
      </c>
    </row>
    <row r="2733" spans="9:13" x14ac:dyDescent="0.35">
      <c r="I2733">
        <v>2729</v>
      </c>
      <c r="L2733"/>
      <c r="M2733" s="10">
        <v>2.8319970284601315E-2</v>
      </c>
    </row>
    <row r="2734" spans="9:13" x14ac:dyDescent="0.35">
      <c r="I2734">
        <v>2730</v>
      </c>
      <c r="L2734"/>
      <c r="M2734" s="10">
        <v>2.1314432496787994E-2</v>
      </c>
    </row>
    <row r="2735" spans="9:13" x14ac:dyDescent="0.35">
      <c r="I2735">
        <v>2731</v>
      </c>
      <c r="L2735"/>
      <c r="M2735" s="10">
        <v>2.117220657484653E-2</v>
      </c>
    </row>
    <row r="2736" spans="9:13" x14ac:dyDescent="0.35">
      <c r="I2736">
        <v>2732</v>
      </c>
      <c r="L2736"/>
      <c r="M2736" s="10">
        <v>2.5215209886631951E-2</v>
      </c>
    </row>
    <row r="2737" spans="9:13" x14ac:dyDescent="0.35">
      <c r="I2737">
        <v>2733</v>
      </c>
      <c r="L2737"/>
      <c r="M2737" s="10">
        <v>2.1244025558621704E-2</v>
      </c>
    </row>
    <row r="2738" spans="9:13" x14ac:dyDescent="0.35">
      <c r="I2738">
        <v>2734</v>
      </c>
      <c r="L2738"/>
      <c r="M2738" s="10">
        <v>2.9890974276831628E-2</v>
      </c>
    </row>
    <row r="2739" spans="9:13" x14ac:dyDescent="0.35">
      <c r="I2739">
        <v>2735</v>
      </c>
      <c r="L2739"/>
      <c r="M2739" s="10">
        <v>2.8998779119126628E-2</v>
      </c>
    </row>
    <row r="2740" spans="9:13" x14ac:dyDescent="0.35">
      <c r="I2740">
        <v>2736</v>
      </c>
      <c r="L2740"/>
      <c r="M2740" s="10">
        <v>2.0470897100510088E-2</v>
      </c>
    </row>
    <row r="2741" spans="9:13" x14ac:dyDescent="0.35">
      <c r="I2741">
        <v>2737</v>
      </c>
      <c r="L2741"/>
      <c r="M2741" s="10">
        <v>2.4687813642317757E-2</v>
      </c>
    </row>
    <row r="2742" spans="9:13" x14ac:dyDescent="0.35">
      <c r="I2742">
        <v>2738</v>
      </c>
      <c r="L2742"/>
      <c r="M2742" s="10">
        <v>2.4764544089080354E-2</v>
      </c>
    </row>
    <row r="2743" spans="9:13" x14ac:dyDescent="0.35">
      <c r="I2743">
        <v>2739</v>
      </c>
      <c r="L2743"/>
      <c r="M2743" s="10">
        <v>2.2716938426000088E-2</v>
      </c>
    </row>
    <row r="2744" spans="9:13" x14ac:dyDescent="0.35">
      <c r="I2744">
        <v>2740</v>
      </c>
      <c r="L2744"/>
      <c r="M2744" s="10">
        <v>2.0822942953757417E-2</v>
      </c>
    </row>
    <row r="2745" spans="9:13" x14ac:dyDescent="0.35">
      <c r="I2745">
        <v>2741</v>
      </c>
      <c r="L2745"/>
      <c r="M2745" s="10">
        <v>1.9316037739418923E-2</v>
      </c>
    </row>
    <row r="2746" spans="9:13" x14ac:dyDescent="0.35">
      <c r="I2746">
        <v>2742</v>
      </c>
      <c r="L2746"/>
      <c r="M2746" s="10">
        <v>2.0631074977791375E-2</v>
      </c>
    </row>
    <row r="2747" spans="9:13" x14ac:dyDescent="0.35">
      <c r="I2747">
        <v>2743</v>
      </c>
      <c r="L2747"/>
      <c r="M2747" s="10">
        <v>3.1808230828467288E-2</v>
      </c>
    </row>
    <row r="2748" spans="9:13" x14ac:dyDescent="0.35">
      <c r="I2748">
        <v>2744</v>
      </c>
      <c r="L2748"/>
      <c r="M2748" s="10">
        <v>2.6160084670783013E-2</v>
      </c>
    </row>
    <row r="2749" spans="9:13" x14ac:dyDescent="0.35">
      <c r="I2749">
        <v>2745</v>
      </c>
      <c r="L2749"/>
      <c r="M2749" s="10">
        <v>2.8108375529170448E-2</v>
      </c>
    </row>
    <row r="2750" spans="9:13" x14ac:dyDescent="0.35">
      <c r="I2750">
        <v>2746</v>
      </c>
      <c r="L2750"/>
      <c r="M2750" s="10">
        <v>2.2233480241195536E-2</v>
      </c>
    </row>
    <row r="2751" spans="9:13" x14ac:dyDescent="0.35">
      <c r="I2751">
        <v>2747</v>
      </c>
      <c r="L2751"/>
      <c r="M2751" s="10">
        <v>2.1525707728064281E-2</v>
      </c>
    </row>
    <row r="2752" spans="9:13" x14ac:dyDescent="0.35">
      <c r="I2752">
        <v>2748</v>
      </c>
      <c r="L2752"/>
      <c r="M2752" s="10">
        <v>2.729170248670898E-2</v>
      </c>
    </row>
    <row r="2753" spans="9:13" x14ac:dyDescent="0.35">
      <c r="I2753">
        <v>2749</v>
      </c>
      <c r="L2753"/>
      <c r="M2753" s="10">
        <v>2.0460429545018144E-2</v>
      </c>
    </row>
    <row r="2754" spans="9:13" x14ac:dyDescent="0.35">
      <c r="I2754">
        <v>2750</v>
      </c>
      <c r="L2754"/>
      <c r="M2754" s="10">
        <v>2.794088068827949E-2</v>
      </c>
    </row>
    <row r="2755" spans="9:13" x14ac:dyDescent="0.35">
      <c r="I2755">
        <v>2751</v>
      </c>
      <c r="L2755"/>
      <c r="M2755" s="10">
        <v>3.117390701182976E-2</v>
      </c>
    </row>
    <row r="2756" spans="9:13" x14ac:dyDescent="0.35">
      <c r="I2756">
        <v>2752</v>
      </c>
      <c r="L2756"/>
      <c r="M2756" s="10">
        <v>2.5132681960121417E-2</v>
      </c>
    </row>
    <row r="2757" spans="9:13" x14ac:dyDescent="0.35">
      <c r="I2757">
        <v>2753</v>
      </c>
      <c r="L2757"/>
      <c r="M2757" s="10">
        <v>2.1935244209002169E-2</v>
      </c>
    </row>
    <row r="2758" spans="9:13" x14ac:dyDescent="0.35">
      <c r="I2758">
        <v>2754</v>
      </c>
      <c r="L2758"/>
      <c r="M2758" s="10">
        <v>2.564992877779626E-2</v>
      </c>
    </row>
    <row r="2759" spans="9:13" x14ac:dyDescent="0.35">
      <c r="I2759">
        <v>2755</v>
      </c>
      <c r="L2759"/>
      <c r="M2759" s="10">
        <v>2.3050255140701914E-2</v>
      </c>
    </row>
    <row r="2760" spans="9:13" x14ac:dyDescent="0.35">
      <c r="I2760">
        <v>2756</v>
      </c>
      <c r="L2760"/>
      <c r="M2760" s="10">
        <v>2.6971801600593537E-2</v>
      </c>
    </row>
    <row r="2761" spans="9:13" x14ac:dyDescent="0.35">
      <c r="I2761">
        <v>2757</v>
      </c>
      <c r="L2761"/>
      <c r="M2761" s="10">
        <v>1.8671978900831609E-2</v>
      </c>
    </row>
    <row r="2762" spans="9:13" x14ac:dyDescent="0.35">
      <c r="I2762">
        <v>2758</v>
      </c>
      <c r="L2762"/>
      <c r="M2762" s="10">
        <v>2.2446728429478702E-2</v>
      </c>
    </row>
    <row r="2763" spans="9:13" x14ac:dyDescent="0.35">
      <c r="I2763">
        <v>2759</v>
      </c>
      <c r="L2763"/>
      <c r="M2763" s="10">
        <v>2.9105486233736322E-2</v>
      </c>
    </row>
    <row r="2764" spans="9:13" x14ac:dyDescent="0.35">
      <c r="I2764">
        <v>2760</v>
      </c>
      <c r="L2764"/>
      <c r="M2764" s="10">
        <v>2.6620087829218653E-2</v>
      </c>
    </row>
    <row r="2765" spans="9:13" x14ac:dyDescent="0.35">
      <c r="I2765">
        <v>2761</v>
      </c>
      <c r="L2765"/>
      <c r="M2765" s="10">
        <v>2.4996288400477518E-2</v>
      </c>
    </row>
    <row r="2766" spans="9:13" x14ac:dyDescent="0.35">
      <c r="I2766">
        <v>2762</v>
      </c>
      <c r="L2766"/>
      <c r="M2766" s="10">
        <v>2.429530821740955E-2</v>
      </c>
    </row>
    <row r="2767" spans="9:13" x14ac:dyDescent="0.35">
      <c r="I2767">
        <v>2763</v>
      </c>
      <c r="L2767"/>
      <c r="M2767" s="10">
        <v>2.7480894273467671E-2</v>
      </c>
    </row>
    <row r="2768" spans="9:13" x14ac:dyDescent="0.35">
      <c r="I2768">
        <v>2764</v>
      </c>
      <c r="L2768"/>
      <c r="M2768" s="10">
        <v>2.0681596072066544E-2</v>
      </c>
    </row>
    <row r="2769" spans="9:13" x14ac:dyDescent="0.35">
      <c r="I2769">
        <v>2765</v>
      </c>
      <c r="L2769"/>
      <c r="M2769" s="10">
        <v>2.5489499746157662E-2</v>
      </c>
    </row>
    <row r="2770" spans="9:13" x14ac:dyDescent="0.35">
      <c r="I2770">
        <v>2766</v>
      </c>
      <c r="L2770"/>
      <c r="M2770" s="10">
        <v>2.2017800041552404E-2</v>
      </c>
    </row>
    <row r="2771" spans="9:13" x14ac:dyDescent="0.35">
      <c r="I2771">
        <v>2767</v>
      </c>
      <c r="L2771"/>
      <c r="M2771" s="10">
        <v>1.8669599910947077E-2</v>
      </c>
    </row>
    <row r="2772" spans="9:13" x14ac:dyDescent="0.35">
      <c r="I2772">
        <v>2768</v>
      </c>
      <c r="L2772"/>
      <c r="M2772" s="10">
        <v>2.983870905507513E-2</v>
      </c>
    </row>
    <row r="2773" spans="9:13" x14ac:dyDescent="0.35">
      <c r="I2773">
        <v>2769</v>
      </c>
      <c r="L2773"/>
      <c r="M2773" s="10">
        <v>2.3020390097013621E-2</v>
      </c>
    </row>
    <row r="2774" spans="9:13" x14ac:dyDescent="0.35">
      <c r="I2774">
        <v>2770</v>
      </c>
      <c r="L2774"/>
      <c r="M2774" s="10">
        <v>2.2846541050882685E-2</v>
      </c>
    </row>
    <row r="2775" spans="9:13" x14ac:dyDescent="0.35">
      <c r="I2775">
        <v>2771</v>
      </c>
      <c r="L2775"/>
      <c r="M2775" s="10">
        <v>2.3857444315570908E-2</v>
      </c>
    </row>
    <row r="2776" spans="9:13" x14ac:dyDescent="0.35">
      <c r="I2776">
        <v>2772</v>
      </c>
      <c r="L2776"/>
      <c r="M2776" s="10">
        <v>2.4639212483574036E-2</v>
      </c>
    </row>
    <row r="2777" spans="9:13" x14ac:dyDescent="0.35">
      <c r="I2777">
        <v>2773</v>
      </c>
      <c r="L2777"/>
      <c r="M2777" s="10">
        <v>2.8299501204480437E-2</v>
      </c>
    </row>
    <row r="2778" spans="9:13" x14ac:dyDescent="0.35">
      <c r="I2778">
        <v>2774</v>
      </c>
      <c r="L2778"/>
      <c r="M2778" s="10">
        <v>2.4563469910616864E-2</v>
      </c>
    </row>
    <row r="2779" spans="9:13" x14ac:dyDescent="0.35">
      <c r="I2779">
        <v>2775</v>
      </c>
      <c r="L2779"/>
      <c r="M2779" s="10">
        <v>2.573159580298201E-2</v>
      </c>
    </row>
    <row r="2780" spans="9:13" x14ac:dyDescent="0.35">
      <c r="I2780">
        <v>2776</v>
      </c>
      <c r="L2780"/>
      <c r="M2780" s="10">
        <v>2.8851678012049353E-2</v>
      </c>
    </row>
    <row r="2781" spans="9:13" x14ac:dyDescent="0.35">
      <c r="I2781">
        <v>2777</v>
      </c>
      <c r="L2781"/>
      <c r="M2781" s="10">
        <v>2.2041694588046612E-2</v>
      </c>
    </row>
    <row r="2782" spans="9:13" x14ac:dyDescent="0.35">
      <c r="I2782">
        <v>2778</v>
      </c>
      <c r="L2782"/>
      <c r="M2782" s="10">
        <v>2.5541677063889101E-2</v>
      </c>
    </row>
    <row r="2783" spans="9:13" x14ac:dyDescent="0.35">
      <c r="I2783">
        <v>2779</v>
      </c>
      <c r="L2783"/>
      <c r="M2783" s="10">
        <v>2.3205700153649866E-2</v>
      </c>
    </row>
    <row r="2784" spans="9:13" x14ac:dyDescent="0.35">
      <c r="I2784">
        <v>2780</v>
      </c>
      <c r="L2784"/>
      <c r="M2784" s="10">
        <v>2.331989724931538E-2</v>
      </c>
    </row>
    <row r="2785" spans="9:13" x14ac:dyDescent="0.35">
      <c r="I2785">
        <v>2781</v>
      </c>
      <c r="L2785"/>
      <c r="M2785" s="10">
        <v>2.1387503066443769E-2</v>
      </c>
    </row>
    <row r="2786" spans="9:13" x14ac:dyDescent="0.35">
      <c r="I2786">
        <v>2782</v>
      </c>
      <c r="L2786"/>
      <c r="M2786" s="10">
        <v>2.298614938630017E-2</v>
      </c>
    </row>
    <row r="2787" spans="9:13" x14ac:dyDescent="0.35">
      <c r="I2787">
        <v>2783</v>
      </c>
      <c r="L2787"/>
      <c r="M2787" s="10">
        <v>2.8745707616887772E-2</v>
      </c>
    </row>
    <row r="2788" spans="9:13" x14ac:dyDescent="0.35">
      <c r="I2788">
        <v>2784</v>
      </c>
      <c r="L2788"/>
      <c r="M2788" s="10">
        <v>2.6175079981216487E-2</v>
      </c>
    </row>
    <row r="2789" spans="9:13" x14ac:dyDescent="0.35">
      <c r="I2789">
        <v>2785</v>
      </c>
      <c r="L2789"/>
      <c r="M2789" s="10">
        <v>2.4149789382783338E-2</v>
      </c>
    </row>
    <row r="2790" spans="9:13" x14ac:dyDescent="0.35">
      <c r="I2790">
        <v>2786</v>
      </c>
      <c r="L2790"/>
      <c r="M2790" s="10">
        <v>3.0715647980875449E-2</v>
      </c>
    </row>
    <row r="2791" spans="9:13" x14ac:dyDescent="0.35">
      <c r="I2791">
        <v>2787</v>
      </c>
      <c r="L2791"/>
      <c r="M2791" s="10">
        <v>2.4320306447773943E-2</v>
      </c>
    </row>
    <row r="2792" spans="9:13" x14ac:dyDescent="0.35">
      <c r="I2792">
        <v>2788</v>
      </c>
      <c r="L2792"/>
      <c r="M2792" s="10">
        <v>2.9435581196154637E-2</v>
      </c>
    </row>
    <row r="2793" spans="9:13" x14ac:dyDescent="0.35">
      <c r="I2793">
        <v>2789</v>
      </c>
      <c r="L2793"/>
      <c r="M2793" s="10">
        <v>2.2129555358744057E-2</v>
      </c>
    </row>
    <row r="2794" spans="9:13" x14ac:dyDescent="0.35">
      <c r="I2794">
        <v>2790</v>
      </c>
      <c r="L2794"/>
      <c r="M2794" s="10">
        <v>2.8396762124651254E-2</v>
      </c>
    </row>
    <row r="2795" spans="9:13" x14ac:dyDescent="0.35">
      <c r="I2795">
        <v>2791</v>
      </c>
      <c r="L2795"/>
      <c r="M2795" s="10">
        <v>2.2583727550184118E-2</v>
      </c>
    </row>
    <row r="2796" spans="9:13" x14ac:dyDescent="0.35">
      <c r="I2796">
        <v>2792</v>
      </c>
      <c r="L2796"/>
      <c r="M2796" s="10">
        <v>3.0639682159600667E-2</v>
      </c>
    </row>
    <row r="2797" spans="9:13" x14ac:dyDescent="0.35">
      <c r="I2797">
        <v>2793</v>
      </c>
      <c r="L2797"/>
      <c r="M2797" s="10">
        <v>2.0078330282314538E-2</v>
      </c>
    </row>
    <row r="2798" spans="9:13" x14ac:dyDescent="0.35">
      <c r="I2798">
        <v>2794</v>
      </c>
      <c r="L2798"/>
      <c r="M2798" s="10">
        <v>2.3459445586747507E-2</v>
      </c>
    </row>
    <row r="2799" spans="9:13" x14ac:dyDescent="0.35">
      <c r="I2799">
        <v>2795</v>
      </c>
      <c r="L2799"/>
      <c r="M2799" s="10">
        <v>2.6479126050875657E-2</v>
      </c>
    </row>
    <row r="2800" spans="9:13" x14ac:dyDescent="0.35">
      <c r="I2800">
        <v>2796</v>
      </c>
      <c r="L2800"/>
      <c r="M2800" s="10">
        <v>2.4298331836811182E-2</v>
      </c>
    </row>
    <row r="2801" spans="9:13" x14ac:dyDescent="0.35">
      <c r="I2801">
        <v>2797</v>
      </c>
      <c r="L2801"/>
      <c r="M2801" s="10">
        <v>2.0776953800329734E-2</v>
      </c>
    </row>
    <row r="2802" spans="9:13" x14ac:dyDescent="0.35">
      <c r="I2802">
        <v>2798</v>
      </c>
      <c r="L2802"/>
      <c r="M2802" s="10">
        <v>2.156797282049383E-2</v>
      </c>
    </row>
    <row r="2803" spans="9:13" x14ac:dyDescent="0.35">
      <c r="I2803">
        <v>2799</v>
      </c>
      <c r="L2803"/>
      <c r="M2803" s="10">
        <v>3.1829227332738519E-2</v>
      </c>
    </row>
    <row r="2804" spans="9:13" x14ac:dyDescent="0.35">
      <c r="I2804">
        <v>2800</v>
      </c>
      <c r="L2804"/>
      <c r="M2804" s="10">
        <v>2.2811599898572732E-2</v>
      </c>
    </row>
    <row r="2805" spans="9:13" x14ac:dyDescent="0.35">
      <c r="I2805">
        <v>2801</v>
      </c>
      <c r="L2805"/>
      <c r="M2805" s="10">
        <v>1.9865305342348982E-2</v>
      </c>
    </row>
    <row r="2806" spans="9:13" x14ac:dyDescent="0.35">
      <c r="I2806">
        <v>2802</v>
      </c>
      <c r="L2806"/>
      <c r="M2806" s="10">
        <v>3.204489636996577E-2</v>
      </c>
    </row>
    <row r="2807" spans="9:13" x14ac:dyDescent="0.35">
      <c r="I2807">
        <v>2803</v>
      </c>
      <c r="L2807"/>
      <c r="M2807" s="10">
        <v>2.8338061770139644E-2</v>
      </c>
    </row>
    <row r="2808" spans="9:13" x14ac:dyDescent="0.35">
      <c r="I2808">
        <v>2804</v>
      </c>
      <c r="L2808"/>
      <c r="M2808" s="10">
        <v>2.4078623400337174E-2</v>
      </c>
    </row>
    <row r="2809" spans="9:13" x14ac:dyDescent="0.35">
      <c r="I2809">
        <v>2805</v>
      </c>
      <c r="L2809"/>
      <c r="M2809" s="10">
        <v>2.6804211879167594E-2</v>
      </c>
    </row>
    <row r="2810" spans="9:13" x14ac:dyDescent="0.35">
      <c r="I2810">
        <v>2806</v>
      </c>
      <c r="L2810"/>
      <c r="M2810" s="10">
        <v>2.249083671583052E-2</v>
      </c>
    </row>
    <row r="2811" spans="9:13" x14ac:dyDescent="0.35">
      <c r="I2811">
        <v>2807</v>
      </c>
      <c r="L2811"/>
      <c r="M2811" s="10">
        <v>2.5274268833753721E-2</v>
      </c>
    </row>
    <row r="2812" spans="9:13" x14ac:dyDescent="0.35">
      <c r="I2812">
        <v>2808</v>
      </c>
      <c r="L2812"/>
      <c r="M2812" s="10">
        <v>1.999107507267861E-2</v>
      </c>
    </row>
    <row r="2813" spans="9:13" x14ac:dyDescent="0.35">
      <c r="I2813">
        <v>2809</v>
      </c>
      <c r="L2813"/>
      <c r="M2813" s="10">
        <v>2.3591477432386099E-2</v>
      </c>
    </row>
    <row r="2814" spans="9:13" x14ac:dyDescent="0.35">
      <c r="I2814">
        <v>2810</v>
      </c>
      <c r="L2814"/>
      <c r="M2814" s="10">
        <v>2.9550590357575457E-2</v>
      </c>
    </row>
    <row r="2815" spans="9:13" x14ac:dyDescent="0.35">
      <c r="I2815">
        <v>2811</v>
      </c>
      <c r="L2815"/>
      <c r="M2815" s="10">
        <v>2.4487936632957452E-2</v>
      </c>
    </row>
    <row r="2816" spans="9:13" x14ac:dyDescent="0.35">
      <c r="I2816">
        <v>2812</v>
      </c>
      <c r="L2816"/>
      <c r="M2816" s="10">
        <v>2.6083464452877236E-2</v>
      </c>
    </row>
    <row r="2817" spans="9:13" x14ac:dyDescent="0.35">
      <c r="I2817">
        <v>2813</v>
      </c>
      <c r="L2817"/>
      <c r="M2817" s="10">
        <v>2.3571239972394742E-2</v>
      </c>
    </row>
    <row r="2818" spans="9:13" x14ac:dyDescent="0.35">
      <c r="I2818">
        <v>2814</v>
      </c>
      <c r="L2818"/>
      <c r="M2818" s="10">
        <v>2.2796026933117441E-2</v>
      </c>
    </row>
    <row r="2819" spans="9:13" x14ac:dyDescent="0.35">
      <c r="I2819">
        <v>2815</v>
      </c>
      <c r="L2819"/>
      <c r="M2819" s="10">
        <v>2.1453696192615168E-2</v>
      </c>
    </row>
    <row r="2820" spans="9:13" x14ac:dyDescent="0.35">
      <c r="I2820">
        <v>2816</v>
      </c>
      <c r="L2820"/>
      <c r="M2820" s="10">
        <v>2.4545205407632387E-2</v>
      </c>
    </row>
    <row r="2821" spans="9:13" x14ac:dyDescent="0.35">
      <c r="I2821">
        <v>2817</v>
      </c>
      <c r="L2821"/>
      <c r="M2821" s="10">
        <v>1.8859513068832046E-2</v>
      </c>
    </row>
    <row r="2822" spans="9:13" x14ac:dyDescent="0.35">
      <c r="I2822">
        <v>2818</v>
      </c>
      <c r="L2822"/>
      <c r="M2822" s="10">
        <v>3.0831047826852087E-2</v>
      </c>
    </row>
    <row r="2823" spans="9:13" x14ac:dyDescent="0.35">
      <c r="I2823">
        <v>2819</v>
      </c>
      <c r="L2823"/>
      <c r="M2823" s="10">
        <v>2.6069890955166541E-2</v>
      </c>
    </row>
    <row r="2824" spans="9:13" x14ac:dyDescent="0.35">
      <c r="I2824">
        <v>2820</v>
      </c>
      <c r="L2824"/>
      <c r="M2824" s="10">
        <v>3.2386025380481964E-2</v>
      </c>
    </row>
    <row r="2825" spans="9:13" x14ac:dyDescent="0.35">
      <c r="I2825">
        <v>2821</v>
      </c>
      <c r="L2825"/>
      <c r="M2825" s="10">
        <v>2.8829576428605952E-2</v>
      </c>
    </row>
    <row r="2826" spans="9:13" x14ac:dyDescent="0.35">
      <c r="I2826">
        <v>2822</v>
      </c>
      <c r="L2826"/>
      <c r="M2826" s="10">
        <v>2.2661039837874486E-2</v>
      </c>
    </row>
    <row r="2827" spans="9:13" x14ac:dyDescent="0.35">
      <c r="I2827">
        <v>2823</v>
      </c>
      <c r="L2827"/>
      <c r="M2827" s="10">
        <v>2.9725890517770859E-2</v>
      </c>
    </row>
    <row r="2828" spans="9:13" x14ac:dyDescent="0.35">
      <c r="I2828">
        <v>2824</v>
      </c>
      <c r="L2828"/>
      <c r="M2828" s="10">
        <v>2.8514648398765274E-2</v>
      </c>
    </row>
    <row r="2829" spans="9:13" x14ac:dyDescent="0.35">
      <c r="I2829">
        <v>2825</v>
      </c>
      <c r="L2829"/>
      <c r="M2829" s="10">
        <v>2.275680918022327E-2</v>
      </c>
    </row>
    <row r="2830" spans="9:13" x14ac:dyDescent="0.35">
      <c r="I2830">
        <v>2826</v>
      </c>
      <c r="L2830"/>
      <c r="M2830" s="10">
        <v>2.6446344826038581E-2</v>
      </c>
    </row>
    <row r="2831" spans="9:13" x14ac:dyDescent="0.35">
      <c r="I2831">
        <v>2827</v>
      </c>
      <c r="L2831"/>
      <c r="M2831" s="10">
        <v>1.8464445869479262E-2</v>
      </c>
    </row>
    <row r="2832" spans="9:13" x14ac:dyDescent="0.35">
      <c r="I2832">
        <v>2828</v>
      </c>
      <c r="L2832"/>
      <c r="M2832" s="10">
        <v>2.7075489281707554E-2</v>
      </c>
    </row>
    <row r="2833" spans="9:13" x14ac:dyDescent="0.35">
      <c r="I2833">
        <v>2829</v>
      </c>
      <c r="L2833"/>
      <c r="M2833" s="10">
        <v>2.4408866264765905E-2</v>
      </c>
    </row>
    <row r="2834" spans="9:13" x14ac:dyDescent="0.35">
      <c r="I2834">
        <v>2830</v>
      </c>
      <c r="L2834"/>
      <c r="M2834" s="10">
        <v>2.7757183600737978E-2</v>
      </c>
    </row>
    <row r="2835" spans="9:13" x14ac:dyDescent="0.35">
      <c r="I2835">
        <v>2831</v>
      </c>
      <c r="L2835"/>
      <c r="M2835" s="10">
        <v>2.03176413163767E-2</v>
      </c>
    </row>
    <row r="2836" spans="9:13" x14ac:dyDescent="0.35">
      <c r="I2836">
        <v>2832</v>
      </c>
      <c r="L2836"/>
      <c r="M2836" s="10">
        <v>2.0370851157577086E-2</v>
      </c>
    </row>
    <row r="2837" spans="9:13" x14ac:dyDescent="0.35">
      <c r="I2837">
        <v>2833</v>
      </c>
      <c r="L2837"/>
      <c r="M2837" s="10">
        <v>2.5788885507186721E-2</v>
      </c>
    </row>
    <row r="2838" spans="9:13" x14ac:dyDescent="0.35">
      <c r="I2838">
        <v>2834</v>
      </c>
      <c r="L2838"/>
      <c r="M2838" s="10">
        <v>2.5731316742584998E-2</v>
      </c>
    </row>
    <row r="2839" spans="9:13" x14ac:dyDescent="0.35">
      <c r="I2839">
        <v>2835</v>
      </c>
      <c r="L2839"/>
      <c r="M2839" s="10">
        <v>2.4760595384462625E-2</v>
      </c>
    </row>
    <row r="2840" spans="9:13" x14ac:dyDescent="0.35">
      <c r="I2840">
        <v>2836</v>
      </c>
      <c r="L2840"/>
      <c r="M2840" s="10">
        <v>2.413019097110114E-2</v>
      </c>
    </row>
    <row r="2841" spans="9:13" x14ac:dyDescent="0.35">
      <c r="I2841">
        <v>2837</v>
      </c>
      <c r="L2841"/>
      <c r="M2841" s="10">
        <v>2.8218702057129397E-2</v>
      </c>
    </row>
    <row r="2842" spans="9:13" x14ac:dyDescent="0.35">
      <c r="I2842">
        <v>2838</v>
      </c>
      <c r="L2842"/>
      <c r="M2842" s="10">
        <v>2.811591574109773E-2</v>
      </c>
    </row>
    <row r="2843" spans="9:13" x14ac:dyDescent="0.35">
      <c r="I2843">
        <v>2839</v>
      </c>
      <c r="L2843"/>
      <c r="M2843" s="10">
        <v>2.4168715258908735E-2</v>
      </c>
    </row>
    <row r="2844" spans="9:13" x14ac:dyDescent="0.35">
      <c r="I2844">
        <v>2840</v>
      </c>
      <c r="L2844"/>
      <c r="M2844" s="10">
        <v>2.3716259288910302E-2</v>
      </c>
    </row>
    <row r="2845" spans="9:13" x14ac:dyDescent="0.35">
      <c r="I2845">
        <v>2841</v>
      </c>
      <c r="L2845"/>
      <c r="M2845" s="10">
        <v>2.626543415656124E-2</v>
      </c>
    </row>
    <row r="2846" spans="9:13" x14ac:dyDescent="0.35">
      <c r="I2846">
        <v>2842</v>
      </c>
      <c r="L2846"/>
      <c r="M2846" s="10">
        <v>2.3437927239533862E-2</v>
      </c>
    </row>
    <row r="2847" spans="9:13" x14ac:dyDescent="0.35">
      <c r="I2847">
        <v>2843</v>
      </c>
      <c r="L2847"/>
      <c r="M2847" s="10">
        <v>2.8073266940622288E-2</v>
      </c>
    </row>
    <row r="2848" spans="9:13" x14ac:dyDescent="0.35">
      <c r="I2848">
        <v>2844</v>
      </c>
      <c r="L2848"/>
      <c r="M2848" s="10">
        <v>3.1088154542431745E-2</v>
      </c>
    </row>
    <row r="2849" spans="9:13" x14ac:dyDescent="0.35">
      <c r="I2849">
        <v>2845</v>
      </c>
      <c r="L2849"/>
      <c r="M2849" s="10">
        <v>3.6344137124194154E-2</v>
      </c>
    </row>
    <row r="2850" spans="9:13" x14ac:dyDescent="0.35">
      <c r="I2850">
        <v>2846</v>
      </c>
      <c r="L2850"/>
      <c r="M2850" s="10">
        <v>2.5422636875033433E-2</v>
      </c>
    </row>
    <row r="2851" spans="9:13" x14ac:dyDescent="0.35">
      <c r="I2851">
        <v>2847</v>
      </c>
      <c r="L2851"/>
      <c r="M2851" s="10">
        <v>2.1845054679291653E-2</v>
      </c>
    </row>
    <row r="2852" spans="9:13" x14ac:dyDescent="0.35">
      <c r="I2852">
        <v>2848</v>
      </c>
      <c r="L2852"/>
      <c r="M2852" s="10">
        <v>2.6712180550836795E-2</v>
      </c>
    </row>
    <row r="2853" spans="9:13" x14ac:dyDescent="0.35">
      <c r="I2853">
        <v>2849</v>
      </c>
      <c r="L2853"/>
      <c r="M2853" s="10">
        <v>2.5371154417690556E-2</v>
      </c>
    </row>
    <row r="2854" spans="9:13" x14ac:dyDescent="0.35">
      <c r="I2854">
        <v>2850</v>
      </c>
      <c r="L2854"/>
      <c r="M2854" s="10">
        <v>2.0655653222258263E-2</v>
      </c>
    </row>
    <row r="2855" spans="9:13" x14ac:dyDescent="0.35">
      <c r="I2855">
        <v>2851</v>
      </c>
      <c r="L2855"/>
      <c r="M2855" s="10">
        <v>2.1242140505639884E-2</v>
      </c>
    </row>
    <row r="2856" spans="9:13" x14ac:dyDescent="0.35">
      <c r="I2856">
        <v>2852</v>
      </c>
      <c r="L2856"/>
      <c r="M2856" s="10">
        <v>2.8833349325173563E-2</v>
      </c>
    </row>
    <row r="2857" spans="9:13" x14ac:dyDescent="0.35">
      <c r="I2857">
        <v>2853</v>
      </c>
      <c r="L2857"/>
      <c r="M2857" s="10">
        <v>2.6203658556474552E-2</v>
      </c>
    </row>
    <row r="2858" spans="9:13" x14ac:dyDescent="0.35">
      <c r="I2858">
        <v>2854</v>
      </c>
      <c r="L2858"/>
      <c r="M2858" s="10">
        <v>2.6273646904045322E-2</v>
      </c>
    </row>
    <row r="2859" spans="9:13" x14ac:dyDescent="0.35">
      <c r="I2859">
        <v>2855</v>
      </c>
      <c r="L2859"/>
      <c r="M2859" s="10">
        <v>2.1471430480845322E-2</v>
      </c>
    </row>
    <row r="2860" spans="9:13" x14ac:dyDescent="0.35">
      <c r="I2860">
        <v>2856</v>
      </c>
      <c r="L2860"/>
      <c r="M2860" s="10">
        <v>2.002352700624721E-2</v>
      </c>
    </row>
    <row r="2861" spans="9:13" x14ac:dyDescent="0.35">
      <c r="I2861">
        <v>2857</v>
      </c>
      <c r="L2861"/>
      <c r="M2861" s="10">
        <v>2.5588308056229914E-2</v>
      </c>
    </row>
    <row r="2862" spans="9:13" x14ac:dyDescent="0.35">
      <c r="I2862">
        <v>2858</v>
      </c>
      <c r="L2862"/>
      <c r="M2862" s="10">
        <v>2.4851479774561702E-2</v>
      </c>
    </row>
    <row r="2863" spans="9:13" x14ac:dyDescent="0.35">
      <c r="I2863">
        <v>2859</v>
      </c>
      <c r="L2863"/>
      <c r="M2863" s="10">
        <v>2.0377337916505645E-2</v>
      </c>
    </row>
    <row r="2864" spans="9:13" x14ac:dyDescent="0.35">
      <c r="I2864">
        <v>2860</v>
      </c>
      <c r="L2864"/>
      <c r="M2864" s="10">
        <v>2.7013105329955378E-2</v>
      </c>
    </row>
    <row r="2865" spans="9:13" x14ac:dyDescent="0.35">
      <c r="I2865">
        <v>2861</v>
      </c>
      <c r="L2865"/>
      <c r="M2865" s="10">
        <v>2.2302532341134329E-2</v>
      </c>
    </row>
    <row r="2866" spans="9:13" x14ac:dyDescent="0.35">
      <c r="I2866">
        <v>2862</v>
      </c>
      <c r="L2866"/>
      <c r="M2866" s="10">
        <v>2.3089517543259608E-2</v>
      </c>
    </row>
    <row r="2867" spans="9:13" x14ac:dyDescent="0.35">
      <c r="I2867">
        <v>2863</v>
      </c>
      <c r="L2867"/>
      <c r="M2867" s="10">
        <v>2.7687203624979118E-2</v>
      </c>
    </row>
    <row r="2868" spans="9:13" x14ac:dyDescent="0.35">
      <c r="I2868">
        <v>2864</v>
      </c>
      <c r="L2868"/>
      <c r="M2868" s="10">
        <v>2.197289085186116E-2</v>
      </c>
    </row>
    <row r="2869" spans="9:13" x14ac:dyDescent="0.35">
      <c r="I2869">
        <v>2865</v>
      </c>
      <c r="L2869"/>
      <c r="M2869" s="10">
        <v>2.944979374217449E-2</v>
      </c>
    </row>
    <row r="2870" spans="9:13" x14ac:dyDescent="0.35">
      <c r="I2870">
        <v>2866</v>
      </c>
      <c r="L2870"/>
      <c r="M2870" s="10">
        <v>2.7264815017456812E-2</v>
      </c>
    </row>
    <row r="2871" spans="9:13" x14ac:dyDescent="0.35">
      <c r="I2871">
        <v>2867</v>
      </c>
      <c r="L2871"/>
      <c r="M2871" s="10">
        <v>2.343500826778111E-2</v>
      </c>
    </row>
    <row r="2872" spans="9:13" x14ac:dyDescent="0.35">
      <c r="I2872">
        <v>2868</v>
      </c>
      <c r="L2872"/>
      <c r="M2872" s="10">
        <v>2.5762179427192611E-2</v>
      </c>
    </row>
    <row r="2873" spans="9:13" x14ac:dyDescent="0.35">
      <c r="I2873">
        <v>2869</v>
      </c>
      <c r="L2873"/>
      <c r="M2873" s="10">
        <v>2.2068194163346933E-2</v>
      </c>
    </row>
    <row r="2874" spans="9:13" x14ac:dyDescent="0.35">
      <c r="I2874">
        <v>2870</v>
      </c>
      <c r="L2874"/>
      <c r="M2874" s="10">
        <v>2.6042954650344896E-2</v>
      </c>
    </row>
    <row r="2875" spans="9:13" x14ac:dyDescent="0.35">
      <c r="I2875">
        <v>2871</v>
      </c>
      <c r="L2875"/>
      <c r="M2875" s="10">
        <v>2.5546033196686468E-2</v>
      </c>
    </row>
    <row r="2876" spans="9:13" x14ac:dyDescent="0.35">
      <c r="I2876">
        <v>2872</v>
      </c>
      <c r="L2876"/>
      <c r="M2876" s="10">
        <v>2.5532264356697865E-2</v>
      </c>
    </row>
    <row r="2877" spans="9:13" x14ac:dyDescent="0.35">
      <c r="I2877">
        <v>2873</v>
      </c>
      <c r="L2877"/>
      <c r="M2877" s="10">
        <v>2.820199471116025E-2</v>
      </c>
    </row>
    <row r="2878" spans="9:13" x14ac:dyDescent="0.35">
      <c r="I2878">
        <v>2874</v>
      </c>
      <c r="L2878"/>
      <c r="M2878" s="10">
        <v>2.6119184183694855E-2</v>
      </c>
    </row>
    <row r="2879" spans="9:13" x14ac:dyDescent="0.35">
      <c r="I2879">
        <v>2875</v>
      </c>
      <c r="L2879"/>
      <c r="M2879" s="10">
        <v>2.7711872564075035E-2</v>
      </c>
    </row>
    <row r="2880" spans="9:13" x14ac:dyDescent="0.35">
      <c r="I2880">
        <v>2876</v>
      </c>
      <c r="L2880"/>
      <c r="M2880" s="10">
        <v>2.3407707789141363E-2</v>
      </c>
    </row>
    <row r="2881" spans="9:13" x14ac:dyDescent="0.35">
      <c r="I2881">
        <v>2877</v>
      </c>
      <c r="L2881"/>
      <c r="M2881" s="10">
        <v>1.8924010903091593E-2</v>
      </c>
    </row>
    <row r="2882" spans="9:13" x14ac:dyDescent="0.35">
      <c r="I2882">
        <v>2878</v>
      </c>
      <c r="L2882"/>
      <c r="M2882" s="10">
        <v>2.312588329889631E-2</v>
      </c>
    </row>
    <row r="2883" spans="9:13" x14ac:dyDescent="0.35">
      <c r="I2883">
        <v>2879</v>
      </c>
      <c r="L2883"/>
      <c r="M2883" s="10">
        <v>2.3427226668610412E-2</v>
      </c>
    </row>
    <row r="2884" spans="9:13" x14ac:dyDescent="0.35">
      <c r="I2884">
        <v>2880</v>
      </c>
      <c r="L2884"/>
      <c r="M2884" s="10">
        <v>2.4547669510938008E-2</v>
      </c>
    </row>
    <row r="2885" spans="9:13" x14ac:dyDescent="0.35">
      <c r="I2885">
        <v>2881</v>
      </c>
      <c r="L2885"/>
      <c r="M2885" s="10">
        <v>2.4267300320663376E-2</v>
      </c>
    </row>
    <row r="2886" spans="9:13" x14ac:dyDescent="0.35">
      <c r="I2886">
        <v>2882</v>
      </c>
      <c r="L2886"/>
      <c r="M2886" s="10">
        <v>2.4442626991596494E-2</v>
      </c>
    </row>
    <row r="2887" spans="9:13" x14ac:dyDescent="0.35">
      <c r="I2887">
        <v>2883</v>
      </c>
      <c r="L2887"/>
      <c r="M2887" s="10">
        <v>2.3001393060486985E-2</v>
      </c>
    </row>
    <row r="2888" spans="9:13" x14ac:dyDescent="0.35">
      <c r="I2888">
        <v>2884</v>
      </c>
      <c r="L2888"/>
      <c r="M2888" s="10">
        <v>2.872887748434394E-2</v>
      </c>
    </row>
    <row r="2889" spans="9:13" x14ac:dyDescent="0.35">
      <c r="I2889">
        <v>2885</v>
      </c>
      <c r="L2889"/>
      <c r="M2889" s="10">
        <v>2.5003031894971328E-2</v>
      </c>
    </row>
    <row r="2890" spans="9:13" x14ac:dyDescent="0.35">
      <c r="I2890">
        <v>2886</v>
      </c>
      <c r="L2890"/>
      <c r="M2890" s="10">
        <v>1.9581092095105501E-2</v>
      </c>
    </row>
    <row r="2891" spans="9:13" x14ac:dyDescent="0.35">
      <c r="I2891">
        <v>2887</v>
      </c>
      <c r="L2891"/>
      <c r="M2891" s="10">
        <v>1.8766418520388628E-2</v>
      </c>
    </row>
    <row r="2892" spans="9:13" x14ac:dyDescent="0.35">
      <c r="I2892">
        <v>2888</v>
      </c>
      <c r="L2892"/>
      <c r="M2892" s="10">
        <v>2.341910740635933E-2</v>
      </c>
    </row>
    <row r="2893" spans="9:13" x14ac:dyDescent="0.35">
      <c r="I2893">
        <v>2889</v>
      </c>
      <c r="L2893"/>
      <c r="M2893" s="10">
        <v>3.0914311077508749E-2</v>
      </c>
    </row>
    <row r="2894" spans="9:13" x14ac:dyDescent="0.35">
      <c r="I2894">
        <v>2890</v>
      </c>
      <c r="L2894"/>
      <c r="M2894" s="10">
        <v>2.6970074216736029E-2</v>
      </c>
    </row>
    <row r="2895" spans="9:13" x14ac:dyDescent="0.35">
      <c r="I2895">
        <v>2891</v>
      </c>
      <c r="L2895"/>
      <c r="M2895" s="10">
        <v>2.98274461774517E-2</v>
      </c>
    </row>
    <row r="2896" spans="9:13" x14ac:dyDescent="0.35">
      <c r="I2896">
        <v>2892</v>
      </c>
      <c r="L2896"/>
      <c r="M2896" s="10">
        <v>2.2123618348797613E-2</v>
      </c>
    </row>
    <row r="2897" spans="9:13" x14ac:dyDescent="0.35">
      <c r="I2897">
        <v>2893</v>
      </c>
      <c r="L2897"/>
      <c r="M2897" s="10">
        <v>2.2839577098675234E-2</v>
      </c>
    </row>
    <row r="2898" spans="9:13" x14ac:dyDescent="0.35">
      <c r="I2898">
        <v>2894</v>
      </c>
      <c r="L2898"/>
      <c r="M2898" s="10">
        <v>2.3243378888454513E-2</v>
      </c>
    </row>
    <row r="2899" spans="9:13" x14ac:dyDescent="0.35">
      <c r="I2899">
        <v>2895</v>
      </c>
      <c r="L2899"/>
      <c r="M2899" s="10">
        <v>2.7823181384631468E-2</v>
      </c>
    </row>
    <row r="2900" spans="9:13" x14ac:dyDescent="0.35">
      <c r="I2900">
        <v>2896</v>
      </c>
      <c r="L2900"/>
      <c r="M2900" s="10">
        <v>2.3178627109233685E-2</v>
      </c>
    </row>
    <row r="2901" spans="9:13" x14ac:dyDescent="0.35">
      <c r="I2901">
        <v>2897</v>
      </c>
      <c r="L2901"/>
      <c r="M2901" s="10">
        <v>3.2426938425287988E-2</v>
      </c>
    </row>
    <row r="2902" spans="9:13" x14ac:dyDescent="0.35">
      <c r="I2902">
        <v>2898</v>
      </c>
      <c r="L2902"/>
      <c r="M2902" s="10">
        <v>2.1174355339903528E-2</v>
      </c>
    </row>
    <row r="2903" spans="9:13" x14ac:dyDescent="0.35">
      <c r="I2903">
        <v>2899</v>
      </c>
      <c r="L2903"/>
      <c r="M2903" s="10">
        <v>1.8839508624272194E-2</v>
      </c>
    </row>
    <row r="2904" spans="9:13" x14ac:dyDescent="0.35">
      <c r="I2904">
        <v>2900</v>
      </c>
      <c r="L2904"/>
      <c r="M2904" s="10">
        <v>2.4141261297050631E-2</v>
      </c>
    </row>
    <row r="2905" spans="9:13" x14ac:dyDescent="0.35">
      <c r="I2905">
        <v>2901</v>
      </c>
      <c r="L2905"/>
      <c r="M2905" s="10">
        <v>2.7734975974343712E-2</v>
      </c>
    </row>
    <row r="2906" spans="9:13" x14ac:dyDescent="0.35">
      <c r="I2906">
        <v>2902</v>
      </c>
      <c r="L2906"/>
      <c r="M2906" s="10">
        <v>2.1798900880229732E-2</v>
      </c>
    </row>
    <row r="2907" spans="9:13" x14ac:dyDescent="0.35">
      <c r="I2907">
        <v>2903</v>
      </c>
      <c r="L2907"/>
      <c r="M2907" s="10">
        <v>2.5576113116880461E-2</v>
      </c>
    </row>
    <row r="2908" spans="9:13" x14ac:dyDescent="0.35">
      <c r="I2908">
        <v>2904</v>
      </c>
      <c r="L2908"/>
      <c r="M2908" s="10">
        <v>2.5248401330252634E-2</v>
      </c>
    </row>
    <row r="2909" spans="9:13" x14ac:dyDescent="0.35">
      <c r="I2909">
        <v>2905</v>
      </c>
      <c r="L2909"/>
      <c r="M2909" s="10">
        <v>2.1456283082495475E-2</v>
      </c>
    </row>
    <row r="2910" spans="9:13" x14ac:dyDescent="0.35">
      <c r="I2910">
        <v>2906</v>
      </c>
      <c r="L2910"/>
      <c r="M2910" s="10">
        <v>2.492559821600826E-2</v>
      </c>
    </row>
    <row r="2911" spans="9:13" x14ac:dyDescent="0.35">
      <c r="I2911">
        <v>2907</v>
      </c>
      <c r="L2911"/>
      <c r="M2911" s="10">
        <v>2.4214709993544359E-2</v>
      </c>
    </row>
    <row r="2912" spans="9:13" x14ac:dyDescent="0.35">
      <c r="I2912">
        <v>2908</v>
      </c>
      <c r="L2912"/>
      <c r="M2912" s="10">
        <v>2.4682600794101561E-2</v>
      </c>
    </row>
    <row r="2913" spans="9:13" x14ac:dyDescent="0.35">
      <c r="I2913">
        <v>2909</v>
      </c>
      <c r="L2913"/>
      <c r="M2913" s="10">
        <v>2.1956352337432206E-2</v>
      </c>
    </row>
    <row r="2914" spans="9:13" x14ac:dyDescent="0.35">
      <c r="I2914">
        <v>2910</v>
      </c>
      <c r="L2914"/>
      <c r="M2914" s="10">
        <v>2.4575483460708258E-2</v>
      </c>
    </row>
    <row r="2915" spans="9:13" x14ac:dyDescent="0.35">
      <c r="I2915">
        <v>2911</v>
      </c>
      <c r="L2915"/>
      <c r="M2915" s="10">
        <v>2.3727608675256806E-2</v>
      </c>
    </row>
    <row r="2916" spans="9:13" x14ac:dyDescent="0.35">
      <c r="I2916">
        <v>2912</v>
      </c>
      <c r="L2916"/>
      <c r="M2916" s="10">
        <v>1.8927404277519266E-2</v>
      </c>
    </row>
    <row r="2917" spans="9:13" x14ac:dyDescent="0.35">
      <c r="I2917">
        <v>2913</v>
      </c>
      <c r="L2917"/>
      <c r="M2917" s="10">
        <v>2.2920427872199722E-2</v>
      </c>
    </row>
    <row r="2918" spans="9:13" x14ac:dyDescent="0.35">
      <c r="I2918">
        <v>2914</v>
      </c>
      <c r="L2918"/>
      <c r="M2918" s="10">
        <v>2.4421567698735935E-2</v>
      </c>
    </row>
    <row r="2919" spans="9:13" x14ac:dyDescent="0.35">
      <c r="I2919">
        <v>2915</v>
      </c>
      <c r="L2919"/>
      <c r="M2919" s="10">
        <v>2.2530831651930372E-2</v>
      </c>
    </row>
    <row r="2920" spans="9:13" x14ac:dyDescent="0.35">
      <c r="I2920">
        <v>2916</v>
      </c>
      <c r="L2920"/>
      <c r="M2920" s="10">
        <v>2.3273715544213758E-2</v>
      </c>
    </row>
    <row r="2921" spans="9:13" x14ac:dyDescent="0.35">
      <c r="I2921">
        <v>2917</v>
      </c>
      <c r="L2921"/>
      <c r="M2921" s="10">
        <v>2.434474097613637E-2</v>
      </c>
    </row>
    <row r="2922" spans="9:13" x14ac:dyDescent="0.35">
      <c r="I2922">
        <v>2918</v>
      </c>
      <c r="L2922"/>
      <c r="M2922" s="10">
        <v>2.350210275903486E-2</v>
      </c>
    </row>
    <row r="2923" spans="9:13" x14ac:dyDescent="0.35">
      <c r="I2923">
        <v>2919</v>
      </c>
      <c r="L2923"/>
      <c r="M2923" s="10">
        <v>2.5985611924664753E-2</v>
      </c>
    </row>
    <row r="2924" spans="9:13" x14ac:dyDescent="0.35">
      <c r="I2924">
        <v>2920</v>
      </c>
      <c r="L2924"/>
      <c r="M2924" s="10">
        <v>2.255694193797686E-2</v>
      </c>
    </row>
    <row r="2925" spans="9:13" x14ac:dyDescent="0.35">
      <c r="I2925">
        <v>2921</v>
      </c>
      <c r="L2925"/>
      <c r="M2925" s="10">
        <v>2.9560887686225223E-2</v>
      </c>
    </row>
    <row r="2926" spans="9:13" x14ac:dyDescent="0.35">
      <c r="I2926">
        <v>2922</v>
      </c>
      <c r="L2926"/>
      <c r="M2926" s="10">
        <v>2.4500984101819778E-2</v>
      </c>
    </row>
    <row r="2927" spans="9:13" x14ac:dyDescent="0.35">
      <c r="I2927">
        <v>2923</v>
      </c>
      <c r="L2927"/>
      <c r="M2927" s="10">
        <v>2.1094100360326662E-2</v>
      </c>
    </row>
    <row r="2928" spans="9:13" x14ac:dyDescent="0.35">
      <c r="I2928">
        <v>2924</v>
      </c>
      <c r="L2928"/>
      <c r="M2928" s="10">
        <v>2.3650343827833931E-2</v>
      </c>
    </row>
    <row r="2929" spans="9:13" x14ac:dyDescent="0.35">
      <c r="I2929">
        <v>2925</v>
      </c>
      <c r="L2929"/>
      <c r="M2929" s="10">
        <v>2.3092405818368689E-2</v>
      </c>
    </row>
    <row r="2930" spans="9:13" x14ac:dyDescent="0.35">
      <c r="I2930">
        <v>2926</v>
      </c>
      <c r="L2930"/>
      <c r="M2930" s="10">
        <v>2.6581926319927174E-2</v>
      </c>
    </row>
    <row r="2931" spans="9:13" x14ac:dyDescent="0.35">
      <c r="I2931">
        <v>2927</v>
      </c>
      <c r="L2931"/>
      <c r="M2931" s="10">
        <v>2.6267402927662165E-2</v>
      </c>
    </row>
    <row r="2932" spans="9:13" x14ac:dyDescent="0.35">
      <c r="I2932">
        <v>2928</v>
      </c>
      <c r="L2932"/>
      <c r="M2932" s="10">
        <v>2.4422301627580079E-2</v>
      </c>
    </row>
    <row r="2933" spans="9:13" x14ac:dyDescent="0.35">
      <c r="I2933">
        <v>2929</v>
      </c>
      <c r="L2933"/>
      <c r="M2933" s="10">
        <v>2.1725766126682644E-2</v>
      </c>
    </row>
    <row r="2934" spans="9:13" x14ac:dyDescent="0.35">
      <c r="I2934">
        <v>2930</v>
      </c>
      <c r="L2934"/>
      <c r="M2934" s="10">
        <v>2.4364907275726488E-2</v>
      </c>
    </row>
    <row r="2935" spans="9:13" x14ac:dyDescent="0.35">
      <c r="I2935">
        <v>2931</v>
      </c>
      <c r="L2935"/>
      <c r="M2935" s="10">
        <v>2.1097518850190067E-2</v>
      </c>
    </row>
    <row r="2936" spans="9:13" x14ac:dyDescent="0.35">
      <c r="I2936">
        <v>2932</v>
      </c>
      <c r="L2936"/>
      <c r="M2936" s="10">
        <v>2.4102785844812513E-2</v>
      </c>
    </row>
    <row r="2937" spans="9:13" x14ac:dyDescent="0.35">
      <c r="I2937">
        <v>2933</v>
      </c>
      <c r="L2937"/>
      <c r="M2937" s="10">
        <v>2.855296897248305E-2</v>
      </c>
    </row>
    <row r="2938" spans="9:13" x14ac:dyDescent="0.35">
      <c r="I2938">
        <v>2934</v>
      </c>
      <c r="L2938"/>
      <c r="M2938" s="10">
        <v>2.5241325753886379E-2</v>
      </c>
    </row>
    <row r="2939" spans="9:13" x14ac:dyDescent="0.35">
      <c r="I2939">
        <v>2935</v>
      </c>
      <c r="L2939"/>
      <c r="M2939" s="10">
        <v>2.6317008703835132E-2</v>
      </c>
    </row>
    <row r="2940" spans="9:13" x14ac:dyDescent="0.35">
      <c r="I2940">
        <v>2936</v>
      </c>
      <c r="L2940"/>
      <c r="M2940" s="10">
        <v>2.6671951204003452E-2</v>
      </c>
    </row>
    <row r="2941" spans="9:13" x14ac:dyDescent="0.35">
      <c r="I2941">
        <v>2937</v>
      </c>
      <c r="L2941"/>
      <c r="M2941" s="10">
        <v>2.1095350550905279E-2</v>
      </c>
    </row>
    <row r="2942" spans="9:13" x14ac:dyDescent="0.35">
      <c r="I2942">
        <v>2938</v>
      </c>
      <c r="L2942"/>
      <c r="M2942" s="10">
        <v>2.6305871403390357E-2</v>
      </c>
    </row>
    <row r="2943" spans="9:13" x14ac:dyDescent="0.35">
      <c r="I2943">
        <v>2939</v>
      </c>
      <c r="L2943"/>
      <c r="M2943" s="10">
        <v>3.2381233913465257E-2</v>
      </c>
    </row>
    <row r="2944" spans="9:13" x14ac:dyDescent="0.35">
      <c r="I2944">
        <v>2940</v>
      </c>
      <c r="L2944"/>
      <c r="M2944" s="10">
        <v>2.8467060229262708E-2</v>
      </c>
    </row>
    <row r="2945" spans="9:13" x14ac:dyDescent="0.35">
      <c r="I2945">
        <v>2941</v>
      </c>
      <c r="L2945"/>
      <c r="M2945" s="10">
        <v>2.5967594390131632E-2</v>
      </c>
    </row>
    <row r="2946" spans="9:13" x14ac:dyDescent="0.35">
      <c r="I2946">
        <v>2942</v>
      </c>
      <c r="L2946"/>
      <c r="M2946" s="10">
        <v>2.0442882227253989E-2</v>
      </c>
    </row>
    <row r="2947" spans="9:13" x14ac:dyDescent="0.35">
      <c r="I2947">
        <v>2943</v>
      </c>
      <c r="L2947"/>
      <c r="M2947" s="10">
        <v>2.2964162217619544E-2</v>
      </c>
    </row>
    <row r="2948" spans="9:13" x14ac:dyDescent="0.35">
      <c r="I2948">
        <v>2944</v>
      </c>
      <c r="L2948"/>
      <c r="M2948" s="10">
        <v>2.5391382110568017E-2</v>
      </c>
    </row>
    <row r="2949" spans="9:13" x14ac:dyDescent="0.35">
      <c r="I2949">
        <v>2945</v>
      </c>
      <c r="L2949"/>
      <c r="M2949" s="10">
        <v>2.3868796492521382E-2</v>
      </c>
    </row>
    <row r="2950" spans="9:13" x14ac:dyDescent="0.35">
      <c r="I2950">
        <v>2946</v>
      </c>
      <c r="L2950"/>
      <c r="M2950" s="10">
        <v>2.972238272858041E-2</v>
      </c>
    </row>
    <row r="2951" spans="9:13" x14ac:dyDescent="0.35">
      <c r="I2951">
        <v>2947</v>
      </c>
      <c r="L2951"/>
      <c r="M2951" s="10">
        <v>2.8741036145841781E-2</v>
      </c>
    </row>
    <row r="2952" spans="9:13" x14ac:dyDescent="0.35">
      <c r="I2952">
        <v>2948</v>
      </c>
      <c r="L2952"/>
      <c r="M2952" s="10">
        <v>1.9824344857275467E-2</v>
      </c>
    </row>
    <row r="2953" spans="9:13" x14ac:dyDescent="0.35">
      <c r="I2953">
        <v>2949</v>
      </c>
      <c r="L2953"/>
      <c r="M2953" s="10">
        <v>2.7681438237176836E-2</v>
      </c>
    </row>
    <row r="2954" spans="9:13" x14ac:dyDescent="0.35">
      <c r="I2954">
        <v>2950</v>
      </c>
      <c r="L2954"/>
      <c r="M2954" s="10">
        <v>3.1890310863040616E-2</v>
      </c>
    </row>
    <row r="2955" spans="9:13" x14ac:dyDescent="0.35">
      <c r="I2955">
        <v>2951</v>
      </c>
      <c r="L2955"/>
      <c r="M2955" s="10">
        <v>2.3904708775012939E-2</v>
      </c>
    </row>
    <row r="2956" spans="9:13" x14ac:dyDescent="0.35">
      <c r="I2956">
        <v>2952</v>
      </c>
      <c r="L2956"/>
      <c r="M2956" s="10">
        <v>2.4772756836564436E-2</v>
      </c>
    </row>
    <row r="2957" spans="9:13" x14ac:dyDescent="0.35">
      <c r="I2957">
        <v>2953</v>
      </c>
      <c r="L2957"/>
      <c r="M2957" s="10">
        <v>2.5710758363137076E-2</v>
      </c>
    </row>
    <row r="2958" spans="9:13" x14ac:dyDescent="0.35">
      <c r="I2958">
        <v>2954</v>
      </c>
      <c r="L2958"/>
      <c r="M2958" s="10">
        <v>2.331073709178344E-2</v>
      </c>
    </row>
    <row r="2959" spans="9:13" x14ac:dyDescent="0.35">
      <c r="I2959">
        <v>2955</v>
      </c>
      <c r="L2959"/>
      <c r="M2959" s="10">
        <v>2.6541719297925592E-2</v>
      </c>
    </row>
    <row r="2960" spans="9:13" x14ac:dyDescent="0.35">
      <c r="I2960">
        <v>2956</v>
      </c>
      <c r="L2960"/>
      <c r="M2960" s="10">
        <v>2.2161026395017158E-2</v>
      </c>
    </row>
    <row r="2961" spans="9:13" x14ac:dyDescent="0.35">
      <c r="I2961">
        <v>2957</v>
      </c>
      <c r="L2961"/>
      <c r="M2961" s="10">
        <v>2.4740445828496327E-2</v>
      </c>
    </row>
    <row r="2962" spans="9:13" x14ac:dyDescent="0.35">
      <c r="I2962">
        <v>2958</v>
      </c>
      <c r="L2962"/>
      <c r="M2962" s="10">
        <v>3.1076925152055956E-2</v>
      </c>
    </row>
    <row r="2963" spans="9:13" x14ac:dyDescent="0.35">
      <c r="I2963">
        <v>2959</v>
      </c>
      <c r="L2963"/>
      <c r="M2963" s="10">
        <v>2.5700124766708909E-2</v>
      </c>
    </row>
    <row r="2964" spans="9:13" x14ac:dyDescent="0.35">
      <c r="I2964">
        <v>2960</v>
      </c>
      <c r="L2964"/>
      <c r="M2964" s="10">
        <v>2.6175400900673051E-2</v>
      </c>
    </row>
    <row r="2965" spans="9:13" x14ac:dyDescent="0.35">
      <c r="I2965">
        <v>2961</v>
      </c>
      <c r="L2965"/>
      <c r="M2965" s="10">
        <v>2.2446662850285404E-2</v>
      </c>
    </row>
    <row r="2966" spans="9:13" x14ac:dyDescent="0.35">
      <c r="I2966">
        <v>2962</v>
      </c>
      <c r="L2966"/>
      <c r="M2966" s="10">
        <v>2.6811230248152462E-2</v>
      </c>
    </row>
    <row r="2967" spans="9:13" x14ac:dyDescent="0.35">
      <c r="I2967">
        <v>2963</v>
      </c>
      <c r="L2967"/>
      <c r="M2967" s="10">
        <v>2.639907478538861E-2</v>
      </c>
    </row>
    <row r="2968" spans="9:13" x14ac:dyDescent="0.35">
      <c r="I2968">
        <v>2964</v>
      </c>
      <c r="L2968"/>
      <c r="M2968" s="10">
        <v>2.339054138881913E-2</v>
      </c>
    </row>
    <row r="2969" spans="9:13" x14ac:dyDescent="0.35">
      <c r="I2969">
        <v>2965</v>
      </c>
      <c r="L2969"/>
      <c r="M2969" s="10">
        <v>1.9604801066435695E-2</v>
      </c>
    </row>
    <row r="2970" spans="9:13" x14ac:dyDescent="0.35">
      <c r="I2970">
        <v>2966</v>
      </c>
      <c r="L2970"/>
      <c r="M2970" s="10">
        <v>2.4897844264223368E-2</v>
      </c>
    </row>
    <row r="2971" spans="9:13" x14ac:dyDescent="0.35">
      <c r="I2971">
        <v>2967</v>
      </c>
      <c r="L2971"/>
      <c r="M2971" s="10">
        <v>2.6377302493213683E-2</v>
      </c>
    </row>
    <row r="2972" spans="9:13" x14ac:dyDescent="0.35">
      <c r="I2972">
        <v>2968</v>
      </c>
      <c r="L2972"/>
      <c r="M2972" s="10">
        <v>2.6627600135106233E-2</v>
      </c>
    </row>
    <row r="2973" spans="9:13" x14ac:dyDescent="0.35">
      <c r="I2973">
        <v>2969</v>
      </c>
      <c r="L2973"/>
      <c r="M2973" s="10">
        <v>2.6929016060523558E-2</v>
      </c>
    </row>
    <row r="2974" spans="9:13" x14ac:dyDescent="0.35">
      <c r="I2974">
        <v>2970</v>
      </c>
      <c r="L2974"/>
      <c r="M2974" s="10">
        <v>2.4029605046299918E-2</v>
      </c>
    </row>
    <row r="2975" spans="9:13" x14ac:dyDescent="0.35">
      <c r="I2975">
        <v>2971</v>
      </c>
      <c r="L2975"/>
      <c r="M2975" s="10">
        <v>2.2305133184034487E-2</v>
      </c>
    </row>
    <row r="2976" spans="9:13" x14ac:dyDescent="0.35">
      <c r="I2976">
        <v>2972</v>
      </c>
      <c r="L2976"/>
      <c r="M2976" s="10">
        <v>2.500329700234849E-2</v>
      </c>
    </row>
    <row r="2977" spans="9:13" x14ac:dyDescent="0.35">
      <c r="I2977">
        <v>2973</v>
      </c>
      <c r="L2977"/>
      <c r="M2977" s="10">
        <v>2.3065260218249284E-2</v>
      </c>
    </row>
    <row r="2978" spans="9:13" x14ac:dyDescent="0.35">
      <c r="I2978">
        <v>2974</v>
      </c>
      <c r="L2978"/>
      <c r="M2978" s="10">
        <v>2.697210298582231E-2</v>
      </c>
    </row>
    <row r="2979" spans="9:13" x14ac:dyDescent="0.35">
      <c r="I2979">
        <v>2975</v>
      </c>
      <c r="L2979"/>
      <c r="M2979" s="10">
        <v>2.7891718618137773E-2</v>
      </c>
    </row>
    <row r="2980" spans="9:13" x14ac:dyDescent="0.35">
      <c r="I2980">
        <v>2976</v>
      </c>
      <c r="L2980"/>
      <c r="M2980" s="10">
        <v>2.3017575772909749E-2</v>
      </c>
    </row>
    <row r="2981" spans="9:13" x14ac:dyDescent="0.35">
      <c r="I2981">
        <v>2977</v>
      </c>
      <c r="L2981"/>
      <c r="M2981" s="10">
        <v>2.4626028275117173E-2</v>
      </c>
    </row>
    <row r="2982" spans="9:13" x14ac:dyDescent="0.35">
      <c r="I2982">
        <v>2978</v>
      </c>
      <c r="L2982"/>
      <c r="M2982" s="10">
        <v>2.7514908945259542E-2</v>
      </c>
    </row>
    <row r="2983" spans="9:13" x14ac:dyDescent="0.35">
      <c r="I2983">
        <v>2979</v>
      </c>
      <c r="L2983"/>
      <c r="M2983" s="10">
        <v>2.7531245140900662E-2</v>
      </c>
    </row>
    <row r="2984" spans="9:13" x14ac:dyDescent="0.35">
      <c r="I2984">
        <v>2980</v>
      </c>
      <c r="L2984"/>
      <c r="M2984" s="10">
        <v>2.3451136563426456E-2</v>
      </c>
    </row>
    <row r="2985" spans="9:13" x14ac:dyDescent="0.35">
      <c r="I2985">
        <v>2981</v>
      </c>
      <c r="L2985"/>
      <c r="M2985" s="10">
        <v>2.6647148315916969E-2</v>
      </c>
    </row>
    <row r="2986" spans="9:13" x14ac:dyDescent="0.35">
      <c r="I2986">
        <v>2982</v>
      </c>
      <c r="L2986"/>
      <c r="M2986" s="10">
        <v>2.4009440142011784E-2</v>
      </c>
    </row>
    <row r="2987" spans="9:13" x14ac:dyDescent="0.35">
      <c r="I2987">
        <v>2983</v>
      </c>
      <c r="L2987"/>
      <c r="M2987" s="10">
        <v>3.2303186301628761E-2</v>
      </c>
    </row>
    <row r="2988" spans="9:13" x14ac:dyDescent="0.35">
      <c r="I2988">
        <v>2984</v>
      </c>
      <c r="L2988"/>
      <c r="M2988" s="10">
        <v>2.2182049410026106E-2</v>
      </c>
    </row>
    <row r="2989" spans="9:13" x14ac:dyDescent="0.35">
      <c r="I2989">
        <v>2985</v>
      </c>
      <c r="L2989"/>
      <c r="M2989" s="10">
        <v>2.4404863143370759E-2</v>
      </c>
    </row>
    <row r="2990" spans="9:13" x14ac:dyDescent="0.35">
      <c r="I2990">
        <v>2986</v>
      </c>
      <c r="L2990"/>
      <c r="M2990" s="10">
        <v>2.5854721436049943E-2</v>
      </c>
    </row>
    <row r="2991" spans="9:13" x14ac:dyDescent="0.35">
      <c r="I2991">
        <v>2987</v>
      </c>
      <c r="L2991"/>
      <c r="M2991" s="10">
        <v>2.7613325175473991E-2</v>
      </c>
    </row>
    <row r="2992" spans="9:13" x14ac:dyDescent="0.35">
      <c r="I2992">
        <v>2988</v>
      </c>
      <c r="L2992"/>
      <c r="M2992" s="10">
        <v>3.1360040296637193E-2</v>
      </c>
    </row>
    <row r="2993" spans="9:13" x14ac:dyDescent="0.35">
      <c r="I2993">
        <v>2989</v>
      </c>
      <c r="L2993"/>
      <c r="M2993" s="10">
        <v>2.7905359090343751E-2</v>
      </c>
    </row>
    <row r="2994" spans="9:13" x14ac:dyDescent="0.35">
      <c r="I2994">
        <v>2990</v>
      </c>
      <c r="L2994"/>
      <c r="M2994" s="10">
        <v>2.4150434012300437E-2</v>
      </c>
    </row>
    <row r="2995" spans="9:13" x14ac:dyDescent="0.35">
      <c r="I2995">
        <v>2991</v>
      </c>
      <c r="L2995"/>
      <c r="M2995" s="10">
        <v>2.5912502286553396E-2</v>
      </c>
    </row>
    <row r="2996" spans="9:13" x14ac:dyDescent="0.35">
      <c r="I2996">
        <v>2992</v>
      </c>
      <c r="L2996"/>
      <c r="M2996" s="10">
        <v>2.4593918190534914E-2</v>
      </c>
    </row>
    <row r="2997" spans="9:13" x14ac:dyDescent="0.35">
      <c r="I2997">
        <v>2993</v>
      </c>
      <c r="L2997"/>
      <c r="M2997" s="10">
        <v>2.4980348470600156E-2</v>
      </c>
    </row>
    <row r="2998" spans="9:13" x14ac:dyDescent="0.35">
      <c r="I2998">
        <v>2994</v>
      </c>
      <c r="L2998"/>
      <c r="M2998" s="10">
        <v>3.9620409437469473E-2</v>
      </c>
    </row>
    <row r="2999" spans="9:13" x14ac:dyDescent="0.35">
      <c r="I2999">
        <v>2995</v>
      </c>
      <c r="L2999"/>
      <c r="M2999" s="10">
        <v>2.3391872506912881E-2</v>
      </c>
    </row>
    <row r="3000" spans="9:13" x14ac:dyDescent="0.35">
      <c r="I3000">
        <v>2996</v>
      </c>
      <c r="L3000"/>
      <c r="M3000" s="10">
        <v>2.0099629567116528E-2</v>
      </c>
    </row>
    <row r="3001" spans="9:13" x14ac:dyDescent="0.35">
      <c r="I3001">
        <v>2997</v>
      </c>
      <c r="L3001"/>
      <c r="M3001" s="10">
        <v>2.6583427664863102E-2</v>
      </c>
    </row>
    <row r="3002" spans="9:13" x14ac:dyDescent="0.35">
      <c r="I3002">
        <v>2998</v>
      </c>
      <c r="L3002"/>
      <c r="M3002" s="10">
        <v>2.2873925247641536E-2</v>
      </c>
    </row>
    <row r="3003" spans="9:13" x14ac:dyDescent="0.35">
      <c r="I3003">
        <v>2999</v>
      </c>
      <c r="L3003"/>
      <c r="M3003" s="10">
        <v>2.9548268575072312E-2</v>
      </c>
    </row>
    <row r="3004" spans="9:13" x14ac:dyDescent="0.35">
      <c r="I3004">
        <v>3000</v>
      </c>
      <c r="L3004"/>
      <c r="M3004" s="10">
        <v>2.484327260828556E-2</v>
      </c>
    </row>
    <row r="3005" spans="9:13" x14ac:dyDescent="0.35">
      <c r="I3005">
        <v>3001</v>
      </c>
      <c r="L3005"/>
      <c r="M3005" s="10">
        <v>2.4778900351204669E-2</v>
      </c>
    </row>
    <row r="3006" spans="9:13" x14ac:dyDescent="0.35">
      <c r="I3006">
        <v>3002</v>
      </c>
      <c r="L3006"/>
      <c r="M3006" s="10">
        <v>2.5278657058496745E-2</v>
      </c>
    </row>
    <row r="3007" spans="9:13" x14ac:dyDescent="0.35">
      <c r="I3007">
        <v>3003</v>
      </c>
      <c r="L3007"/>
      <c r="M3007" s="10">
        <v>2.9074733777985529E-2</v>
      </c>
    </row>
    <row r="3008" spans="9:13" x14ac:dyDescent="0.35">
      <c r="I3008">
        <v>3004</v>
      </c>
      <c r="L3008"/>
      <c r="M3008" s="10">
        <v>2.8265609319263252E-2</v>
      </c>
    </row>
    <row r="3009" spans="9:13" x14ac:dyDescent="0.35">
      <c r="I3009">
        <v>3005</v>
      </c>
      <c r="L3009"/>
      <c r="M3009" s="10">
        <v>2.2709974473792638E-2</v>
      </c>
    </row>
    <row r="3010" spans="9:13" x14ac:dyDescent="0.35">
      <c r="I3010">
        <v>3006</v>
      </c>
      <c r="L3010"/>
      <c r="M3010" s="10">
        <v>2.9406352410171532E-2</v>
      </c>
    </row>
    <row r="3011" spans="9:13" x14ac:dyDescent="0.35">
      <c r="I3011">
        <v>3007</v>
      </c>
      <c r="L3011"/>
      <c r="M3011" s="10">
        <v>1.8944312546974262E-2</v>
      </c>
    </row>
    <row r="3012" spans="9:13" x14ac:dyDescent="0.35">
      <c r="I3012">
        <v>3008</v>
      </c>
      <c r="L3012"/>
      <c r="M3012" s="10">
        <v>2.4618620616878473E-2</v>
      </c>
    </row>
    <row r="3013" spans="9:13" x14ac:dyDescent="0.35">
      <c r="I3013">
        <v>3009</v>
      </c>
      <c r="L3013"/>
      <c r="M3013" s="10">
        <v>2.7885456502828809E-2</v>
      </c>
    </row>
    <row r="3014" spans="9:13" x14ac:dyDescent="0.35">
      <c r="I3014">
        <v>3010</v>
      </c>
      <c r="L3014"/>
      <c r="M3014" s="10">
        <v>2.1342006454616813E-2</v>
      </c>
    </row>
    <row r="3015" spans="9:13" x14ac:dyDescent="0.35">
      <c r="I3015">
        <v>3011</v>
      </c>
      <c r="L3015"/>
      <c r="M3015" s="10">
        <v>1.9974254707248673E-2</v>
      </c>
    </row>
    <row r="3016" spans="9:13" x14ac:dyDescent="0.35">
      <c r="I3016">
        <v>3012</v>
      </c>
      <c r="L3016"/>
      <c r="M3016" s="10">
        <v>2.1789796534777195E-2</v>
      </c>
    </row>
    <row r="3017" spans="9:13" x14ac:dyDescent="0.35">
      <c r="I3017">
        <v>3013</v>
      </c>
      <c r="L3017"/>
      <c r="M3017" s="10">
        <v>2.4896588492436811E-2</v>
      </c>
    </row>
    <row r="3018" spans="9:13" x14ac:dyDescent="0.35">
      <c r="I3018">
        <v>3014</v>
      </c>
      <c r="L3018"/>
      <c r="M3018" s="10">
        <v>3.3274841116779141E-2</v>
      </c>
    </row>
    <row r="3019" spans="9:13" x14ac:dyDescent="0.35">
      <c r="I3019">
        <v>3015</v>
      </c>
      <c r="L3019"/>
      <c r="M3019" s="10">
        <v>2.1573233108977519E-2</v>
      </c>
    </row>
    <row r="3020" spans="9:13" x14ac:dyDescent="0.35">
      <c r="I3020">
        <v>3016</v>
      </c>
      <c r="L3020"/>
      <c r="M3020" s="10">
        <v>2.6089790752077513E-2</v>
      </c>
    </row>
    <row r="3021" spans="9:13" x14ac:dyDescent="0.35">
      <c r="I3021">
        <v>3017</v>
      </c>
      <c r="L3021"/>
      <c r="M3021" s="10">
        <v>2.7529333577181125E-2</v>
      </c>
    </row>
    <row r="3022" spans="9:13" x14ac:dyDescent="0.35">
      <c r="I3022">
        <v>3018</v>
      </c>
      <c r="L3022"/>
      <c r="M3022" s="10">
        <v>2.3615768244644064E-2</v>
      </c>
    </row>
    <row r="3023" spans="9:13" x14ac:dyDescent="0.35">
      <c r="I3023">
        <v>3019</v>
      </c>
      <c r="L3023"/>
      <c r="M3023" s="10">
        <v>2.7938731923222493E-2</v>
      </c>
    </row>
    <row r="3024" spans="9:13" x14ac:dyDescent="0.35">
      <c r="I3024">
        <v>3020</v>
      </c>
      <c r="L3024"/>
      <c r="M3024" s="10">
        <v>2.8900262427169254E-2</v>
      </c>
    </row>
    <row r="3025" spans="9:13" x14ac:dyDescent="0.35">
      <c r="I3025">
        <v>3021</v>
      </c>
      <c r="L3025"/>
      <c r="M3025" s="10">
        <v>2.3401455440946295E-2</v>
      </c>
    </row>
    <row r="3026" spans="9:13" x14ac:dyDescent="0.35">
      <c r="I3026">
        <v>3022</v>
      </c>
      <c r="L3026"/>
      <c r="M3026" s="10">
        <v>2.6213576362984381E-2</v>
      </c>
    </row>
    <row r="3027" spans="9:13" x14ac:dyDescent="0.35">
      <c r="I3027">
        <v>3023</v>
      </c>
      <c r="L3027"/>
      <c r="M3027" s="10">
        <v>2.438821858599094E-2</v>
      </c>
    </row>
    <row r="3028" spans="9:13" x14ac:dyDescent="0.35">
      <c r="I3028">
        <v>3024</v>
      </c>
      <c r="L3028"/>
      <c r="M3028" s="10">
        <v>2.5226733685726588E-2</v>
      </c>
    </row>
    <row r="3029" spans="9:13" x14ac:dyDescent="0.35">
      <c r="I3029">
        <v>3025</v>
      </c>
      <c r="L3029"/>
      <c r="M3029" s="10">
        <v>2.0255419219654791E-2</v>
      </c>
    </row>
    <row r="3030" spans="9:13" x14ac:dyDescent="0.35">
      <c r="I3030">
        <v>3026</v>
      </c>
      <c r="L3030"/>
      <c r="M3030" s="10">
        <v>2.1454798481183368E-2</v>
      </c>
    </row>
    <row r="3031" spans="9:13" x14ac:dyDescent="0.35">
      <c r="I3031">
        <v>3027</v>
      </c>
      <c r="L3031"/>
      <c r="M3031" s="10">
        <v>2.4242346739962506E-2</v>
      </c>
    </row>
    <row r="3032" spans="9:13" x14ac:dyDescent="0.35">
      <c r="I3032">
        <v>3028</v>
      </c>
      <c r="L3032"/>
      <c r="M3032" s="10">
        <v>3.0839419638762466E-2</v>
      </c>
    </row>
    <row r="3033" spans="9:13" x14ac:dyDescent="0.35">
      <c r="I3033">
        <v>3029</v>
      </c>
      <c r="L3033"/>
      <c r="M3033" s="10">
        <v>2.6248534258918155E-2</v>
      </c>
    </row>
    <row r="3034" spans="9:13" x14ac:dyDescent="0.35">
      <c r="I3034">
        <v>3030</v>
      </c>
      <c r="L3034"/>
      <c r="M3034" s="10">
        <v>2.0482353925109442E-2</v>
      </c>
    </row>
    <row r="3035" spans="9:13" x14ac:dyDescent="0.35">
      <c r="I3035">
        <v>3031</v>
      </c>
      <c r="L3035"/>
      <c r="M3035" s="10">
        <v>3.1392578738928867E-2</v>
      </c>
    </row>
    <row r="3036" spans="9:13" x14ac:dyDescent="0.35">
      <c r="I3036">
        <v>3032</v>
      </c>
      <c r="L3036"/>
      <c r="M3036" s="10">
        <v>2.4979836394771637E-2</v>
      </c>
    </row>
    <row r="3037" spans="9:13" x14ac:dyDescent="0.35">
      <c r="I3037">
        <v>3033</v>
      </c>
      <c r="L3037"/>
      <c r="M3037" s="10">
        <v>2.7687876160535918E-2</v>
      </c>
    </row>
    <row r="3038" spans="9:13" x14ac:dyDescent="0.35">
      <c r="I3038">
        <v>3034</v>
      </c>
      <c r="L3038"/>
      <c r="M3038" s="10">
        <v>2.9853772735305872E-2</v>
      </c>
    </row>
    <row r="3039" spans="9:13" x14ac:dyDescent="0.35">
      <c r="I3039">
        <v>3035</v>
      </c>
      <c r="L3039"/>
      <c r="M3039" s="10">
        <v>2.0125085456532021E-2</v>
      </c>
    </row>
    <row r="3040" spans="9:13" x14ac:dyDescent="0.35">
      <c r="I3040">
        <v>3036</v>
      </c>
      <c r="L3040"/>
      <c r="M3040" s="10">
        <v>2.1280332711575034E-2</v>
      </c>
    </row>
    <row r="3041" spans="9:13" x14ac:dyDescent="0.35">
      <c r="I3041">
        <v>3037</v>
      </c>
      <c r="L3041"/>
      <c r="M3041" s="10">
        <v>2.4527620416714635E-2</v>
      </c>
    </row>
    <row r="3042" spans="9:13" x14ac:dyDescent="0.35">
      <c r="I3042">
        <v>3038</v>
      </c>
      <c r="L3042"/>
      <c r="M3042" s="10">
        <v>2.5731439529159683E-2</v>
      </c>
    </row>
    <row r="3043" spans="9:13" x14ac:dyDescent="0.35">
      <c r="I3043">
        <v>3039</v>
      </c>
      <c r="L3043"/>
      <c r="M3043" s="10">
        <v>2.4971711551312614E-2</v>
      </c>
    </row>
    <row r="3044" spans="9:13" x14ac:dyDescent="0.35">
      <c r="I3044">
        <v>3040</v>
      </c>
      <c r="L3044"/>
      <c r="M3044" s="10">
        <v>2.6494039038492012E-2</v>
      </c>
    </row>
    <row r="3045" spans="9:13" x14ac:dyDescent="0.35">
      <c r="I3045">
        <v>3041</v>
      </c>
      <c r="L3045"/>
      <c r="M3045" s="10">
        <v>2.5080418133666904E-2</v>
      </c>
    </row>
    <row r="3046" spans="9:13" x14ac:dyDescent="0.35">
      <c r="I3046">
        <v>3042</v>
      </c>
      <c r="L3046"/>
      <c r="M3046" s="10">
        <v>2.3526463336392078E-2</v>
      </c>
    </row>
    <row r="3047" spans="9:13" x14ac:dyDescent="0.35">
      <c r="I3047">
        <v>3043</v>
      </c>
      <c r="L3047"/>
      <c r="M3047" s="10">
        <v>2.3469165260375457E-2</v>
      </c>
    </row>
    <row r="3048" spans="9:13" x14ac:dyDescent="0.35">
      <c r="I3048">
        <v>3044</v>
      </c>
      <c r="L3048"/>
      <c r="M3048" s="10">
        <v>2.2596281082143732E-2</v>
      </c>
    </row>
    <row r="3049" spans="9:13" x14ac:dyDescent="0.35">
      <c r="I3049">
        <v>3045</v>
      </c>
      <c r="L3049"/>
      <c r="M3049" s="10">
        <v>2.7288702587441094E-2</v>
      </c>
    </row>
    <row r="3050" spans="9:13" x14ac:dyDescent="0.35">
      <c r="I3050">
        <v>3046</v>
      </c>
      <c r="L3050"/>
      <c r="M3050" s="10">
        <v>2.2628851616381063E-2</v>
      </c>
    </row>
    <row r="3051" spans="9:13" x14ac:dyDescent="0.35">
      <c r="I3051">
        <v>3047</v>
      </c>
      <c r="L3051"/>
      <c r="M3051" s="10">
        <v>2.9276343752411282E-2</v>
      </c>
    </row>
    <row r="3052" spans="9:13" x14ac:dyDescent="0.35">
      <c r="I3052">
        <v>3048</v>
      </c>
      <c r="L3052"/>
      <c r="M3052" s="10">
        <v>2.8549932795363553E-2</v>
      </c>
    </row>
    <row r="3053" spans="9:13" x14ac:dyDescent="0.35">
      <c r="I3053">
        <v>3049</v>
      </c>
      <c r="L3053"/>
      <c r="M3053" s="10">
        <v>2.105289569740576E-2</v>
      </c>
    </row>
    <row r="3054" spans="9:13" x14ac:dyDescent="0.35">
      <c r="I3054">
        <v>3050</v>
      </c>
      <c r="L3054"/>
      <c r="M3054" s="10">
        <v>2.3500475836920276E-2</v>
      </c>
    </row>
    <row r="3055" spans="9:13" x14ac:dyDescent="0.35">
      <c r="I3055">
        <v>3051</v>
      </c>
      <c r="L3055"/>
      <c r="M3055" s="10">
        <v>2.7544773988947835E-2</v>
      </c>
    </row>
    <row r="3056" spans="9:13" x14ac:dyDescent="0.35">
      <c r="I3056">
        <v>3052</v>
      </c>
      <c r="L3056"/>
      <c r="M3056" s="10">
        <v>2.5690688339383927E-2</v>
      </c>
    </row>
    <row r="3057" spans="9:13" x14ac:dyDescent="0.35">
      <c r="I3057">
        <v>3053</v>
      </c>
      <c r="L3057"/>
      <c r="M3057" s="10">
        <v>2.14166453437038E-2</v>
      </c>
    </row>
    <row r="3058" spans="9:13" x14ac:dyDescent="0.35">
      <c r="I3058">
        <v>3054</v>
      </c>
      <c r="L3058"/>
      <c r="M3058" s="10">
        <v>3.7279709430010799E-2</v>
      </c>
    </row>
    <row r="3059" spans="9:13" x14ac:dyDescent="0.35">
      <c r="I3059">
        <v>3055</v>
      </c>
      <c r="L3059"/>
      <c r="M3059" s="10">
        <v>3.5753876944244922E-2</v>
      </c>
    </row>
    <row r="3060" spans="9:13" x14ac:dyDescent="0.35">
      <c r="I3060">
        <v>3056</v>
      </c>
      <c r="L3060"/>
      <c r="M3060" s="10">
        <v>2.700542000662165E-2</v>
      </c>
    </row>
    <row r="3061" spans="9:13" x14ac:dyDescent="0.35">
      <c r="I3061">
        <v>3057</v>
      </c>
      <c r="L3061"/>
      <c r="M3061" s="10">
        <v>2.408792866927556E-2</v>
      </c>
    </row>
    <row r="3062" spans="9:13" x14ac:dyDescent="0.35">
      <c r="I3062">
        <v>3058</v>
      </c>
      <c r="L3062"/>
      <c r="M3062" s="10">
        <v>2.8567706152049288E-2</v>
      </c>
    </row>
    <row r="3063" spans="9:13" x14ac:dyDescent="0.35">
      <c r="I3063">
        <v>3059</v>
      </c>
      <c r="L3063"/>
      <c r="M3063" s="10">
        <v>2.1572878702273313E-2</v>
      </c>
    </row>
    <row r="3064" spans="9:13" x14ac:dyDescent="0.35">
      <c r="I3064">
        <v>3060</v>
      </c>
      <c r="L3064"/>
      <c r="M3064" s="10">
        <v>2.5962678741238254E-2</v>
      </c>
    </row>
    <row r="3065" spans="9:13" x14ac:dyDescent="0.35">
      <c r="I3065">
        <v>3061</v>
      </c>
      <c r="L3065"/>
      <c r="M3065" s="10">
        <v>2.6757393916360783E-2</v>
      </c>
    </row>
    <row r="3066" spans="9:13" x14ac:dyDescent="0.35">
      <c r="I3066">
        <v>3062</v>
      </c>
      <c r="L3066"/>
      <c r="M3066" s="10">
        <v>2.7448994879485156E-2</v>
      </c>
    </row>
    <row r="3067" spans="9:13" x14ac:dyDescent="0.35">
      <c r="I3067">
        <v>3063</v>
      </c>
      <c r="L3067"/>
      <c r="M3067" s="10">
        <v>2.6184794073636497E-2</v>
      </c>
    </row>
    <row r="3068" spans="9:13" x14ac:dyDescent="0.35">
      <c r="I3068">
        <v>3064</v>
      </c>
      <c r="L3068"/>
      <c r="M3068" s="10">
        <v>2.180943541021696E-2</v>
      </c>
    </row>
    <row r="3069" spans="9:13" x14ac:dyDescent="0.35">
      <c r="I3069">
        <v>3065</v>
      </c>
      <c r="L3069"/>
      <c r="M3069" s="10">
        <v>2.0892127607384792E-2</v>
      </c>
    </row>
    <row r="3070" spans="9:13" x14ac:dyDescent="0.35">
      <c r="I3070">
        <v>3066</v>
      </c>
      <c r="L3070"/>
      <c r="M3070" s="10">
        <v>2.6252117394415797E-2</v>
      </c>
    </row>
    <row r="3071" spans="9:13" x14ac:dyDescent="0.35">
      <c r="I3071">
        <v>3067</v>
      </c>
      <c r="L3071"/>
      <c r="M3071" s="10">
        <v>2.1737115513029148E-2</v>
      </c>
    </row>
    <row r="3072" spans="9:13" x14ac:dyDescent="0.35">
      <c r="I3072">
        <v>3068</v>
      </c>
      <c r="L3072"/>
      <c r="M3072" s="10">
        <v>2.4859106495212058E-2</v>
      </c>
    </row>
    <row r="3073" spans="9:13" x14ac:dyDescent="0.35">
      <c r="I3073">
        <v>3069</v>
      </c>
      <c r="L3073"/>
      <c r="M3073" s="10">
        <v>2.4300191774357272E-2</v>
      </c>
    </row>
    <row r="3074" spans="9:13" x14ac:dyDescent="0.35">
      <c r="I3074">
        <v>3070</v>
      </c>
      <c r="L3074"/>
      <c r="M3074" s="10">
        <v>2.4885798622186317E-2</v>
      </c>
    </row>
    <row r="3075" spans="9:13" x14ac:dyDescent="0.35">
      <c r="I3075">
        <v>3071</v>
      </c>
      <c r="L3075"/>
      <c r="M3075" s="10">
        <v>2.1106425062760725E-2</v>
      </c>
    </row>
    <row r="3076" spans="9:13" x14ac:dyDescent="0.35">
      <c r="I3076">
        <v>3072</v>
      </c>
      <c r="L3076"/>
      <c r="M3076" s="10">
        <v>3.0228899673990117E-2</v>
      </c>
    </row>
    <row r="3077" spans="9:13" x14ac:dyDescent="0.35">
      <c r="I3077">
        <v>3073</v>
      </c>
      <c r="L3077"/>
      <c r="M3077" s="10">
        <v>2.7304148580415744E-2</v>
      </c>
    </row>
    <row r="3078" spans="9:13" x14ac:dyDescent="0.35">
      <c r="I3078">
        <v>3074</v>
      </c>
      <c r="L3078"/>
      <c r="M3078" s="10">
        <v>2.2232972351272973E-2</v>
      </c>
    </row>
    <row r="3079" spans="9:13" x14ac:dyDescent="0.35">
      <c r="I3079">
        <v>3075</v>
      </c>
      <c r="L3079"/>
      <c r="M3079" s="10">
        <v>2.3125171694883928E-2</v>
      </c>
    </row>
    <row r="3080" spans="9:13" x14ac:dyDescent="0.35">
      <c r="I3080">
        <v>3076</v>
      </c>
      <c r="L3080"/>
      <c r="M3080" s="10">
        <v>2.7589755734342303E-2</v>
      </c>
    </row>
    <row r="3081" spans="9:13" x14ac:dyDescent="0.35">
      <c r="I3081">
        <v>3077</v>
      </c>
      <c r="L3081"/>
      <c r="M3081" s="10">
        <v>2.4932864948746469E-2</v>
      </c>
    </row>
    <row r="3082" spans="9:13" x14ac:dyDescent="0.35">
      <c r="I3082">
        <v>3078</v>
      </c>
      <c r="L3082"/>
      <c r="M3082" s="10">
        <v>3.2708035963198823E-2</v>
      </c>
    </row>
    <row r="3083" spans="9:13" x14ac:dyDescent="0.35">
      <c r="I3083">
        <v>3079</v>
      </c>
      <c r="L3083"/>
      <c r="M3083" s="10">
        <v>2.5790781722584422E-2</v>
      </c>
    </row>
    <row r="3084" spans="9:13" x14ac:dyDescent="0.35">
      <c r="I3084">
        <v>3080</v>
      </c>
      <c r="L3084"/>
      <c r="M3084" s="10">
        <v>2.6831727234313041E-2</v>
      </c>
    </row>
    <row r="3085" spans="9:13" x14ac:dyDescent="0.35">
      <c r="I3085">
        <v>3081</v>
      </c>
      <c r="L3085"/>
      <c r="M3085" s="10">
        <v>2.4679440435105393E-2</v>
      </c>
    </row>
    <row r="3086" spans="9:13" x14ac:dyDescent="0.35">
      <c r="I3086">
        <v>3082</v>
      </c>
      <c r="L3086"/>
      <c r="M3086" s="10">
        <v>2.9362433884889683E-2</v>
      </c>
    </row>
    <row r="3087" spans="9:13" x14ac:dyDescent="0.35">
      <c r="I3087">
        <v>3083</v>
      </c>
      <c r="L3087"/>
      <c r="M3087" s="10">
        <v>2.1403018824517672E-2</v>
      </c>
    </row>
    <row r="3088" spans="9:13" x14ac:dyDescent="0.35">
      <c r="I3088">
        <v>3084</v>
      </c>
      <c r="L3088"/>
      <c r="M3088" s="10">
        <v>2.8252811609456252E-2</v>
      </c>
    </row>
    <row r="3089" spans="9:13" x14ac:dyDescent="0.35">
      <c r="I3089">
        <v>3085</v>
      </c>
      <c r="L3089"/>
      <c r="M3089" s="10">
        <v>2.5575973586681955E-2</v>
      </c>
    </row>
    <row r="3090" spans="9:13" x14ac:dyDescent="0.35">
      <c r="I3090">
        <v>3086</v>
      </c>
      <c r="L3090"/>
      <c r="M3090" s="10">
        <v>2.192842397289918E-2</v>
      </c>
    </row>
    <row r="3091" spans="9:13" x14ac:dyDescent="0.35">
      <c r="I3091">
        <v>3087</v>
      </c>
      <c r="L3091"/>
      <c r="M3091" s="10">
        <v>2.1638294645239031E-2</v>
      </c>
    </row>
    <row r="3092" spans="9:13" x14ac:dyDescent="0.35">
      <c r="I3092">
        <v>3088</v>
      </c>
      <c r="L3092"/>
      <c r="M3092" s="10">
        <v>2.6211742936176008E-2</v>
      </c>
    </row>
    <row r="3093" spans="9:13" x14ac:dyDescent="0.35">
      <c r="I3093">
        <v>3089</v>
      </c>
      <c r="L3093"/>
      <c r="M3093" s="10">
        <v>2.692088144995064E-2</v>
      </c>
    </row>
    <row r="3094" spans="9:13" x14ac:dyDescent="0.35">
      <c r="I3094">
        <v>3090</v>
      </c>
      <c r="L3094"/>
      <c r="M3094" s="10">
        <v>2.4811946683418906E-2</v>
      </c>
    </row>
    <row r="3095" spans="9:13" x14ac:dyDescent="0.35">
      <c r="I3095">
        <v>3091</v>
      </c>
      <c r="L3095"/>
      <c r="M3095" s="10">
        <v>2.6243172113389557E-2</v>
      </c>
    </row>
    <row r="3096" spans="9:13" x14ac:dyDescent="0.35">
      <c r="I3096">
        <v>3092</v>
      </c>
      <c r="L3096"/>
      <c r="M3096" s="10">
        <v>2.6216212088434165E-2</v>
      </c>
    </row>
    <row r="3097" spans="9:13" x14ac:dyDescent="0.35">
      <c r="I3097">
        <v>3093</v>
      </c>
      <c r="L3097"/>
      <c r="M3097" s="10">
        <v>2.1468317562116646E-2</v>
      </c>
    </row>
    <row r="3098" spans="9:13" x14ac:dyDescent="0.35">
      <c r="I3098">
        <v>3094</v>
      </c>
      <c r="L3098"/>
      <c r="M3098" s="10">
        <v>2.5801091608952054E-2</v>
      </c>
    </row>
    <row r="3099" spans="9:13" x14ac:dyDescent="0.35">
      <c r="I3099">
        <v>3095</v>
      </c>
      <c r="L3099"/>
      <c r="M3099" s="10">
        <v>2.6289561718486953E-2</v>
      </c>
    </row>
    <row r="3100" spans="9:13" x14ac:dyDescent="0.35">
      <c r="I3100">
        <v>3096</v>
      </c>
      <c r="L3100"/>
      <c r="M3100" s="10">
        <v>2.635946634793862E-2</v>
      </c>
    </row>
    <row r="3101" spans="9:13" x14ac:dyDescent="0.35">
      <c r="I3101">
        <v>3097</v>
      </c>
      <c r="L3101"/>
      <c r="M3101" s="10">
        <v>2.7061218133004328E-2</v>
      </c>
    </row>
    <row r="3102" spans="9:13" x14ac:dyDescent="0.35">
      <c r="I3102">
        <v>3098</v>
      </c>
      <c r="L3102"/>
      <c r="M3102" s="10">
        <v>3.7871588160262704E-2</v>
      </c>
    </row>
    <row r="3103" spans="9:13" x14ac:dyDescent="0.35">
      <c r="I3103">
        <v>3099</v>
      </c>
      <c r="L3103"/>
      <c r="M3103" s="10">
        <v>2.1384517120195734E-2</v>
      </c>
    </row>
    <row r="3104" spans="9:13" x14ac:dyDescent="0.35">
      <c r="I3104">
        <v>3100</v>
      </c>
      <c r="L3104"/>
      <c r="M3104" s="10">
        <v>2.2507357091333668E-2</v>
      </c>
    </row>
    <row r="3105" spans="9:13" x14ac:dyDescent="0.35">
      <c r="I3105">
        <v>3101</v>
      </c>
      <c r="L3105"/>
      <c r="M3105" s="10">
        <v>2.1754955844210166E-2</v>
      </c>
    </row>
    <row r="3106" spans="9:13" x14ac:dyDescent="0.35">
      <c r="I3106">
        <v>3102</v>
      </c>
      <c r="L3106"/>
      <c r="M3106" s="10">
        <v>2.0402068248888905E-2</v>
      </c>
    </row>
    <row r="3107" spans="9:13" x14ac:dyDescent="0.35">
      <c r="I3107">
        <v>3103</v>
      </c>
      <c r="L3107"/>
      <c r="M3107" s="10">
        <v>2.7224652645118752E-2</v>
      </c>
    </row>
    <row r="3108" spans="9:13" x14ac:dyDescent="0.35">
      <c r="I3108">
        <v>3104</v>
      </c>
      <c r="L3108"/>
      <c r="M3108" s="10">
        <v>2.7500604309308674E-2</v>
      </c>
    </row>
    <row r="3109" spans="9:13" x14ac:dyDescent="0.35">
      <c r="I3109">
        <v>3105</v>
      </c>
      <c r="L3109"/>
      <c r="M3109" s="10">
        <v>2.6751441558092504E-2</v>
      </c>
    </row>
    <row r="3110" spans="9:13" x14ac:dyDescent="0.35">
      <c r="I3110">
        <v>3106</v>
      </c>
      <c r="L3110"/>
      <c r="M3110" s="10">
        <v>2.3577069544088336E-2</v>
      </c>
    </row>
    <row r="3111" spans="9:13" x14ac:dyDescent="0.35">
      <c r="I3111">
        <v>3107</v>
      </c>
      <c r="L3111"/>
      <c r="M3111" s="10">
        <v>3.2508008261224131E-2</v>
      </c>
    </row>
    <row r="3112" spans="9:13" x14ac:dyDescent="0.35">
      <c r="I3112">
        <v>3108</v>
      </c>
      <c r="L3112"/>
      <c r="M3112" s="10">
        <v>2.7217810084184002E-2</v>
      </c>
    </row>
    <row r="3113" spans="9:13" x14ac:dyDescent="0.35">
      <c r="I3113">
        <v>3109</v>
      </c>
      <c r="L3113"/>
      <c r="M3113" s="10">
        <v>2.3346133112540524E-2</v>
      </c>
    </row>
    <row r="3114" spans="9:13" x14ac:dyDescent="0.35">
      <c r="I3114">
        <v>3110</v>
      </c>
      <c r="L3114"/>
      <c r="M3114" s="10">
        <v>2.2737766098731127E-2</v>
      </c>
    </row>
    <row r="3115" spans="9:13" x14ac:dyDescent="0.35">
      <c r="I3115">
        <v>3111</v>
      </c>
      <c r="L3115"/>
      <c r="M3115" s="10">
        <v>2.0474159316551166E-2</v>
      </c>
    </row>
    <row r="3116" spans="9:13" x14ac:dyDescent="0.35">
      <c r="I3116">
        <v>3112</v>
      </c>
      <c r="L3116"/>
      <c r="M3116" s="10">
        <v>2.0149864624484759E-2</v>
      </c>
    </row>
    <row r="3117" spans="9:13" x14ac:dyDescent="0.35">
      <c r="I3117">
        <v>3113</v>
      </c>
      <c r="L3117"/>
      <c r="M3117" s="10">
        <v>3.1102727076363745E-2</v>
      </c>
    </row>
    <row r="3118" spans="9:13" x14ac:dyDescent="0.35">
      <c r="I3118">
        <v>3114</v>
      </c>
      <c r="L3118"/>
      <c r="M3118" s="10">
        <v>2.6493056745894528E-2</v>
      </c>
    </row>
    <row r="3119" spans="9:13" x14ac:dyDescent="0.35">
      <c r="I3119">
        <v>3115</v>
      </c>
      <c r="L3119"/>
      <c r="M3119" s="10">
        <v>2.2549266381757027E-2</v>
      </c>
    </row>
    <row r="3120" spans="9:13" x14ac:dyDescent="0.35">
      <c r="I3120">
        <v>3116</v>
      </c>
      <c r="L3120"/>
      <c r="M3120" s="10">
        <v>2.1065219004537838E-2</v>
      </c>
    </row>
    <row r="3121" spans="9:13" x14ac:dyDescent="0.35">
      <c r="I3121">
        <v>3117</v>
      </c>
      <c r="L3121"/>
      <c r="M3121" s="10">
        <v>2.453291558774795E-2</v>
      </c>
    </row>
    <row r="3122" spans="9:13" x14ac:dyDescent="0.35">
      <c r="I3122">
        <v>3118</v>
      </c>
      <c r="L3122"/>
      <c r="M3122" s="10">
        <v>2.5588400146160928E-2</v>
      </c>
    </row>
    <row r="3123" spans="9:13" x14ac:dyDescent="0.35">
      <c r="I3123">
        <v>3119</v>
      </c>
      <c r="L3123"/>
      <c r="M3123" s="10">
        <v>2.9672863461130516E-2</v>
      </c>
    </row>
    <row r="3124" spans="9:13" x14ac:dyDescent="0.35">
      <c r="I3124">
        <v>3120</v>
      </c>
      <c r="L3124"/>
      <c r="M3124" s="10">
        <v>2.0166278957037043E-2</v>
      </c>
    </row>
    <row r="3125" spans="9:13" x14ac:dyDescent="0.35">
      <c r="I3125">
        <v>3121</v>
      </c>
      <c r="L3125"/>
      <c r="M3125" s="10">
        <v>2.4030679428828416E-2</v>
      </c>
    </row>
    <row r="3126" spans="9:13" x14ac:dyDescent="0.35">
      <c r="I3126">
        <v>3122</v>
      </c>
      <c r="L3126"/>
      <c r="M3126" s="10">
        <v>2.5974473228917994E-2</v>
      </c>
    </row>
    <row r="3127" spans="9:13" x14ac:dyDescent="0.35">
      <c r="I3127">
        <v>3123</v>
      </c>
      <c r="L3127"/>
      <c r="M3127" s="10">
        <v>1.8139076794884357E-2</v>
      </c>
    </row>
    <row r="3128" spans="9:13" x14ac:dyDescent="0.35">
      <c r="I3128">
        <v>3124</v>
      </c>
      <c r="L3128"/>
      <c r="M3128" s="10">
        <v>2.2002169868715726E-2</v>
      </c>
    </row>
    <row r="3129" spans="9:13" x14ac:dyDescent="0.35">
      <c r="I3129">
        <v>3125</v>
      </c>
      <c r="L3129"/>
      <c r="M3129" s="10">
        <v>2.8213422234417918E-2</v>
      </c>
    </row>
    <row r="3130" spans="9:13" x14ac:dyDescent="0.35">
      <c r="I3130">
        <v>3126</v>
      </c>
      <c r="L3130"/>
      <c r="M3130" s="10">
        <v>2.4129610525475353E-2</v>
      </c>
    </row>
    <row r="3131" spans="9:13" x14ac:dyDescent="0.35">
      <c r="I3131">
        <v>3127</v>
      </c>
      <c r="L3131"/>
      <c r="M3131" s="10">
        <v>2.6117501449500868E-2</v>
      </c>
    </row>
    <row r="3132" spans="9:13" x14ac:dyDescent="0.35">
      <c r="I3132">
        <v>3128</v>
      </c>
      <c r="L3132"/>
      <c r="M3132" s="10">
        <v>2.4201090450868157E-2</v>
      </c>
    </row>
    <row r="3133" spans="9:13" x14ac:dyDescent="0.35">
      <c r="I3133">
        <v>3129</v>
      </c>
      <c r="L3133"/>
      <c r="M3133" s="10">
        <v>3.1660521369724526E-2</v>
      </c>
    </row>
    <row r="3134" spans="9:13" x14ac:dyDescent="0.35">
      <c r="I3134">
        <v>3130</v>
      </c>
      <c r="L3134"/>
      <c r="M3134" s="10">
        <v>2.5470283647219372E-2</v>
      </c>
    </row>
    <row r="3135" spans="9:13" x14ac:dyDescent="0.35">
      <c r="I3135">
        <v>3131</v>
      </c>
      <c r="L3135"/>
      <c r="M3135" s="10">
        <v>3.273954467262552E-2</v>
      </c>
    </row>
    <row r="3136" spans="9:13" x14ac:dyDescent="0.35">
      <c r="I3136">
        <v>3132</v>
      </c>
      <c r="L3136"/>
      <c r="M3136" s="10">
        <v>2.8487869763067941E-2</v>
      </c>
    </row>
    <row r="3137" spans="9:13" x14ac:dyDescent="0.35">
      <c r="I3137">
        <v>3133</v>
      </c>
      <c r="L3137"/>
      <c r="M3137" s="10">
        <v>3.8877536707601967E-2</v>
      </c>
    </row>
    <row r="3138" spans="9:13" x14ac:dyDescent="0.35">
      <c r="I3138">
        <v>3134</v>
      </c>
      <c r="L3138"/>
      <c r="M3138" s="10">
        <v>2.1783339077190322E-2</v>
      </c>
    </row>
    <row r="3139" spans="9:13" x14ac:dyDescent="0.35">
      <c r="I3139">
        <v>3135</v>
      </c>
      <c r="L3139"/>
      <c r="M3139" s="10">
        <v>2.1425642250903487E-2</v>
      </c>
    </row>
    <row r="3140" spans="9:13" x14ac:dyDescent="0.35">
      <c r="I3140">
        <v>3136</v>
      </c>
      <c r="L3140"/>
      <c r="M3140" s="10">
        <v>2.8849894816112442E-2</v>
      </c>
    </row>
    <row r="3141" spans="9:13" x14ac:dyDescent="0.35">
      <c r="I3141">
        <v>3137</v>
      </c>
      <c r="L3141"/>
      <c r="M3141" s="10">
        <v>2.6919187553340773E-2</v>
      </c>
    </row>
    <row r="3142" spans="9:13" x14ac:dyDescent="0.35">
      <c r="I3142">
        <v>3138</v>
      </c>
      <c r="L3142"/>
      <c r="M3142" s="10">
        <v>3.0125630583471619E-2</v>
      </c>
    </row>
    <row r="3143" spans="9:13" x14ac:dyDescent="0.35">
      <c r="I3143">
        <v>3139</v>
      </c>
      <c r="L3143"/>
      <c r="M3143" s="10">
        <v>2.3221545202992244E-2</v>
      </c>
    </row>
    <row r="3144" spans="9:13" x14ac:dyDescent="0.35">
      <c r="I3144">
        <v>3140</v>
      </c>
      <c r="L3144"/>
      <c r="M3144" s="10">
        <v>2.9845375807959762E-2</v>
      </c>
    </row>
    <row r="3145" spans="9:13" x14ac:dyDescent="0.35">
      <c r="I3145">
        <v>3141</v>
      </c>
      <c r="L3145"/>
      <c r="M3145" s="10">
        <v>2.3957622812192492E-2</v>
      </c>
    </row>
    <row r="3146" spans="9:13" x14ac:dyDescent="0.35">
      <c r="I3146">
        <v>3142</v>
      </c>
      <c r="L3146"/>
      <c r="M3146" s="10">
        <v>2.6775440752235591E-2</v>
      </c>
    </row>
    <row r="3147" spans="9:13" x14ac:dyDescent="0.35">
      <c r="I3147">
        <v>3143</v>
      </c>
      <c r="L3147"/>
      <c r="M3147" s="10">
        <v>2.3913683357380866E-2</v>
      </c>
    </row>
    <row r="3148" spans="9:13" x14ac:dyDescent="0.35">
      <c r="I3148">
        <v>3144</v>
      </c>
      <c r="L3148"/>
      <c r="M3148" s="10">
        <v>2.5044822584725956E-2</v>
      </c>
    </row>
    <row r="3149" spans="9:13" x14ac:dyDescent="0.35">
      <c r="I3149">
        <v>3145</v>
      </c>
      <c r="L3149"/>
      <c r="M3149" s="10">
        <v>2.5208204075364948E-2</v>
      </c>
    </row>
    <row r="3150" spans="9:13" x14ac:dyDescent="0.35">
      <c r="I3150">
        <v>3146</v>
      </c>
      <c r="L3150"/>
      <c r="M3150" s="10">
        <v>2.2855464007077164E-2</v>
      </c>
    </row>
    <row r="3151" spans="9:13" x14ac:dyDescent="0.35">
      <c r="I3151">
        <v>3147</v>
      </c>
      <c r="L3151"/>
      <c r="M3151" s="10">
        <v>2.073957366014989E-2</v>
      </c>
    </row>
    <row r="3152" spans="9:13" x14ac:dyDescent="0.35">
      <c r="I3152">
        <v>3148</v>
      </c>
      <c r="L3152"/>
      <c r="M3152" s="10">
        <v>2.6411144147559407E-2</v>
      </c>
    </row>
    <row r="3153" spans="9:13" x14ac:dyDescent="0.35">
      <c r="I3153">
        <v>3149</v>
      </c>
      <c r="L3153"/>
      <c r="M3153" s="10">
        <v>2.4367230453531619E-2</v>
      </c>
    </row>
    <row r="3154" spans="9:13" x14ac:dyDescent="0.35">
      <c r="I3154">
        <v>3150</v>
      </c>
      <c r="L3154"/>
      <c r="M3154" s="10">
        <v>2.0311817325891046E-2</v>
      </c>
    </row>
    <row r="3155" spans="9:13" x14ac:dyDescent="0.35">
      <c r="I3155">
        <v>3151</v>
      </c>
      <c r="L3155"/>
      <c r="M3155" s="10">
        <v>2.9938877784582818E-2</v>
      </c>
    </row>
    <row r="3156" spans="9:13" x14ac:dyDescent="0.35">
      <c r="I3156">
        <v>3152</v>
      </c>
      <c r="L3156"/>
      <c r="M3156" s="10">
        <v>2.4413311696890316E-2</v>
      </c>
    </row>
    <row r="3157" spans="9:13" x14ac:dyDescent="0.35">
      <c r="I3157">
        <v>3153</v>
      </c>
      <c r="L3157"/>
      <c r="M3157" s="10">
        <v>2.1834675027824768E-2</v>
      </c>
    </row>
    <row r="3158" spans="9:13" x14ac:dyDescent="0.35">
      <c r="I3158">
        <v>3154</v>
      </c>
      <c r="L3158"/>
      <c r="M3158" s="10">
        <v>3.069735557185127E-2</v>
      </c>
    </row>
    <row r="3159" spans="9:13" x14ac:dyDescent="0.35">
      <c r="I3159">
        <v>3155</v>
      </c>
      <c r="L3159"/>
      <c r="M3159" s="10">
        <v>2.473686687890464E-2</v>
      </c>
    </row>
    <row r="3160" spans="9:13" x14ac:dyDescent="0.35">
      <c r="I3160">
        <v>3156</v>
      </c>
      <c r="L3160"/>
      <c r="M3160" s="10">
        <v>2.1519670256374912E-2</v>
      </c>
    </row>
    <row r="3161" spans="9:13" x14ac:dyDescent="0.35">
      <c r="I3161">
        <v>3157</v>
      </c>
      <c r="L3161"/>
      <c r="M3161" s="10">
        <v>2.7962142299927883E-2</v>
      </c>
    </row>
    <row r="3162" spans="9:13" x14ac:dyDescent="0.35">
      <c r="I3162">
        <v>3158</v>
      </c>
      <c r="L3162"/>
      <c r="M3162" s="10">
        <v>2.0990698716119582E-2</v>
      </c>
    </row>
    <row r="3163" spans="9:13" x14ac:dyDescent="0.35">
      <c r="I3163">
        <v>3159</v>
      </c>
      <c r="L3163"/>
      <c r="M3163" s="10">
        <v>2.4369568979658585E-2</v>
      </c>
    </row>
    <row r="3164" spans="9:13" x14ac:dyDescent="0.35">
      <c r="I3164">
        <v>3160</v>
      </c>
      <c r="L3164"/>
      <c r="M3164" s="10">
        <v>2.3593065286045101E-2</v>
      </c>
    </row>
    <row r="3165" spans="9:13" x14ac:dyDescent="0.35">
      <c r="I3165">
        <v>3161</v>
      </c>
      <c r="L3165"/>
      <c r="M3165" s="10">
        <v>3.0956147812228885E-2</v>
      </c>
    </row>
    <row r="3166" spans="9:13" x14ac:dyDescent="0.35">
      <c r="I3166">
        <v>3162</v>
      </c>
      <c r="L3166"/>
      <c r="M3166" s="10">
        <v>2.4351617024318761E-2</v>
      </c>
    </row>
    <row r="3167" spans="9:13" x14ac:dyDescent="0.35">
      <c r="I3167">
        <v>3163</v>
      </c>
      <c r="L3167"/>
      <c r="M3167" s="10">
        <v>2.3173499374438578E-2</v>
      </c>
    </row>
    <row r="3168" spans="9:13" x14ac:dyDescent="0.35">
      <c r="I3168">
        <v>3164</v>
      </c>
      <c r="L3168"/>
      <c r="M3168" s="10">
        <v>2.0121276282112799E-2</v>
      </c>
    </row>
    <row r="3169" spans="9:13" x14ac:dyDescent="0.35">
      <c r="I3169">
        <v>3165</v>
      </c>
      <c r="L3169"/>
      <c r="M3169" s="10">
        <v>2.7226402353808021E-2</v>
      </c>
    </row>
    <row r="3170" spans="9:13" x14ac:dyDescent="0.35">
      <c r="I3170">
        <v>3166</v>
      </c>
      <c r="L3170"/>
      <c r="M3170" s="10">
        <v>3.0963261061748737E-2</v>
      </c>
    </row>
    <row r="3171" spans="9:13" x14ac:dyDescent="0.35">
      <c r="I3171">
        <v>3167</v>
      </c>
      <c r="L3171"/>
      <c r="M3171" s="10">
        <v>2.4188832722929376E-2</v>
      </c>
    </row>
    <row r="3172" spans="9:13" x14ac:dyDescent="0.35">
      <c r="I3172">
        <v>3168</v>
      </c>
      <c r="L3172"/>
      <c r="M3172" s="10">
        <v>2.630428494503334E-2</v>
      </c>
    </row>
    <row r="3173" spans="9:13" x14ac:dyDescent="0.35">
      <c r="I3173">
        <v>3169</v>
      </c>
      <c r="L3173"/>
      <c r="M3173" s="10">
        <v>1.9665807855128614E-2</v>
      </c>
    </row>
    <row r="3174" spans="9:13" x14ac:dyDescent="0.35">
      <c r="I3174">
        <v>3170</v>
      </c>
      <c r="L3174"/>
      <c r="M3174" s="10">
        <v>2.1419428971164001E-2</v>
      </c>
    </row>
    <row r="3175" spans="9:13" x14ac:dyDescent="0.35">
      <c r="I3175">
        <v>3171</v>
      </c>
      <c r="L3175"/>
      <c r="M3175" s="10">
        <v>2.5395881959469846E-2</v>
      </c>
    </row>
    <row r="3176" spans="9:13" x14ac:dyDescent="0.35">
      <c r="I3176">
        <v>3172</v>
      </c>
      <c r="L3176"/>
      <c r="M3176" s="10">
        <v>2.7469980221340506E-2</v>
      </c>
    </row>
    <row r="3177" spans="9:13" x14ac:dyDescent="0.35">
      <c r="I3177">
        <v>3173</v>
      </c>
      <c r="L3177"/>
      <c r="M3177" s="10">
        <v>2.4878487239784586E-2</v>
      </c>
    </row>
    <row r="3178" spans="9:13" x14ac:dyDescent="0.35">
      <c r="I3178">
        <v>3174</v>
      </c>
      <c r="L3178"/>
      <c r="M3178" s="10">
        <v>3.528478199807461E-2</v>
      </c>
    </row>
    <row r="3179" spans="9:13" x14ac:dyDescent="0.35">
      <c r="I3179">
        <v>3175</v>
      </c>
      <c r="L3179"/>
      <c r="M3179" s="10">
        <v>2.6253378747410294E-2</v>
      </c>
    </row>
    <row r="3180" spans="9:13" x14ac:dyDescent="0.35">
      <c r="I3180">
        <v>3176</v>
      </c>
      <c r="L3180"/>
      <c r="M3180" s="10">
        <v>2.6422962355372892E-2</v>
      </c>
    </row>
    <row r="3181" spans="9:13" x14ac:dyDescent="0.35">
      <c r="I3181">
        <v>3177</v>
      </c>
      <c r="L3181"/>
      <c r="M3181" s="10">
        <v>2.4780069614268152E-2</v>
      </c>
    </row>
    <row r="3182" spans="9:13" x14ac:dyDescent="0.35">
      <c r="I3182">
        <v>3178</v>
      </c>
      <c r="L3182"/>
      <c r="M3182" s="10">
        <v>2.5785540968328524E-2</v>
      </c>
    </row>
    <row r="3183" spans="9:13" x14ac:dyDescent="0.35">
      <c r="I3183">
        <v>3179</v>
      </c>
      <c r="L3183"/>
      <c r="M3183" s="10">
        <v>2.2881480807890653E-2</v>
      </c>
    </row>
    <row r="3184" spans="9:13" x14ac:dyDescent="0.35">
      <c r="I3184">
        <v>3180</v>
      </c>
      <c r="L3184"/>
      <c r="M3184" s="10">
        <v>2.2440319807461306E-2</v>
      </c>
    </row>
    <row r="3185" spans="9:13" x14ac:dyDescent="0.35">
      <c r="I3185">
        <v>3181</v>
      </c>
      <c r="L3185"/>
      <c r="M3185" s="10">
        <v>2.5514465884576398E-2</v>
      </c>
    </row>
    <row r="3186" spans="9:13" x14ac:dyDescent="0.35">
      <c r="I3186">
        <v>3182</v>
      </c>
      <c r="L3186"/>
      <c r="M3186" s="10">
        <v>2.8944708376601458E-2</v>
      </c>
    </row>
    <row r="3187" spans="9:13" x14ac:dyDescent="0.35">
      <c r="I3187">
        <v>3183</v>
      </c>
      <c r="L3187"/>
      <c r="M3187" s="10">
        <v>2.3430449816195908E-2</v>
      </c>
    </row>
    <row r="3188" spans="9:13" x14ac:dyDescent="0.35">
      <c r="I3188">
        <v>3184</v>
      </c>
      <c r="L3188"/>
      <c r="M3188" s="10">
        <v>1.8299694192290938E-2</v>
      </c>
    </row>
    <row r="3189" spans="9:13" x14ac:dyDescent="0.35">
      <c r="I3189">
        <v>3185</v>
      </c>
      <c r="L3189"/>
      <c r="M3189" s="10">
        <v>2.7221761579405701E-2</v>
      </c>
    </row>
    <row r="3190" spans="9:13" x14ac:dyDescent="0.35">
      <c r="I3190">
        <v>3186</v>
      </c>
      <c r="L3190"/>
      <c r="M3190" s="10">
        <v>1.9309310988548933E-2</v>
      </c>
    </row>
    <row r="3191" spans="9:13" x14ac:dyDescent="0.35">
      <c r="I3191">
        <v>3187</v>
      </c>
      <c r="L3191"/>
      <c r="M3191" s="10">
        <v>2.6126682536562584E-2</v>
      </c>
    </row>
    <row r="3192" spans="9:13" x14ac:dyDescent="0.35">
      <c r="I3192">
        <v>3188</v>
      </c>
      <c r="L3192"/>
      <c r="M3192" s="10">
        <v>2.1284888372556265E-2</v>
      </c>
    </row>
    <row r="3193" spans="9:13" x14ac:dyDescent="0.35">
      <c r="I3193">
        <v>3189</v>
      </c>
      <c r="L3193"/>
      <c r="M3193" s="10">
        <v>2.5300090292289301E-2</v>
      </c>
    </row>
    <row r="3194" spans="9:13" x14ac:dyDescent="0.35">
      <c r="I3194">
        <v>3190</v>
      </c>
      <c r="L3194"/>
      <c r="M3194" s="10">
        <v>2.6201488861887778E-2</v>
      </c>
    </row>
    <row r="3195" spans="9:13" x14ac:dyDescent="0.35">
      <c r="I3195">
        <v>3191</v>
      </c>
      <c r="L3195"/>
      <c r="M3195" s="10">
        <v>2.6634225028931313E-2</v>
      </c>
    </row>
    <row r="3196" spans="9:13" x14ac:dyDescent="0.35">
      <c r="I3196">
        <v>3192</v>
      </c>
      <c r="L3196"/>
      <c r="M3196" s="10">
        <v>2.5542565871253586E-2</v>
      </c>
    </row>
    <row r="3197" spans="9:13" x14ac:dyDescent="0.35">
      <c r="I3197">
        <v>3193</v>
      </c>
      <c r="L3197"/>
      <c r="M3197" s="10">
        <v>3.1677181275426181E-2</v>
      </c>
    </row>
    <row r="3198" spans="9:13" x14ac:dyDescent="0.35">
      <c r="I3198">
        <v>3194</v>
      </c>
      <c r="L3198"/>
      <c r="M3198" s="10">
        <v>2.5880845675116282E-2</v>
      </c>
    </row>
    <row r="3199" spans="9:13" x14ac:dyDescent="0.35">
      <c r="I3199">
        <v>3195</v>
      </c>
      <c r="L3199"/>
      <c r="M3199" s="10">
        <v>3.2255079079787752E-2</v>
      </c>
    </row>
    <row r="3200" spans="9:13" x14ac:dyDescent="0.35">
      <c r="I3200">
        <v>3196</v>
      </c>
      <c r="L3200"/>
      <c r="M3200" s="10">
        <v>2.1373783062024643E-2</v>
      </c>
    </row>
    <row r="3201" spans="9:13" x14ac:dyDescent="0.35">
      <c r="I3201">
        <v>3197</v>
      </c>
      <c r="L3201"/>
      <c r="M3201" s="10">
        <v>2.7609630415817543E-2</v>
      </c>
    </row>
    <row r="3202" spans="9:13" x14ac:dyDescent="0.35">
      <c r="I3202">
        <v>3198</v>
      </c>
      <c r="L3202"/>
      <c r="M3202" s="10">
        <v>2.6294044823764962E-2</v>
      </c>
    </row>
    <row r="3203" spans="9:13" x14ac:dyDescent="0.35">
      <c r="I3203">
        <v>3199</v>
      </c>
      <c r="L3203"/>
      <c r="M3203" s="10">
        <v>2.4743956408290746E-2</v>
      </c>
    </row>
    <row r="3204" spans="9:13" x14ac:dyDescent="0.35">
      <c r="I3204">
        <v>3200</v>
      </c>
      <c r="L3204"/>
      <c r="M3204" s="10">
        <v>3.3938736963688099E-2</v>
      </c>
    </row>
    <row r="3205" spans="9:13" x14ac:dyDescent="0.35">
      <c r="I3205">
        <v>3201</v>
      </c>
      <c r="L3205"/>
      <c r="M3205" s="10">
        <v>1.9028972494917973E-2</v>
      </c>
    </row>
    <row r="3206" spans="9:13" x14ac:dyDescent="0.35">
      <c r="I3206">
        <v>3202</v>
      </c>
      <c r="L3206"/>
      <c r="M3206" s="10">
        <v>2.4855895905344427E-2</v>
      </c>
    </row>
    <row r="3207" spans="9:13" x14ac:dyDescent="0.35">
      <c r="I3207">
        <v>3203</v>
      </c>
      <c r="L3207"/>
      <c r="M3207" s="10">
        <v>2.1612047619598007E-2</v>
      </c>
    </row>
    <row r="3208" spans="9:13" x14ac:dyDescent="0.35">
      <c r="I3208">
        <v>3204</v>
      </c>
      <c r="L3208"/>
      <c r="M3208" s="10">
        <v>2.8382605390710802E-2</v>
      </c>
    </row>
    <row r="3209" spans="9:13" x14ac:dyDescent="0.35">
      <c r="I3209">
        <v>3205</v>
      </c>
      <c r="L3209"/>
      <c r="M3209" s="10">
        <v>2.0159561973280948E-2</v>
      </c>
    </row>
    <row r="3210" spans="9:13" x14ac:dyDescent="0.35">
      <c r="I3210">
        <v>3206</v>
      </c>
      <c r="L3210"/>
      <c r="M3210" s="10">
        <v>2.1067194752148688E-2</v>
      </c>
    </row>
    <row r="3211" spans="9:13" x14ac:dyDescent="0.35">
      <c r="I3211">
        <v>3207</v>
      </c>
      <c r="L3211"/>
      <c r="M3211" s="10">
        <v>2.1857331941458225E-2</v>
      </c>
    </row>
    <row r="3212" spans="9:13" x14ac:dyDescent="0.35">
      <c r="I3212">
        <v>3208</v>
      </c>
      <c r="L3212"/>
      <c r="M3212" s="10">
        <v>2.3136149930902405E-2</v>
      </c>
    </row>
    <row r="3213" spans="9:13" x14ac:dyDescent="0.35">
      <c r="I3213">
        <v>3209</v>
      </c>
      <c r="L3213"/>
      <c r="M3213" s="10">
        <v>2.4253731008858637E-2</v>
      </c>
    </row>
    <row r="3214" spans="9:13" x14ac:dyDescent="0.35">
      <c r="I3214">
        <v>3210</v>
      </c>
      <c r="L3214"/>
      <c r="M3214" s="10">
        <v>2.6824173069365909E-2</v>
      </c>
    </row>
    <row r="3215" spans="9:13" x14ac:dyDescent="0.35">
      <c r="I3215">
        <v>3211</v>
      </c>
      <c r="L3215"/>
      <c r="M3215" s="10">
        <v>2.6545963806564155E-2</v>
      </c>
    </row>
    <row r="3216" spans="9:13" x14ac:dyDescent="0.35">
      <c r="I3216">
        <v>3212</v>
      </c>
      <c r="L3216"/>
      <c r="M3216" s="10">
        <v>3.6167321666042973E-2</v>
      </c>
    </row>
    <row r="3217" spans="9:13" x14ac:dyDescent="0.35">
      <c r="I3217">
        <v>3213</v>
      </c>
      <c r="L3217"/>
      <c r="M3217" s="10">
        <v>2.6892986572665256E-2</v>
      </c>
    </row>
    <row r="3218" spans="9:13" x14ac:dyDescent="0.35">
      <c r="I3218">
        <v>3214</v>
      </c>
      <c r="L3218"/>
      <c r="M3218" s="10">
        <v>2.5984614283745433E-2</v>
      </c>
    </row>
    <row r="3219" spans="9:13" x14ac:dyDescent="0.35">
      <c r="I3219">
        <v>3215</v>
      </c>
      <c r="L3219"/>
      <c r="M3219" s="10">
        <v>2.0966580921307765E-2</v>
      </c>
    </row>
    <row r="3220" spans="9:13" x14ac:dyDescent="0.35">
      <c r="I3220">
        <v>3216</v>
      </c>
      <c r="L3220"/>
      <c r="M3220" s="10">
        <v>2.6389955091614237E-2</v>
      </c>
    </row>
    <row r="3221" spans="9:13" x14ac:dyDescent="0.35">
      <c r="I3221">
        <v>3217</v>
      </c>
      <c r="L3221"/>
      <c r="M3221" s="10">
        <v>2.3693144716225745E-2</v>
      </c>
    </row>
    <row r="3222" spans="9:13" x14ac:dyDescent="0.35">
      <c r="I3222">
        <v>3218</v>
      </c>
      <c r="L3222"/>
      <c r="M3222" s="10">
        <v>2.0368060553606959E-2</v>
      </c>
    </row>
    <row r="3223" spans="9:13" x14ac:dyDescent="0.35">
      <c r="I3223">
        <v>3219</v>
      </c>
      <c r="L3223"/>
      <c r="M3223" s="10">
        <v>2.4546367694185944E-2</v>
      </c>
    </row>
    <row r="3224" spans="9:13" x14ac:dyDescent="0.35">
      <c r="I3224">
        <v>3220</v>
      </c>
      <c r="L3224"/>
      <c r="M3224" s="10">
        <v>3.1796337274346609E-2</v>
      </c>
    </row>
    <row r="3225" spans="9:13" x14ac:dyDescent="0.35">
      <c r="I3225">
        <v>3221</v>
      </c>
      <c r="L3225"/>
      <c r="M3225" s="10">
        <v>2.673679925906125E-2</v>
      </c>
    </row>
    <row r="3226" spans="9:13" x14ac:dyDescent="0.35">
      <c r="I3226">
        <v>3222</v>
      </c>
      <c r="L3226"/>
      <c r="M3226" s="10">
        <v>1.9024778217150873E-2</v>
      </c>
    </row>
    <row r="3227" spans="9:13" x14ac:dyDescent="0.35">
      <c r="I3227">
        <v>3223</v>
      </c>
      <c r="L3227"/>
      <c r="M3227" s="10">
        <v>2.4637821367494928E-2</v>
      </c>
    </row>
    <row r="3228" spans="9:13" x14ac:dyDescent="0.35">
      <c r="I3228">
        <v>3224</v>
      </c>
      <c r="L3228"/>
      <c r="M3228" s="10">
        <v>2.8954559208616004E-2</v>
      </c>
    </row>
    <row r="3229" spans="9:13" x14ac:dyDescent="0.35">
      <c r="I3229">
        <v>3225</v>
      </c>
      <c r="L3229"/>
      <c r="M3229" s="10">
        <v>2.8907336608233525E-2</v>
      </c>
    </row>
    <row r="3230" spans="9:13" x14ac:dyDescent="0.35">
      <c r="I3230">
        <v>3226</v>
      </c>
      <c r="L3230"/>
      <c r="M3230" s="10">
        <v>2.7362290814133328E-2</v>
      </c>
    </row>
    <row r="3231" spans="9:13" x14ac:dyDescent="0.35">
      <c r="I3231">
        <v>3227</v>
      </c>
      <c r="L3231"/>
      <c r="M3231" s="10">
        <v>2.5982944107269312E-2</v>
      </c>
    </row>
    <row r="3232" spans="9:13" x14ac:dyDescent="0.35">
      <c r="I3232">
        <v>3228</v>
      </c>
      <c r="L3232"/>
      <c r="M3232" s="10">
        <v>2.0132808453019346E-2</v>
      </c>
    </row>
    <row r="3233" spans="9:13" x14ac:dyDescent="0.35">
      <c r="I3233">
        <v>3229</v>
      </c>
      <c r="L3233"/>
      <c r="M3233" s="10">
        <v>2.4834595225240452E-2</v>
      </c>
    </row>
    <row r="3234" spans="9:13" x14ac:dyDescent="0.35">
      <c r="I3234">
        <v>3230</v>
      </c>
      <c r="L3234"/>
      <c r="M3234" s="10">
        <v>2.6216489753529193E-2</v>
      </c>
    </row>
    <row r="3235" spans="9:13" x14ac:dyDescent="0.35">
      <c r="I3235">
        <v>3231</v>
      </c>
      <c r="L3235"/>
      <c r="M3235" s="10">
        <v>2.6425923186185196E-2</v>
      </c>
    </row>
    <row r="3236" spans="9:13" x14ac:dyDescent="0.35">
      <c r="I3236">
        <v>3232</v>
      </c>
      <c r="L3236"/>
      <c r="M3236" s="10">
        <v>2.6935777693943175E-2</v>
      </c>
    </row>
    <row r="3237" spans="9:13" x14ac:dyDescent="0.35">
      <c r="I3237">
        <v>3233</v>
      </c>
      <c r="L3237"/>
      <c r="M3237" s="10">
        <v>2.3320825125135447E-2</v>
      </c>
    </row>
    <row r="3238" spans="9:13" x14ac:dyDescent="0.35">
      <c r="I3238">
        <v>3234</v>
      </c>
      <c r="L3238"/>
      <c r="M3238" s="10">
        <v>2.7455798371964324E-2</v>
      </c>
    </row>
    <row r="3239" spans="9:13" x14ac:dyDescent="0.35">
      <c r="I3239">
        <v>3235</v>
      </c>
      <c r="L3239"/>
      <c r="M3239" s="10">
        <v>2.3913973580193759E-2</v>
      </c>
    </row>
    <row r="3240" spans="9:13" x14ac:dyDescent="0.35">
      <c r="I3240">
        <v>3236</v>
      </c>
      <c r="L3240"/>
      <c r="M3240" s="10">
        <v>2.4423537865138845E-2</v>
      </c>
    </row>
    <row r="3241" spans="9:13" x14ac:dyDescent="0.35">
      <c r="I3241">
        <v>3237</v>
      </c>
      <c r="L3241"/>
      <c r="M3241" s="10">
        <v>3.3302376006152379E-2</v>
      </c>
    </row>
    <row r="3242" spans="9:13" x14ac:dyDescent="0.35">
      <c r="I3242">
        <v>3238</v>
      </c>
      <c r="L3242"/>
      <c r="M3242" s="10">
        <v>3.3958145614300328E-2</v>
      </c>
    </row>
    <row r="3243" spans="9:13" x14ac:dyDescent="0.35">
      <c r="I3243">
        <v>3239</v>
      </c>
      <c r="L3243"/>
      <c r="M3243" s="10">
        <v>2.672663308879808E-2</v>
      </c>
    </row>
    <row r="3244" spans="9:13" x14ac:dyDescent="0.35">
      <c r="I3244">
        <v>3240</v>
      </c>
      <c r="L3244"/>
      <c r="M3244" s="10">
        <v>1.9950833168127402E-2</v>
      </c>
    </row>
    <row r="3245" spans="9:13" x14ac:dyDescent="0.35">
      <c r="I3245">
        <v>3241</v>
      </c>
      <c r="L3245"/>
      <c r="M3245" s="10">
        <v>2.4101041717331184E-2</v>
      </c>
    </row>
    <row r="3246" spans="9:13" x14ac:dyDescent="0.35">
      <c r="I3246">
        <v>3242</v>
      </c>
      <c r="L3246"/>
      <c r="M3246" s="10">
        <v>2.3908065871589002E-2</v>
      </c>
    </row>
    <row r="3247" spans="9:13" x14ac:dyDescent="0.35">
      <c r="I3247">
        <v>3243</v>
      </c>
      <c r="L3247"/>
      <c r="M3247" s="10">
        <v>2.3004415284586632E-2</v>
      </c>
    </row>
    <row r="3248" spans="9:13" x14ac:dyDescent="0.35">
      <c r="I3248">
        <v>3244</v>
      </c>
      <c r="L3248"/>
      <c r="M3248" s="10">
        <v>2.4772025698324263E-2</v>
      </c>
    </row>
    <row r="3249" spans="9:13" x14ac:dyDescent="0.35">
      <c r="I3249">
        <v>3245</v>
      </c>
      <c r="L3249"/>
      <c r="M3249" s="10">
        <v>2.4958506413325976E-2</v>
      </c>
    </row>
    <row r="3250" spans="9:13" x14ac:dyDescent="0.35">
      <c r="I3250">
        <v>3246</v>
      </c>
      <c r="L3250"/>
      <c r="M3250" s="10">
        <v>2.6118243750156922E-2</v>
      </c>
    </row>
    <row r="3251" spans="9:13" x14ac:dyDescent="0.35">
      <c r="I3251">
        <v>3247</v>
      </c>
      <c r="L3251"/>
      <c r="M3251" s="10">
        <v>2.4006362105832735E-2</v>
      </c>
    </row>
    <row r="3252" spans="9:13" x14ac:dyDescent="0.35">
      <c r="I3252">
        <v>3248</v>
      </c>
      <c r="L3252"/>
      <c r="M3252" s="10">
        <v>2.9699943482056623E-2</v>
      </c>
    </row>
    <row r="3253" spans="9:13" x14ac:dyDescent="0.35">
      <c r="I3253">
        <v>3249</v>
      </c>
      <c r="L3253"/>
      <c r="M3253" s="10">
        <v>2.8892864536044449E-2</v>
      </c>
    </row>
    <row r="3254" spans="9:13" x14ac:dyDescent="0.35">
      <c r="I3254">
        <v>3250</v>
      </c>
      <c r="L3254"/>
      <c r="M3254" s="10">
        <v>2.4632230392440779E-2</v>
      </c>
    </row>
    <row r="3255" spans="9:13" x14ac:dyDescent="0.35">
      <c r="I3255">
        <v>3251</v>
      </c>
      <c r="L3255"/>
      <c r="M3255" s="10">
        <v>3.2789340209868456E-2</v>
      </c>
    </row>
    <row r="3256" spans="9:13" x14ac:dyDescent="0.35">
      <c r="I3256">
        <v>3252</v>
      </c>
      <c r="L3256"/>
      <c r="M3256" s="10">
        <v>2.3806599511235205E-2</v>
      </c>
    </row>
    <row r="3257" spans="9:13" x14ac:dyDescent="0.35">
      <c r="I3257">
        <v>3253</v>
      </c>
      <c r="L3257"/>
      <c r="M3257" s="10">
        <v>1.9281494248174713E-2</v>
      </c>
    </row>
    <row r="3258" spans="9:13" x14ac:dyDescent="0.35">
      <c r="I3258">
        <v>3254</v>
      </c>
      <c r="L3258"/>
      <c r="M3258" s="10">
        <v>2.283947105572437E-2</v>
      </c>
    </row>
    <row r="3259" spans="9:13" x14ac:dyDescent="0.35">
      <c r="I3259">
        <v>3255</v>
      </c>
      <c r="L3259"/>
      <c r="M3259" s="10">
        <v>2.1703646404313437E-2</v>
      </c>
    </row>
    <row r="3260" spans="9:13" x14ac:dyDescent="0.35">
      <c r="I3260">
        <v>3256</v>
      </c>
      <c r="L3260"/>
      <c r="M3260" s="10">
        <v>2.6039042223578779E-2</v>
      </c>
    </row>
    <row r="3261" spans="9:13" x14ac:dyDescent="0.35">
      <c r="I3261">
        <v>3257</v>
      </c>
      <c r="L3261"/>
      <c r="M3261" s="10">
        <v>3.3909658870319381E-2</v>
      </c>
    </row>
    <row r="3262" spans="9:13" x14ac:dyDescent="0.35">
      <c r="I3262">
        <v>3258</v>
      </c>
      <c r="L3262"/>
      <c r="M3262" s="10">
        <v>2.1560382377695086E-2</v>
      </c>
    </row>
    <row r="3263" spans="9:13" x14ac:dyDescent="0.35">
      <c r="I3263">
        <v>3259</v>
      </c>
      <c r="L3263"/>
      <c r="M3263" s="10">
        <v>2.410668710916275E-2</v>
      </c>
    </row>
    <row r="3264" spans="9:13" x14ac:dyDescent="0.35">
      <c r="I3264">
        <v>3260</v>
      </c>
      <c r="L3264"/>
      <c r="M3264" s="10">
        <v>2.1503442894288627E-2</v>
      </c>
    </row>
    <row r="3265" spans="9:13" x14ac:dyDescent="0.35">
      <c r="I3265">
        <v>3261</v>
      </c>
      <c r="L3265"/>
      <c r="M3265" s="10">
        <v>2.5069664541268022E-2</v>
      </c>
    </row>
    <row r="3266" spans="9:13" x14ac:dyDescent="0.35">
      <c r="I3266">
        <v>3262</v>
      </c>
      <c r="L3266"/>
      <c r="M3266" s="10">
        <v>2.8300854647405949E-2</v>
      </c>
    </row>
    <row r="3267" spans="9:13" x14ac:dyDescent="0.35">
      <c r="I3267">
        <v>3263</v>
      </c>
      <c r="L3267"/>
      <c r="M3267" s="10">
        <v>3.8593405783175605E-2</v>
      </c>
    </row>
    <row r="3268" spans="9:13" x14ac:dyDescent="0.35">
      <c r="I3268">
        <v>3264</v>
      </c>
      <c r="L3268"/>
      <c r="M3268" s="10">
        <v>2.4217513155232351E-2</v>
      </c>
    </row>
    <row r="3269" spans="9:13" x14ac:dyDescent="0.35">
      <c r="I3269">
        <v>3265</v>
      </c>
      <c r="L3269"/>
      <c r="M3269" s="10">
        <v>2.5795511796313786E-2</v>
      </c>
    </row>
    <row r="3270" spans="9:13" x14ac:dyDescent="0.35">
      <c r="I3270">
        <v>3266</v>
      </c>
      <c r="L3270"/>
      <c r="M3270" s="10">
        <v>2.6123732868166161E-2</v>
      </c>
    </row>
    <row r="3271" spans="9:13" x14ac:dyDescent="0.35">
      <c r="I3271">
        <v>3267</v>
      </c>
      <c r="L3271"/>
      <c r="M3271" s="10">
        <v>2.4479002514347092E-2</v>
      </c>
    </row>
    <row r="3272" spans="9:13" x14ac:dyDescent="0.35">
      <c r="I3272">
        <v>3268</v>
      </c>
      <c r="L3272"/>
      <c r="M3272" s="10">
        <v>2.3803347062308022E-2</v>
      </c>
    </row>
    <row r="3273" spans="9:13" x14ac:dyDescent="0.35">
      <c r="I3273">
        <v>3269</v>
      </c>
      <c r="L3273"/>
      <c r="M3273" s="10">
        <v>2.6446523424692669E-2</v>
      </c>
    </row>
    <row r="3274" spans="9:13" x14ac:dyDescent="0.35">
      <c r="I3274">
        <v>3270</v>
      </c>
      <c r="L3274"/>
      <c r="M3274" s="10">
        <v>3.3433472999460978E-2</v>
      </c>
    </row>
    <row r="3275" spans="9:13" x14ac:dyDescent="0.35">
      <c r="I3275">
        <v>3271</v>
      </c>
      <c r="L3275"/>
      <c r="M3275" s="10">
        <v>2.2091466405155802E-2</v>
      </c>
    </row>
    <row r="3276" spans="9:13" x14ac:dyDescent="0.35">
      <c r="I3276">
        <v>3272</v>
      </c>
      <c r="L3276"/>
      <c r="M3276" s="10">
        <v>2.1428640754869388E-2</v>
      </c>
    </row>
    <row r="3277" spans="9:13" x14ac:dyDescent="0.35">
      <c r="I3277">
        <v>3273</v>
      </c>
      <c r="L3277"/>
      <c r="M3277" s="10">
        <v>1.8856675024594427E-2</v>
      </c>
    </row>
    <row r="3278" spans="9:13" x14ac:dyDescent="0.35">
      <c r="I3278">
        <v>3274</v>
      </c>
      <c r="L3278"/>
      <c r="M3278" s="10">
        <v>4.0553018121869844E-2</v>
      </c>
    </row>
    <row r="3279" spans="9:13" x14ac:dyDescent="0.35">
      <c r="I3279">
        <v>3275</v>
      </c>
      <c r="L3279"/>
      <c r="M3279" s="10">
        <v>2.5403681697566349E-2</v>
      </c>
    </row>
    <row r="3280" spans="9:13" x14ac:dyDescent="0.35">
      <c r="I3280">
        <v>3276</v>
      </c>
      <c r="L3280"/>
      <c r="M3280" s="10">
        <v>2.8366618020565948E-2</v>
      </c>
    </row>
    <row r="3281" spans="9:13" x14ac:dyDescent="0.35">
      <c r="I3281">
        <v>3277</v>
      </c>
      <c r="L3281"/>
      <c r="M3281" s="10">
        <v>2.719238210080821E-2</v>
      </c>
    </row>
    <row r="3282" spans="9:13" x14ac:dyDescent="0.35">
      <c r="I3282">
        <v>3278</v>
      </c>
      <c r="L3282"/>
      <c r="M3282" s="10">
        <v>2.4994648920645068E-2</v>
      </c>
    </row>
    <row r="3283" spans="9:13" x14ac:dyDescent="0.35">
      <c r="I3283">
        <v>3279</v>
      </c>
      <c r="L3283"/>
      <c r="M3283" s="10">
        <v>2.7302142136161223E-2</v>
      </c>
    </row>
    <row r="3284" spans="9:13" x14ac:dyDescent="0.35">
      <c r="I3284">
        <v>3280</v>
      </c>
      <c r="L3284"/>
      <c r="M3284" s="10">
        <v>2.0173573595814953E-2</v>
      </c>
    </row>
    <row r="3285" spans="9:13" x14ac:dyDescent="0.35">
      <c r="I3285">
        <v>3281</v>
      </c>
      <c r="L3285"/>
      <c r="M3285" s="10">
        <v>3.6408681003419208E-2</v>
      </c>
    </row>
    <row r="3286" spans="9:13" x14ac:dyDescent="0.35">
      <c r="I3286">
        <v>3282</v>
      </c>
      <c r="L3286"/>
      <c r="M3286" s="10">
        <v>2.2911301201915424E-2</v>
      </c>
    </row>
    <row r="3287" spans="9:13" x14ac:dyDescent="0.35">
      <c r="I3287">
        <v>3283</v>
      </c>
      <c r="L3287"/>
      <c r="M3287" s="10">
        <v>2.4866514153450758E-2</v>
      </c>
    </row>
    <row r="3288" spans="9:13" x14ac:dyDescent="0.35">
      <c r="I3288">
        <v>3284</v>
      </c>
      <c r="L3288"/>
      <c r="M3288" s="10">
        <v>2.1589312569053387E-2</v>
      </c>
    </row>
    <row r="3289" spans="9:13" x14ac:dyDescent="0.35">
      <c r="I3289">
        <v>3285</v>
      </c>
      <c r="L3289"/>
      <c r="M3289" s="10">
        <v>1.9242886242248014E-2</v>
      </c>
    </row>
    <row r="3290" spans="9:13" x14ac:dyDescent="0.35">
      <c r="I3290">
        <v>3286</v>
      </c>
      <c r="L3290"/>
      <c r="M3290" s="10">
        <v>3.4454521504882596E-2</v>
      </c>
    </row>
    <row r="3291" spans="9:13" x14ac:dyDescent="0.35">
      <c r="I3291">
        <v>3287</v>
      </c>
      <c r="L3291"/>
      <c r="M3291" s="10">
        <v>2.3867938381800569E-2</v>
      </c>
    </row>
    <row r="3292" spans="9:13" x14ac:dyDescent="0.35">
      <c r="I3292">
        <v>3288</v>
      </c>
      <c r="L3292"/>
      <c r="M3292" s="10">
        <v>1.9323435630543728E-2</v>
      </c>
    </row>
    <row r="3293" spans="9:13" x14ac:dyDescent="0.35">
      <c r="I3293">
        <v>3289</v>
      </c>
      <c r="L3293"/>
      <c r="M3293" s="10">
        <v>2.4715807586044081E-2</v>
      </c>
    </row>
    <row r="3294" spans="9:13" x14ac:dyDescent="0.35">
      <c r="I3294">
        <v>3290</v>
      </c>
      <c r="L3294"/>
      <c r="M3294" s="10">
        <v>2.8770733753291866E-2</v>
      </c>
    </row>
    <row r="3295" spans="9:13" x14ac:dyDescent="0.35">
      <c r="I3295">
        <v>3291</v>
      </c>
      <c r="L3295"/>
      <c r="M3295" s="10">
        <v>2.1446922001477686E-2</v>
      </c>
    </row>
    <row r="3296" spans="9:13" x14ac:dyDescent="0.35">
      <c r="I3296">
        <v>3292</v>
      </c>
      <c r="L3296"/>
      <c r="M3296" s="10">
        <v>2.5620005131424595E-2</v>
      </c>
    </row>
    <row r="3297" spans="9:13" x14ac:dyDescent="0.35">
      <c r="I3297">
        <v>3293</v>
      </c>
      <c r="L3297"/>
      <c r="M3297" s="10">
        <v>2.7043991734696737E-2</v>
      </c>
    </row>
    <row r="3298" spans="9:13" x14ac:dyDescent="0.35">
      <c r="I3298">
        <v>3294</v>
      </c>
      <c r="L3298"/>
      <c r="M3298" s="10">
        <v>3.3024021631944178E-2</v>
      </c>
    </row>
    <row r="3299" spans="9:13" x14ac:dyDescent="0.35">
      <c r="I3299">
        <v>3295</v>
      </c>
      <c r="L3299"/>
      <c r="M3299" s="10">
        <v>3.0028941737114678E-2</v>
      </c>
    </row>
    <row r="3300" spans="9:13" x14ac:dyDescent="0.35">
      <c r="I3300">
        <v>3296</v>
      </c>
      <c r="L3300"/>
      <c r="M3300" s="10">
        <v>2.6005383353793099E-2</v>
      </c>
    </row>
    <row r="3301" spans="9:13" x14ac:dyDescent="0.35">
      <c r="I3301">
        <v>3297</v>
      </c>
      <c r="L3301"/>
      <c r="M3301" s="10">
        <v>3.4369656447547081E-2</v>
      </c>
    </row>
    <row r="3302" spans="9:13" x14ac:dyDescent="0.35">
      <c r="I3302">
        <v>3298</v>
      </c>
      <c r="L3302"/>
      <c r="M3302" s="10">
        <v>2.3398010440345174E-2</v>
      </c>
    </row>
    <row r="3303" spans="9:13" x14ac:dyDescent="0.35">
      <c r="I3303">
        <v>3299</v>
      </c>
      <c r="L3303"/>
      <c r="M3303" s="10">
        <v>2.935950654132502E-2</v>
      </c>
    </row>
    <row r="3304" spans="9:13" x14ac:dyDescent="0.35">
      <c r="I3304">
        <v>3300</v>
      </c>
      <c r="L3304"/>
      <c r="M3304" s="10">
        <v>2.0343331616525684E-2</v>
      </c>
    </row>
    <row r="3305" spans="9:13" x14ac:dyDescent="0.35">
      <c r="I3305">
        <v>3301</v>
      </c>
      <c r="L3305"/>
      <c r="M3305" s="10">
        <v>2.4711772372703278E-2</v>
      </c>
    </row>
    <row r="3306" spans="9:13" x14ac:dyDescent="0.35">
      <c r="I3306">
        <v>3302</v>
      </c>
      <c r="L3306"/>
      <c r="M3306" s="10">
        <v>2.4152628822322941E-2</v>
      </c>
    </row>
    <row r="3307" spans="9:13" x14ac:dyDescent="0.35">
      <c r="I3307">
        <v>3303</v>
      </c>
      <c r="L3307"/>
      <c r="M3307" s="10">
        <v>2.8676687608894635E-2</v>
      </c>
    </row>
    <row r="3308" spans="9:13" x14ac:dyDescent="0.35">
      <c r="I3308">
        <v>3304</v>
      </c>
      <c r="L3308"/>
      <c r="M3308" s="10">
        <v>2.4460064080503829E-2</v>
      </c>
    </row>
    <row r="3309" spans="9:13" x14ac:dyDescent="0.35">
      <c r="I3309">
        <v>3305</v>
      </c>
      <c r="L3309"/>
      <c r="M3309" s="10">
        <v>2.2779228892519265E-2</v>
      </c>
    </row>
    <row r="3310" spans="9:13" x14ac:dyDescent="0.35">
      <c r="I3310">
        <v>3306</v>
      </c>
      <c r="L3310"/>
      <c r="M3310" s="10">
        <v>2.2627816302308146E-2</v>
      </c>
    </row>
    <row r="3311" spans="9:13" x14ac:dyDescent="0.35">
      <c r="I3311">
        <v>3307</v>
      </c>
      <c r="L3311"/>
      <c r="M3311" s="10">
        <v>2.425380356456186E-2</v>
      </c>
    </row>
    <row r="3312" spans="9:13" x14ac:dyDescent="0.35">
      <c r="I3312">
        <v>3308</v>
      </c>
      <c r="L3312"/>
      <c r="M3312" s="10">
        <v>2.1543829910246282E-2</v>
      </c>
    </row>
    <row r="3313" spans="9:13" x14ac:dyDescent="0.35">
      <c r="I3313">
        <v>3309</v>
      </c>
      <c r="L3313"/>
      <c r="M3313" s="10">
        <v>2.0778315615067156E-2</v>
      </c>
    </row>
    <row r="3314" spans="9:13" x14ac:dyDescent="0.35">
      <c r="I3314">
        <v>3310</v>
      </c>
      <c r="L3314"/>
      <c r="M3314" s="10">
        <v>2.547068549419107E-2</v>
      </c>
    </row>
    <row r="3315" spans="9:13" x14ac:dyDescent="0.35">
      <c r="I3315">
        <v>3311</v>
      </c>
      <c r="L3315"/>
      <c r="M3315" s="10">
        <v>2.2780645124034105E-2</v>
      </c>
    </row>
    <row r="3316" spans="9:13" x14ac:dyDescent="0.35">
      <c r="I3316">
        <v>3312</v>
      </c>
      <c r="L3316"/>
      <c r="M3316" s="10">
        <v>2.664740226087825E-2</v>
      </c>
    </row>
    <row r="3317" spans="9:13" x14ac:dyDescent="0.35">
      <c r="I3317">
        <v>3313</v>
      </c>
      <c r="L3317"/>
      <c r="M3317" s="10">
        <v>1.9761769749151337E-2</v>
      </c>
    </row>
    <row r="3318" spans="9:13" x14ac:dyDescent="0.35">
      <c r="I3318">
        <v>3314</v>
      </c>
      <c r="L3318"/>
      <c r="M3318" s="10">
        <v>2.5386864122740382E-2</v>
      </c>
    </row>
    <row r="3319" spans="9:13" x14ac:dyDescent="0.35">
      <c r="I3319">
        <v>3315</v>
      </c>
      <c r="L3319"/>
      <c r="M3319" s="10">
        <v>2.4860425055587942E-2</v>
      </c>
    </row>
    <row r="3320" spans="9:13" x14ac:dyDescent="0.35">
      <c r="I3320">
        <v>3316</v>
      </c>
      <c r="L3320"/>
      <c r="M3320" s="10">
        <v>2.4137058647471621E-2</v>
      </c>
    </row>
    <row r="3321" spans="9:13" x14ac:dyDescent="0.35">
      <c r="I3321">
        <v>3317</v>
      </c>
      <c r="L3321"/>
      <c r="M3321" s="10">
        <v>2.2887738737293661E-2</v>
      </c>
    </row>
    <row r="3322" spans="9:13" x14ac:dyDescent="0.35">
      <c r="I3322">
        <v>3318</v>
      </c>
      <c r="L3322"/>
      <c r="M3322" s="10">
        <v>2.4956400902630516E-2</v>
      </c>
    </row>
    <row r="3323" spans="9:13" x14ac:dyDescent="0.35">
      <c r="I3323">
        <v>3319</v>
      </c>
      <c r="L3323"/>
      <c r="M3323" s="10">
        <v>2.7334984754285641E-2</v>
      </c>
    </row>
    <row r="3324" spans="9:13" x14ac:dyDescent="0.35">
      <c r="I3324">
        <v>3320</v>
      </c>
      <c r="L3324"/>
      <c r="M3324" s="10">
        <v>2.437498275136063E-2</v>
      </c>
    </row>
    <row r="3325" spans="9:13" x14ac:dyDescent="0.35">
      <c r="I3325">
        <v>3321</v>
      </c>
      <c r="L3325"/>
      <c r="M3325" s="10">
        <v>2.2437169215579034E-2</v>
      </c>
    </row>
    <row r="3326" spans="9:13" x14ac:dyDescent="0.35">
      <c r="I3326">
        <v>3322</v>
      </c>
      <c r="L3326"/>
      <c r="M3326" s="10">
        <v>2.3185609200366941E-2</v>
      </c>
    </row>
    <row r="3327" spans="9:13" x14ac:dyDescent="0.35">
      <c r="I3327">
        <v>3323</v>
      </c>
      <c r="L3327"/>
      <c r="M3327" s="10">
        <v>2.3474936229385679E-2</v>
      </c>
    </row>
    <row r="3328" spans="9:13" x14ac:dyDescent="0.35">
      <c r="I3328">
        <v>3324</v>
      </c>
      <c r="L3328"/>
      <c r="M3328" s="10">
        <v>2.600971576645672E-2</v>
      </c>
    </row>
    <row r="3329" spans="9:13" x14ac:dyDescent="0.35">
      <c r="I3329">
        <v>3325</v>
      </c>
      <c r="L3329"/>
      <c r="M3329" s="10">
        <v>1.8879249615410765E-2</v>
      </c>
    </row>
    <row r="3330" spans="9:13" x14ac:dyDescent="0.35">
      <c r="I3330">
        <v>3326</v>
      </c>
      <c r="L3330"/>
      <c r="M3330" s="10">
        <v>2.8313772353183664E-2</v>
      </c>
    </row>
    <row r="3331" spans="9:13" x14ac:dyDescent="0.35">
      <c r="I3331">
        <v>3327</v>
      </c>
      <c r="L3331"/>
      <c r="M3331" s="10">
        <v>3.015259060842701E-2</v>
      </c>
    </row>
    <row r="3332" spans="9:13" x14ac:dyDescent="0.35">
      <c r="I3332">
        <v>3328</v>
      </c>
      <c r="L3332"/>
      <c r="M3332" s="10">
        <v>2.7927388118083929E-2</v>
      </c>
    </row>
    <row r="3333" spans="9:13" x14ac:dyDescent="0.35">
      <c r="I3333">
        <v>3329</v>
      </c>
      <c r="L3333"/>
      <c r="M3333" s="10">
        <v>3.0720623627754184E-2</v>
      </c>
    </row>
    <row r="3334" spans="9:13" x14ac:dyDescent="0.35">
      <c r="I3334">
        <v>3330</v>
      </c>
      <c r="L3334"/>
      <c r="M3334" s="10">
        <v>2.3350945509087007E-2</v>
      </c>
    </row>
    <row r="3335" spans="9:13" x14ac:dyDescent="0.35">
      <c r="I3335">
        <v>3331</v>
      </c>
      <c r="L3335"/>
      <c r="M3335" s="10">
        <v>2.3390509296873474E-2</v>
      </c>
    </row>
    <row r="3336" spans="9:13" x14ac:dyDescent="0.35">
      <c r="I3336">
        <v>3332</v>
      </c>
      <c r="L3336"/>
      <c r="M3336" s="10">
        <v>2.5182459358438547E-2</v>
      </c>
    </row>
    <row r="3337" spans="9:13" x14ac:dyDescent="0.35">
      <c r="I3337">
        <v>3333</v>
      </c>
      <c r="L3337"/>
      <c r="M3337" s="10">
        <v>2.141433611891852E-2</v>
      </c>
    </row>
    <row r="3338" spans="9:13" x14ac:dyDescent="0.35">
      <c r="I3338">
        <v>3334</v>
      </c>
      <c r="L3338"/>
      <c r="M3338" s="10">
        <v>2.5873207792050046E-2</v>
      </c>
    </row>
    <row r="3339" spans="9:13" x14ac:dyDescent="0.35">
      <c r="I3339">
        <v>3335</v>
      </c>
      <c r="L3339"/>
      <c r="M3339" s="10">
        <v>2.438668375380737E-2</v>
      </c>
    </row>
    <row r="3340" spans="9:13" x14ac:dyDescent="0.35">
      <c r="I3340">
        <v>3336</v>
      </c>
      <c r="L3340"/>
      <c r="M3340" s="10">
        <v>2.8702430930519052E-2</v>
      </c>
    </row>
    <row r="3341" spans="9:13" x14ac:dyDescent="0.35">
      <c r="I3341">
        <v>3337</v>
      </c>
      <c r="L3341"/>
      <c r="M3341" s="10">
        <v>2.6098579759281426E-2</v>
      </c>
    </row>
    <row r="3342" spans="9:13" x14ac:dyDescent="0.35">
      <c r="I3342">
        <v>3338</v>
      </c>
      <c r="L3342"/>
      <c r="M3342" s="10">
        <v>3.0233300456451007E-2</v>
      </c>
    </row>
    <row r="3343" spans="9:13" x14ac:dyDescent="0.35">
      <c r="I3343">
        <v>3339</v>
      </c>
      <c r="L3343"/>
      <c r="M3343" s="10">
        <v>2.2250299211323488E-2</v>
      </c>
    </row>
    <row r="3344" spans="9:13" x14ac:dyDescent="0.35">
      <c r="I3344">
        <v>3340</v>
      </c>
      <c r="L3344"/>
      <c r="M3344" s="10">
        <v>2.563777011629842E-2</v>
      </c>
    </row>
    <row r="3345" spans="9:13" x14ac:dyDescent="0.35">
      <c r="I3345">
        <v>3341</v>
      </c>
      <c r="L3345"/>
      <c r="M3345" s="10">
        <v>2.538802640929394E-2</v>
      </c>
    </row>
    <row r="3346" spans="9:13" x14ac:dyDescent="0.35">
      <c r="I3346">
        <v>3342</v>
      </c>
      <c r="L3346"/>
      <c r="M3346" s="10">
        <v>2.9580714927432972E-2</v>
      </c>
    </row>
    <row r="3347" spans="9:13" x14ac:dyDescent="0.35">
      <c r="I3347">
        <v>3343</v>
      </c>
      <c r="L3347"/>
      <c r="M3347" s="10">
        <v>2.5285043355682379E-2</v>
      </c>
    </row>
    <row r="3348" spans="9:13" x14ac:dyDescent="0.35">
      <c r="I3348">
        <v>3344</v>
      </c>
      <c r="L3348"/>
      <c r="M3348" s="10">
        <v>2.2831156451195378E-2</v>
      </c>
    </row>
    <row r="3349" spans="9:13" x14ac:dyDescent="0.35">
      <c r="I3349">
        <v>3345</v>
      </c>
      <c r="L3349"/>
      <c r="M3349" s="10">
        <v>2.8762574027283216E-2</v>
      </c>
    </row>
    <row r="3350" spans="9:13" x14ac:dyDescent="0.35">
      <c r="I3350">
        <v>3346</v>
      </c>
      <c r="L3350"/>
      <c r="M3350" s="10">
        <v>2.7655932116889881E-2</v>
      </c>
    </row>
    <row r="3351" spans="9:13" x14ac:dyDescent="0.35">
      <c r="I3351">
        <v>3347</v>
      </c>
      <c r="L3351"/>
      <c r="M3351" s="10">
        <v>2.2112700110764494E-2</v>
      </c>
    </row>
    <row r="3352" spans="9:13" x14ac:dyDescent="0.35">
      <c r="I3352">
        <v>3348</v>
      </c>
      <c r="L3352"/>
      <c r="M3352" s="10">
        <v>2.0190359078695264E-2</v>
      </c>
    </row>
    <row r="3353" spans="9:13" x14ac:dyDescent="0.35">
      <c r="I3353">
        <v>3349</v>
      </c>
      <c r="L3353"/>
      <c r="M3353" s="10">
        <v>2.2871357891989019E-2</v>
      </c>
    </row>
    <row r="3354" spans="9:13" x14ac:dyDescent="0.35">
      <c r="I3354">
        <v>3350</v>
      </c>
      <c r="L3354"/>
      <c r="M3354" s="10">
        <v>3.0064382407535284E-2</v>
      </c>
    </row>
    <row r="3355" spans="9:13" x14ac:dyDescent="0.35">
      <c r="I3355">
        <v>3351</v>
      </c>
      <c r="L3355"/>
      <c r="M3355" s="10">
        <v>2.5971121713549872E-2</v>
      </c>
    </row>
    <row r="3356" spans="9:13" x14ac:dyDescent="0.35">
      <c r="I3356">
        <v>3352</v>
      </c>
      <c r="L3356"/>
      <c r="M3356" s="10">
        <v>2.3170961320127748E-2</v>
      </c>
    </row>
    <row r="3357" spans="9:13" x14ac:dyDescent="0.35">
      <c r="I3357">
        <v>3353</v>
      </c>
      <c r="L3357"/>
      <c r="M3357" s="10">
        <v>2.4631125313268609E-2</v>
      </c>
    </row>
    <row r="3358" spans="9:13" x14ac:dyDescent="0.35">
      <c r="I3358">
        <v>3354</v>
      </c>
      <c r="L3358"/>
      <c r="M3358" s="10">
        <v>2.4929989231355254E-2</v>
      </c>
    </row>
    <row r="3359" spans="9:13" x14ac:dyDescent="0.35">
      <c r="I3359">
        <v>3355</v>
      </c>
      <c r="L3359"/>
      <c r="M3359" s="10">
        <v>2.407435656686685E-2</v>
      </c>
    </row>
    <row r="3360" spans="9:13" x14ac:dyDescent="0.35">
      <c r="I3360">
        <v>3356</v>
      </c>
      <c r="L3360"/>
      <c r="M3360" s="10">
        <v>2.1298368385033961E-2</v>
      </c>
    </row>
    <row r="3361" spans="9:13" x14ac:dyDescent="0.35">
      <c r="I3361">
        <v>3357</v>
      </c>
      <c r="L3361"/>
      <c r="M3361" s="10">
        <v>2.3635817338867438E-2</v>
      </c>
    </row>
    <row r="3362" spans="9:13" x14ac:dyDescent="0.35">
      <c r="I3362">
        <v>3358</v>
      </c>
      <c r="L3362"/>
      <c r="M3362" s="10">
        <v>2.606963421960129E-2</v>
      </c>
    </row>
    <row r="3363" spans="9:13" x14ac:dyDescent="0.35">
      <c r="I3363">
        <v>3359</v>
      </c>
      <c r="L3363"/>
      <c r="M3363" s="10">
        <v>2.3958533944388738E-2</v>
      </c>
    </row>
    <row r="3364" spans="9:13" x14ac:dyDescent="0.35">
      <c r="I3364">
        <v>3360</v>
      </c>
      <c r="L3364"/>
      <c r="M3364" s="10">
        <v>2.1243117217029428E-2</v>
      </c>
    </row>
    <row r="3365" spans="9:13" x14ac:dyDescent="0.35">
      <c r="I3365">
        <v>3361</v>
      </c>
      <c r="L3365"/>
      <c r="M3365" s="10">
        <v>3.3163473693539336E-2</v>
      </c>
    </row>
    <row r="3366" spans="9:13" x14ac:dyDescent="0.35">
      <c r="I3366">
        <v>3362</v>
      </c>
      <c r="L3366"/>
      <c r="M3366" s="10">
        <v>2.6444145830110122E-2</v>
      </c>
    </row>
    <row r="3367" spans="9:13" x14ac:dyDescent="0.35">
      <c r="I3367">
        <v>3363</v>
      </c>
      <c r="L3367"/>
      <c r="M3367" s="10">
        <v>2.2105839410903938E-2</v>
      </c>
    </row>
    <row r="3368" spans="9:13" x14ac:dyDescent="0.35">
      <c r="I3368">
        <v>3364</v>
      </c>
      <c r="L3368"/>
      <c r="M3368" s="10">
        <v>2.4978778755866959E-2</v>
      </c>
    </row>
    <row r="3369" spans="9:13" x14ac:dyDescent="0.35">
      <c r="I3369">
        <v>3365</v>
      </c>
      <c r="L3369"/>
      <c r="M3369" s="10">
        <v>2.2902683816855673E-2</v>
      </c>
    </row>
    <row r="3370" spans="9:13" x14ac:dyDescent="0.35">
      <c r="I3370">
        <v>3366</v>
      </c>
      <c r="L3370"/>
      <c r="M3370" s="10">
        <v>2.5675141884666353E-2</v>
      </c>
    </row>
    <row r="3371" spans="9:13" x14ac:dyDescent="0.35">
      <c r="I3371">
        <v>3367</v>
      </c>
      <c r="L3371"/>
      <c r="M3371" s="10">
        <v>2.0558369977255686E-2</v>
      </c>
    </row>
    <row r="3372" spans="9:13" x14ac:dyDescent="0.35">
      <c r="I3372">
        <v>3368</v>
      </c>
      <c r="L3372"/>
      <c r="M3372" s="10">
        <v>2.056628273481298E-2</v>
      </c>
    </row>
    <row r="3373" spans="9:13" x14ac:dyDescent="0.35">
      <c r="I3373">
        <v>3369</v>
      </c>
      <c r="L3373"/>
      <c r="M3373" s="10">
        <v>2.632137320844441E-2</v>
      </c>
    </row>
    <row r="3374" spans="9:13" x14ac:dyDescent="0.35">
      <c r="I3374">
        <v>3370</v>
      </c>
      <c r="L3374"/>
      <c r="M3374" s="10">
        <v>2.7326431553117203E-2</v>
      </c>
    </row>
    <row r="3375" spans="9:13" x14ac:dyDescent="0.35">
      <c r="I3375">
        <v>3371</v>
      </c>
      <c r="L3375"/>
      <c r="M3375" s="10">
        <v>2.470630278892183E-2</v>
      </c>
    </row>
    <row r="3376" spans="9:13" x14ac:dyDescent="0.35">
      <c r="I3376">
        <v>3372</v>
      </c>
      <c r="L3376"/>
      <c r="M3376" s="10">
        <v>2.2822466510432404E-2</v>
      </c>
    </row>
    <row r="3377" spans="9:13" x14ac:dyDescent="0.35">
      <c r="I3377">
        <v>3373</v>
      </c>
      <c r="L3377"/>
      <c r="M3377" s="10">
        <v>2.6011955226142747E-2</v>
      </c>
    </row>
    <row r="3378" spans="9:13" x14ac:dyDescent="0.35">
      <c r="I3378">
        <v>3374</v>
      </c>
      <c r="L3378"/>
      <c r="M3378" s="10">
        <v>2.7038790048896422E-2</v>
      </c>
    </row>
    <row r="3379" spans="9:13" x14ac:dyDescent="0.35">
      <c r="I3379">
        <v>3375</v>
      </c>
      <c r="L3379"/>
      <c r="M3379" s="10">
        <v>2.366633817448871E-2</v>
      </c>
    </row>
    <row r="3380" spans="9:13" x14ac:dyDescent="0.35">
      <c r="I3380">
        <v>3376</v>
      </c>
      <c r="L3380"/>
      <c r="M3380" s="10">
        <v>1.9863854228284517E-2</v>
      </c>
    </row>
    <row r="3381" spans="9:13" x14ac:dyDescent="0.35">
      <c r="I3381">
        <v>3377</v>
      </c>
      <c r="L3381"/>
      <c r="M3381" s="10">
        <v>2.5109991559240319E-2</v>
      </c>
    </row>
    <row r="3382" spans="9:13" x14ac:dyDescent="0.35">
      <c r="I3382">
        <v>3378</v>
      </c>
      <c r="L3382"/>
      <c r="M3382" s="10">
        <v>2.4749095305501734E-2</v>
      </c>
    </row>
    <row r="3383" spans="9:13" x14ac:dyDescent="0.35">
      <c r="I3383">
        <v>3379</v>
      </c>
      <c r="L3383"/>
      <c r="M3383" s="10">
        <v>2.2365633478106828E-2</v>
      </c>
    </row>
    <row r="3384" spans="9:13" x14ac:dyDescent="0.35">
      <c r="I3384">
        <v>3380</v>
      </c>
      <c r="L3384"/>
      <c r="M3384" s="10">
        <v>2.7903014983008845E-2</v>
      </c>
    </row>
    <row r="3385" spans="9:13" x14ac:dyDescent="0.35">
      <c r="I3385">
        <v>3381</v>
      </c>
      <c r="L3385"/>
      <c r="M3385" s="10">
        <v>3.1765155065584416E-2</v>
      </c>
    </row>
    <row r="3386" spans="9:13" x14ac:dyDescent="0.35">
      <c r="I3386">
        <v>3382</v>
      </c>
      <c r="L3386"/>
      <c r="M3386" s="10">
        <v>2.5116595523535623E-2</v>
      </c>
    </row>
    <row r="3387" spans="9:13" x14ac:dyDescent="0.35">
      <c r="I3387">
        <v>3383</v>
      </c>
      <c r="L3387"/>
      <c r="M3387" s="10">
        <v>2.6848908982957109E-2</v>
      </c>
    </row>
    <row r="3388" spans="9:13" x14ac:dyDescent="0.35">
      <c r="I3388">
        <v>3384</v>
      </c>
      <c r="L3388"/>
      <c r="M3388" s="10">
        <v>3.3414569448167342E-2</v>
      </c>
    </row>
    <row r="3389" spans="9:13" x14ac:dyDescent="0.35">
      <c r="I3389">
        <v>3385</v>
      </c>
      <c r="L3389"/>
      <c r="M3389" s="10">
        <v>2.2613619104610128E-2</v>
      </c>
    </row>
    <row r="3390" spans="9:13" x14ac:dyDescent="0.35">
      <c r="I3390">
        <v>3386</v>
      </c>
      <c r="L3390"/>
      <c r="M3390" s="10">
        <v>2.3807062751494246E-2</v>
      </c>
    </row>
    <row r="3391" spans="9:13" x14ac:dyDescent="0.35">
      <c r="I3391">
        <v>3387</v>
      </c>
      <c r="L3391"/>
      <c r="M3391" s="10">
        <v>2.2656037680258034E-2</v>
      </c>
    </row>
    <row r="3392" spans="9:13" x14ac:dyDescent="0.35">
      <c r="I3392">
        <v>3388</v>
      </c>
      <c r="L3392"/>
      <c r="M3392" s="10">
        <v>2.4988174719434375E-2</v>
      </c>
    </row>
    <row r="3393" spans="9:13" x14ac:dyDescent="0.35">
      <c r="I3393">
        <v>3389</v>
      </c>
      <c r="L3393"/>
      <c r="M3393" s="10">
        <v>2.2882578910552898E-2</v>
      </c>
    </row>
    <row r="3394" spans="9:13" x14ac:dyDescent="0.35">
      <c r="I3394">
        <v>3390</v>
      </c>
      <c r="L3394"/>
      <c r="M3394" s="10">
        <v>2.6264387680072443E-2</v>
      </c>
    </row>
    <row r="3395" spans="9:13" x14ac:dyDescent="0.35">
      <c r="I3395">
        <v>3391</v>
      </c>
      <c r="L3395"/>
      <c r="M3395" s="10">
        <v>2.3702680209991667E-2</v>
      </c>
    </row>
    <row r="3396" spans="9:13" x14ac:dyDescent="0.35">
      <c r="I3396">
        <v>3392</v>
      </c>
      <c r="L3396"/>
      <c r="M3396" s="10">
        <v>2.3593472714224739E-2</v>
      </c>
    </row>
    <row r="3397" spans="9:13" x14ac:dyDescent="0.35">
      <c r="I3397">
        <v>3393</v>
      </c>
      <c r="L3397"/>
      <c r="M3397" s="10">
        <v>3.1524342686586326E-2</v>
      </c>
    </row>
    <row r="3398" spans="9:13" x14ac:dyDescent="0.35">
      <c r="I3398">
        <v>3394</v>
      </c>
      <c r="L3398"/>
      <c r="M3398" s="10">
        <v>2.4906774196927772E-2</v>
      </c>
    </row>
    <row r="3399" spans="9:13" x14ac:dyDescent="0.35">
      <c r="I3399">
        <v>3395</v>
      </c>
      <c r="L3399"/>
      <c r="M3399" s="10">
        <v>2.3896733228866318E-2</v>
      </c>
    </row>
    <row r="3400" spans="9:13" x14ac:dyDescent="0.35">
      <c r="I3400">
        <v>3396</v>
      </c>
      <c r="L3400"/>
      <c r="M3400" s="10">
        <v>2.0879812672064624E-2</v>
      </c>
    </row>
    <row r="3401" spans="9:13" x14ac:dyDescent="0.35">
      <c r="I3401">
        <v>3397</v>
      </c>
      <c r="L3401"/>
      <c r="M3401" s="10">
        <v>2.6942483515283389E-2</v>
      </c>
    </row>
    <row r="3402" spans="9:13" x14ac:dyDescent="0.35">
      <c r="I3402">
        <v>3398</v>
      </c>
      <c r="L3402"/>
      <c r="M3402" s="10">
        <v>3.0563864240336303E-2</v>
      </c>
    </row>
    <row r="3403" spans="9:13" x14ac:dyDescent="0.35">
      <c r="I3403">
        <v>3399</v>
      </c>
      <c r="L3403"/>
      <c r="M3403" s="10">
        <v>2.4640436163414936E-2</v>
      </c>
    </row>
    <row r="3404" spans="9:13" x14ac:dyDescent="0.35">
      <c r="I3404">
        <v>3400</v>
      </c>
      <c r="L3404"/>
      <c r="M3404" s="10">
        <v>3.1997952829980303E-2</v>
      </c>
    </row>
    <row r="3405" spans="9:13" x14ac:dyDescent="0.35">
      <c r="I3405">
        <v>3401</v>
      </c>
      <c r="L3405"/>
      <c r="M3405" s="10">
        <v>2.3500704666445826E-2</v>
      </c>
    </row>
    <row r="3406" spans="9:13" x14ac:dyDescent="0.35">
      <c r="I3406">
        <v>3402</v>
      </c>
      <c r="L3406"/>
      <c r="M3406" s="10">
        <v>2.7392289806812187E-2</v>
      </c>
    </row>
    <row r="3407" spans="9:13" x14ac:dyDescent="0.35">
      <c r="I3407">
        <v>3403</v>
      </c>
      <c r="L3407"/>
      <c r="M3407" s="10">
        <v>2.26974418713628E-2</v>
      </c>
    </row>
    <row r="3408" spans="9:13" x14ac:dyDescent="0.35">
      <c r="I3408">
        <v>3404</v>
      </c>
      <c r="L3408"/>
      <c r="M3408" s="10">
        <v>2.4303818164216451E-2</v>
      </c>
    </row>
    <row r="3409" spans="9:13" x14ac:dyDescent="0.35">
      <c r="I3409">
        <v>3405</v>
      </c>
      <c r="L3409"/>
      <c r="M3409" s="10">
        <v>2.6369081373917691E-2</v>
      </c>
    </row>
    <row r="3410" spans="9:13" x14ac:dyDescent="0.35">
      <c r="I3410">
        <v>3406</v>
      </c>
      <c r="L3410"/>
      <c r="M3410" s="10">
        <v>2.88575773488422E-2</v>
      </c>
    </row>
    <row r="3411" spans="9:13" x14ac:dyDescent="0.35">
      <c r="I3411">
        <v>3407</v>
      </c>
      <c r="L3411"/>
      <c r="M3411" s="10">
        <v>3.4867648097828052E-2</v>
      </c>
    </row>
    <row r="3412" spans="9:13" x14ac:dyDescent="0.35">
      <c r="I3412">
        <v>3408</v>
      </c>
      <c r="L3412"/>
      <c r="M3412" s="10">
        <v>2.373486564088112E-2</v>
      </c>
    </row>
    <row r="3413" spans="9:13" x14ac:dyDescent="0.35">
      <c r="I3413">
        <v>3409</v>
      </c>
      <c r="L3413"/>
      <c r="M3413" s="10">
        <v>2.86352806271859E-2</v>
      </c>
    </row>
    <row r="3414" spans="9:13" x14ac:dyDescent="0.35">
      <c r="I3414">
        <v>3410</v>
      </c>
      <c r="L3414"/>
      <c r="M3414" s="10">
        <v>2.3151450812470609E-2</v>
      </c>
    </row>
    <row r="3415" spans="9:13" x14ac:dyDescent="0.35">
      <c r="I3415">
        <v>3411</v>
      </c>
      <c r="L3415"/>
      <c r="M3415" s="10">
        <v>2.2597062451255367E-2</v>
      </c>
    </row>
    <row r="3416" spans="9:13" x14ac:dyDescent="0.35">
      <c r="I3416">
        <v>3412</v>
      </c>
      <c r="L3416"/>
      <c r="M3416" s="10">
        <v>2.5423993108562915E-2</v>
      </c>
    </row>
    <row r="3417" spans="9:13" x14ac:dyDescent="0.35">
      <c r="I3417">
        <v>3413</v>
      </c>
      <c r="L3417"/>
      <c r="M3417" s="10">
        <v>2.5720278508581162E-2</v>
      </c>
    </row>
    <row r="3418" spans="9:13" x14ac:dyDescent="0.35">
      <c r="I3418">
        <v>3414</v>
      </c>
      <c r="L3418"/>
      <c r="M3418" s="10">
        <v>2.7025364453196143E-2</v>
      </c>
    </row>
    <row r="3419" spans="9:13" x14ac:dyDescent="0.35">
      <c r="I3419">
        <v>3415</v>
      </c>
      <c r="L3419"/>
      <c r="M3419" s="10">
        <v>2.3500012596661235E-2</v>
      </c>
    </row>
    <row r="3420" spans="9:13" x14ac:dyDescent="0.35">
      <c r="I3420">
        <v>3416</v>
      </c>
      <c r="L3420"/>
      <c r="M3420" s="10">
        <v>2.3918127394203292E-2</v>
      </c>
    </row>
    <row r="3421" spans="9:13" x14ac:dyDescent="0.35">
      <c r="I3421">
        <v>3417</v>
      </c>
      <c r="L3421"/>
      <c r="M3421" s="10">
        <v>3.1328710185864583E-2</v>
      </c>
    </row>
    <row r="3422" spans="9:13" x14ac:dyDescent="0.35">
      <c r="I3422">
        <v>3418</v>
      </c>
      <c r="L3422"/>
      <c r="M3422" s="10">
        <v>2.3739405953540516E-2</v>
      </c>
    </row>
    <row r="3423" spans="9:13" x14ac:dyDescent="0.35">
      <c r="I3423">
        <v>3419</v>
      </c>
      <c r="L3423"/>
      <c r="M3423" s="10">
        <v>2.2918894435318138E-2</v>
      </c>
    </row>
    <row r="3424" spans="9:13" x14ac:dyDescent="0.35">
      <c r="I3424">
        <v>3420</v>
      </c>
      <c r="L3424"/>
      <c r="M3424" s="10">
        <v>2.2633291467297534E-2</v>
      </c>
    </row>
    <row r="3425" spans="9:13" x14ac:dyDescent="0.35">
      <c r="I3425">
        <v>3421</v>
      </c>
      <c r="L3425"/>
      <c r="M3425" s="10">
        <v>2.637832385426675E-2</v>
      </c>
    </row>
    <row r="3426" spans="9:13" x14ac:dyDescent="0.35">
      <c r="I3426">
        <v>3422</v>
      </c>
      <c r="L3426"/>
      <c r="M3426" s="10">
        <v>2.8444171695499731E-2</v>
      </c>
    </row>
    <row r="3427" spans="9:13" x14ac:dyDescent="0.35">
      <c r="I3427">
        <v>3423</v>
      </c>
      <c r="L3427"/>
      <c r="M3427" s="10">
        <v>2.5600189052632727E-2</v>
      </c>
    </row>
    <row r="3428" spans="9:13" x14ac:dyDescent="0.35">
      <c r="I3428">
        <v>3424</v>
      </c>
      <c r="L3428"/>
      <c r="M3428" s="10">
        <v>2.2135050057961236E-2</v>
      </c>
    </row>
    <row r="3429" spans="9:13" x14ac:dyDescent="0.35">
      <c r="I3429">
        <v>3425</v>
      </c>
      <c r="L3429"/>
      <c r="M3429" s="10">
        <v>2.1535534839945081E-2</v>
      </c>
    </row>
    <row r="3430" spans="9:13" x14ac:dyDescent="0.35">
      <c r="I3430">
        <v>3426</v>
      </c>
      <c r="L3430"/>
      <c r="M3430" s="10">
        <v>2.6765422483982837E-2</v>
      </c>
    </row>
    <row r="3431" spans="9:13" x14ac:dyDescent="0.35">
      <c r="I3431">
        <v>3427</v>
      </c>
      <c r="L3431"/>
      <c r="M3431" s="10">
        <v>2.6273098550365193E-2</v>
      </c>
    </row>
    <row r="3432" spans="9:13" x14ac:dyDescent="0.35">
      <c r="I3432">
        <v>3428</v>
      </c>
      <c r="L3432"/>
      <c r="M3432" s="10">
        <v>1.9233188893451825E-2</v>
      </c>
    </row>
    <row r="3433" spans="9:13" x14ac:dyDescent="0.35">
      <c r="I3433">
        <v>3429</v>
      </c>
      <c r="L3433"/>
      <c r="M3433" s="10">
        <v>2.5470162255946671E-2</v>
      </c>
    </row>
    <row r="3434" spans="9:13" x14ac:dyDescent="0.35">
      <c r="I3434">
        <v>3430</v>
      </c>
      <c r="L3434"/>
      <c r="M3434" s="10">
        <v>2.428194261969463E-2</v>
      </c>
    </row>
    <row r="3435" spans="9:13" x14ac:dyDescent="0.35">
      <c r="I3435">
        <v>3431</v>
      </c>
      <c r="L3435"/>
      <c r="M3435" s="10">
        <v>2.1991809751476632E-2</v>
      </c>
    </row>
    <row r="3436" spans="9:13" x14ac:dyDescent="0.35">
      <c r="I3436">
        <v>3432</v>
      </c>
      <c r="L3436"/>
      <c r="M3436" s="10">
        <v>2.7679624344596254E-2</v>
      </c>
    </row>
    <row r="3437" spans="9:13" x14ac:dyDescent="0.35">
      <c r="I3437">
        <v>3433</v>
      </c>
      <c r="L3437"/>
      <c r="M3437" s="10">
        <v>3.4284732787528194E-2</v>
      </c>
    </row>
    <row r="3438" spans="9:13" x14ac:dyDescent="0.35">
      <c r="I3438">
        <v>3434</v>
      </c>
      <c r="L3438"/>
      <c r="M3438" s="10">
        <v>2.3219146678879921E-2</v>
      </c>
    </row>
    <row r="3439" spans="9:13" x14ac:dyDescent="0.35">
      <c r="I3439">
        <v>3435</v>
      </c>
      <c r="L3439"/>
      <c r="M3439" s="10">
        <v>2.7690627696050463E-2</v>
      </c>
    </row>
    <row r="3440" spans="9:13" x14ac:dyDescent="0.35">
      <c r="I3440">
        <v>3436</v>
      </c>
      <c r="L3440"/>
      <c r="M3440" s="10">
        <v>2.2860455002277735E-2</v>
      </c>
    </row>
    <row r="3441" spans="9:13" x14ac:dyDescent="0.35">
      <c r="I3441">
        <v>3437</v>
      </c>
      <c r="L3441"/>
      <c r="M3441" s="10">
        <v>2.1017118759206754E-2</v>
      </c>
    </row>
    <row r="3442" spans="9:13" x14ac:dyDescent="0.35">
      <c r="I3442">
        <v>3438</v>
      </c>
      <c r="L3442"/>
      <c r="M3442" s="10">
        <v>2.3434765485235709E-2</v>
      </c>
    </row>
    <row r="3443" spans="9:13" x14ac:dyDescent="0.35">
      <c r="I3443">
        <v>3439</v>
      </c>
      <c r="L3443"/>
      <c r="M3443" s="10">
        <v>3.2400472337235309E-2</v>
      </c>
    </row>
    <row r="3444" spans="9:13" x14ac:dyDescent="0.35">
      <c r="I3444">
        <v>3440</v>
      </c>
      <c r="L3444"/>
      <c r="M3444" s="10">
        <v>2.6611035109939563E-2</v>
      </c>
    </row>
    <row r="3445" spans="9:13" x14ac:dyDescent="0.35">
      <c r="I3445">
        <v>3441</v>
      </c>
      <c r="L3445"/>
      <c r="M3445" s="10">
        <v>3.0651519901641944E-2</v>
      </c>
    </row>
    <row r="3446" spans="9:13" x14ac:dyDescent="0.35">
      <c r="I3446">
        <v>3442</v>
      </c>
      <c r="L3446"/>
      <c r="M3446" s="10">
        <v>2.7983124851179264E-2</v>
      </c>
    </row>
    <row r="3447" spans="9:13" x14ac:dyDescent="0.35">
      <c r="I3447">
        <v>3443</v>
      </c>
      <c r="L3447"/>
      <c r="M3447" s="10">
        <v>2.5012102753176224E-2</v>
      </c>
    </row>
    <row r="3448" spans="9:13" x14ac:dyDescent="0.35">
      <c r="I3448">
        <v>3444</v>
      </c>
      <c r="L3448"/>
      <c r="M3448" s="10">
        <v>2.5254074628123901E-2</v>
      </c>
    </row>
    <row r="3449" spans="9:13" x14ac:dyDescent="0.35">
      <c r="I3449">
        <v>3445</v>
      </c>
      <c r="L3449"/>
      <c r="M3449" s="10">
        <v>2.4334749218621332E-2</v>
      </c>
    </row>
    <row r="3450" spans="9:13" x14ac:dyDescent="0.35">
      <c r="I3450">
        <v>3446</v>
      </c>
      <c r="L3450"/>
      <c r="M3450" s="10">
        <v>2.6280926194501397E-2</v>
      </c>
    </row>
    <row r="3451" spans="9:13" x14ac:dyDescent="0.35">
      <c r="I3451">
        <v>3447</v>
      </c>
      <c r="L3451"/>
      <c r="M3451" s="10">
        <v>2.7952592853142111E-2</v>
      </c>
    </row>
    <row r="3452" spans="9:13" x14ac:dyDescent="0.35">
      <c r="I3452">
        <v>3448</v>
      </c>
      <c r="L3452"/>
      <c r="M3452" s="10">
        <v>2.5932245809642041E-2</v>
      </c>
    </row>
    <row r="3453" spans="9:13" x14ac:dyDescent="0.35">
      <c r="I3453">
        <v>3449</v>
      </c>
      <c r="L3453"/>
      <c r="M3453" s="10">
        <v>2.1704164061349895E-2</v>
      </c>
    </row>
    <row r="3454" spans="9:13" x14ac:dyDescent="0.35">
      <c r="I3454">
        <v>3450</v>
      </c>
      <c r="L3454"/>
      <c r="M3454" s="10">
        <v>2.788391888004127E-2</v>
      </c>
    </row>
    <row r="3455" spans="9:13" x14ac:dyDescent="0.35">
      <c r="I3455">
        <v>3451</v>
      </c>
      <c r="L3455"/>
      <c r="M3455" s="10">
        <v>2.1622280764356461E-2</v>
      </c>
    </row>
    <row r="3456" spans="9:13" x14ac:dyDescent="0.35">
      <c r="I3456">
        <v>3452</v>
      </c>
      <c r="L3456"/>
      <c r="M3456" s="10">
        <v>2.974313365970227E-2</v>
      </c>
    </row>
    <row r="3457" spans="9:13" x14ac:dyDescent="0.35">
      <c r="I3457">
        <v>3453</v>
      </c>
      <c r="L3457"/>
      <c r="M3457" s="10">
        <v>2.4548662965951373E-2</v>
      </c>
    </row>
    <row r="3458" spans="9:13" x14ac:dyDescent="0.35">
      <c r="I3458">
        <v>3454</v>
      </c>
      <c r="L3458"/>
      <c r="M3458" s="10">
        <v>2.0289449239768498E-2</v>
      </c>
    </row>
    <row r="3459" spans="9:13" x14ac:dyDescent="0.35">
      <c r="I3459">
        <v>3455</v>
      </c>
      <c r="L3459"/>
      <c r="M3459" s="10">
        <v>2.4491991380526046E-2</v>
      </c>
    </row>
    <row r="3460" spans="9:13" x14ac:dyDescent="0.35">
      <c r="I3460">
        <v>3456</v>
      </c>
      <c r="L3460"/>
      <c r="M3460" s="10">
        <v>2.7568812251546504E-2</v>
      </c>
    </row>
    <row r="3461" spans="9:13" x14ac:dyDescent="0.35">
      <c r="I3461">
        <v>3457</v>
      </c>
      <c r="L3461"/>
      <c r="M3461" s="10">
        <v>2.3662128548399775E-2</v>
      </c>
    </row>
    <row r="3462" spans="9:13" x14ac:dyDescent="0.35">
      <c r="I3462">
        <v>3458</v>
      </c>
      <c r="L3462"/>
      <c r="M3462" s="10">
        <v>2.4912651208888859E-2</v>
      </c>
    </row>
    <row r="3463" spans="9:13" x14ac:dyDescent="0.35">
      <c r="I3463">
        <v>3459</v>
      </c>
      <c r="L3463"/>
      <c r="M3463" s="10">
        <v>2.4766663552795665E-2</v>
      </c>
    </row>
    <row r="3464" spans="9:13" x14ac:dyDescent="0.35">
      <c r="I3464">
        <v>3460</v>
      </c>
      <c r="L3464"/>
      <c r="M3464" s="10">
        <v>2.0983433378683358E-2</v>
      </c>
    </row>
    <row r="3465" spans="9:13" x14ac:dyDescent="0.35">
      <c r="I3465">
        <v>3461</v>
      </c>
      <c r="L3465"/>
      <c r="M3465" s="10">
        <v>2.1578275730351537E-2</v>
      </c>
    </row>
    <row r="3466" spans="9:13" x14ac:dyDescent="0.35">
      <c r="I3466">
        <v>3462</v>
      </c>
      <c r="L3466"/>
      <c r="M3466" s="10">
        <v>2.6148923650204492E-2</v>
      </c>
    </row>
    <row r="3467" spans="9:13" x14ac:dyDescent="0.35">
      <c r="I3467">
        <v>3463</v>
      </c>
      <c r="L3467"/>
      <c r="M3467" s="10">
        <v>2.331449882593517E-2</v>
      </c>
    </row>
    <row r="3468" spans="9:13" x14ac:dyDescent="0.35">
      <c r="I3468">
        <v>3464</v>
      </c>
      <c r="L3468"/>
      <c r="M3468" s="10">
        <v>2.6975552172329387E-2</v>
      </c>
    </row>
    <row r="3469" spans="9:13" x14ac:dyDescent="0.35">
      <c r="I3469">
        <v>3465</v>
      </c>
      <c r="L3469"/>
      <c r="M3469" s="10">
        <v>2.5290436197854649E-2</v>
      </c>
    </row>
    <row r="3470" spans="9:13" x14ac:dyDescent="0.35">
      <c r="I3470">
        <v>3466</v>
      </c>
      <c r="L3470"/>
      <c r="M3470" s="10">
        <v>2.3924085333679512E-2</v>
      </c>
    </row>
    <row r="3471" spans="9:13" x14ac:dyDescent="0.35">
      <c r="I3471">
        <v>3467</v>
      </c>
      <c r="L3471"/>
      <c r="M3471" s="10">
        <v>2.1380332609542529E-2</v>
      </c>
    </row>
    <row r="3472" spans="9:13" x14ac:dyDescent="0.35">
      <c r="I3472">
        <v>3468</v>
      </c>
      <c r="L3472"/>
      <c r="M3472" s="10">
        <v>2.8369564898358401E-2</v>
      </c>
    </row>
    <row r="3473" spans="9:13" x14ac:dyDescent="0.35">
      <c r="I3473">
        <v>3469</v>
      </c>
      <c r="L3473"/>
      <c r="M3473" s="10">
        <v>2.3801399220736874E-2</v>
      </c>
    </row>
    <row r="3474" spans="9:13" x14ac:dyDescent="0.35">
      <c r="I3474">
        <v>3470</v>
      </c>
      <c r="L3474"/>
      <c r="M3474" s="10">
        <v>1.8081078277271234E-2</v>
      </c>
    </row>
    <row r="3475" spans="9:13" x14ac:dyDescent="0.35">
      <c r="I3475">
        <v>3471</v>
      </c>
      <c r="L3475"/>
      <c r="M3475" s="10">
        <v>2.6405565730223124E-2</v>
      </c>
    </row>
    <row r="3476" spans="9:13" x14ac:dyDescent="0.35">
      <c r="I3476">
        <v>3472</v>
      </c>
      <c r="L3476"/>
      <c r="M3476" s="10">
        <v>2.8001735389056037E-2</v>
      </c>
    </row>
    <row r="3477" spans="9:13" x14ac:dyDescent="0.35">
      <c r="I3477">
        <v>3473</v>
      </c>
      <c r="L3477"/>
      <c r="M3477" s="10">
        <v>2.4059362651735361E-2</v>
      </c>
    </row>
    <row r="3478" spans="9:13" x14ac:dyDescent="0.35">
      <c r="I3478">
        <v>3474</v>
      </c>
      <c r="L3478"/>
      <c r="M3478" s="10">
        <v>2.0956675672515801E-2</v>
      </c>
    </row>
    <row r="3479" spans="9:13" x14ac:dyDescent="0.35">
      <c r="I3479">
        <v>3475</v>
      </c>
      <c r="L3479"/>
      <c r="M3479" s="10">
        <v>2.4069361385760324E-2</v>
      </c>
    </row>
    <row r="3480" spans="9:13" x14ac:dyDescent="0.35">
      <c r="I3480">
        <v>3476</v>
      </c>
      <c r="L3480"/>
      <c r="M3480" s="10">
        <v>2.4670691891659047E-2</v>
      </c>
    </row>
    <row r="3481" spans="9:13" x14ac:dyDescent="0.35">
      <c r="I3481">
        <v>3477</v>
      </c>
      <c r="L3481"/>
      <c r="M3481" s="10">
        <v>2.2782580407887387E-2</v>
      </c>
    </row>
    <row r="3482" spans="9:13" x14ac:dyDescent="0.35">
      <c r="I3482">
        <v>3478</v>
      </c>
      <c r="L3482"/>
      <c r="M3482" s="10">
        <v>2.9982818634696429E-2</v>
      </c>
    </row>
    <row r="3483" spans="9:13" x14ac:dyDescent="0.35">
      <c r="I3483">
        <v>3479</v>
      </c>
      <c r="L3483"/>
      <c r="M3483" s="10">
        <v>2.5968192974683224E-2</v>
      </c>
    </row>
    <row r="3484" spans="9:13" x14ac:dyDescent="0.35">
      <c r="I3484">
        <v>3480</v>
      </c>
      <c r="L3484"/>
      <c r="M3484" s="10">
        <v>3.0288791616396971E-2</v>
      </c>
    </row>
    <row r="3485" spans="9:13" x14ac:dyDescent="0.35">
      <c r="I3485">
        <v>3481</v>
      </c>
      <c r="L3485"/>
      <c r="M3485" s="10">
        <v>2.4035525312622541E-2</v>
      </c>
    </row>
    <row r="3486" spans="9:13" x14ac:dyDescent="0.35">
      <c r="I3486">
        <v>3482</v>
      </c>
      <c r="L3486"/>
      <c r="M3486" s="10">
        <v>2.6510026408636866E-2</v>
      </c>
    </row>
    <row r="3487" spans="9:13" x14ac:dyDescent="0.35">
      <c r="I3487">
        <v>3483</v>
      </c>
      <c r="L3487"/>
      <c r="M3487" s="10">
        <v>2.4433282654202526E-2</v>
      </c>
    </row>
    <row r="3488" spans="9:13" x14ac:dyDescent="0.35">
      <c r="I3488">
        <v>3484</v>
      </c>
      <c r="L3488"/>
      <c r="M3488" s="10">
        <v>2.6588001464770139E-2</v>
      </c>
    </row>
    <row r="3489" spans="9:13" x14ac:dyDescent="0.35">
      <c r="I3489">
        <v>3485</v>
      </c>
      <c r="L3489"/>
      <c r="M3489" s="10">
        <v>2.4122874007491468E-2</v>
      </c>
    </row>
    <row r="3490" spans="9:13" x14ac:dyDescent="0.35">
      <c r="I3490">
        <v>3486</v>
      </c>
      <c r="L3490"/>
      <c r="M3490" s="10">
        <v>2.6670642410741463E-2</v>
      </c>
    </row>
    <row r="3491" spans="9:13" x14ac:dyDescent="0.35">
      <c r="I3491">
        <v>3487</v>
      </c>
      <c r="L3491"/>
      <c r="M3491" s="10">
        <v>2.8838983554589248E-2</v>
      </c>
    </row>
    <row r="3492" spans="9:13" x14ac:dyDescent="0.35">
      <c r="I3492">
        <v>3488</v>
      </c>
      <c r="L3492"/>
      <c r="M3492" s="10">
        <v>2.5466632141924461E-2</v>
      </c>
    </row>
    <row r="3493" spans="9:13" x14ac:dyDescent="0.35">
      <c r="I3493">
        <v>3489</v>
      </c>
      <c r="L3493"/>
      <c r="M3493" s="10">
        <v>2.2464985955953254E-2</v>
      </c>
    </row>
    <row r="3494" spans="9:13" x14ac:dyDescent="0.35">
      <c r="I3494">
        <v>3490</v>
      </c>
      <c r="L3494"/>
      <c r="M3494" s="10">
        <v>2.724093581928444E-2</v>
      </c>
    </row>
    <row r="3495" spans="9:13" x14ac:dyDescent="0.35">
      <c r="I3495">
        <v>3491</v>
      </c>
      <c r="L3495"/>
      <c r="M3495" s="10">
        <v>1.9978380615218505E-2</v>
      </c>
    </row>
    <row r="3496" spans="9:13" x14ac:dyDescent="0.35">
      <c r="I3496">
        <v>3492</v>
      </c>
      <c r="L3496"/>
      <c r="M3496" s="10">
        <v>2.7525878809466109E-2</v>
      </c>
    </row>
    <row r="3497" spans="9:13" x14ac:dyDescent="0.35">
      <c r="I3497">
        <v>3493</v>
      </c>
      <c r="L3497"/>
      <c r="M3497" s="10">
        <v>2.8219249015507542E-2</v>
      </c>
    </row>
    <row r="3498" spans="9:13" x14ac:dyDescent="0.35">
      <c r="I3498">
        <v>3494</v>
      </c>
      <c r="L3498"/>
      <c r="M3498" s="10">
        <v>3.0121614904358607E-2</v>
      </c>
    </row>
    <row r="3499" spans="9:13" x14ac:dyDescent="0.35">
      <c r="I3499">
        <v>3495</v>
      </c>
      <c r="L3499"/>
      <c r="M3499" s="10">
        <v>2.1449140531633937E-2</v>
      </c>
    </row>
    <row r="3500" spans="9:13" x14ac:dyDescent="0.35">
      <c r="I3500">
        <v>3496</v>
      </c>
      <c r="L3500"/>
      <c r="M3500" s="10">
        <v>2.5853575893120206E-2</v>
      </c>
    </row>
    <row r="3501" spans="9:13" x14ac:dyDescent="0.35">
      <c r="I3501">
        <v>3497</v>
      </c>
      <c r="L3501"/>
      <c r="M3501" s="10">
        <v>2.7554200649158922E-2</v>
      </c>
    </row>
    <row r="3502" spans="9:13" x14ac:dyDescent="0.35">
      <c r="I3502">
        <v>3498</v>
      </c>
      <c r="L3502"/>
      <c r="M3502" s="10">
        <v>2.1308706177441294E-2</v>
      </c>
    </row>
    <row r="3503" spans="9:13" x14ac:dyDescent="0.35">
      <c r="I3503">
        <v>3499</v>
      </c>
      <c r="L3503"/>
      <c r="M3503" s="10">
        <v>2.6461824306260873E-2</v>
      </c>
    </row>
    <row r="3504" spans="9:13" x14ac:dyDescent="0.35">
      <c r="I3504">
        <v>3500</v>
      </c>
      <c r="L3504"/>
      <c r="M3504" s="10">
        <v>2.8790700524698121E-2</v>
      </c>
    </row>
    <row r="3505" spans="9:13" x14ac:dyDescent="0.35">
      <c r="I3505">
        <v>3501</v>
      </c>
      <c r="L3505"/>
      <c r="M3505" s="10">
        <v>2.3016886493729127E-2</v>
      </c>
    </row>
    <row r="3506" spans="9:13" x14ac:dyDescent="0.35">
      <c r="I3506">
        <v>3502</v>
      </c>
      <c r="L3506"/>
      <c r="M3506" s="10">
        <v>2.4434076581032027E-2</v>
      </c>
    </row>
    <row r="3507" spans="9:13" x14ac:dyDescent="0.35">
      <c r="I3507">
        <v>3503</v>
      </c>
      <c r="L3507"/>
      <c r="M3507" s="10">
        <v>2.1962794446697242E-2</v>
      </c>
    </row>
    <row r="3508" spans="9:13" x14ac:dyDescent="0.35">
      <c r="I3508">
        <v>3504</v>
      </c>
      <c r="L3508"/>
      <c r="M3508" s="10">
        <v>2.3420827813706913E-2</v>
      </c>
    </row>
    <row r="3509" spans="9:13" x14ac:dyDescent="0.35">
      <c r="I3509">
        <v>3505</v>
      </c>
      <c r="L3509"/>
      <c r="M3509" s="10">
        <v>3.3868522577195748E-2</v>
      </c>
    </row>
    <row r="3510" spans="9:13" x14ac:dyDescent="0.35">
      <c r="I3510">
        <v>3506</v>
      </c>
      <c r="L3510"/>
      <c r="M3510" s="10">
        <v>2.2180142032212524E-2</v>
      </c>
    </row>
    <row r="3511" spans="9:13" x14ac:dyDescent="0.35">
      <c r="I3511">
        <v>3507</v>
      </c>
      <c r="L3511"/>
      <c r="M3511" s="10">
        <v>2.4902983161434356E-2</v>
      </c>
    </row>
    <row r="3512" spans="9:13" x14ac:dyDescent="0.35">
      <c r="I3512">
        <v>3508</v>
      </c>
      <c r="L3512"/>
      <c r="M3512" s="10">
        <v>2.3148083948780651E-2</v>
      </c>
    </row>
    <row r="3513" spans="9:13" x14ac:dyDescent="0.35">
      <c r="I3513">
        <v>3509</v>
      </c>
      <c r="L3513"/>
      <c r="M3513" s="10">
        <v>2.4449515597496752E-2</v>
      </c>
    </row>
    <row r="3514" spans="9:13" x14ac:dyDescent="0.35">
      <c r="I3514">
        <v>3510</v>
      </c>
      <c r="L3514"/>
      <c r="M3514" s="10">
        <v>2.6910472497142068E-2</v>
      </c>
    </row>
    <row r="3515" spans="9:13" x14ac:dyDescent="0.35">
      <c r="I3515">
        <v>3511</v>
      </c>
      <c r="L3515"/>
      <c r="M3515" s="10">
        <v>2.2326380842663029E-2</v>
      </c>
    </row>
    <row r="3516" spans="9:13" x14ac:dyDescent="0.35">
      <c r="I3516">
        <v>3512</v>
      </c>
      <c r="L3516"/>
      <c r="M3516" s="10">
        <v>2.1022189286620474E-2</v>
      </c>
    </row>
    <row r="3517" spans="9:13" x14ac:dyDescent="0.35">
      <c r="I3517">
        <v>3513</v>
      </c>
      <c r="L3517"/>
      <c r="M3517" s="10">
        <v>2.5748654765051393E-2</v>
      </c>
    </row>
    <row r="3518" spans="9:13" x14ac:dyDescent="0.35">
      <c r="I3518">
        <v>3514</v>
      </c>
      <c r="L3518"/>
      <c r="M3518" s="10">
        <v>2.1313277186744362E-2</v>
      </c>
    </row>
    <row r="3519" spans="9:13" x14ac:dyDescent="0.35">
      <c r="I3519">
        <v>3515</v>
      </c>
      <c r="L3519"/>
      <c r="M3519" s="10">
        <v>2.0504787590425289E-2</v>
      </c>
    </row>
    <row r="3520" spans="9:13" x14ac:dyDescent="0.35">
      <c r="I3520">
        <v>3516</v>
      </c>
      <c r="L3520"/>
      <c r="M3520" s="10">
        <v>2.43504924109188E-2</v>
      </c>
    </row>
    <row r="3521" spans="9:13" x14ac:dyDescent="0.35">
      <c r="I3521">
        <v>3517</v>
      </c>
      <c r="L3521"/>
      <c r="M3521" s="10">
        <v>2.5364336972191537E-2</v>
      </c>
    </row>
    <row r="3522" spans="9:13" x14ac:dyDescent="0.35">
      <c r="I3522">
        <v>3518</v>
      </c>
      <c r="L3522"/>
      <c r="M3522" s="10">
        <v>2.4495021976437603E-2</v>
      </c>
    </row>
    <row r="3523" spans="9:13" x14ac:dyDescent="0.35">
      <c r="I3523">
        <v>3519</v>
      </c>
      <c r="L3523"/>
      <c r="M3523" s="10">
        <v>2.3144393375030159E-2</v>
      </c>
    </row>
    <row r="3524" spans="9:13" x14ac:dyDescent="0.35">
      <c r="I3524">
        <v>3520</v>
      </c>
      <c r="L3524"/>
      <c r="M3524" s="10">
        <v>2.3888521876684221E-2</v>
      </c>
    </row>
    <row r="3525" spans="9:13" x14ac:dyDescent="0.35">
      <c r="I3525">
        <v>3521</v>
      </c>
      <c r="L3525"/>
      <c r="M3525" s="10">
        <v>2.3812618843998767E-2</v>
      </c>
    </row>
    <row r="3526" spans="9:13" x14ac:dyDescent="0.35">
      <c r="I3526">
        <v>3522</v>
      </c>
      <c r="L3526"/>
      <c r="M3526" s="10">
        <v>2.6191884998324588E-2</v>
      </c>
    </row>
    <row r="3527" spans="9:13" x14ac:dyDescent="0.35">
      <c r="I3527">
        <v>3523</v>
      </c>
      <c r="L3527"/>
      <c r="M3527" s="10">
        <v>2.7288490501539364E-2</v>
      </c>
    </row>
    <row r="3528" spans="9:13" x14ac:dyDescent="0.35">
      <c r="I3528">
        <v>3524</v>
      </c>
      <c r="L3528"/>
      <c r="M3528" s="10">
        <v>2.6832321632958678E-2</v>
      </c>
    </row>
    <row r="3529" spans="9:13" x14ac:dyDescent="0.35">
      <c r="I3529">
        <v>3525</v>
      </c>
      <c r="L3529"/>
      <c r="M3529" s="10">
        <v>3.2832309929800463E-2</v>
      </c>
    </row>
    <row r="3530" spans="9:13" x14ac:dyDescent="0.35">
      <c r="I3530">
        <v>3526</v>
      </c>
      <c r="L3530"/>
      <c r="M3530" s="10">
        <v>2.7643014411112166E-2</v>
      </c>
    </row>
    <row r="3531" spans="9:13" x14ac:dyDescent="0.35">
      <c r="I3531">
        <v>3527</v>
      </c>
      <c r="L3531"/>
      <c r="M3531" s="10">
        <v>2.5021207098628762E-2</v>
      </c>
    </row>
    <row r="3532" spans="9:13" x14ac:dyDescent="0.35">
      <c r="I3532">
        <v>3528</v>
      </c>
      <c r="L3532"/>
      <c r="M3532" s="10">
        <v>2.2232525854637752E-2</v>
      </c>
    </row>
    <row r="3533" spans="9:13" x14ac:dyDescent="0.35">
      <c r="I3533">
        <v>3529</v>
      </c>
      <c r="L3533"/>
      <c r="M3533" s="10">
        <v>3.209964522925568E-2</v>
      </c>
    </row>
    <row r="3534" spans="9:13" x14ac:dyDescent="0.35">
      <c r="I3534">
        <v>3530</v>
      </c>
      <c r="L3534"/>
      <c r="M3534" s="10">
        <v>2.674209024418861E-2</v>
      </c>
    </row>
    <row r="3535" spans="9:13" x14ac:dyDescent="0.35">
      <c r="I3535">
        <v>3531</v>
      </c>
      <c r="L3535"/>
      <c r="M3535" s="10">
        <v>2.3548167258769737E-2</v>
      </c>
    </row>
    <row r="3536" spans="9:13" x14ac:dyDescent="0.35">
      <c r="I3536">
        <v>3532</v>
      </c>
      <c r="L3536"/>
      <c r="M3536" s="10">
        <v>2.2880405030060169E-2</v>
      </c>
    </row>
    <row r="3537" spans="9:13" x14ac:dyDescent="0.35">
      <c r="I3537">
        <v>3533</v>
      </c>
      <c r="L3537"/>
      <c r="M3537" s="10">
        <v>2.6611540209258155E-2</v>
      </c>
    </row>
    <row r="3538" spans="9:13" x14ac:dyDescent="0.35">
      <c r="I3538">
        <v>3534</v>
      </c>
      <c r="L3538"/>
      <c r="M3538" s="10">
        <v>2.1660259489087896E-2</v>
      </c>
    </row>
    <row r="3539" spans="9:13" x14ac:dyDescent="0.35">
      <c r="I3539">
        <v>3535</v>
      </c>
      <c r="L3539"/>
      <c r="M3539" s="10">
        <v>2.4286442468596459E-2</v>
      </c>
    </row>
    <row r="3540" spans="9:13" x14ac:dyDescent="0.35">
      <c r="I3540">
        <v>3536</v>
      </c>
      <c r="L3540"/>
      <c r="M3540" s="10">
        <v>2.9208495798085599E-2</v>
      </c>
    </row>
    <row r="3541" spans="9:13" x14ac:dyDescent="0.35">
      <c r="I3541">
        <v>3537</v>
      </c>
      <c r="L3541"/>
      <c r="M3541" s="10">
        <v>2.4612657096194313E-2</v>
      </c>
    </row>
    <row r="3542" spans="9:13" x14ac:dyDescent="0.35">
      <c r="I3542">
        <v>3538</v>
      </c>
      <c r="L3542"/>
      <c r="M3542" s="10">
        <v>2.184510072425716E-2</v>
      </c>
    </row>
    <row r="3543" spans="9:13" x14ac:dyDescent="0.35">
      <c r="I3543">
        <v>3539</v>
      </c>
      <c r="L3543"/>
      <c r="M3543" s="10">
        <v>1.8607493624289928E-2</v>
      </c>
    </row>
    <row r="3544" spans="9:13" x14ac:dyDescent="0.35">
      <c r="I3544">
        <v>3540</v>
      </c>
      <c r="L3544"/>
      <c r="M3544" s="10">
        <v>2.8879944039662764E-2</v>
      </c>
    </row>
    <row r="3545" spans="9:13" x14ac:dyDescent="0.35">
      <c r="I3545">
        <v>3541</v>
      </c>
      <c r="L3545"/>
      <c r="M3545" s="10">
        <v>2.1614393122234898E-2</v>
      </c>
    </row>
    <row r="3546" spans="9:13" x14ac:dyDescent="0.35">
      <c r="I3546">
        <v>3542</v>
      </c>
      <c r="L3546"/>
      <c r="M3546" s="10">
        <v>2.6918286188258422E-2</v>
      </c>
    </row>
    <row r="3547" spans="9:13" x14ac:dyDescent="0.35">
      <c r="I3547">
        <v>3543</v>
      </c>
      <c r="L3547"/>
      <c r="M3547" s="10">
        <v>2.4746116335763624E-2</v>
      </c>
    </row>
    <row r="3548" spans="9:13" x14ac:dyDescent="0.35">
      <c r="I3548">
        <v>3544</v>
      </c>
      <c r="L3548"/>
      <c r="M3548" s="10">
        <v>3.1430374679100259E-2</v>
      </c>
    </row>
    <row r="3549" spans="9:13" x14ac:dyDescent="0.35">
      <c r="I3549">
        <v>3545</v>
      </c>
      <c r="L3549"/>
      <c r="M3549" s="10">
        <v>2.3483916392961546E-2</v>
      </c>
    </row>
    <row r="3550" spans="9:13" x14ac:dyDescent="0.35">
      <c r="I3550">
        <v>3546</v>
      </c>
      <c r="L3550"/>
      <c r="M3550" s="10">
        <v>2.7352799970030928E-2</v>
      </c>
    </row>
    <row r="3551" spans="9:13" x14ac:dyDescent="0.35">
      <c r="I3551">
        <v>3547</v>
      </c>
      <c r="L3551"/>
      <c r="M3551" s="10">
        <v>2.5252224457691708E-2</v>
      </c>
    </row>
    <row r="3552" spans="9:13" x14ac:dyDescent="0.35">
      <c r="I3552">
        <v>3548</v>
      </c>
      <c r="L3552"/>
      <c r="M3552" s="10">
        <v>2.5992850751363261E-2</v>
      </c>
    </row>
    <row r="3553" spans="9:13" x14ac:dyDescent="0.35">
      <c r="I3553">
        <v>3549</v>
      </c>
      <c r="L3553"/>
      <c r="M3553" s="10">
        <v>2.8779752985323315E-2</v>
      </c>
    </row>
    <row r="3554" spans="9:13" x14ac:dyDescent="0.35">
      <c r="I3554">
        <v>3550</v>
      </c>
      <c r="L3554"/>
      <c r="M3554" s="10">
        <v>2.1790642087780143E-2</v>
      </c>
    </row>
    <row r="3555" spans="9:13" x14ac:dyDescent="0.35">
      <c r="I3555">
        <v>3551</v>
      </c>
      <c r="L3555"/>
      <c r="M3555" s="10">
        <v>2.2840047315444201E-2</v>
      </c>
    </row>
    <row r="3556" spans="9:13" x14ac:dyDescent="0.35">
      <c r="I3556">
        <v>3552</v>
      </c>
      <c r="L3556"/>
      <c r="M3556" s="10">
        <v>1.9259297784196328E-2</v>
      </c>
    </row>
    <row r="3557" spans="9:13" x14ac:dyDescent="0.35">
      <c r="I3557">
        <v>3553</v>
      </c>
      <c r="L3557"/>
      <c r="M3557" s="10">
        <v>2.3384672748669955E-2</v>
      </c>
    </row>
    <row r="3558" spans="9:13" x14ac:dyDescent="0.35">
      <c r="I3558">
        <v>3554</v>
      </c>
      <c r="L3558"/>
      <c r="M3558" s="10">
        <v>2.6628688470654582E-2</v>
      </c>
    </row>
    <row r="3559" spans="9:13" x14ac:dyDescent="0.35">
      <c r="I3559">
        <v>3555</v>
      </c>
      <c r="L3559"/>
      <c r="M3559" s="10">
        <v>2.584527105570511E-2</v>
      </c>
    </row>
    <row r="3560" spans="9:13" x14ac:dyDescent="0.35">
      <c r="I3560">
        <v>3556</v>
      </c>
      <c r="L3560"/>
      <c r="M3560" s="10">
        <v>2.4208184166160218E-2</v>
      </c>
    </row>
    <row r="3561" spans="9:13" x14ac:dyDescent="0.35">
      <c r="I3561">
        <v>3557</v>
      </c>
      <c r="L3561"/>
      <c r="M3561" s="10">
        <v>2.7229522249046623E-2</v>
      </c>
    </row>
    <row r="3562" spans="9:13" x14ac:dyDescent="0.35">
      <c r="I3562">
        <v>3558</v>
      </c>
      <c r="L3562"/>
      <c r="M3562" s="10">
        <v>2.1426898022690044E-2</v>
      </c>
    </row>
    <row r="3563" spans="9:13" x14ac:dyDescent="0.35">
      <c r="I3563">
        <v>3559</v>
      </c>
      <c r="L3563"/>
      <c r="M3563" s="10">
        <v>2.6635944040976911E-2</v>
      </c>
    </row>
    <row r="3564" spans="9:13" x14ac:dyDescent="0.35">
      <c r="I3564">
        <v>3560</v>
      </c>
      <c r="L3564"/>
      <c r="M3564" s="10">
        <v>2.6059783387586744E-2</v>
      </c>
    </row>
    <row r="3565" spans="9:13" x14ac:dyDescent="0.35">
      <c r="I3565">
        <v>3561</v>
      </c>
      <c r="L3565"/>
      <c r="M3565" s="10">
        <v>2.6254804746039029E-2</v>
      </c>
    </row>
    <row r="3566" spans="9:13" x14ac:dyDescent="0.35">
      <c r="I3566">
        <v>3562</v>
      </c>
      <c r="L3566"/>
      <c r="M3566" s="10">
        <v>2.3109357342185222E-2</v>
      </c>
    </row>
    <row r="3567" spans="9:13" x14ac:dyDescent="0.35">
      <c r="I3567">
        <v>3563</v>
      </c>
      <c r="L3567"/>
      <c r="M3567" s="10">
        <v>2.3482328539302544E-2</v>
      </c>
    </row>
    <row r="3568" spans="9:13" x14ac:dyDescent="0.35">
      <c r="I3568">
        <v>3564</v>
      </c>
      <c r="L3568"/>
      <c r="M3568" s="10">
        <v>3.2846469454344884E-2</v>
      </c>
    </row>
    <row r="3569" spans="9:13" x14ac:dyDescent="0.35">
      <c r="I3569">
        <v>3565</v>
      </c>
      <c r="L3569"/>
      <c r="M3569" s="10">
        <v>2.522611975285316E-2</v>
      </c>
    </row>
    <row r="3570" spans="9:13" x14ac:dyDescent="0.35">
      <c r="I3570">
        <v>3566</v>
      </c>
      <c r="L3570"/>
      <c r="M3570" s="10">
        <v>2.2468672343797791E-2</v>
      </c>
    </row>
    <row r="3571" spans="9:13" x14ac:dyDescent="0.35">
      <c r="I3571">
        <v>3567</v>
      </c>
      <c r="L3571"/>
      <c r="M3571" s="10">
        <v>2.1148328771976144E-2</v>
      </c>
    </row>
    <row r="3572" spans="9:13" x14ac:dyDescent="0.35">
      <c r="I3572">
        <v>3568</v>
      </c>
      <c r="L3572"/>
      <c r="M3572" s="10">
        <v>2.1980937558409019E-2</v>
      </c>
    </row>
    <row r="3573" spans="9:13" x14ac:dyDescent="0.35">
      <c r="I3573">
        <v>3569</v>
      </c>
      <c r="L3573"/>
      <c r="M3573" s="10">
        <v>2.5166954762780525E-2</v>
      </c>
    </row>
    <row r="3574" spans="9:13" x14ac:dyDescent="0.35">
      <c r="I3574">
        <v>3570</v>
      </c>
      <c r="L3574"/>
      <c r="M3574" s="10">
        <v>2.8230453290447599E-2</v>
      </c>
    </row>
    <row r="3575" spans="9:13" x14ac:dyDescent="0.35">
      <c r="I3575">
        <v>3571</v>
      </c>
      <c r="L3575"/>
      <c r="M3575" s="10">
        <v>2.6201698157185538E-2</v>
      </c>
    </row>
    <row r="3576" spans="9:13" x14ac:dyDescent="0.35">
      <c r="I3576">
        <v>3572</v>
      </c>
      <c r="L3576"/>
      <c r="M3576" s="10">
        <v>2.4045635670806309E-2</v>
      </c>
    </row>
    <row r="3577" spans="9:13" x14ac:dyDescent="0.35">
      <c r="I3577">
        <v>3573</v>
      </c>
      <c r="L3577"/>
      <c r="M3577" s="10">
        <v>2.0478713582230412E-2</v>
      </c>
    </row>
    <row r="3578" spans="9:13" x14ac:dyDescent="0.35">
      <c r="I3578">
        <v>3574</v>
      </c>
      <c r="L3578"/>
      <c r="M3578" s="10">
        <v>2.1442355178080574E-2</v>
      </c>
    </row>
    <row r="3579" spans="9:13" x14ac:dyDescent="0.35">
      <c r="I3579">
        <v>3575</v>
      </c>
      <c r="L3579"/>
      <c r="M3579" s="10">
        <v>2.2534180376694524E-2</v>
      </c>
    </row>
    <row r="3580" spans="9:13" x14ac:dyDescent="0.35">
      <c r="I3580">
        <v>3576</v>
      </c>
      <c r="L3580"/>
      <c r="M3580" s="10">
        <v>2.1409194431103562E-2</v>
      </c>
    </row>
    <row r="3581" spans="9:13" x14ac:dyDescent="0.35">
      <c r="I3581">
        <v>3577</v>
      </c>
      <c r="L3581"/>
      <c r="M3581" s="10">
        <v>2.7125256912910789E-2</v>
      </c>
    </row>
    <row r="3582" spans="9:13" x14ac:dyDescent="0.35">
      <c r="I3582">
        <v>3578</v>
      </c>
      <c r="L3582"/>
      <c r="M3582" s="10">
        <v>2.6817871885601363E-2</v>
      </c>
    </row>
    <row r="3583" spans="9:13" x14ac:dyDescent="0.35">
      <c r="I3583">
        <v>3579</v>
      </c>
      <c r="L3583"/>
      <c r="M3583" s="10">
        <v>2.0472244962227659E-2</v>
      </c>
    </row>
    <row r="3584" spans="9:13" x14ac:dyDescent="0.35">
      <c r="I3584">
        <v>3580</v>
      </c>
      <c r="L3584"/>
      <c r="M3584" s="10">
        <v>3.0035929409455875E-2</v>
      </c>
    </row>
    <row r="3585" spans="9:13" x14ac:dyDescent="0.35">
      <c r="I3585">
        <v>3581</v>
      </c>
      <c r="L3585"/>
      <c r="M3585" s="10">
        <v>2.5062534548124349E-2</v>
      </c>
    </row>
    <row r="3586" spans="9:13" x14ac:dyDescent="0.35">
      <c r="I3586">
        <v>3582</v>
      </c>
      <c r="L3586"/>
      <c r="M3586" s="10">
        <v>2.390692172396125E-2</v>
      </c>
    </row>
    <row r="3587" spans="9:13" x14ac:dyDescent="0.35">
      <c r="I3587">
        <v>3583</v>
      </c>
      <c r="L3587"/>
      <c r="M3587" s="10">
        <v>2.6432930392754184E-2</v>
      </c>
    </row>
    <row r="3588" spans="9:13" x14ac:dyDescent="0.35">
      <c r="I3588">
        <v>3584</v>
      </c>
      <c r="L3588"/>
      <c r="M3588" s="10">
        <v>2.3886134514987778E-2</v>
      </c>
    </row>
    <row r="3589" spans="9:13" x14ac:dyDescent="0.35">
      <c r="I3589">
        <v>3585</v>
      </c>
      <c r="L3589"/>
      <c r="M3589" s="10">
        <v>3.1732270588400446E-2</v>
      </c>
    </row>
    <row r="3590" spans="9:13" x14ac:dyDescent="0.35">
      <c r="I3590">
        <v>3586</v>
      </c>
      <c r="L3590"/>
      <c r="M3590" s="10">
        <v>2.5930066347941372E-2</v>
      </c>
    </row>
    <row r="3591" spans="9:13" x14ac:dyDescent="0.35">
      <c r="I3591">
        <v>3587</v>
      </c>
      <c r="L3591"/>
      <c r="M3591" s="10">
        <v>3.1479070718378965E-2</v>
      </c>
    </row>
    <row r="3592" spans="9:13" x14ac:dyDescent="0.35">
      <c r="I3592">
        <v>3588</v>
      </c>
      <c r="L3592"/>
      <c r="M3592" s="10">
        <v>3.0112235684415012E-2</v>
      </c>
    </row>
    <row r="3593" spans="9:13" x14ac:dyDescent="0.35">
      <c r="I3593">
        <v>3589</v>
      </c>
      <c r="L3593"/>
      <c r="M3593" s="10">
        <v>2.1690492892500246E-2</v>
      </c>
    </row>
    <row r="3594" spans="9:13" x14ac:dyDescent="0.35">
      <c r="I3594">
        <v>3590</v>
      </c>
      <c r="L3594"/>
      <c r="M3594" s="10">
        <v>2.2080136553037089E-2</v>
      </c>
    </row>
    <row r="3595" spans="9:13" x14ac:dyDescent="0.35">
      <c r="I3595">
        <v>3591</v>
      </c>
      <c r="L3595"/>
      <c r="M3595" s="10">
        <v>2.4140528763508473E-2</v>
      </c>
    </row>
    <row r="3596" spans="9:13" x14ac:dyDescent="0.35">
      <c r="I3596">
        <v>3592</v>
      </c>
      <c r="L3596"/>
      <c r="M3596" s="10">
        <v>1.9301497297432579E-2</v>
      </c>
    </row>
    <row r="3597" spans="9:13" x14ac:dyDescent="0.35">
      <c r="I3597">
        <v>3593</v>
      </c>
      <c r="L3597"/>
      <c r="M3597" s="10">
        <v>2.3192441994187796E-2</v>
      </c>
    </row>
    <row r="3598" spans="9:13" x14ac:dyDescent="0.35">
      <c r="I3598">
        <v>3594</v>
      </c>
      <c r="L3598"/>
      <c r="M3598" s="10">
        <v>2.1082325406874713E-2</v>
      </c>
    </row>
    <row r="3599" spans="9:13" x14ac:dyDescent="0.35">
      <c r="I3599">
        <v>3595</v>
      </c>
      <c r="L3599"/>
      <c r="M3599" s="10">
        <v>2.8004774356779505E-2</v>
      </c>
    </row>
    <row r="3600" spans="9:13" x14ac:dyDescent="0.35">
      <c r="I3600">
        <v>3596</v>
      </c>
      <c r="L3600"/>
      <c r="M3600" s="10">
        <v>2.6832318842354708E-2</v>
      </c>
    </row>
    <row r="3601" spans="9:13" x14ac:dyDescent="0.35">
      <c r="I3601">
        <v>3597</v>
      </c>
      <c r="L3601"/>
      <c r="M3601" s="10">
        <v>2.4107111280966209E-2</v>
      </c>
    </row>
    <row r="3602" spans="9:13" x14ac:dyDescent="0.35">
      <c r="I3602">
        <v>3598</v>
      </c>
      <c r="L3602"/>
      <c r="M3602" s="10">
        <v>2.5755240590420891E-2</v>
      </c>
    </row>
    <row r="3603" spans="9:13" x14ac:dyDescent="0.35">
      <c r="I3603">
        <v>3599</v>
      </c>
      <c r="L3603"/>
      <c r="M3603" s="10">
        <v>2.6350057826653339E-2</v>
      </c>
    </row>
    <row r="3604" spans="9:13" x14ac:dyDescent="0.35">
      <c r="I3604">
        <v>3600</v>
      </c>
      <c r="L3604"/>
      <c r="M3604" s="10">
        <v>2.1941090524319584E-2</v>
      </c>
    </row>
    <row r="3605" spans="9:13" x14ac:dyDescent="0.35">
      <c r="I3605">
        <v>3601</v>
      </c>
      <c r="L3605"/>
      <c r="M3605" s="10">
        <v>2.5366549921139847E-2</v>
      </c>
    </row>
    <row r="3606" spans="9:13" x14ac:dyDescent="0.35">
      <c r="I3606">
        <v>3602</v>
      </c>
      <c r="L3606"/>
      <c r="M3606" s="10">
        <v>2.2649689056225997E-2</v>
      </c>
    </row>
    <row r="3607" spans="9:13" x14ac:dyDescent="0.35">
      <c r="I3607">
        <v>3603</v>
      </c>
      <c r="L3607"/>
      <c r="M3607" s="10">
        <v>2.8992508632005753E-2</v>
      </c>
    </row>
    <row r="3608" spans="9:13" x14ac:dyDescent="0.35">
      <c r="I3608">
        <v>3604</v>
      </c>
      <c r="L3608"/>
      <c r="M3608" s="10">
        <v>2.051630162240603E-2</v>
      </c>
    </row>
    <row r="3609" spans="9:13" x14ac:dyDescent="0.35">
      <c r="I3609">
        <v>3605</v>
      </c>
      <c r="L3609"/>
      <c r="M3609" s="10">
        <v>2.7752754912237387E-2</v>
      </c>
    </row>
    <row r="3610" spans="9:13" x14ac:dyDescent="0.35">
      <c r="I3610">
        <v>3606</v>
      </c>
      <c r="L3610"/>
      <c r="M3610" s="10">
        <v>1.9576939676397953E-2</v>
      </c>
    </row>
    <row r="3611" spans="9:13" x14ac:dyDescent="0.35">
      <c r="I3611">
        <v>3607</v>
      </c>
      <c r="L3611"/>
      <c r="M3611" s="10">
        <v>2.6378351760306451E-2</v>
      </c>
    </row>
    <row r="3612" spans="9:13" x14ac:dyDescent="0.35">
      <c r="I3612">
        <v>3608</v>
      </c>
      <c r="L3612"/>
      <c r="M3612" s="10">
        <v>2.8088358526892732E-2</v>
      </c>
    </row>
    <row r="3613" spans="9:13" x14ac:dyDescent="0.35">
      <c r="I3613">
        <v>3609</v>
      </c>
      <c r="L3613"/>
      <c r="M3613" s="10">
        <v>2.3520180291553339E-2</v>
      </c>
    </row>
    <row r="3614" spans="9:13" x14ac:dyDescent="0.35">
      <c r="I3614">
        <v>3610</v>
      </c>
      <c r="L3614"/>
      <c r="M3614" s="10">
        <v>2.1477455394816825E-2</v>
      </c>
    </row>
    <row r="3615" spans="9:13" x14ac:dyDescent="0.35">
      <c r="I3615">
        <v>3611</v>
      </c>
      <c r="L3615"/>
      <c r="M3615" s="10">
        <v>2.2169296349882628E-2</v>
      </c>
    </row>
    <row r="3616" spans="9:13" x14ac:dyDescent="0.35">
      <c r="I3616">
        <v>3612</v>
      </c>
      <c r="L3616"/>
      <c r="M3616" s="10">
        <v>2.1982254723482919E-2</v>
      </c>
    </row>
    <row r="3617" spans="9:13" x14ac:dyDescent="0.35">
      <c r="I3617">
        <v>3613</v>
      </c>
      <c r="L3617"/>
      <c r="M3617" s="10">
        <v>2.0588454083355634E-2</v>
      </c>
    </row>
    <row r="3618" spans="9:13" x14ac:dyDescent="0.35">
      <c r="I3618">
        <v>3614</v>
      </c>
      <c r="L3618"/>
      <c r="M3618" s="10">
        <v>2.219804515198287E-2</v>
      </c>
    </row>
    <row r="3619" spans="9:13" x14ac:dyDescent="0.35">
      <c r="I3619">
        <v>3615</v>
      </c>
      <c r="L3619"/>
      <c r="M3619" s="10">
        <v>2.8679031716229542E-2</v>
      </c>
    </row>
    <row r="3620" spans="9:13" x14ac:dyDescent="0.35">
      <c r="I3620">
        <v>3616</v>
      </c>
      <c r="L3620"/>
      <c r="M3620" s="10">
        <v>2.4975494214994121E-2</v>
      </c>
    </row>
    <row r="3621" spans="9:13" x14ac:dyDescent="0.35">
      <c r="I3621">
        <v>3617</v>
      </c>
      <c r="L3621"/>
      <c r="M3621" s="10">
        <v>2.2610095967097843E-2</v>
      </c>
    </row>
    <row r="3622" spans="9:13" x14ac:dyDescent="0.35">
      <c r="I3622">
        <v>3618</v>
      </c>
      <c r="L3622"/>
      <c r="M3622" s="10">
        <v>2.8882408142968385E-2</v>
      </c>
    </row>
    <row r="3623" spans="9:13" x14ac:dyDescent="0.35">
      <c r="I3623">
        <v>3619</v>
      </c>
      <c r="L3623"/>
      <c r="M3623" s="10">
        <v>2.3041996348252325E-2</v>
      </c>
    </row>
    <row r="3624" spans="9:13" x14ac:dyDescent="0.35">
      <c r="I3624">
        <v>3620</v>
      </c>
      <c r="L3624"/>
      <c r="M3624" s="10">
        <v>2.3295437605517222E-2</v>
      </c>
    </row>
    <row r="3625" spans="9:13" x14ac:dyDescent="0.35">
      <c r="I3625">
        <v>3621</v>
      </c>
      <c r="L3625"/>
      <c r="M3625" s="10">
        <v>2.3515513006413302E-2</v>
      </c>
    </row>
    <row r="3626" spans="9:13" x14ac:dyDescent="0.35">
      <c r="I3626">
        <v>3622</v>
      </c>
      <c r="L3626"/>
      <c r="M3626" s="10">
        <v>2.1751375499316494E-2</v>
      </c>
    </row>
    <row r="3627" spans="9:13" x14ac:dyDescent="0.35">
      <c r="I3627">
        <v>3623</v>
      </c>
      <c r="L3627"/>
      <c r="M3627" s="10">
        <v>2.9135164306958616E-2</v>
      </c>
    </row>
    <row r="3628" spans="9:13" x14ac:dyDescent="0.35">
      <c r="I3628">
        <v>3624</v>
      </c>
      <c r="L3628"/>
      <c r="M3628" s="10">
        <v>3.1769360505767397E-2</v>
      </c>
    </row>
    <row r="3629" spans="9:13" x14ac:dyDescent="0.35">
      <c r="I3629">
        <v>3625</v>
      </c>
      <c r="L3629"/>
      <c r="M3629" s="10">
        <v>2.7786398433701232E-2</v>
      </c>
    </row>
    <row r="3630" spans="9:13" x14ac:dyDescent="0.35">
      <c r="I3630">
        <v>3626</v>
      </c>
      <c r="L3630"/>
      <c r="M3630" s="10">
        <v>2.2799897500824007E-2</v>
      </c>
    </row>
    <row r="3631" spans="9:13" x14ac:dyDescent="0.35">
      <c r="I3631">
        <v>3627</v>
      </c>
      <c r="L3631"/>
      <c r="M3631" s="10">
        <v>2.4568763686348194E-2</v>
      </c>
    </row>
    <row r="3632" spans="9:13" x14ac:dyDescent="0.35">
      <c r="I3632">
        <v>3628</v>
      </c>
      <c r="L3632"/>
      <c r="M3632" s="10">
        <v>2.5846973324126887E-2</v>
      </c>
    </row>
    <row r="3633" spans="9:13" x14ac:dyDescent="0.35">
      <c r="I3633">
        <v>3629</v>
      </c>
      <c r="L3633"/>
      <c r="M3633" s="10">
        <v>2.6956319329767275E-2</v>
      </c>
    </row>
    <row r="3634" spans="9:13" x14ac:dyDescent="0.35">
      <c r="I3634">
        <v>3630</v>
      </c>
      <c r="L3634"/>
      <c r="M3634" s="10">
        <v>2.7967539328006108E-2</v>
      </c>
    </row>
    <row r="3635" spans="9:13" x14ac:dyDescent="0.35">
      <c r="I3635">
        <v>3631</v>
      </c>
      <c r="L3635"/>
      <c r="M3635" s="10">
        <v>2.9353010015282566E-2</v>
      </c>
    </row>
    <row r="3636" spans="9:13" x14ac:dyDescent="0.35">
      <c r="I3636">
        <v>3632</v>
      </c>
      <c r="L3636"/>
      <c r="M3636" s="10">
        <v>2.6744172034750324E-2</v>
      </c>
    </row>
    <row r="3637" spans="9:13" x14ac:dyDescent="0.35">
      <c r="I3637">
        <v>3633</v>
      </c>
      <c r="L3637"/>
      <c r="M3637" s="10">
        <v>2.3824558443084953E-2</v>
      </c>
    </row>
    <row r="3638" spans="9:13" x14ac:dyDescent="0.35">
      <c r="I3638">
        <v>3634</v>
      </c>
      <c r="L3638"/>
      <c r="M3638" s="10">
        <v>2.4971258078167469E-2</v>
      </c>
    </row>
    <row r="3639" spans="9:13" x14ac:dyDescent="0.35">
      <c r="I3639">
        <v>3635</v>
      </c>
      <c r="L3639"/>
      <c r="M3639" s="10">
        <v>2.7465506883176394E-2</v>
      </c>
    </row>
    <row r="3640" spans="9:13" x14ac:dyDescent="0.35">
      <c r="I3640">
        <v>3636</v>
      </c>
      <c r="L3640"/>
      <c r="M3640" s="10">
        <v>2.4751598477262937E-2</v>
      </c>
    </row>
    <row r="3641" spans="9:13" x14ac:dyDescent="0.35">
      <c r="I3641">
        <v>3637</v>
      </c>
      <c r="L3641"/>
      <c r="M3641" s="10">
        <v>2.4246701477457888E-2</v>
      </c>
    </row>
    <row r="3642" spans="9:13" x14ac:dyDescent="0.35">
      <c r="I3642">
        <v>3638</v>
      </c>
      <c r="L3642"/>
      <c r="M3642" s="10">
        <v>2.4993208968996483E-2</v>
      </c>
    </row>
    <row r="3643" spans="9:13" x14ac:dyDescent="0.35">
      <c r="I3643">
        <v>3639</v>
      </c>
      <c r="L3643"/>
      <c r="M3643" s="10">
        <v>1.9830269309504045E-2</v>
      </c>
    </row>
    <row r="3644" spans="9:13" x14ac:dyDescent="0.35">
      <c r="I3644">
        <v>3640</v>
      </c>
      <c r="L3644"/>
      <c r="M3644" s="10">
        <v>2.4586528671222019E-2</v>
      </c>
    </row>
    <row r="3645" spans="9:13" x14ac:dyDescent="0.35">
      <c r="I3645">
        <v>3641</v>
      </c>
      <c r="L3645"/>
      <c r="M3645" s="10">
        <v>2.4987302655693711E-2</v>
      </c>
    </row>
    <row r="3646" spans="9:13" x14ac:dyDescent="0.35">
      <c r="I3646">
        <v>3642</v>
      </c>
      <c r="L3646"/>
      <c r="M3646" s="10">
        <v>3.0317127409109634E-2</v>
      </c>
    </row>
    <row r="3647" spans="9:13" x14ac:dyDescent="0.35">
      <c r="I3647">
        <v>3643</v>
      </c>
      <c r="L3647"/>
      <c r="M3647" s="10">
        <v>2.6261082209669828E-2</v>
      </c>
    </row>
    <row r="3648" spans="9:13" x14ac:dyDescent="0.35">
      <c r="I3648">
        <v>3644</v>
      </c>
      <c r="L3648"/>
      <c r="M3648" s="10">
        <v>2.6880548850770403E-2</v>
      </c>
    </row>
    <row r="3649" spans="9:13" x14ac:dyDescent="0.35">
      <c r="I3649">
        <v>3645</v>
      </c>
      <c r="L3649"/>
      <c r="M3649" s="10">
        <v>2.4988981203981742E-2</v>
      </c>
    </row>
    <row r="3650" spans="9:13" x14ac:dyDescent="0.35">
      <c r="I3650">
        <v>3646</v>
      </c>
      <c r="L3650"/>
      <c r="M3650" s="10">
        <v>2.7795733003981304E-2</v>
      </c>
    </row>
    <row r="3651" spans="9:13" x14ac:dyDescent="0.35">
      <c r="I3651">
        <v>3647</v>
      </c>
      <c r="L3651"/>
      <c r="M3651" s="10">
        <v>2.6728779063251107E-2</v>
      </c>
    </row>
    <row r="3652" spans="9:13" x14ac:dyDescent="0.35">
      <c r="I3652">
        <v>3648</v>
      </c>
      <c r="L3652"/>
      <c r="M3652" s="10">
        <v>2.0806732335294953E-2</v>
      </c>
    </row>
    <row r="3653" spans="9:13" x14ac:dyDescent="0.35">
      <c r="I3653">
        <v>3649</v>
      </c>
      <c r="L3653"/>
      <c r="M3653" s="10">
        <v>2.3353084507030109E-2</v>
      </c>
    </row>
    <row r="3654" spans="9:13" x14ac:dyDescent="0.35">
      <c r="I3654">
        <v>3650</v>
      </c>
      <c r="L3654"/>
      <c r="M3654" s="10">
        <v>3.0906288091094636E-2</v>
      </c>
    </row>
    <row r="3655" spans="9:13" x14ac:dyDescent="0.35">
      <c r="I3655">
        <v>3651</v>
      </c>
      <c r="L3655"/>
      <c r="M3655" s="10">
        <v>2.4559964912030385E-2</v>
      </c>
    </row>
    <row r="3656" spans="9:13" x14ac:dyDescent="0.35">
      <c r="I3656">
        <v>3652</v>
      </c>
      <c r="L3656"/>
      <c r="M3656" s="10">
        <v>2.6110241693272584E-2</v>
      </c>
    </row>
    <row r="3657" spans="9:13" x14ac:dyDescent="0.35">
      <c r="I3657">
        <v>3653</v>
      </c>
      <c r="L3657"/>
      <c r="M3657" s="10">
        <v>3.0099309606825386E-2</v>
      </c>
    </row>
    <row r="3658" spans="9:13" x14ac:dyDescent="0.35">
      <c r="I3658">
        <v>3654</v>
      </c>
      <c r="L3658"/>
      <c r="M3658" s="10">
        <v>3.1219430134394432E-2</v>
      </c>
    </row>
    <row r="3659" spans="9:13" x14ac:dyDescent="0.35">
      <c r="I3659">
        <v>3655</v>
      </c>
      <c r="L3659"/>
      <c r="M3659" s="10">
        <v>3.3774161094549893E-2</v>
      </c>
    </row>
    <row r="3660" spans="9:13" x14ac:dyDescent="0.35">
      <c r="I3660">
        <v>3656</v>
      </c>
      <c r="L3660"/>
      <c r="M3660" s="10">
        <v>2.275802169764829E-2</v>
      </c>
    </row>
    <row r="3661" spans="9:13" x14ac:dyDescent="0.35">
      <c r="I3661">
        <v>3657</v>
      </c>
      <c r="L3661"/>
      <c r="M3661" s="10">
        <v>2.1230365552187935E-2</v>
      </c>
    </row>
    <row r="3662" spans="9:13" x14ac:dyDescent="0.35">
      <c r="I3662">
        <v>3658</v>
      </c>
      <c r="L3662"/>
      <c r="M3662" s="10">
        <v>2.5039846937847221E-2</v>
      </c>
    </row>
    <row r="3663" spans="9:13" x14ac:dyDescent="0.35">
      <c r="I3663">
        <v>3659</v>
      </c>
      <c r="L3663"/>
      <c r="M3663" s="10">
        <v>2.5847742135520657E-2</v>
      </c>
    </row>
    <row r="3664" spans="9:13" x14ac:dyDescent="0.35">
      <c r="I3664">
        <v>3660</v>
      </c>
      <c r="L3664"/>
      <c r="M3664" s="10">
        <v>2.1716830612770299E-2</v>
      </c>
    </row>
    <row r="3665" spans="9:13" x14ac:dyDescent="0.35">
      <c r="I3665">
        <v>3661</v>
      </c>
      <c r="L3665"/>
      <c r="M3665" s="10">
        <v>1.9414973021971815E-2</v>
      </c>
    </row>
    <row r="3666" spans="9:13" x14ac:dyDescent="0.35">
      <c r="I3666">
        <v>3662</v>
      </c>
      <c r="L3666"/>
      <c r="M3666" s="10">
        <v>2.7349596356673223E-2</v>
      </c>
    </row>
    <row r="3667" spans="9:13" x14ac:dyDescent="0.35">
      <c r="I3667">
        <v>3663</v>
      </c>
      <c r="L3667"/>
      <c r="M3667" s="10">
        <v>2.2417055937464347E-2</v>
      </c>
    </row>
    <row r="3668" spans="9:13" x14ac:dyDescent="0.35">
      <c r="I3668">
        <v>3664</v>
      </c>
      <c r="L3668"/>
      <c r="M3668" s="10">
        <v>2.7404847524677756E-2</v>
      </c>
    </row>
    <row r="3669" spans="9:13" x14ac:dyDescent="0.35">
      <c r="I3669">
        <v>3665</v>
      </c>
      <c r="L3669"/>
      <c r="M3669" s="10">
        <v>2.8034307318595353E-2</v>
      </c>
    </row>
    <row r="3670" spans="9:13" x14ac:dyDescent="0.35">
      <c r="I3670">
        <v>3666</v>
      </c>
      <c r="L3670"/>
      <c r="M3670" s="10">
        <v>3.1963360503166616E-2</v>
      </c>
    </row>
    <row r="3671" spans="9:13" x14ac:dyDescent="0.35">
      <c r="I3671">
        <v>3667</v>
      </c>
      <c r="L3671"/>
      <c r="M3671" s="10">
        <v>2.4091841096041677E-2</v>
      </c>
    </row>
    <row r="3672" spans="9:13" x14ac:dyDescent="0.35">
      <c r="I3672">
        <v>3668</v>
      </c>
      <c r="L3672"/>
      <c r="M3672" s="10">
        <v>2.0385591127747293E-2</v>
      </c>
    </row>
    <row r="3673" spans="9:13" x14ac:dyDescent="0.35">
      <c r="I3673">
        <v>3669</v>
      </c>
      <c r="L3673"/>
      <c r="M3673" s="10">
        <v>2.9351318909276669E-2</v>
      </c>
    </row>
    <row r="3674" spans="9:13" x14ac:dyDescent="0.35">
      <c r="I3674">
        <v>3670</v>
      </c>
      <c r="L3674"/>
      <c r="M3674" s="10">
        <v>2.6832276983295156E-2</v>
      </c>
    </row>
    <row r="3675" spans="9:13" x14ac:dyDescent="0.35">
      <c r="I3675">
        <v>3671</v>
      </c>
      <c r="L3675"/>
      <c r="M3675" s="10">
        <v>2.7659766406744835E-2</v>
      </c>
    </row>
    <row r="3676" spans="9:13" x14ac:dyDescent="0.35">
      <c r="I3676">
        <v>3672</v>
      </c>
      <c r="L3676"/>
      <c r="M3676" s="10">
        <v>2.2251829857601102E-2</v>
      </c>
    </row>
    <row r="3677" spans="9:13" x14ac:dyDescent="0.35">
      <c r="I3677">
        <v>3673</v>
      </c>
      <c r="L3677"/>
      <c r="M3677" s="10">
        <v>2.5091319628076203E-2</v>
      </c>
    </row>
    <row r="3678" spans="9:13" x14ac:dyDescent="0.35">
      <c r="I3678">
        <v>3674</v>
      </c>
      <c r="L3678"/>
      <c r="M3678" s="10">
        <v>2.414751643584967E-2</v>
      </c>
    </row>
    <row r="3679" spans="9:13" x14ac:dyDescent="0.35">
      <c r="I3679">
        <v>3675</v>
      </c>
      <c r="L3679"/>
      <c r="M3679" s="10">
        <v>2.1722258337492195E-2</v>
      </c>
    </row>
    <row r="3680" spans="9:13" x14ac:dyDescent="0.35">
      <c r="I3680">
        <v>3676</v>
      </c>
      <c r="L3680"/>
      <c r="M3680" s="10">
        <v>3.0095944138437414E-2</v>
      </c>
    </row>
    <row r="3681" spans="9:13" x14ac:dyDescent="0.35">
      <c r="I3681">
        <v>3677</v>
      </c>
      <c r="L3681"/>
      <c r="M3681" s="10">
        <v>2.4260228930203076E-2</v>
      </c>
    </row>
    <row r="3682" spans="9:13" x14ac:dyDescent="0.35">
      <c r="I3682">
        <v>3678</v>
      </c>
      <c r="L3682"/>
      <c r="M3682" s="10">
        <v>2.9619886635361636E-2</v>
      </c>
    </row>
    <row r="3683" spans="9:13" x14ac:dyDescent="0.35">
      <c r="I3683">
        <v>3679</v>
      </c>
      <c r="L3683"/>
      <c r="M3683" s="10">
        <v>2.4120361068616369E-2</v>
      </c>
    </row>
    <row r="3684" spans="9:13" x14ac:dyDescent="0.35">
      <c r="I3684">
        <v>3680</v>
      </c>
      <c r="L3684"/>
      <c r="M3684" s="10">
        <v>2.1326404187819836E-2</v>
      </c>
    </row>
    <row r="3685" spans="9:13" x14ac:dyDescent="0.35">
      <c r="I3685">
        <v>3681</v>
      </c>
      <c r="L3685"/>
      <c r="M3685" s="10">
        <v>2.5722145422637177E-2</v>
      </c>
    </row>
    <row r="3686" spans="9:13" x14ac:dyDescent="0.35">
      <c r="I3686">
        <v>3682</v>
      </c>
      <c r="L3686"/>
      <c r="M3686" s="10">
        <v>2.5558053723287788E-2</v>
      </c>
    </row>
    <row r="3687" spans="9:13" x14ac:dyDescent="0.35">
      <c r="I3687">
        <v>3683</v>
      </c>
      <c r="L3687"/>
      <c r="M3687" s="10">
        <v>2.5957910994355293E-2</v>
      </c>
    </row>
    <row r="3688" spans="9:13" x14ac:dyDescent="0.35">
      <c r="I3688">
        <v>3684</v>
      </c>
      <c r="L3688"/>
      <c r="M3688" s="10">
        <v>2.8390265598608799E-2</v>
      </c>
    </row>
    <row r="3689" spans="9:13" x14ac:dyDescent="0.35">
      <c r="I3689">
        <v>3685</v>
      </c>
      <c r="L3689"/>
      <c r="M3689" s="10">
        <v>2.527987376182772E-2</v>
      </c>
    </row>
    <row r="3690" spans="9:13" x14ac:dyDescent="0.35">
      <c r="I3690">
        <v>3686</v>
      </c>
      <c r="L3690"/>
      <c r="M3690" s="10">
        <v>3.0619352609678296E-2</v>
      </c>
    </row>
    <row r="3691" spans="9:13" x14ac:dyDescent="0.35">
      <c r="I3691">
        <v>3687</v>
      </c>
      <c r="L3691"/>
      <c r="M3691" s="10">
        <v>2.4558564028837382E-2</v>
      </c>
    </row>
    <row r="3692" spans="9:13" x14ac:dyDescent="0.35">
      <c r="I3692">
        <v>3688</v>
      </c>
      <c r="L3692"/>
      <c r="M3692" s="10">
        <v>2.3698113386594555E-2</v>
      </c>
    </row>
    <row r="3693" spans="9:13" x14ac:dyDescent="0.35">
      <c r="I3693">
        <v>3689</v>
      </c>
      <c r="L3693"/>
      <c r="M3693" s="10">
        <v>2.9177793573206268E-2</v>
      </c>
    </row>
    <row r="3694" spans="9:13" x14ac:dyDescent="0.35">
      <c r="I3694">
        <v>3690</v>
      </c>
      <c r="L3694"/>
      <c r="M3694" s="10">
        <v>2.559307998901883E-2</v>
      </c>
    </row>
    <row r="3695" spans="9:13" x14ac:dyDescent="0.35">
      <c r="I3695">
        <v>3691</v>
      </c>
      <c r="L3695"/>
      <c r="M3695" s="10">
        <v>2.9665518591481144E-2</v>
      </c>
    </row>
    <row r="3696" spans="9:13" x14ac:dyDescent="0.35">
      <c r="I3696">
        <v>3692</v>
      </c>
      <c r="L3696"/>
      <c r="M3696" s="10">
        <v>2.4469588411853871E-2</v>
      </c>
    </row>
    <row r="3697" spans="9:13" x14ac:dyDescent="0.35">
      <c r="I3697">
        <v>3693</v>
      </c>
      <c r="L3697"/>
      <c r="M3697" s="10">
        <v>3.198088828670298E-2</v>
      </c>
    </row>
    <row r="3698" spans="9:13" x14ac:dyDescent="0.35">
      <c r="I3698">
        <v>3694</v>
      </c>
      <c r="L3698"/>
      <c r="M3698" s="10">
        <v>2.7661128221482256E-2</v>
      </c>
    </row>
    <row r="3699" spans="9:13" x14ac:dyDescent="0.35">
      <c r="I3699">
        <v>3695</v>
      </c>
      <c r="L3699"/>
      <c r="M3699" s="10">
        <v>2.0172806179723168E-2</v>
      </c>
    </row>
    <row r="3700" spans="9:13" x14ac:dyDescent="0.35">
      <c r="I3700">
        <v>3696</v>
      </c>
      <c r="L3700"/>
      <c r="M3700" s="10">
        <v>2.9405833357833089E-2</v>
      </c>
    </row>
    <row r="3701" spans="9:13" x14ac:dyDescent="0.35">
      <c r="I3701">
        <v>3697</v>
      </c>
      <c r="L3701"/>
      <c r="M3701" s="10">
        <v>2.8788448507294229E-2</v>
      </c>
    </row>
    <row r="3702" spans="9:13" x14ac:dyDescent="0.35">
      <c r="I3702">
        <v>3698</v>
      </c>
      <c r="L3702"/>
      <c r="M3702" s="10">
        <v>2.2427090949340922E-2</v>
      </c>
    </row>
    <row r="3703" spans="9:13" x14ac:dyDescent="0.35">
      <c r="I3703">
        <v>3699</v>
      </c>
      <c r="L3703"/>
      <c r="M3703" s="10">
        <v>2.2636446245085762E-2</v>
      </c>
    </row>
    <row r="3704" spans="9:13" x14ac:dyDescent="0.35">
      <c r="I3704">
        <v>3700</v>
      </c>
      <c r="L3704"/>
      <c r="M3704" s="10">
        <v>3.1698967520620958E-2</v>
      </c>
    </row>
    <row r="3705" spans="9:13" x14ac:dyDescent="0.35">
      <c r="I3705">
        <v>3701</v>
      </c>
      <c r="L3705"/>
      <c r="M3705" s="10">
        <v>3.0938929785733205E-2</v>
      </c>
    </row>
    <row r="3706" spans="9:13" x14ac:dyDescent="0.35">
      <c r="I3706">
        <v>3702</v>
      </c>
      <c r="L3706"/>
      <c r="M3706" s="10">
        <v>2.5898161372750916E-2</v>
      </c>
    </row>
    <row r="3707" spans="9:13" x14ac:dyDescent="0.35">
      <c r="I3707">
        <v>3703</v>
      </c>
      <c r="L3707"/>
      <c r="M3707" s="10">
        <v>2.3194904702191432E-2</v>
      </c>
    </row>
    <row r="3708" spans="9:13" x14ac:dyDescent="0.35">
      <c r="I3708">
        <v>3704</v>
      </c>
      <c r="L3708"/>
      <c r="M3708" s="10">
        <v>2.7597053163724183E-2</v>
      </c>
    </row>
    <row r="3709" spans="9:13" x14ac:dyDescent="0.35">
      <c r="I3709">
        <v>3705</v>
      </c>
      <c r="L3709"/>
      <c r="M3709" s="10">
        <v>2.0700820542816745E-2</v>
      </c>
    </row>
    <row r="3710" spans="9:13" x14ac:dyDescent="0.35">
      <c r="I3710">
        <v>3706</v>
      </c>
      <c r="L3710"/>
      <c r="M3710" s="10">
        <v>2.581491905162403E-2</v>
      </c>
    </row>
    <row r="3711" spans="9:13" x14ac:dyDescent="0.35">
      <c r="I3711">
        <v>3707</v>
      </c>
      <c r="L3711"/>
      <c r="M3711" s="10">
        <v>2.0824310349702779E-2</v>
      </c>
    </row>
    <row r="3712" spans="9:13" x14ac:dyDescent="0.35">
      <c r="I3712">
        <v>3708</v>
      </c>
      <c r="L3712"/>
      <c r="M3712" s="10">
        <v>2.4595213030777052E-2</v>
      </c>
    </row>
    <row r="3713" spans="9:13" x14ac:dyDescent="0.35">
      <c r="I3713">
        <v>3709</v>
      </c>
      <c r="L3713"/>
      <c r="M3713" s="10">
        <v>2.693104203900587E-2</v>
      </c>
    </row>
    <row r="3714" spans="9:13" x14ac:dyDescent="0.35">
      <c r="I3714">
        <v>3710</v>
      </c>
      <c r="L3714"/>
      <c r="M3714" s="10">
        <v>2.4263817646908659E-2</v>
      </c>
    </row>
    <row r="3715" spans="9:13" x14ac:dyDescent="0.35">
      <c r="I3715">
        <v>3711</v>
      </c>
      <c r="L3715"/>
      <c r="M3715" s="10">
        <v>2.5267565803017478E-2</v>
      </c>
    </row>
    <row r="3716" spans="9:13" x14ac:dyDescent="0.35">
      <c r="I3716">
        <v>3712</v>
      </c>
      <c r="L3716"/>
      <c r="M3716" s="10">
        <v>2.5769934515625592E-2</v>
      </c>
    </row>
    <row r="3717" spans="9:13" x14ac:dyDescent="0.35">
      <c r="I3717">
        <v>3713</v>
      </c>
      <c r="L3717"/>
      <c r="M3717" s="10">
        <v>2.1254696828203468E-2</v>
      </c>
    </row>
    <row r="3718" spans="9:13" x14ac:dyDescent="0.35">
      <c r="I3718">
        <v>3714</v>
      </c>
      <c r="L3718"/>
      <c r="M3718" s="10">
        <v>2.1672873019032868E-2</v>
      </c>
    </row>
    <row r="3719" spans="9:13" x14ac:dyDescent="0.35">
      <c r="I3719">
        <v>3715</v>
      </c>
      <c r="L3719"/>
      <c r="M3719" s="10">
        <v>2.6506641406021103E-2</v>
      </c>
    </row>
    <row r="3720" spans="9:13" x14ac:dyDescent="0.35">
      <c r="I3720">
        <v>3716</v>
      </c>
      <c r="L3720"/>
      <c r="M3720" s="10">
        <v>2.7731381676430189E-2</v>
      </c>
    </row>
    <row r="3721" spans="9:13" x14ac:dyDescent="0.35">
      <c r="I3721">
        <v>3717</v>
      </c>
      <c r="L3721"/>
      <c r="M3721" s="10">
        <v>2.303936062280254E-2</v>
      </c>
    </row>
    <row r="3722" spans="9:13" x14ac:dyDescent="0.35">
      <c r="I3722">
        <v>3718</v>
      </c>
      <c r="L3722"/>
      <c r="M3722" s="10">
        <v>2.9691535392294632E-2</v>
      </c>
    </row>
    <row r="3723" spans="9:13" x14ac:dyDescent="0.35">
      <c r="I3723">
        <v>3719</v>
      </c>
      <c r="L3723"/>
      <c r="M3723" s="10">
        <v>2.646948730476284E-2</v>
      </c>
    </row>
    <row r="3724" spans="9:13" x14ac:dyDescent="0.35">
      <c r="I3724">
        <v>3720</v>
      </c>
      <c r="L3724"/>
      <c r="M3724" s="10">
        <v>2.3886943790139115E-2</v>
      </c>
    </row>
    <row r="3725" spans="9:13" x14ac:dyDescent="0.35">
      <c r="I3725">
        <v>3721</v>
      </c>
      <c r="L3725"/>
      <c r="M3725" s="10">
        <v>2.2240243269917137E-2</v>
      </c>
    </row>
    <row r="3726" spans="9:13" x14ac:dyDescent="0.35">
      <c r="I3726">
        <v>3722</v>
      </c>
      <c r="L3726"/>
      <c r="M3726" s="10">
        <v>2.1699700490299678E-2</v>
      </c>
    </row>
    <row r="3727" spans="9:13" x14ac:dyDescent="0.35">
      <c r="I3727">
        <v>3723</v>
      </c>
      <c r="L3727"/>
      <c r="M3727" s="10">
        <v>2.4130273293918258E-2</v>
      </c>
    </row>
    <row r="3728" spans="9:13" x14ac:dyDescent="0.35">
      <c r="I3728">
        <v>3724</v>
      </c>
      <c r="L3728"/>
      <c r="M3728" s="10">
        <v>2.1492570701221014E-2</v>
      </c>
    </row>
    <row r="3729" spans="9:13" x14ac:dyDescent="0.35">
      <c r="I3729">
        <v>3725</v>
      </c>
      <c r="L3729"/>
      <c r="M3729" s="10">
        <v>3.2305390878765161E-2</v>
      </c>
    </row>
    <row r="3730" spans="9:13" x14ac:dyDescent="0.35">
      <c r="I3730">
        <v>3726</v>
      </c>
      <c r="L3730"/>
      <c r="M3730" s="10">
        <v>2.4099979892520551E-2</v>
      </c>
    </row>
    <row r="3731" spans="9:13" x14ac:dyDescent="0.35">
      <c r="I3731">
        <v>3727</v>
      </c>
      <c r="L3731"/>
      <c r="M3731" s="10">
        <v>2.6806131814699041E-2</v>
      </c>
    </row>
    <row r="3732" spans="9:13" x14ac:dyDescent="0.35">
      <c r="I3732">
        <v>3728</v>
      </c>
      <c r="L3732"/>
      <c r="M3732" s="10">
        <v>2.3818946538501029E-2</v>
      </c>
    </row>
    <row r="3733" spans="9:13" x14ac:dyDescent="0.35">
      <c r="I3733">
        <v>3729</v>
      </c>
      <c r="L3733"/>
      <c r="M3733" s="10">
        <v>2.6216513473662939E-2</v>
      </c>
    </row>
    <row r="3734" spans="9:13" x14ac:dyDescent="0.35">
      <c r="I3734">
        <v>3730</v>
      </c>
      <c r="L3734"/>
      <c r="M3734" s="10">
        <v>2.6542760193206449E-2</v>
      </c>
    </row>
    <row r="3735" spans="9:13" x14ac:dyDescent="0.35">
      <c r="I3735">
        <v>3731</v>
      </c>
      <c r="L3735"/>
      <c r="M3735" s="10">
        <v>2.4194578576503867E-2</v>
      </c>
    </row>
    <row r="3736" spans="9:13" x14ac:dyDescent="0.35">
      <c r="I3736">
        <v>3732</v>
      </c>
      <c r="L3736"/>
      <c r="M3736" s="10">
        <v>2.1572810332476045E-2</v>
      </c>
    </row>
    <row r="3737" spans="9:13" x14ac:dyDescent="0.35">
      <c r="I3737">
        <v>3733</v>
      </c>
      <c r="L3737"/>
      <c r="M3737" s="10">
        <v>2.4055836723619106E-2</v>
      </c>
    </row>
    <row r="3738" spans="9:13" x14ac:dyDescent="0.35">
      <c r="I3738">
        <v>3734</v>
      </c>
      <c r="L3738"/>
      <c r="M3738" s="10">
        <v>3.1735599778936807E-2</v>
      </c>
    </row>
    <row r="3739" spans="9:13" x14ac:dyDescent="0.35">
      <c r="I3739">
        <v>3735</v>
      </c>
      <c r="L3739"/>
      <c r="M3739" s="10">
        <v>2.382691092223177E-2</v>
      </c>
    </row>
    <row r="3740" spans="9:13" x14ac:dyDescent="0.35">
      <c r="I3740">
        <v>3736</v>
      </c>
      <c r="L3740"/>
      <c r="M3740" s="10">
        <v>2.1798158579573679E-2</v>
      </c>
    </row>
    <row r="3741" spans="9:13" x14ac:dyDescent="0.35">
      <c r="I3741">
        <v>3737</v>
      </c>
      <c r="L3741"/>
      <c r="M3741" s="10">
        <v>2.629544989286392E-2</v>
      </c>
    </row>
    <row r="3742" spans="9:13" x14ac:dyDescent="0.35">
      <c r="I3742">
        <v>3738</v>
      </c>
      <c r="L3742"/>
      <c r="M3742" s="10">
        <v>2.6862209001478732E-2</v>
      </c>
    </row>
    <row r="3743" spans="9:13" x14ac:dyDescent="0.35">
      <c r="I3743">
        <v>3739</v>
      </c>
      <c r="L3743"/>
      <c r="M3743" s="10">
        <v>2.6317240323964652E-2</v>
      </c>
    </row>
    <row r="3744" spans="9:13" x14ac:dyDescent="0.35">
      <c r="I3744">
        <v>3740</v>
      </c>
      <c r="L3744"/>
      <c r="M3744" s="10">
        <v>3.0430317096741932E-2</v>
      </c>
    </row>
    <row r="3745" spans="9:13" x14ac:dyDescent="0.35">
      <c r="I3745">
        <v>3741</v>
      </c>
      <c r="L3745"/>
      <c r="M3745" s="10">
        <v>2.5321377019373426E-2</v>
      </c>
    </row>
    <row r="3746" spans="9:13" x14ac:dyDescent="0.35">
      <c r="I3746">
        <v>3742</v>
      </c>
      <c r="L3746"/>
      <c r="M3746" s="10">
        <v>2.848165787863044E-2</v>
      </c>
    </row>
    <row r="3747" spans="9:13" x14ac:dyDescent="0.35">
      <c r="I3747">
        <v>3743</v>
      </c>
      <c r="L3747"/>
      <c r="M3747" s="10">
        <v>2.3169196263116643E-2</v>
      </c>
    </row>
    <row r="3748" spans="9:13" x14ac:dyDescent="0.35">
      <c r="I3748">
        <v>3744</v>
      </c>
      <c r="L3748"/>
      <c r="M3748" s="10">
        <v>2.9660453645275364E-2</v>
      </c>
    </row>
    <row r="3749" spans="9:13" x14ac:dyDescent="0.35">
      <c r="I3749">
        <v>3745</v>
      </c>
      <c r="L3749"/>
      <c r="M3749" s="10">
        <v>2.4679720890804391E-2</v>
      </c>
    </row>
    <row r="3750" spans="9:13" x14ac:dyDescent="0.35">
      <c r="I3750">
        <v>3746</v>
      </c>
      <c r="L3750"/>
      <c r="M3750" s="10">
        <v>2.1990884666260535E-2</v>
      </c>
    </row>
    <row r="3751" spans="9:13" x14ac:dyDescent="0.35">
      <c r="I3751">
        <v>3747</v>
      </c>
      <c r="L3751"/>
      <c r="M3751" s="10">
        <v>3.7342322211288526E-2</v>
      </c>
    </row>
    <row r="3752" spans="9:13" x14ac:dyDescent="0.35">
      <c r="I3752">
        <v>3748</v>
      </c>
      <c r="L3752"/>
      <c r="M3752" s="10">
        <v>2.6830970980637137E-2</v>
      </c>
    </row>
    <row r="3753" spans="9:13" x14ac:dyDescent="0.35">
      <c r="I3753">
        <v>3749</v>
      </c>
      <c r="L3753"/>
      <c r="M3753" s="10">
        <v>1.9714308552129411E-2</v>
      </c>
    </row>
    <row r="3754" spans="9:13" x14ac:dyDescent="0.35">
      <c r="I3754">
        <v>3750</v>
      </c>
      <c r="L3754"/>
      <c r="M3754" s="10">
        <v>2.7489416777992437E-2</v>
      </c>
    </row>
    <row r="3755" spans="9:13" x14ac:dyDescent="0.35">
      <c r="I3755">
        <v>3751</v>
      </c>
      <c r="L3755"/>
      <c r="M3755" s="10">
        <v>3.0953912538448813E-2</v>
      </c>
    </row>
    <row r="3756" spans="9:13" x14ac:dyDescent="0.35">
      <c r="I3756">
        <v>3752</v>
      </c>
      <c r="L3756"/>
      <c r="M3756" s="10">
        <v>2.9731561025038156E-2</v>
      </c>
    </row>
    <row r="3757" spans="9:13" x14ac:dyDescent="0.35">
      <c r="I3757">
        <v>3753</v>
      </c>
      <c r="L3757"/>
      <c r="M3757" s="10">
        <v>2.5196519816542029E-2</v>
      </c>
    </row>
    <row r="3758" spans="9:13" x14ac:dyDescent="0.35">
      <c r="I3758">
        <v>3754</v>
      </c>
      <c r="L3758"/>
      <c r="M3758" s="10">
        <v>2.6344408248915818E-2</v>
      </c>
    </row>
    <row r="3759" spans="9:13" x14ac:dyDescent="0.35">
      <c r="I3759">
        <v>3755</v>
      </c>
      <c r="L3759"/>
      <c r="M3759" s="10">
        <v>2.5116298324212805E-2</v>
      </c>
    </row>
    <row r="3760" spans="9:13" x14ac:dyDescent="0.35">
      <c r="I3760">
        <v>3756</v>
      </c>
      <c r="L3760"/>
      <c r="M3760" s="10">
        <v>2.3439929497882428E-2</v>
      </c>
    </row>
    <row r="3761" spans="9:13" x14ac:dyDescent="0.35">
      <c r="I3761">
        <v>3757</v>
      </c>
      <c r="L3761"/>
      <c r="M3761" s="10">
        <v>2.6831869555115517E-2</v>
      </c>
    </row>
    <row r="3762" spans="9:13" x14ac:dyDescent="0.35">
      <c r="I3762">
        <v>3758</v>
      </c>
      <c r="L3762"/>
      <c r="M3762" s="10">
        <v>2.1319983008084575E-2</v>
      </c>
    </row>
    <row r="3763" spans="9:13" x14ac:dyDescent="0.35">
      <c r="I3763">
        <v>3759</v>
      </c>
      <c r="L3763"/>
      <c r="M3763" s="10">
        <v>2.7510555603066145E-2</v>
      </c>
    </row>
    <row r="3764" spans="9:13" x14ac:dyDescent="0.35">
      <c r="I3764">
        <v>3760</v>
      </c>
      <c r="L3764"/>
      <c r="M3764" s="10">
        <v>2.5838284778665899E-2</v>
      </c>
    </row>
    <row r="3765" spans="9:13" x14ac:dyDescent="0.35">
      <c r="I3765">
        <v>3761</v>
      </c>
      <c r="L3765"/>
      <c r="M3765" s="10">
        <v>3.2057749891852172E-2</v>
      </c>
    </row>
    <row r="3766" spans="9:13" x14ac:dyDescent="0.35">
      <c r="I3766">
        <v>3762</v>
      </c>
      <c r="L3766"/>
      <c r="M3766" s="10">
        <v>2.3117304982292142E-2</v>
      </c>
    </row>
    <row r="3767" spans="9:13" x14ac:dyDescent="0.35">
      <c r="I3767">
        <v>3763</v>
      </c>
      <c r="L3767"/>
      <c r="M3767" s="10">
        <v>2.2745960707289403E-2</v>
      </c>
    </row>
    <row r="3768" spans="9:13" x14ac:dyDescent="0.35">
      <c r="I3768">
        <v>3764</v>
      </c>
      <c r="L3768"/>
      <c r="M3768" s="10">
        <v>2.0435993621353732E-2</v>
      </c>
    </row>
    <row r="3769" spans="9:13" x14ac:dyDescent="0.35">
      <c r="I3769">
        <v>3765</v>
      </c>
      <c r="L3769"/>
      <c r="M3769" s="10">
        <v>2.4059634735622448E-2</v>
      </c>
    </row>
    <row r="3770" spans="9:13" x14ac:dyDescent="0.35">
      <c r="I3770">
        <v>3766</v>
      </c>
      <c r="L3770"/>
      <c r="M3770" s="10">
        <v>3.0201847559103712E-2</v>
      </c>
    </row>
    <row r="3771" spans="9:13" x14ac:dyDescent="0.35">
      <c r="I3771">
        <v>3767</v>
      </c>
      <c r="L3771"/>
      <c r="M3771" s="10">
        <v>3.0347807309157204E-2</v>
      </c>
    </row>
    <row r="3772" spans="9:13" x14ac:dyDescent="0.35">
      <c r="I3772">
        <v>3768</v>
      </c>
      <c r="L3772"/>
      <c r="M3772" s="10">
        <v>3.2155959617372831E-2</v>
      </c>
    </row>
    <row r="3773" spans="9:13" x14ac:dyDescent="0.35">
      <c r="I3773">
        <v>3769</v>
      </c>
      <c r="L3773"/>
      <c r="M3773" s="10">
        <v>2.3537740167035359E-2</v>
      </c>
    </row>
    <row r="3774" spans="9:13" x14ac:dyDescent="0.35">
      <c r="I3774">
        <v>3770</v>
      </c>
      <c r="L3774"/>
      <c r="M3774" s="10">
        <v>2.4439675927898086E-2</v>
      </c>
    </row>
    <row r="3775" spans="9:13" x14ac:dyDescent="0.35">
      <c r="I3775">
        <v>3771</v>
      </c>
      <c r="L3775"/>
      <c r="M3775" s="10">
        <v>2.0509813468175486E-2</v>
      </c>
    </row>
    <row r="3776" spans="9:13" x14ac:dyDescent="0.35">
      <c r="I3776">
        <v>3772</v>
      </c>
      <c r="L3776"/>
      <c r="M3776" s="10">
        <v>2.9652545073624026E-2</v>
      </c>
    </row>
    <row r="3777" spans="9:13" x14ac:dyDescent="0.35">
      <c r="I3777">
        <v>3773</v>
      </c>
      <c r="L3777"/>
      <c r="M3777" s="10">
        <v>2.746609570061409E-2</v>
      </c>
    </row>
    <row r="3778" spans="9:13" x14ac:dyDescent="0.35">
      <c r="I3778">
        <v>3774</v>
      </c>
      <c r="L3778"/>
      <c r="M3778" s="10">
        <v>2.636388108341936E-2</v>
      </c>
    </row>
    <row r="3779" spans="9:13" x14ac:dyDescent="0.35">
      <c r="I3779">
        <v>3775</v>
      </c>
      <c r="L3779"/>
      <c r="M3779" s="10">
        <v>2.6295734534468873E-2</v>
      </c>
    </row>
    <row r="3780" spans="9:13" x14ac:dyDescent="0.35">
      <c r="I3780">
        <v>3776</v>
      </c>
      <c r="L3780"/>
      <c r="M3780" s="10">
        <v>2.1129321968335613E-2</v>
      </c>
    </row>
    <row r="3781" spans="9:13" x14ac:dyDescent="0.35">
      <c r="I3781">
        <v>3777</v>
      </c>
      <c r="L3781"/>
      <c r="M3781" s="10">
        <v>2.3072093012070138E-2</v>
      </c>
    </row>
    <row r="3782" spans="9:13" x14ac:dyDescent="0.35">
      <c r="I3782">
        <v>3778</v>
      </c>
      <c r="L3782"/>
      <c r="M3782" s="10">
        <v>2.1173977213065576E-2</v>
      </c>
    </row>
    <row r="3783" spans="9:13" x14ac:dyDescent="0.35">
      <c r="I3783">
        <v>3779</v>
      </c>
      <c r="L3783"/>
      <c r="M3783" s="10">
        <v>3.557856841223761E-2</v>
      </c>
    </row>
    <row r="3784" spans="9:13" x14ac:dyDescent="0.35">
      <c r="I3784">
        <v>3780</v>
      </c>
      <c r="L3784"/>
      <c r="M3784" s="10">
        <v>3.2943442942306778E-2</v>
      </c>
    </row>
    <row r="3785" spans="9:13" x14ac:dyDescent="0.35">
      <c r="I3785">
        <v>3781</v>
      </c>
      <c r="L3785"/>
      <c r="M3785" s="10">
        <v>2.53193803422328E-2</v>
      </c>
    </row>
    <row r="3786" spans="9:13" x14ac:dyDescent="0.35">
      <c r="I3786">
        <v>3782</v>
      </c>
      <c r="L3786"/>
      <c r="M3786" s="10">
        <v>2.8190056507376049E-2</v>
      </c>
    </row>
    <row r="3787" spans="9:13" x14ac:dyDescent="0.35">
      <c r="I3787">
        <v>3783</v>
      </c>
      <c r="L3787"/>
      <c r="M3787" s="10">
        <v>2.4633380121276471E-2</v>
      </c>
    </row>
    <row r="3788" spans="9:13" x14ac:dyDescent="0.35">
      <c r="I3788">
        <v>3784</v>
      </c>
      <c r="L3788"/>
      <c r="M3788" s="10">
        <v>2.4707972965397951E-2</v>
      </c>
    </row>
    <row r="3789" spans="9:13" x14ac:dyDescent="0.35">
      <c r="I3789">
        <v>3785</v>
      </c>
      <c r="L3789"/>
      <c r="M3789" s="10">
        <v>2.92778367255353E-2</v>
      </c>
    </row>
    <row r="3790" spans="9:13" x14ac:dyDescent="0.35">
      <c r="I3790">
        <v>3786</v>
      </c>
      <c r="L3790"/>
      <c r="M3790" s="10">
        <v>1.8800931314989167E-2</v>
      </c>
    </row>
    <row r="3791" spans="9:13" x14ac:dyDescent="0.35">
      <c r="I3791">
        <v>3787</v>
      </c>
      <c r="L3791"/>
      <c r="M3791" s="10">
        <v>2.8463203614575994E-2</v>
      </c>
    </row>
    <row r="3792" spans="9:13" x14ac:dyDescent="0.35">
      <c r="I3792">
        <v>3788</v>
      </c>
      <c r="L3792"/>
      <c r="M3792" s="10">
        <v>2.4894381124696441E-2</v>
      </c>
    </row>
    <row r="3793" spans="9:13" x14ac:dyDescent="0.35">
      <c r="I3793">
        <v>3789</v>
      </c>
      <c r="L3793"/>
      <c r="M3793" s="10">
        <v>2.3184957594339917E-2</v>
      </c>
    </row>
    <row r="3794" spans="9:13" x14ac:dyDescent="0.35">
      <c r="I3794">
        <v>3790</v>
      </c>
      <c r="L3794"/>
      <c r="M3794" s="10">
        <v>2.5822951805152039E-2</v>
      </c>
    </row>
    <row r="3795" spans="9:13" x14ac:dyDescent="0.35">
      <c r="I3795">
        <v>3791</v>
      </c>
      <c r="L3795"/>
      <c r="M3795" s="10">
        <v>2.2319966639437694E-2</v>
      </c>
    </row>
    <row r="3796" spans="9:13" x14ac:dyDescent="0.35">
      <c r="I3796">
        <v>3792</v>
      </c>
      <c r="L3796"/>
      <c r="M3796" s="10">
        <v>2.7812161289553439E-2</v>
      </c>
    </row>
    <row r="3797" spans="9:13" x14ac:dyDescent="0.35">
      <c r="I3797">
        <v>3793</v>
      </c>
      <c r="L3797"/>
      <c r="M3797" s="10">
        <v>2.1339161433869269E-2</v>
      </c>
    </row>
    <row r="3798" spans="9:13" x14ac:dyDescent="0.35">
      <c r="I3798">
        <v>3794</v>
      </c>
      <c r="L3798"/>
      <c r="M3798" s="10">
        <v>2.4251858513594682E-2</v>
      </c>
    </row>
    <row r="3799" spans="9:13" x14ac:dyDescent="0.35">
      <c r="I3799">
        <v>3795</v>
      </c>
      <c r="L3799"/>
      <c r="M3799" s="10">
        <v>3.0195323127021556E-2</v>
      </c>
    </row>
    <row r="3800" spans="9:13" x14ac:dyDescent="0.35">
      <c r="I3800">
        <v>3796</v>
      </c>
      <c r="L3800"/>
      <c r="M3800" s="10">
        <v>2.1283580974596261E-2</v>
      </c>
    </row>
    <row r="3801" spans="9:13" x14ac:dyDescent="0.35">
      <c r="I3801">
        <v>3797</v>
      </c>
      <c r="L3801"/>
      <c r="M3801" s="10">
        <v>2.0342961861499642E-2</v>
      </c>
    </row>
    <row r="3802" spans="9:13" x14ac:dyDescent="0.35">
      <c r="I3802">
        <v>3798</v>
      </c>
      <c r="L3802"/>
      <c r="M3802" s="10">
        <v>2.2719062075621355E-2</v>
      </c>
    </row>
    <row r="3803" spans="9:13" x14ac:dyDescent="0.35">
      <c r="I3803">
        <v>3799</v>
      </c>
      <c r="L3803"/>
      <c r="M3803" s="10">
        <v>1.8684946837480787E-2</v>
      </c>
    </row>
    <row r="3804" spans="9:13" x14ac:dyDescent="0.35">
      <c r="I3804">
        <v>3800</v>
      </c>
      <c r="L3804"/>
      <c r="M3804" s="10">
        <v>2.3099080943065231E-2</v>
      </c>
    </row>
    <row r="3805" spans="9:13" x14ac:dyDescent="0.35">
      <c r="I3805">
        <v>3801</v>
      </c>
      <c r="L3805"/>
      <c r="M3805" s="10">
        <v>1.9685124415809829E-2</v>
      </c>
    </row>
    <row r="3806" spans="9:13" x14ac:dyDescent="0.35">
      <c r="I3806">
        <v>3802</v>
      </c>
      <c r="L3806"/>
      <c r="M3806" s="10">
        <v>2.1889080642826353E-2</v>
      </c>
    </row>
    <row r="3807" spans="9:13" x14ac:dyDescent="0.35">
      <c r="I3807">
        <v>3803</v>
      </c>
      <c r="L3807"/>
      <c r="M3807" s="10">
        <v>2.6338493563801135E-2</v>
      </c>
    </row>
    <row r="3808" spans="9:13" x14ac:dyDescent="0.35">
      <c r="I3808">
        <v>3804</v>
      </c>
      <c r="L3808"/>
      <c r="M3808" s="10">
        <v>2.7869725868249207E-2</v>
      </c>
    </row>
    <row r="3809" spans="9:13" x14ac:dyDescent="0.35">
      <c r="I3809">
        <v>3805</v>
      </c>
      <c r="L3809"/>
      <c r="M3809" s="10">
        <v>2.334262671865206E-2</v>
      </c>
    </row>
    <row r="3810" spans="9:13" x14ac:dyDescent="0.35">
      <c r="I3810">
        <v>3806</v>
      </c>
      <c r="L3810"/>
      <c r="M3810" s="10">
        <v>2.4144495607052008E-2</v>
      </c>
    </row>
    <row r="3811" spans="9:13" x14ac:dyDescent="0.35">
      <c r="I3811">
        <v>3807</v>
      </c>
      <c r="L3811"/>
      <c r="M3811" s="10">
        <v>2.7515810310341893E-2</v>
      </c>
    </row>
    <row r="3812" spans="9:13" x14ac:dyDescent="0.35">
      <c r="I3812">
        <v>3808</v>
      </c>
      <c r="L3812"/>
      <c r="M3812" s="10">
        <v>2.7826432438256665E-2</v>
      </c>
    </row>
    <row r="3813" spans="9:13" x14ac:dyDescent="0.35">
      <c r="I3813">
        <v>3809</v>
      </c>
      <c r="L3813"/>
      <c r="M3813" s="10">
        <v>2.0929371007970099E-2</v>
      </c>
    </row>
    <row r="3814" spans="9:13" x14ac:dyDescent="0.35">
      <c r="I3814">
        <v>3810</v>
      </c>
      <c r="L3814"/>
      <c r="M3814" s="10">
        <v>2.5619620028076717E-2</v>
      </c>
    </row>
    <row r="3815" spans="9:13" x14ac:dyDescent="0.35">
      <c r="I3815">
        <v>3811</v>
      </c>
      <c r="L3815"/>
      <c r="M3815" s="10">
        <v>2.2522688669545543E-2</v>
      </c>
    </row>
    <row r="3816" spans="9:13" x14ac:dyDescent="0.35">
      <c r="I3816">
        <v>3812</v>
      </c>
      <c r="L3816"/>
      <c r="M3816" s="10">
        <v>2.7182760098319214E-2</v>
      </c>
    </row>
    <row r="3817" spans="9:13" x14ac:dyDescent="0.35">
      <c r="I3817">
        <v>3813</v>
      </c>
      <c r="L3817"/>
      <c r="M3817" s="10">
        <v>1.8752425036780429E-2</v>
      </c>
    </row>
    <row r="3818" spans="9:13" x14ac:dyDescent="0.35">
      <c r="I3818">
        <v>3814</v>
      </c>
      <c r="L3818"/>
      <c r="M3818" s="10">
        <v>3.0975305308483803E-2</v>
      </c>
    </row>
    <row r="3819" spans="9:13" x14ac:dyDescent="0.35">
      <c r="I3819">
        <v>3815</v>
      </c>
      <c r="L3819"/>
      <c r="M3819" s="10">
        <v>2.3671075224728E-2</v>
      </c>
    </row>
    <row r="3820" spans="9:13" x14ac:dyDescent="0.35">
      <c r="I3820">
        <v>3816</v>
      </c>
      <c r="L3820"/>
      <c r="M3820" s="10">
        <v>2.8488687410031188E-2</v>
      </c>
    </row>
    <row r="3821" spans="9:13" x14ac:dyDescent="0.35">
      <c r="I3821">
        <v>3817</v>
      </c>
      <c r="L3821"/>
      <c r="M3821" s="10">
        <v>2.7938087293705394E-2</v>
      </c>
    </row>
    <row r="3822" spans="9:13" x14ac:dyDescent="0.35">
      <c r="I3822">
        <v>3818</v>
      </c>
      <c r="L3822"/>
      <c r="M3822" s="10">
        <v>2.8972606044490812E-2</v>
      </c>
    </row>
    <row r="3823" spans="9:13" x14ac:dyDescent="0.35">
      <c r="I3823">
        <v>3819</v>
      </c>
      <c r="L3823"/>
      <c r="M3823" s="10">
        <v>2.5786809297832947E-2</v>
      </c>
    </row>
    <row r="3824" spans="9:13" x14ac:dyDescent="0.35">
      <c r="I3824">
        <v>3820</v>
      </c>
      <c r="L3824"/>
      <c r="M3824" s="10">
        <v>2.3240754325420609E-2</v>
      </c>
    </row>
    <row r="3825" spans="9:13" x14ac:dyDescent="0.35">
      <c r="I3825">
        <v>3821</v>
      </c>
      <c r="L3825"/>
      <c r="M3825" s="10">
        <v>2.5686847073019048E-2</v>
      </c>
    </row>
    <row r="3826" spans="9:13" x14ac:dyDescent="0.35">
      <c r="I3826">
        <v>3822</v>
      </c>
      <c r="L3826"/>
      <c r="M3826" s="10">
        <v>2.3068209886645707E-2</v>
      </c>
    </row>
    <row r="3827" spans="9:13" x14ac:dyDescent="0.35">
      <c r="I3827">
        <v>3823</v>
      </c>
      <c r="L3827"/>
      <c r="M3827" s="10">
        <v>2.5225103973008034E-2</v>
      </c>
    </row>
    <row r="3828" spans="9:13" x14ac:dyDescent="0.35">
      <c r="I3828">
        <v>3824</v>
      </c>
      <c r="L3828"/>
      <c r="M3828" s="10">
        <v>2.6488284813105611E-2</v>
      </c>
    </row>
    <row r="3829" spans="9:13" x14ac:dyDescent="0.35">
      <c r="I3829">
        <v>3825</v>
      </c>
      <c r="L3829"/>
      <c r="M3829" s="10">
        <v>1.9433870992057511E-2</v>
      </c>
    </row>
    <row r="3830" spans="9:13" x14ac:dyDescent="0.35">
      <c r="I3830">
        <v>3826</v>
      </c>
      <c r="L3830"/>
      <c r="M3830" s="10">
        <v>2.3383617900369247E-2</v>
      </c>
    </row>
    <row r="3831" spans="9:13" x14ac:dyDescent="0.35">
      <c r="I3831">
        <v>3827</v>
      </c>
      <c r="L3831"/>
      <c r="M3831" s="10">
        <v>1.9827725673985275E-2</v>
      </c>
    </row>
    <row r="3832" spans="9:13" x14ac:dyDescent="0.35">
      <c r="I3832">
        <v>3828</v>
      </c>
      <c r="L3832"/>
      <c r="M3832" s="10">
        <v>2.6088041043388244E-2</v>
      </c>
    </row>
    <row r="3833" spans="9:13" x14ac:dyDescent="0.35">
      <c r="I3833">
        <v>3829</v>
      </c>
      <c r="L3833"/>
      <c r="M3833" s="10">
        <v>3.1430966287141926E-2</v>
      </c>
    </row>
    <row r="3834" spans="9:13" x14ac:dyDescent="0.35">
      <c r="I3834">
        <v>3830</v>
      </c>
      <c r="L3834"/>
      <c r="M3834" s="10">
        <v>2.7748795045203778E-2</v>
      </c>
    </row>
    <row r="3835" spans="9:13" x14ac:dyDescent="0.35">
      <c r="I3835">
        <v>3831</v>
      </c>
      <c r="L3835"/>
      <c r="M3835" s="10">
        <v>2.5429515713819795E-2</v>
      </c>
    </row>
    <row r="3836" spans="9:13" x14ac:dyDescent="0.35">
      <c r="I3836">
        <v>3832</v>
      </c>
      <c r="L3836"/>
      <c r="M3836" s="10">
        <v>2.3885220592187562E-2</v>
      </c>
    </row>
    <row r="3837" spans="9:13" x14ac:dyDescent="0.35">
      <c r="I3837">
        <v>3833</v>
      </c>
      <c r="L3837"/>
      <c r="M3837" s="10">
        <v>2.478145235853535E-2</v>
      </c>
    </row>
    <row r="3838" spans="9:13" x14ac:dyDescent="0.35">
      <c r="I3838">
        <v>3834</v>
      </c>
      <c r="L3838"/>
      <c r="M3838" s="10">
        <v>2.4592341499291792E-2</v>
      </c>
    </row>
    <row r="3839" spans="9:13" x14ac:dyDescent="0.35">
      <c r="I3839">
        <v>3835</v>
      </c>
      <c r="L3839"/>
      <c r="M3839" s="10">
        <v>2.4002696647517974E-2</v>
      </c>
    </row>
    <row r="3840" spans="9:13" x14ac:dyDescent="0.35">
      <c r="I3840">
        <v>3836</v>
      </c>
      <c r="L3840"/>
      <c r="M3840" s="10">
        <v>2.0318231529116382E-2</v>
      </c>
    </row>
    <row r="3841" spans="9:13" x14ac:dyDescent="0.35">
      <c r="I3841">
        <v>3837</v>
      </c>
      <c r="L3841"/>
      <c r="M3841" s="10">
        <v>2.9536023404851397E-2</v>
      </c>
    </row>
    <row r="3842" spans="9:13" x14ac:dyDescent="0.35">
      <c r="I3842">
        <v>3838</v>
      </c>
      <c r="L3842"/>
      <c r="M3842" s="10">
        <v>3.2219646781179057E-2</v>
      </c>
    </row>
    <row r="3843" spans="9:13" x14ac:dyDescent="0.35">
      <c r="I3843">
        <v>3839</v>
      </c>
      <c r="L3843"/>
      <c r="M3843" s="10">
        <v>2.5643735032284565E-2</v>
      </c>
    </row>
    <row r="3844" spans="9:13" x14ac:dyDescent="0.35">
      <c r="I3844">
        <v>3840</v>
      </c>
      <c r="L3844"/>
      <c r="M3844" s="10">
        <v>2.4848428249120369E-2</v>
      </c>
    </row>
    <row r="3845" spans="9:13" x14ac:dyDescent="0.35">
      <c r="I3845">
        <v>3841</v>
      </c>
      <c r="L3845"/>
      <c r="M3845" s="10">
        <v>2.3899353605994267E-2</v>
      </c>
    </row>
    <row r="3846" spans="9:13" x14ac:dyDescent="0.35">
      <c r="I3846">
        <v>3842</v>
      </c>
      <c r="L3846"/>
      <c r="M3846" s="10">
        <v>2.1391091783149352E-2</v>
      </c>
    </row>
    <row r="3847" spans="9:13" x14ac:dyDescent="0.35">
      <c r="I3847">
        <v>3843</v>
      </c>
      <c r="L3847"/>
      <c r="M3847" s="10">
        <v>2.8361871203212763E-2</v>
      </c>
    </row>
    <row r="3848" spans="9:13" x14ac:dyDescent="0.35">
      <c r="I3848">
        <v>3844</v>
      </c>
      <c r="L3848"/>
      <c r="M3848" s="10">
        <v>2.3660106755823418E-2</v>
      </c>
    </row>
    <row r="3849" spans="9:13" x14ac:dyDescent="0.35">
      <c r="I3849">
        <v>3845</v>
      </c>
      <c r="L3849"/>
      <c r="M3849" s="10">
        <v>3.2408146498153156E-2</v>
      </c>
    </row>
    <row r="3850" spans="9:13" x14ac:dyDescent="0.35">
      <c r="I3850">
        <v>3846</v>
      </c>
      <c r="L3850"/>
      <c r="M3850" s="10">
        <v>2.9147002048999893E-2</v>
      </c>
    </row>
    <row r="3851" spans="9:13" x14ac:dyDescent="0.35">
      <c r="I3851">
        <v>3847</v>
      </c>
      <c r="L3851"/>
      <c r="M3851" s="10">
        <v>2.3873747023964387E-2</v>
      </c>
    </row>
    <row r="3852" spans="9:13" x14ac:dyDescent="0.35">
      <c r="I3852">
        <v>3848</v>
      </c>
      <c r="L3852"/>
      <c r="M3852" s="10">
        <v>2.5040162276095845E-2</v>
      </c>
    </row>
    <row r="3853" spans="9:13" x14ac:dyDescent="0.35">
      <c r="I3853">
        <v>3849</v>
      </c>
      <c r="L3853"/>
      <c r="M3853" s="10">
        <v>2.6416797911202883E-2</v>
      </c>
    </row>
    <row r="3854" spans="9:13" x14ac:dyDescent="0.35">
      <c r="I3854">
        <v>3850</v>
      </c>
      <c r="L3854"/>
      <c r="M3854" s="10">
        <v>2.8673375161982095E-2</v>
      </c>
    </row>
    <row r="3855" spans="9:13" x14ac:dyDescent="0.35">
      <c r="I3855">
        <v>3851</v>
      </c>
      <c r="L3855"/>
      <c r="M3855" s="10">
        <v>2.2666584767963127E-2</v>
      </c>
    </row>
    <row r="3856" spans="9:13" x14ac:dyDescent="0.35">
      <c r="I3856">
        <v>3852</v>
      </c>
      <c r="L3856"/>
      <c r="M3856" s="10">
        <v>2.2593108165429698E-2</v>
      </c>
    </row>
    <row r="3857" spans="9:13" x14ac:dyDescent="0.35">
      <c r="I3857">
        <v>3853</v>
      </c>
      <c r="L3857"/>
      <c r="M3857" s="10">
        <v>2.5587715052886262E-2</v>
      </c>
    </row>
    <row r="3858" spans="9:13" x14ac:dyDescent="0.35">
      <c r="I3858">
        <v>3854</v>
      </c>
      <c r="L3858"/>
      <c r="M3858" s="10">
        <v>2.5489545791123169E-2</v>
      </c>
    </row>
    <row r="3859" spans="9:13" x14ac:dyDescent="0.35">
      <c r="I3859">
        <v>3855</v>
      </c>
      <c r="L3859"/>
      <c r="M3859" s="10">
        <v>2.6196069508977793E-2</v>
      </c>
    </row>
    <row r="3860" spans="9:13" x14ac:dyDescent="0.35">
      <c r="I3860">
        <v>3856</v>
      </c>
      <c r="L3860"/>
      <c r="M3860" s="10">
        <v>2.5597131945983453E-2</v>
      </c>
    </row>
    <row r="3861" spans="9:13" x14ac:dyDescent="0.35">
      <c r="I3861">
        <v>3857</v>
      </c>
      <c r="L3861"/>
      <c r="M3861" s="10">
        <v>2.7139304813296405E-2</v>
      </c>
    </row>
    <row r="3862" spans="9:13" x14ac:dyDescent="0.35">
      <c r="I3862">
        <v>3858</v>
      </c>
      <c r="L3862"/>
      <c r="M3862" s="10">
        <v>2.3588960307605045E-2</v>
      </c>
    </row>
    <row r="3863" spans="9:13" x14ac:dyDescent="0.35">
      <c r="I3863">
        <v>3859</v>
      </c>
      <c r="L3863"/>
      <c r="M3863" s="10">
        <v>2.5109141820331415E-2</v>
      </c>
    </row>
    <row r="3864" spans="9:13" x14ac:dyDescent="0.35">
      <c r="I3864">
        <v>3860</v>
      </c>
      <c r="L3864"/>
      <c r="M3864" s="10">
        <v>2.2687667780957432E-2</v>
      </c>
    </row>
    <row r="3865" spans="9:13" x14ac:dyDescent="0.35">
      <c r="I3865">
        <v>3861</v>
      </c>
      <c r="L3865"/>
      <c r="M3865" s="10">
        <v>1.9929598067216725E-2</v>
      </c>
    </row>
    <row r="3866" spans="9:13" x14ac:dyDescent="0.35">
      <c r="I3866">
        <v>3862</v>
      </c>
      <c r="L3866"/>
      <c r="M3866" s="10">
        <v>2.5102290887584755E-2</v>
      </c>
    </row>
    <row r="3867" spans="9:13" x14ac:dyDescent="0.35">
      <c r="I3867">
        <v>3863</v>
      </c>
      <c r="L3867"/>
      <c r="M3867" s="10">
        <v>2.2864947874669639E-2</v>
      </c>
    </row>
    <row r="3868" spans="9:13" x14ac:dyDescent="0.35">
      <c r="I3868">
        <v>3864</v>
      </c>
      <c r="L3868"/>
      <c r="M3868" s="10">
        <v>2.293848028928247E-2</v>
      </c>
    </row>
    <row r="3869" spans="9:13" x14ac:dyDescent="0.35">
      <c r="I3869">
        <v>3865</v>
      </c>
      <c r="L3869"/>
      <c r="M3869" s="10">
        <v>2.6070165829657599E-2</v>
      </c>
    </row>
    <row r="3870" spans="9:13" x14ac:dyDescent="0.35">
      <c r="I3870">
        <v>3866</v>
      </c>
      <c r="L3870"/>
      <c r="M3870" s="10">
        <v>2.7397170573155938E-2</v>
      </c>
    </row>
    <row r="3871" spans="9:13" x14ac:dyDescent="0.35">
      <c r="I3871">
        <v>3867</v>
      </c>
      <c r="L3871"/>
      <c r="M3871" s="10">
        <v>2.8585245098001533E-2</v>
      </c>
    </row>
    <row r="3872" spans="9:13" x14ac:dyDescent="0.35">
      <c r="I3872">
        <v>3868</v>
      </c>
      <c r="L3872"/>
      <c r="M3872" s="10">
        <v>2.7599081932810465E-2</v>
      </c>
    </row>
    <row r="3873" spans="9:13" x14ac:dyDescent="0.35">
      <c r="I3873">
        <v>3869</v>
      </c>
      <c r="L3873"/>
      <c r="M3873" s="10">
        <v>2.4977772743135729E-2</v>
      </c>
    </row>
    <row r="3874" spans="9:13" x14ac:dyDescent="0.35">
      <c r="I3874">
        <v>3870</v>
      </c>
      <c r="L3874"/>
      <c r="M3874" s="10">
        <v>2.768505485992212E-2</v>
      </c>
    </row>
    <row r="3875" spans="9:13" x14ac:dyDescent="0.35">
      <c r="I3875">
        <v>3871</v>
      </c>
      <c r="L3875"/>
      <c r="M3875" s="10">
        <v>2.8790521926044033E-2</v>
      </c>
    </row>
    <row r="3876" spans="9:13" x14ac:dyDescent="0.35">
      <c r="I3876">
        <v>3872</v>
      </c>
      <c r="L3876"/>
      <c r="M3876" s="10">
        <v>2.6665477002792759E-2</v>
      </c>
    </row>
    <row r="3877" spans="9:13" x14ac:dyDescent="0.35">
      <c r="I3877">
        <v>3873</v>
      </c>
      <c r="L3877"/>
      <c r="M3877" s="10">
        <v>2.323424803226426E-2</v>
      </c>
    </row>
    <row r="3878" spans="9:13" x14ac:dyDescent="0.35">
      <c r="I3878">
        <v>3874</v>
      </c>
      <c r="L3878"/>
      <c r="M3878" s="10">
        <v>2.6840037652936077E-2</v>
      </c>
    </row>
    <row r="3879" spans="9:13" x14ac:dyDescent="0.35">
      <c r="I3879">
        <v>3875</v>
      </c>
      <c r="L3879"/>
      <c r="M3879" s="10">
        <v>2.5622624113250558E-2</v>
      </c>
    </row>
    <row r="3880" spans="9:13" x14ac:dyDescent="0.35">
      <c r="I3880">
        <v>3876</v>
      </c>
      <c r="L3880"/>
      <c r="M3880" s="10">
        <v>2.6338182411458466E-2</v>
      </c>
    </row>
    <row r="3881" spans="9:13" x14ac:dyDescent="0.35">
      <c r="I3881">
        <v>3877</v>
      </c>
      <c r="L3881"/>
      <c r="M3881" s="10">
        <v>2.863397741513185E-2</v>
      </c>
    </row>
    <row r="3882" spans="9:13" x14ac:dyDescent="0.35">
      <c r="I3882">
        <v>3878</v>
      </c>
      <c r="L3882"/>
      <c r="M3882" s="10">
        <v>3.737684756360693E-2</v>
      </c>
    </row>
    <row r="3883" spans="9:13" x14ac:dyDescent="0.35">
      <c r="I3883">
        <v>3879</v>
      </c>
      <c r="L3883"/>
      <c r="M3883" s="10">
        <v>2.0262610606085807E-2</v>
      </c>
    </row>
    <row r="3884" spans="9:13" x14ac:dyDescent="0.35">
      <c r="I3884">
        <v>3880</v>
      </c>
      <c r="L3884"/>
      <c r="M3884" s="10">
        <v>2.1869815708318585E-2</v>
      </c>
    </row>
    <row r="3885" spans="9:13" x14ac:dyDescent="0.35">
      <c r="I3885">
        <v>3881</v>
      </c>
      <c r="L3885"/>
      <c r="M3885" s="10">
        <v>3.8146465441924127E-2</v>
      </c>
    </row>
    <row r="3886" spans="9:13" x14ac:dyDescent="0.35">
      <c r="I3886">
        <v>3882</v>
      </c>
      <c r="L3886"/>
      <c r="M3886" s="10">
        <v>2.2312461310060039E-2</v>
      </c>
    </row>
    <row r="3887" spans="9:13" x14ac:dyDescent="0.35">
      <c r="I3887">
        <v>3883</v>
      </c>
      <c r="L3887"/>
      <c r="M3887" s="10">
        <v>2.1101968468220433E-2</v>
      </c>
    </row>
    <row r="3888" spans="9:13" x14ac:dyDescent="0.35">
      <c r="I3888">
        <v>3884</v>
      </c>
      <c r="L3888"/>
      <c r="M3888" s="10">
        <v>2.2666142457233862E-2</v>
      </c>
    </row>
    <row r="3889" spans="9:13" x14ac:dyDescent="0.35">
      <c r="I3889">
        <v>3885</v>
      </c>
      <c r="L3889"/>
      <c r="M3889" s="10">
        <v>2.1152471423569796E-2</v>
      </c>
    </row>
    <row r="3890" spans="9:13" x14ac:dyDescent="0.35">
      <c r="I3890">
        <v>3886</v>
      </c>
      <c r="L3890"/>
      <c r="M3890" s="10">
        <v>2.7081977435938098E-2</v>
      </c>
    </row>
    <row r="3891" spans="9:13" x14ac:dyDescent="0.35">
      <c r="I3891">
        <v>3887</v>
      </c>
      <c r="L3891"/>
      <c r="M3891" s="10">
        <v>2.9948826287736319E-2</v>
      </c>
    </row>
    <row r="3892" spans="9:13" x14ac:dyDescent="0.35">
      <c r="I3892">
        <v>3888</v>
      </c>
      <c r="L3892"/>
      <c r="M3892" s="10">
        <v>2.5091537295185873E-2</v>
      </c>
    </row>
    <row r="3893" spans="9:13" x14ac:dyDescent="0.35">
      <c r="I3893">
        <v>3889</v>
      </c>
      <c r="L3893"/>
      <c r="M3893" s="10">
        <v>2.589547541642967E-2</v>
      </c>
    </row>
    <row r="3894" spans="9:13" x14ac:dyDescent="0.35">
      <c r="I3894">
        <v>3890</v>
      </c>
      <c r="L3894"/>
      <c r="M3894" s="10">
        <v>2.4309457974840076E-2</v>
      </c>
    </row>
    <row r="3895" spans="9:13" x14ac:dyDescent="0.35">
      <c r="I3895">
        <v>3891</v>
      </c>
      <c r="L3895"/>
      <c r="M3895" s="10">
        <v>2.7203396614678299E-2</v>
      </c>
    </row>
    <row r="3896" spans="9:13" x14ac:dyDescent="0.35">
      <c r="I3896">
        <v>3892</v>
      </c>
      <c r="L3896"/>
      <c r="M3896" s="10">
        <v>2.7399737928808454E-2</v>
      </c>
    </row>
    <row r="3897" spans="9:13" x14ac:dyDescent="0.35">
      <c r="I3897">
        <v>3893</v>
      </c>
      <c r="L3897"/>
      <c r="M3897" s="10">
        <v>2.5296458321222182E-2</v>
      </c>
    </row>
    <row r="3898" spans="9:13" x14ac:dyDescent="0.35">
      <c r="I3898">
        <v>3894</v>
      </c>
      <c r="L3898"/>
      <c r="M3898" s="10">
        <v>3.1186241481377719E-2</v>
      </c>
    </row>
    <row r="3899" spans="9:13" x14ac:dyDescent="0.35">
      <c r="I3899">
        <v>3895</v>
      </c>
      <c r="L3899"/>
      <c r="M3899" s="10">
        <v>1.9907742056922695E-2</v>
      </c>
    </row>
    <row r="3900" spans="9:13" x14ac:dyDescent="0.35">
      <c r="I3900">
        <v>3896</v>
      </c>
      <c r="L3900"/>
      <c r="M3900" s="10">
        <v>2.2373635534991165E-2</v>
      </c>
    </row>
    <row r="3901" spans="9:13" x14ac:dyDescent="0.35">
      <c r="I3901">
        <v>3897</v>
      </c>
      <c r="L3901"/>
      <c r="M3901" s="10">
        <v>2.4659525289872586E-2</v>
      </c>
    </row>
    <row r="3902" spans="9:13" x14ac:dyDescent="0.35">
      <c r="I3902">
        <v>3898</v>
      </c>
      <c r="L3902"/>
      <c r="M3902" s="10">
        <v>2.606488879755009E-2</v>
      </c>
    </row>
    <row r="3903" spans="9:13" x14ac:dyDescent="0.35">
      <c r="I3903">
        <v>3899</v>
      </c>
      <c r="L3903"/>
      <c r="M3903" s="10">
        <v>2.396830105828418E-2</v>
      </c>
    </row>
    <row r="3904" spans="9:13" x14ac:dyDescent="0.35">
      <c r="I3904">
        <v>3900</v>
      </c>
      <c r="L3904"/>
      <c r="M3904" s="10">
        <v>2.6062142843243485E-2</v>
      </c>
    </row>
    <row r="3905" spans="9:13" x14ac:dyDescent="0.35">
      <c r="I3905">
        <v>3901</v>
      </c>
      <c r="L3905"/>
      <c r="M3905" s="10">
        <v>2.3457655414300671E-2</v>
      </c>
    </row>
    <row r="3906" spans="9:13" x14ac:dyDescent="0.35">
      <c r="I3906">
        <v>3902</v>
      </c>
      <c r="L3906"/>
      <c r="M3906" s="10">
        <v>1.9977590874294959E-2</v>
      </c>
    </row>
    <row r="3907" spans="9:13" x14ac:dyDescent="0.35">
      <c r="I3907">
        <v>3903</v>
      </c>
      <c r="L3907"/>
      <c r="M3907" s="10">
        <v>2.6058008563461743E-2</v>
      </c>
    </row>
    <row r="3908" spans="9:13" x14ac:dyDescent="0.35">
      <c r="I3908">
        <v>3904</v>
      </c>
      <c r="L3908"/>
      <c r="M3908" s="10">
        <v>2.2100627957989727E-2</v>
      </c>
    </row>
    <row r="3909" spans="9:13" x14ac:dyDescent="0.35">
      <c r="I3909">
        <v>3905</v>
      </c>
      <c r="L3909"/>
      <c r="M3909" s="10">
        <v>2.6647854338721411E-2</v>
      </c>
    </row>
    <row r="3910" spans="9:13" x14ac:dyDescent="0.35">
      <c r="I3910">
        <v>3906</v>
      </c>
      <c r="L3910"/>
      <c r="M3910" s="10">
        <v>2.4872382793599934E-2</v>
      </c>
    </row>
    <row r="3911" spans="9:13" x14ac:dyDescent="0.35">
      <c r="I3911">
        <v>3907</v>
      </c>
      <c r="L3911"/>
      <c r="M3911" s="10">
        <v>2.4706609755358544E-2</v>
      </c>
    </row>
    <row r="3912" spans="9:13" x14ac:dyDescent="0.35">
      <c r="I3912">
        <v>3908</v>
      </c>
      <c r="L3912"/>
      <c r="M3912" s="10">
        <v>2.4716404775293688E-2</v>
      </c>
    </row>
    <row r="3913" spans="9:13" x14ac:dyDescent="0.35">
      <c r="I3913">
        <v>3909</v>
      </c>
      <c r="L3913"/>
      <c r="M3913" s="10">
        <v>2.358168380775294E-2</v>
      </c>
    </row>
    <row r="3914" spans="9:13" x14ac:dyDescent="0.35">
      <c r="I3914">
        <v>3910</v>
      </c>
      <c r="L3914"/>
      <c r="M3914" s="10">
        <v>2.7047641844689663E-2</v>
      </c>
    </row>
    <row r="3915" spans="9:13" x14ac:dyDescent="0.35">
      <c r="I3915">
        <v>3911</v>
      </c>
      <c r="L3915"/>
      <c r="M3915" s="10">
        <v>2.7353782262628412E-2</v>
      </c>
    </row>
    <row r="3916" spans="9:13" x14ac:dyDescent="0.35">
      <c r="I3916">
        <v>3912</v>
      </c>
      <c r="L3916"/>
      <c r="M3916" s="10">
        <v>2.569295430980767E-2</v>
      </c>
    </row>
    <row r="3917" spans="9:13" x14ac:dyDescent="0.35">
      <c r="I3917">
        <v>3913</v>
      </c>
      <c r="L3917"/>
      <c r="M3917" s="10">
        <v>2.679638981623933E-2</v>
      </c>
    </row>
    <row r="3918" spans="9:13" x14ac:dyDescent="0.35">
      <c r="I3918">
        <v>3914</v>
      </c>
      <c r="L3918"/>
      <c r="M3918" s="10">
        <v>2.7364911191261276E-2</v>
      </c>
    </row>
    <row r="3919" spans="9:13" x14ac:dyDescent="0.35">
      <c r="I3919">
        <v>3915</v>
      </c>
      <c r="L3919"/>
      <c r="M3919" s="10">
        <v>2.660479811006633E-2</v>
      </c>
    </row>
    <row r="3920" spans="9:13" x14ac:dyDescent="0.35">
      <c r="I3920">
        <v>3916</v>
      </c>
      <c r="L3920"/>
      <c r="M3920" s="10">
        <v>1.9683045415852085E-2</v>
      </c>
    </row>
    <row r="3921" spans="9:13" x14ac:dyDescent="0.35">
      <c r="I3921">
        <v>3917</v>
      </c>
      <c r="L3921"/>
      <c r="M3921" s="10">
        <v>2.3651948425116753E-2</v>
      </c>
    </row>
    <row r="3922" spans="9:13" x14ac:dyDescent="0.35">
      <c r="I3922">
        <v>3918</v>
      </c>
      <c r="L3922"/>
      <c r="M3922" s="10">
        <v>2.1444187209586962E-2</v>
      </c>
    </row>
    <row r="3923" spans="9:13" x14ac:dyDescent="0.35">
      <c r="I3923">
        <v>3919</v>
      </c>
      <c r="L3923"/>
      <c r="M3923" s="10">
        <v>1.9364253794814767E-2</v>
      </c>
    </row>
    <row r="3924" spans="9:13" x14ac:dyDescent="0.35">
      <c r="I3924">
        <v>3920</v>
      </c>
      <c r="L3924"/>
      <c r="M3924" s="10">
        <v>2.3056182383534463E-2</v>
      </c>
    </row>
    <row r="3925" spans="9:13" x14ac:dyDescent="0.35">
      <c r="I3925">
        <v>3921</v>
      </c>
      <c r="L3925"/>
      <c r="M3925" s="10">
        <v>2.8294062317342661E-2</v>
      </c>
    </row>
    <row r="3926" spans="9:13" x14ac:dyDescent="0.35">
      <c r="I3926">
        <v>3922</v>
      </c>
      <c r="L3926"/>
      <c r="M3926" s="10">
        <v>2.4002099458268367E-2</v>
      </c>
    </row>
    <row r="3927" spans="9:13" x14ac:dyDescent="0.35">
      <c r="I3927">
        <v>3923</v>
      </c>
      <c r="L3927"/>
      <c r="M3927" s="10">
        <v>2.3207589392537642E-2</v>
      </c>
    </row>
    <row r="3928" spans="9:13" x14ac:dyDescent="0.35">
      <c r="I3928">
        <v>3924</v>
      </c>
      <c r="L3928"/>
      <c r="M3928" s="10">
        <v>2.4756302040254585E-2</v>
      </c>
    </row>
    <row r="3929" spans="9:13" x14ac:dyDescent="0.35">
      <c r="I3929">
        <v>3925</v>
      </c>
      <c r="L3929"/>
      <c r="M3929" s="10">
        <v>2.5272997713645329E-2</v>
      </c>
    </row>
    <row r="3930" spans="9:13" x14ac:dyDescent="0.35">
      <c r="I3930">
        <v>3926</v>
      </c>
      <c r="L3930"/>
      <c r="M3930" s="10">
        <v>2.0432279327469494E-2</v>
      </c>
    </row>
    <row r="3931" spans="9:13" x14ac:dyDescent="0.35">
      <c r="I3931">
        <v>3927</v>
      </c>
      <c r="L3931"/>
      <c r="M3931" s="10">
        <v>2.486864198897798E-2</v>
      </c>
    </row>
    <row r="3932" spans="9:13" x14ac:dyDescent="0.35">
      <c r="I3932">
        <v>3928</v>
      </c>
      <c r="L3932"/>
      <c r="M3932" s="10">
        <v>2.8865324065463271E-2</v>
      </c>
    </row>
    <row r="3933" spans="9:13" x14ac:dyDescent="0.35">
      <c r="I3933">
        <v>3929</v>
      </c>
      <c r="L3933"/>
      <c r="M3933" s="10">
        <v>2.4374336726541546E-2</v>
      </c>
    </row>
    <row r="3934" spans="9:13" x14ac:dyDescent="0.35">
      <c r="I3934">
        <v>3930</v>
      </c>
      <c r="L3934"/>
      <c r="M3934" s="10">
        <v>2.2148916569088795E-2</v>
      </c>
    </row>
    <row r="3935" spans="9:13" x14ac:dyDescent="0.35">
      <c r="I3935">
        <v>3931</v>
      </c>
      <c r="L3935"/>
      <c r="M3935" s="10">
        <v>2.9075903041049012E-2</v>
      </c>
    </row>
    <row r="3936" spans="9:13" x14ac:dyDescent="0.35">
      <c r="I3936">
        <v>3932</v>
      </c>
      <c r="L3936"/>
      <c r="M3936" s="10">
        <v>2.3101505977915271E-2</v>
      </c>
    </row>
    <row r="3937" spans="9:13" x14ac:dyDescent="0.35">
      <c r="I3937">
        <v>3933</v>
      </c>
      <c r="L3937"/>
      <c r="M3937" s="10">
        <v>2.4951157357770648E-2</v>
      </c>
    </row>
    <row r="3938" spans="9:13" x14ac:dyDescent="0.35">
      <c r="I3938">
        <v>3934</v>
      </c>
      <c r="L3938"/>
      <c r="M3938" s="10">
        <v>2.3789841934394595E-2</v>
      </c>
    </row>
    <row r="3939" spans="9:13" x14ac:dyDescent="0.35">
      <c r="I3939">
        <v>3935</v>
      </c>
      <c r="L3939"/>
      <c r="M3939" s="10">
        <v>2.5003209098323431E-2</v>
      </c>
    </row>
    <row r="3940" spans="9:13" x14ac:dyDescent="0.35">
      <c r="I3940">
        <v>3936</v>
      </c>
      <c r="L3940"/>
      <c r="M3940" s="10">
        <v>2.4912330289432294E-2</v>
      </c>
    </row>
    <row r="3941" spans="9:13" x14ac:dyDescent="0.35">
      <c r="I3941">
        <v>3937</v>
      </c>
      <c r="L3941"/>
      <c r="M3941" s="10">
        <v>2.3325404506250424E-2</v>
      </c>
    </row>
    <row r="3942" spans="9:13" x14ac:dyDescent="0.35">
      <c r="I3942">
        <v>3938</v>
      </c>
      <c r="L3942"/>
      <c r="M3942" s="10">
        <v>2.3993198826905648E-2</v>
      </c>
    </row>
    <row r="3943" spans="9:13" x14ac:dyDescent="0.35">
      <c r="I3943">
        <v>3939</v>
      </c>
      <c r="L3943"/>
      <c r="M3943" s="10">
        <v>2.9180801844286064E-2</v>
      </c>
    </row>
    <row r="3944" spans="9:13" x14ac:dyDescent="0.35">
      <c r="I3944">
        <v>3940</v>
      </c>
      <c r="L3944"/>
      <c r="M3944" s="10">
        <v>2.6311202852275284E-2</v>
      </c>
    </row>
    <row r="3945" spans="9:13" x14ac:dyDescent="0.35">
      <c r="I3945">
        <v>3941</v>
      </c>
      <c r="L3945"/>
      <c r="M3945" s="10">
        <v>2.6351126627973898E-2</v>
      </c>
    </row>
    <row r="3946" spans="9:13" x14ac:dyDescent="0.35">
      <c r="I3946">
        <v>3942</v>
      </c>
      <c r="L3946"/>
      <c r="M3946" s="10">
        <v>2.6675911071037062E-2</v>
      </c>
    </row>
    <row r="3947" spans="9:13" x14ac:dyDescent="0.35">
      <c r="I3947">
        <v>3943</v>
      </c>
      <c r="L3947"/>
      <c r="M3947" s="10">
        <v>2.5285770308016597E-2</v>
      </c>
    </row>
    <row r="3948" spans="9:13" x14ac:dyDescent="0.35">
      <c r="I3948">
        <v>3944</v>
      </c>
      <c r="L3948"/>
      <c r="M3948" s="10">
        <v>2.6708502534804168E-2</v>
      </c>
    </row>
    <row r="3949" spans="9:13" x14ac:dyDescent="0.35">
      <c r="I3949">
        <v>3945</v>
      </c>
      <c r="L3949"/>
      <c r="M3949" s="10">
        <v>2.7270505058951899E-2</v>
      </c>
    </row>
    <row r="3950" spans="9:13" x14ac:dyDescent="0.35">
      <c r="I3950">
        <v>3946</v>
      </c>
      <c r="L3950"/>
      <c r="M3950" s="10">
        <v>2.1641431284101453E-2</v>
      </c>
    </row>
    <row r="3951" spans="9:13" x14ac:dyDescent="0.35">
      <c r="I3951">
        <v>3947</v>
      </c>
      <c r="L3951"/>
      <c r="M3951" s="10">
        <v>2.5080966487347034E-2</v>
      </c>
    </row>
    <row r="3952" spans="9:13" x14ac:dyDescent="0.35">
      <c r="I3952">
        <v>3948</v>
      </c>
      <c r="L3952"/>
      <c r="M3952" s="10">
        <v>2.4080068933193699E-2</v>
      </c>
    </row>
    <row r="3953" spans="9:13" x14ac:dyDescent="0.35">
      <c r="I3953">
        <v>3949</v>
      </c>
      <c r="L3953"/>
      <c r="M3953" s="10">
        <v>1.9454193565469957E-2</v>
      </c>
    </row>
    <row r="3954" spans="9:13" x14ac:dyDescent="0.35">
      <c r="I3954">
        <v>3950</v>
      </c>
      <c r="L3954"/>
      <c r="M3954" s="10">
        <v>2.7626867976541014E-2</v>
      </c>
    </row>
    <row r="3955" spans="9:13" x14ac:dyDescent="0.35">
      <c r="I3955">
        <v>3951</v>
      </c>
      <c r="L3955"/>
      <c r="M3955" s="10">
        <v>2.40490834620114E-2</v>
      </c>
    </row>
    <row r="3956" spans="9:13" x14ac:dyDescent="0.35">
      <c r="I3956">
        <v>3952</v>
      </c>
      <c r="L3956"/>
      <c r="M3956" s="10">
        <v>2.9761043755982541E-2</v>
      </c>
    </row>
    <row r="3957" spans="9:13" x14ac:dyDescent="0.35">
      <c r="I3957">
        <v>3953</v>
      </c>
      <c r="L3957"/>
      <c r="M3957" s="10">
        <v>2.7590690586672295E-2</v>
      </c>
    </row>
    <row r="3958" spans="9:13" x14ac:dyDescent="0.35">
      <c r="I3958">
        <v>3954</v>
      </c>
      <c r="L3958"/>
      <c r="M3958" s="10">
        <v>2.449738003679236E-2</v>
      </c>
    </row>
    <row r="3959" spans="9:13" x14ac:dyDescent="0.35">
      <c r="I3959">
        <v>3955</v>
      </c>
      <c r="L3959"/>
      <c r="M3959" s="10">
        <v>2.0841515818480594E-2</v>
      </c>
    </row>
    <row r="3960" spans="9:13" x14ac:dyDescent="0.35">
      <c r="I3960">
        <v>3956</v>
      </c>
      <c r="L3960"/>
      <c r="M3960" s="10">
        <v>2.3198088781321347E-2</v>
      </c>
    </row>
    <row r="3961" spans="9:13" x14ac:dyDescent="0.35">
      <c r="I3961">
        <v>3957</v>
      </c>
      <c r="L3961"/>
      <c r="M3961" s="10">
        <v>2.6685198201049642E-2</v>
      </c>
    </row>
    <row r="3962" spans="9:13" x14ac:dyDescent="0.35">
      <c r="I3962">
        <v>3958</v>
      </c>
      <c r="L3962"/>
      <c r="M3962" s="10">
        <v>2.8681342336316806E-2</v>
      </c>
    </row>
    <row r="3963" spans="9:13" x14ac:dyDescent="0.35">
      <c r="I3963">
        <v>3959</v>
      </c>
      <c r="L3963"/>
      <c r="M3963" s="10">
        <v>2.4721815756391763E-2</v>
      </c>
    </row>
    <row r="3964" spans="9:13" x14ac:dyDescent="0.35">
      <c r="I3964">
        <v>3960</v>
      </c>
      <c r="L3964"/>
      <c r="M3964" s="10">
        <v>2.4306177619873193E-2</v>
      </c>
    </row>
    <row r="3965" spans="9:13" x14ac:dyDescent="0.35">
      <c r="I3965">
        <v>3961</v>
      </c>
      <c r="L3965"/>
      <c r="M3965" s="10">
        <v>2.1401687706423922E-2</v>
      </c>
    </row>
    <row r="3966" spans="9:13" x14ac:dyDescent="0.35">
      <c r="I3966">
        <v>3962</v>
      </c>
      <c r="L3966"/>
      <c r="M3966" s="10">
        <v>2.6645393026019759E-2</v>
      </c>
    </row>
    <row r="3967" spans="9:13" x14ac:dyDescent="0.35">
      <c r="I3967">
        <v>3963</v>
      </c>
      <c r="L3967"/>
      <c r="M3967" s="10">
        <v>2.2825160838565561E-2</v>
      </c>
    </row>
    <row r="3968" spans="9:13" x14ac:dyDescent="0.35">
      <c r="I3968">
        <v>3964</v>
      </c>
      <c r="L3968"/>
      <c r="M3968" s="10">
        <v>2.0271880992474567E-2</v>
      </c>
    </row>
    <row r="3969" spans="9:13" x14ac:dyDescent="0.35">
      <c r="I3969">
        <v>3965</v>
      </c>
      <c r="L3969"/>
      <c r="M3969" s="10">
        <v>2.5118828006711724E-2</v>
      </c>
    </row>
    <row r="3970" spans="9:13" x14ac:dyDescent="0.35">
      <c r="I3970">
        <v>3966</v>
      </c>
      <c r="L3970"/>
      <c r="M3970" s="10">
        <v>3.4818770669291288E-2</v>
      </c>
    </row>
    <row r="3971" spans="9:13" x14ac:dyDescent="0.35">
      <c r="I3971">
        <v>3967</v>
      </c>
      <c r="L3971"/>
      <c r="M3971" s="10">
        <v>2.7983892267271049E-2</v>
      </c>
    </row>
    <row r="3972" spans="9:13" x14ac:dyDescent="0.35">
      <c r="I3972">
        <v>3968</v>
      </c>
      <c r="L3972"/>
      <c r="M3972" s="10">
        <v>2.3513573536654064E-2</v>
      </c>
    </row>
    <row r="3973" spans="9:13" x14ac:dyDescent="0.35">
      <c r="I3973">
        <v>3969</v>
      </c>
      <c r="L3973"/>
      <c r="M3973" s="10">
        <v>2.6740008453626896E-2</v>
      </c>
    </row>
    <row r="3974" spans="9:13" x14ac:dyDescent="0.35">
      <c r="I3974">
        <v>3970</v>
      </c>
      <c r="L3974"/>
      <c r="M3974" s="10">
        <v>2.0523346502128614E-2</v>
      </c>
    </row>
    <row r="3975" spans="9:13" x14ac:dyDescent="0.35">
      <c r="I3975">
        <v>3971</v>
      </c>
      <c r="L3975"/>
      <c r="M3975" s="10">
        <v>2.0656218319562214E-2</v>
      </c>
    </row>
    <row r="3976" spans="9:13" x14ac:dyDescent="0.35">
      <c r="I3976">
        <v>3972</v>
      </c>
      <c r="L3976"/>
      <c r="M3976" s="10">
        <v>2.2694511737194167E-2</v>
      </c>
    </row>
    <row r="3977" spans="9:13" x14ac:dyDescent="0.35">
      <c r="I3977">
        <v>3973</v>
      </c>
      <c r="L3977"/>
      <c r="M3977" s="10">
        <v>2.4478914610322033E-2</v>
      </c>
    </row>
    <row r="3978" spans="9:13" x14ac:dyDescent="0.35">
      <c r="I3978">
        <v>3974</v>
      </c>
      <c r="L3978"/>
      <c r="M3978" s="10">
        <v>2.6300598557188803E-2</v>
      </c>
    </row>
    <row r="3979" spans="9:13" x14ac:dyDescent="0.35">
      <c r="I3979">
        <v>3975</v>
      </c>
      <c r="L3979"/>
      <c r="M3979" s="10">
        <v>2.2893907367369626E-2</v>
      </c>
    </row>
    <row r="3980" spans="9:13" x14ac:dyDescent="0.35">
      <c r="I3980">
        <v>3976</v>
      </c>
      <c r="L3980"/>
      <c r="M3980" s="10">
        <v>2.5883493958283932E-2</v>
      </c>
    </row>
    <row r="3981" spans="9:13" x14ac:dyDescent="0.35">
      <c r="I3981">
        <v>3977</v>
      </c>
      <c r="L3981"/>
      <c r="M3981" s="10">
        <v>2.1616656302054671E-2</v>
      </c>
    </row>
    <row r="3982" spans="9:13" x14ac:dyDescent="0.35">
      <c r="I3982">
        <v>3978</v>
      </c>
      <c r="L3982"/>
      <c r="M3982" s="10">
        <v>2.5122533928784052E-2</v>
      </c>
    </row>
    <row r="3983" spans="9:13" x14ac:dyDescent="0.35">
      <c r="I3983">
        <v>3979</v>
      </c>
      <c r="L3983"/>
      <c r="M3983" s="10">
        <v>2.8660502105867902E-2</v>
      </c>
    </row>
    <row r="3984" spans="9:13" x14ac:dyDescent="0.35">
      <c r="I3984">
        <v>3980</v>
      </c>
      <c r="L3984"/>
      <c r="M3984" s="10">
        <v>2.6246379912653217E-2</v>
      </c>
    </row>
    <row r="3985" spans="9:13" x14ac:dyDescent="0.35">
      <c r="I3985">
        <v>3981</v>
      </c>
      <c r="L3985"/>
      <c r="M3985" s="10">
        <v>2.335984195454377E-2</v>
      </c>
    </row>
    <row r="3986" spans="9:13" x14ac:dyDescent="0.35">
      <c r="I3986">
        <v>3982</v>
      </c>
      <c r="L3986"/>
      <c r="M3986" s="10">
        <v>2.0373332004506528E-2</v>
      </c>
    </row>
    <row r="3987" spans="9:13" x14ac:dyDescent="0.35">
      <c r="I3987">
        <v>3983</v>
      </c>
      <c r="L3987"/>
      <c r="M3987" s="10">
        <v>2.3341022121369237E-2</v>
      </c>
    </row>
    <row r="3988" spans="9:13" x14ac:dyDescent="0.35">
      <c r="I3988">
        <v>3984</v>
      </c>
      <c r="L3988"/>
      <c r="M3988" s="10">
        <v>2.4184324502215637E-2</v>
      </c>
    </row>
    <row r="3989" spans="9:13" x14ac:dyDescent="0.35">
      <c r="I3989">
        <v>3985</v>
      </c>
      <c r="L3989"/>
      <c r="M3989" s="10">
        <v>2.4989857453628361E-2</v>
      </c>
    </row>
    <row r="3990" spans="9:13" x14ac:dyDescent="0.35">
      <c r="I3990">
        <v>3986</v>
      </c>
      <c r="L3990"/>
      <c r="M3990" s="10">
        <v>2.272062062793867E-2</v>
      </c>
    </row>
    <row r="3991" spans="9:13" x14ac:dyDescent="0.35">
      <c r="I3991">
        <v>3987</v>
      </c>
      <c r="L3991"/>
      <c r="M3991" s="10">
        <v>2.2118268760986881E-2</v>
      </c>
    </row>
    <row r="3992" spans="9:13" x14ac:dyDescent="0.35">
      <c r="I3992">
        <v>3988</v>
      </c>
      <c r="L3992"/>
      <c r="M3992" s="10">
        <v>2.607052163166379E-2</v>
      </c>
    </row>
    <row r="3993" spans="9:13" x14ac:dyDescent="0.35">
      <c r="I3993">
        <v>3989</v>
      </c>
      <c r="L3993"/>
      <c r="M3993" s="10">
        <v>2.3569278177803743E-2</v>
      </c>
    </row>
    <row r="3994" spans="9:13" x14ac:dyDescent="0.35">
      <c r="I3994">
        <v>3990</v>
      </c>
      <c r="L3994"/>
      <c r="M3994" s="10">
        <v>2.4865076992406143E-2</v>
      </c>
    </row>
    <row r="3995" spans="9:13" x14ac:dyDescent="0.35">
      <c r="I3995">
        <v>3991</v>
      </c>
      <c r="L3995"/>
      <c r="M3995" s="10">
        <v>2.3739470137431828E-2</v>
      </c>
    </row>
    <row r="3996" spans="9:13" x14ac:dyDescent="0.35">
      <c r="I3996">
        <v>3992</v>
      </c>
      <c r="L3996"/>
      <c r="M3996" s="10">
        <v>2.7585756798853112E-2</v>
      </c>
    </row>
    <row r="3997" spans="9:13" x14ac:dyDescent="0.35">
      <c r="I3997">
        <v>3993</v>
      </c>
      <c r="L3997"/>
      <c r="M3997" s="10">
        <v>2.5244908889384021E-2</v>
      </c>
    </row>
    <row r="3998" spans="9:13" x14ac:dyDescent="0.35">
      <c r="I3998">
        <v>3994</v>
      </c>
      <c r="L3998"/>
      <c r="M3998" s="10">
        <v>2.0156101624357992E-2</v>
      </c>
    </row>
    <row r="3999" spans="9:13" x14ac:dyDescent="0.35">
      <c r="I3999">
        <v>3995</v>
      </c>
      <c r="L3999"/>
      <c r="M3999" s="10">
        <v>2.7450465527777412E-2</v>
      </c>
    </row>
    <row r="4000" spans="9:13" x14ac:dyDescent="0.35">
      <c r="I4000">
        <v>3996</v>
      </c>
      <c r="L4000"/>
      <c r="M4000" s="10">
        <v>2.3325982161272241E-2</v>
      </c>
    </row>
    <row r="4001" spans="9:13" x14ac:dyDescent="0.35">
      <c r="I4001">
        <v>3997</v>
      </c>
      <c r="L4001"/>
      <c r="M4001" s="10">
        <v>2.5724337442055711E-2</v>
      </c>
    </row>
    <row r="4002" spans="9:13" x14ac:dyDescent="0.35">
      <c r="I4002">
        <v>3998</v>
      </c>
      <c r="L4002"/>
      <c r="M4002" s="10">
        <v>1.9236019961179518E-2</v>
      </c>
    </row>
    <row r="4003" spans="9:13" x14ac:dyDescent="0.35">
      <c r="I4003">
        <v>3999</v>
      </c>
      <c r="L4003"/>
      <c r="M4003" s="10">
        <v>2.7063266436318401E-2</v>
      </c>
    </row>
    <row r="4004" spans="9:13" x14ac:dyDescent="0.35">
      <c r="I4004">
        <v>4000</v>
      </c>
      <c r="L4004"/>
      <c r="M4004" s="10">
        <v>2.4824992756979247E-2</v>
      </c>
    </row>
    <row r="4005" spans="9:13" x14ac:dyDescent="0.35">
      <c r="I4005">
        <v>4001</v>
      </c>
      <c r="L4005"/>
      <c r="M4005" s="10">
        <v>2.2617344560910246E-2</v>
      </c>
    </row>
    <row r="4006" spans="9:13" x14ac:dyDescent="0.35">
      <c r="I4006">
        <v>4002</v>
      </c>
      <c r="L4006"/>
      <c r="M4006" s="10">
        <v>2.3261339215606247E-2</v>
      </c>
    </row>
    <row r="4007" spans="9:13" x14ac:dyDescent="0.35">
      <c r="I4007">
        <v>4003</v>
      </c>
      <c r="L4007"/>
      <c r="M4007" s="10">
        <v>2.7675510994344288E-2</v>
      </c>
    </row>
    <row r="4008" spans="9:13" x14ac:dyDescent="0.35">
      <c r="I4008">
        <v>4004</v>
      </c>
      <c r="L4008"/>
      <c r="M4008" s="10">
        <v>2.3035434243016573E-2</v>
      </c>
    </row>
    <row r="4009" spans="9:13" x14ac:dyDescent="0.35">
      <c r="I4009">
        <v>4005</v>
      </c>
      <c r="L4009"/>
      <c r="M4009" s="10">
        <v>2.2652888483677747E-2</v>
      </c>
    </row>
    <row r="4010" spans="9:13" x14ac:dyDescent="0.35">
      <c r="I4010">
        <v>4006</v>
      </c>
      <c r="L4010"/>
      <c r="M4010" s="10">
        <v>1.8615734277813711E-2</v>
      </c>
    </row>
    <row r="4011" spans="9:13" x14ac:dyDescent="0.35">
      <c r="I4011">
        <v>4007</v>
      </c>
      <c r="L4011"/>
      <c r="M4011" s="10">
        <v>2.2628731620410347E-2</v>
      </c>
    </row>
    <row r="4012" spans="9:13" x14ac:dyDescent="0.35">
      <c r="I4012">
        <v>4008</v>
      </c>
      <c r="L4012"/>
      <c r="M4012" s="10">
        <v>2.3787016447874842E-2</v>
      </c>
    </row>
    <row r="4013" spans="9:13" x14ac:dyDescent="0.35">
      <c r="I4013">
        <v>4009</v>
      </c>
      <c r="L4013"/>
      <c r="M4013" s="10">
        <v>2.5926374378888895E-2</v>
      </c>
    </row>
    <row r="4014" spans="9:13" x14ac:dyDescent="0.35">
      <c r="I4014">
        <v>4010</v>
      </c>
      <c r="L4014"/>
      <c r="M4014" s="10">
        <v>3.4783098378741162E-2</v>
      </c>
    </row>
    <row r="4015" spans="9:13" x14ac:dyDescent="0.35">
      <c r="I4015">
        <v>4011</v>
      </c>
      <c r="L4015"/>
      <c r="M4015" s="10">
        <v>2.3979548587585775E-2</v>
      </c>
    </row>
    <row r="4016" spans="9:13" x14ac:dyDescent="0.35">
      <c r="I4016">
        <v>4012</v>
      </c>
      <c r="L4016"/>
      <c r="M4016" s="10">
        <v>2.3052857378904057E-2</v>
      </c>
    </row>
    <row r="4017" spans="9:13" x14ac:dyDescent="0.35">
      <c r="I4017">
        <v>4013</v>
      </c>
      <c r="L4017"/>
      <c r="M4017" s="10">
        <v>3.0922786141766023E-2</v>
      </c>
    </row>
    <row r="4018" spans="9:13" x14ac:dyDescent="0.35">
      <c r="I4018">
        <v>4014</v>
      </c>
      <c r="L4018"/>
      <c r="M4018" s="10">
        <v>2.7512737855370784E-2</v>
      </c>
    </row>
    <row r="4019" spans="9:13" x14ac:dyDescent="0.35">
      <c r="I4019">
        <v>4015</v>
      </c>
      <c r="L4019"/>
      <c r="M4019" s="10">
        <v>2.9561186280850027E-2</v>
      </c>
    </row>
    <row r="4020" spans="9:13" x14ac:dyDescent="0.35">
      <c r="I4020">
        <v>4016</v>
      </c>
      <c r="L4020"/>
      <c r="M4020" s="10">
        <v>2.2985128025247104E-2</v>
      </c>
    </row>
    <row r="4021" spans="9:13" x14ac:dyDescent="0.35">
      <c r="I4021">
        <v>4017</v>
      </c>
      <c r="L4021"/>
      <c r="M4021" s="10">
        <v>2.3874821406492885E-2</v>
      </c>
    </row>
    <row r="4022" spans="9:13" x14ac:dyDescent="0.35">
      <c r="I4022">
        <v>4018</v>
      </c>
      <c r="L4022"/>
      <c r="M4022" s="10">
        <v>2.5569372412990621E-2</v>
      </c>
    </row>
    <row r="4023" spans="9:13" x14ac:dyDescent="0.35">
      <c r="I4023">
        <v>4019</v>
      </c>
      <c r="L4023"/>
      <c r="M4023" s="10">
        <v>2.287170811278727E-2</v>
      </c>
    </row>
    <row r="4024" spans="9:13" x14ac:dyDescent="0.35">
      <c r="I4024">
        <v>4020</v>
      </c>
      <c r="L4024"/>
      <c r="M4024" s="10">
        <v>1.9090619727222036E-2</v>
      </c>
    </row>
    <row r="4025" spans="9:13" x14ac:dyDescent="0.35">
      <c r="I4025">
        <v>4021</v>
      </c>
      <c r="L4025"/>
      <c r="M4025" s="10">
        <v>3.4867173695153131E-2</v>
      </c>
    </row>
    <row r="4026" spans="9:13" x14ac:dyDescent="0.35">
      <c r="I4026">
        <v>4022</v>
      </c>
      <c r="L4026"/>
      <c r="M4026" s="10">
        <v>2.3646279313151441E-2</v>
      </c>
    </row>
    <row r="4027" spans="9:13" x14ac:dyDescent="0.35">
      <c r="I4027">
        <v>4023</v>
      </c>
      <c r="L4027"/>
      <c r="M4027" s="10">
        <v>2.5110599910905806E-2</v>
      </c>
    </row>
    <row r="4028" spans="9:13" x14ac:dyDescent="0.35">
      <c r="I4028">
        <v>4024</v>
      </c>
      <c r="L4028"/>
      <c r="M4028" s="10">
        <v>2.3316985254072553E-2</v>
      </c>
    </row>
    <row r="4029" spans="9:13" x14ac:dyDescent="0.35">
      <c r="I4029">
        <v>4025</v>
      </c>
      <c r="L4029"/>
      <c r="M4029" s="10">
        <v>2.6129481512344621E-2</v>
      </c>
    </row>
    <row r="4030" spans="9:13" x14ac:dyDescent="0.35">
      <c r="I4030">
        <v>4026</v>
      </c>
      <c r="L4030"/>
      <c r="M4030" s="10">
        <v>2.4721871568471165E-2</v>
      </c>
    </row>
    <row r="4031" spans="9:13" x14ac:dyDescent="0.35">
      <c r="I4031">
        <v>4027</v>
      </c>
      <c r="L4031"/>
      <c r="M4031" s="10">
        <v>2.2726292530507952E-2</v>
      </c>
    </row>
    <row r="4032" spans="9:13" x14ac:dyDescent="0.35">
      <c r="I4032">
        <v>4028</v>
      </c>
      <c r="L4032"/>
      <c r="M4032" s="10">
        <v>2.475717410399525E-2</v>
      </c>
    </row>
    <row r="4033" spans="9:13" x14ac:dyDescent="0.35">
      <c r="I4033">
        <v>4029</v>
      </c>
      <c r="L4033"/>
      <c r="M4033" s="10">
        <v>3.2711317713467691E-2</v>
      </c>
    </row>
    <row r="4034" spans="9:13" x14ac:dyDescent="0.35">
      <c r="I4034">
        <v>4030</v>
      </c>
      <c r="L4034"/>
      <c r="M4034" s="10">
        <v>2.4144714669463663E-2</v>
      </c>
    </row>
    <row r="4035" spans="9:13" x14ac:dyDescent="0.35">
      <c r="I4035">
        <v>4031</v>
      </c>
      <c r="L4035"/>
      <c r="M4035" s="10">
        <v>2.9551223824676676E-2</v>
      </c>
    </row>
    <row r="4036" spans="9:13" x14ac:dyDescent="0.35">
      <c r="I4036">
        <v>4032</v>
      </c>
      <c r="L4036"/>
      <c r="M4036" s="10">
        <v>2.3434521307388323E-2</v>
      </c>
    </row>
    <row r="4037" spans="9:13" x14ac:dyDescent="0.35">
      <c r="I4037">
        <v>4033</v>
      </c>
      <c r="L4037"/>
      <c r="M4037" s="10">
        <v>3.1337176878309947E-2</v>
      </c>
    </row>
    <row r="4038" spans="9:13" x14ac:dyDescent="0.35">
      <c r="I4038">
        <v>4034</v>
      </c>
      <c r="L4038"/>
      <c r="M4038" s="10">
        <v>2.9344113569825803E-2</v>
      </c>
    </row>
    <row r="4039" spans="9:13" x14ac:dyDescent="0.35">
      <c r="I4039">
        <v>4035</v>
      </c>
      <c r="L4039"/>
      <c r="M4039" s="10">
        <v>3.1805122095644567E-2</v>
      </c>
    </row>
    <row r="4040" spans="9:13" x14ac:dyDescent="0.35">
      <c r="I4040">
        <v>4036</v>
      </c>
      <c r="L4040"/>
      <c r="M4040" s="10">
        <v>2.3176157424720123E-2</v>
      </c>
    </row>
    <row r="4041" spans="9:13" x14ac:dyDescent="0.35">
      <c r="I4041">
        <v>4037</v>
      </c>
      <c r="L4041"/>
      <c r="M4041" s="10">
        <v>2.3052332745357673E-2</v>
      </c>
    </row>
    <row r="4042" spans="9:13" x14ac:dyDescent="0.35">
      <c r="I4042">
        <v>4038</v>
      </c>
      <c r="L4042"/>
      <c r="M4042" s="10">
        <v>2.0115954600341768E-2</v>
      </c>
    </row>
    <row r="4043" spans="9:13" x14ac:dyDescent="0.35">
      <c r="I4043">
        <v>4039</v>
      </c>
      <c r="L4043"/>
      <c r="M4043" s="10">
        <v>2.1419491759753329E-2</v>
      </c>
    </row>
    <row r="4044" spans="9:13" x14ac:dyDescent="0.35">
      <c r="I4044">
        <v>4040</v>
      </c>
      <c r="L4044"/>
      <c r="M4044" s="10">
        <v>2.3902093979092931E-2</v>
      </c>
    </row>
    <row r="4045" spans="9:13" x14ac:dyDescent="0.35">
      <c r="I4045">
        <v>4041</v>
      </c>
      <c r="L4045"/>
      <c r="M4045" s="10">
        <v>2.2781000926040296E-2</v>
      </c>
    </row>
    <row r="4046" spans="9:13" x14ac:dyDescent="0.35">
      <c r="I4046">
        <v>4042</v>
      </c>
      <c r="L4046"/>
      <c r="M4046" s="10">
        <v>2.4386378182672641E-2</v>
      </c>
    </row>
    <row r="4047" spans="9:13" x14ac:dyDescent="0.35">
      <c r="I4047">
        <v>4043</v>
      </c>
      <c r="L4047"/>
      <c r="M4047" s="10">
        <v>2.0707261256779796E-2</v>
      </c>
    </row>
    <row r="4048" spans="9:13" x14ac:dyDescent="0.35">
      <c r="I4048">
        <v>4044</v>
      </c>
      <c r="L4048"/>
      <c r="M4048" s="10">
        <v>2.303603701347412E-2</v>
      </c>
    </row>
    <row r="4049" spans="9:13" x14ac:dyDescent="0.35">
      <c r="I4049">
        <v>4045</v>
      </c>
      <c r="L4049"/>
      <c r="M4049" s="10">
        <v>2.179156438239227E-2</v>
      </c>
    </row>
    <row r="4050" spans="9:13" x14ac:dyDescent="0.35">
      <c r="I4050">
        <v>4046</v>
      </c>
      <c r="L4050"/>
      <c r="M4050" s="10">
        <v>2.580519658739211E-2</v>
      </c>
    </row>
    <row r="4051" spans="9:13" x14ac:dyDescent="0.35">
      <c r="I4051">
        <v>4047</v>
      </c>
      <c r="L4051"/>
      <c r="M4051" s="10">
        <v>2.354194560721834E-2</v>
      </c>
    </row>
    <row r="4052" spans="9:13" x14ac:dyDescent="0.35">
      <c r="I4052">
        <v>4048</v>
      </c>
      <c r="L4052"/>
      <c r="M4052" s="10">
        <v>2.5859140357436639E-2</v>
      </c>
    </row>
    <row r="4053" spans="9:13" x14ac:dyDescent="0.35">
      <c r="I4053">
        <v>4049</v>
      </c>
      <c r="L4053"/>
      <c r="M4053" s="10">
        <v>2.5993450731216838E-2</v>
      </c>
    </row>
    <row r="4054" spans="9:13" x14ac:dyDescent="0.35">
      <c r="I4054">
        <v>4050</v>
      </c>
      <c r="L4054"/>
      <c r="M4054" s="10">
        <v>2.0497227844270216E-2</v>
      </c>
    </row>
    <row r="4055" spans="9:13" x14ac:dyDescent="0.35">
      <c r="I4055">
        <v>4051</v>
      </c>
      <c r="L4055"/>
      <c r="M4055" s="10">
        <v>2.6296567529753956E-2</v>
      </c>
    </row>
    <row r="4056" spans="9:13" x14ac:dyDescent="0.35">
      <c r="I4056">
        <v>4052</v>
      </c>
      <c r="L4056"/>
      <c r="M4056" s="10">
        <v>2.5275052993469327E-2</v>
      </c>
    </row>
    <row r="4057" spans="9:13" x14ac:dyDescent="0.35">
      <c r="I4057">
        <v>4053</v>
      </c>
      <c r="L4057"/>
      <c r="M4057" s="10">
        <v>2.6495202720347555E-2</v>
      </c>
    </row>
    <row r="4058" spans="9:13" x14ac:dyDescent="0.35">
      <c r="I4058">
        <v>4054</v>
      </c>
      <c r="L4058"/>
      <c r="M4058" s="10">
        <v>2.4827115011298528E-2</v>
      </c>
    </row>
    <row r="4059" spans="9:13" x14ac:dyDescent="0.35">
      <c r="I4059">
        <v>4055</v>
      </c>
      <c r="L4059"/>
      <c r="M4059" s="10">
        <v>2.0858651522159155E-2</v>
      </c>
    </row>
    <row r="4060" spans="9:13" x14ac:dyDescent="0.35">
      <c r="I4060">
        <v>4056</v>
      </c>
      <c r="L4060"/>
      <c r="M4060" s="10">
        <v>2.4900450688331466E-2</v>
      </c>
    </row>
    <row r="4061" spans="9:13" x14ac:dyDescent="0.35">
      <c r="I4061">
        <v>4057</v>
      </c>
      <c r="L4061"/>
      <c r="M4061" s="10">
        <v>2.3884190859322585E-2</v>
      </c>
    </row>
    <row r="4062" spans="9:13" x14ac:dyDescent="0.35">
      <c r="I4062">
        <v>4058</v>
      </c>
      <c r="L4062"/>
      <c r="M4062" s="10">
        <v>2.2091015722614626E-2</v>
      </c>
    </row>
    <row r="4063" spans="9:13" x14ac:dyDescent="0.35">
      <c r="I4063">
        <v>4059</v>
      </c>
      <c r="L4063"/>
      <c r="M4063" s="10">
        <v>2.3753949186130829E-2</v>
      </c>
    </row>
    <row r="4064" spans="9:13" x14ac:dyDescent="0.35">
      <c r="I4064">
        <v>4060</v>
      </c>
      <c r="L4064"/>
      <c r="M4064" s="10">
        <v>1.9398423345126981E-2</v>
      </c>
    </row>
    <row r="4065" spans="9:13" x14ac:dyDescent="0.35">
      <c r="I4065">
        <v>4061</v>
      </c>
      <c r="L4065"/>
      <c r="M4065" s="10">
        <v>2.5804193365264849E-2</v>
      </c>
    </row>
    <row r="4066" spans="9:13" x14ac:dyDescent="0.35">
      <c r="I4066">
        <v>4062</v>
      </c>
      <c r="L4066"/>
      <c r="M4066" s="10">
        <v>2.8391314865701567E-2</v>
      </c>
    </row>
    <row r="4067" spans="9:13" x14ac:dyDescent="0.35">
      <c r="I4067">
        <v>4063</v>
      </c>
      <c r="L4067"/>
      <c r="M4067" s="10">
        <v>2.4357487059769922E-2</v>
      </c>
    </row>
    <row r="4068" spans="9:13" x14ac:dyDescent="0.35">
      <c r="I4068">
        <v>4064</v>
      </c>
      <c r="L4068"/>
      <c r="M4068" s="10">
        <v>2.1545215445117449E-2</v>
      </c>
    </row>
    <row r="4069" spans="9:13" x14ac:dyDescent="0.35">
      <c r="I4069">
        <v>4065</v>
      </c>
      <c r="L4069"/>
      <c r="M4069" s="10">
        <v>2.1252743405424379E-2</v>
      </c>
    </row>
    <row r="4070" spans="9:13" x14ac:dyDescent="0.35">
      <c r="I4070">
        <v>4066</v>
      </c>
      <c r="L4070"/>
      <c r="M4070" s="10">
        <v>2.5638714735742307E-2</v>
      </c>
    </row>
    <row r="4071" spans="9:13" x14ac:dyDescent="0.35">
      <c r="I4071">
        <v>4067</v>
      </c>
      <c r="L4071"/>
      <c r="M4071" s="10">
        <v>3.1472390012474483E-2</v>
      </c>
    </row>
    <row r="4072" spans="9:13" x14ac:dyDescent="0.35">
      <c r="I4072">
        <v>4068</v>
      </c>
      <c r="L4072"/>
      <c r="M4072" s="10">
        <v>2.1536811541261414E-2</v>
      </c>
    </row>
    <row r="4073" spans="9:13" x14ac:dyDescent="0.35">
      <c r="I4073">
        <v>4069</v>
      </c>
      <c r="L4073"/>
      <c r="M4073" s="10">
        <v>2.2850661377644577E-2</v>
      </c>
    </row>
    <row r="4074" spans="9:13" x14ac:dyDescent="0.35">
      <c r="I4074">
        <v>4070</v>
      </c>
      <c r="L4074"/>
      <c r="M4074" s="10">
        <v>2.1404094602348156E-2</v>
      </c>
    </row>
    <row r="4075" spans="9:13" x14ac:dyDescent="0.35">
      <c r="I4075">
        <v>4071</v>
      </c>
      <c r="L4075"/>
      <c r="M4075" s="10">
        <v>2.3245436958882482E-2</v>
      </c>
    </row>
    <row r="4076" spans="9:13" x14ac:dyDescent="0.35">
      <c r="I4076">
        <v>4072</v>
      </c>
      <c r="L4076"/>
      <c r="M4076" s="10">
        <v>2.2145078093327886E-2</v>
      </c>
    </row>
    <row r="4077" spans="9:13" x14ac:dyDescent="0.35">
      <c r="I4077">
        <v>4073</v>
      </c>
      <c r="L4077"/>
      <c r="M4077" s="10">
        <v>2.094550628012537E-2</v>
      </c>
    </row>
    <row r="4078" spans="9:13" x14ac:dyDescent="0.35">
      <c r="I4078">
        <v>4074</v>
      </c>
      <c r="L4078"/>
      <c r="M4078" s="10">
        <v>2.3449336623865724E-2</v>
      </c>
    </row>
    <row r="4079" spans="9:13" x14ac:dyDescent="0.35">
      <c r="I4079">
        <v>4075</v>
      </c>
      <c r="L4079"/>
      <c r="M4079" s="10">
        <v>3.0155144011059676E-2</v>
      </c>
    </row>
    <row r="4080" spans="9:13" x14ac:dyDescent="0.35">
      <c r="I4080">
        <v>4076</v>
      </c>
      <c r="L4080"/>
      <c r="M4080" s="10">
        <v>2.4334440856882633E-2</v>
      </c>
    </row>
    <row r="4081" spans="9:13" x14ac:dyDescent="0.35">
      <c r="I4081">
        <v>4077</v>
      </c>
      <c r="L4081"/>
      <c r="M4081" s="10">
        <v>2.4587584914824712E-2</v>
      </c>
    </row>
    <row r="4082" spans="9:13" x14ac:dyDescent="0.35">
      <c r="I4082">
        <v>4078</v>
      </c>
      <c r="L4082"/>
      <c r="M4082" s="10">
        <v>1.9500121325610298E-2</v>
      </c>
    </row>
    <row r="4083" spans="9:13" x14ac:dyDescent="0.35">
      <c r="I4083">
        <v>4079</v>
      </c>
      <c r="L4083"/>
      <c r="M4083" s="10">
        <v>2.2709049388576541E-2</v>
      </c>
    </row>
    <row r="4084" spans="9:13" x14ac:dyDescent="0.35">
      <c r="I4084">
        <v>4080</v>
      </c>
      <c r="L4084"/>
      <c r="M4084" s="10">
        <v>2.5409947998781268E-2</v>
      </c>
    </row>
    <row r="4085" spans="9:13" x14ac:dyDescent="0.35">
      <c r="I4085">
        <v>4081</v>
      </c>
      <c r="L4085"/>
      <c r="M4085" s="10">
        <v>2.7018351665419216E-2</v>
      </c>
    </row>
    <row r="4086" spans="9:13" x14ac:dyDescent="0.35">
      <c r="I4086">
        <v>4082</v>
      </c>
      <c r="L4086"/>
      <c r="M4086" s="10">
        <v>2.0231407467793838E-2</v>
      </c>
    </row>
    <row r="4087" spans="9:13" x14ac:dyDescent="0.35">
      <c r="I4087">
        <v>4083</v>
      </c>
      <c r="L4087"/>
      <c r="M4087" s="10">
        <v>2.3291721916330999E-2</v>
      </c>
    </row>
    <row r="4088" spans="9:13" x14ac:dyDescent="0.35">
      <c r="I4088">
        <v>4084</v>
      </c>
      <c r="L4088"/>
      <c r="M4088" s="10">
        <v>2.4711138905602059E-2</v>
      </c>
    </row>
    <row r="4089" spans="9:13" x14ac:dyDescent="0.35">
      <c r="I4089">
        <v>4085</v>
      </c>
      <c r="L4089"/>
      <c r="M4089" s="10">
        <v>2.3364001349761243E-2</v>
      </c>
    </row>
    <row r="4090" spans="9:13" x14ac:dyDescent="0.35">
      <c r="I4090">
        <v>4086</v>
      </c>
      <c r="L4090"/>
      <c r="M4090" s="10">
        <v>2.4003563130050698E-2</v>
      </c>
    </row>
    <row r="4091" spans="9:13" x14ac:dyDescent="0.35">
      <c r="I4091">
        <v>4087</v>
      </c>
      <c r="L4091"/>
      <c r="M4091" s="10">
        <v>3.4137120999924386E-2</v>
      </c>
    </row>
    <row r="4092" spans="9:13" x14ac:dyDescent="0.35">
      <c r="I4092">
        <v>4088</v>
      </c>
      <c r="L4092"/>
      <c r="M4092" s="10">
        <v>2.5931417000262913E-2</v>
      </c>
    </row>
    <row r="4093" spans="9:13" x14ac:dyDescent="0.35">
      <c r="I4093">
        <v>4089</v>
      </c>
      <c r="L4093"/>
      <c r="M4093" s="10">
        <v>2.409046114237845E-2</v>
      </c>
    </row>
    <row r="4094" spans="9:13" x14ac:dyDescent="0.35">
      <c r="I4094">
        <v>4090</v>
      </c>
      <c r="L4094"/>
      <c r="M4094" s="10">
        <v>3.0296636004156996E-2</v>
      </c>
    </row>
    <row r="4095" spans="9:13" x14ac:dyDescent="0.35">
      <c r="I4095">
        <v>4091</v>
      </c>
      <c r="L4095"/>
      <c r="M4095" s="10">
        <v>2.3520573766713126E-2</v>
      </c>
    </row>
    <row r="4096" spans="9:13" x14ac:dyDescent="0.35">
      <c r="I4096">
        <v>4092</v>
      </c>
      <c r="L4096"/>
      <c r="M4096" s="10">
        <v>2.6066166894168408E-2</v>
      </c>
    </row>
    <row r="4097" spans="9:13" x14ac:dyDescent="0.35">
      <c r="I4097">
        <v>4093</v>
      </c>
      <c r="L4097"/>
      <c r="M4097" s="10">
        <v>2.2110667155772257E-2</v>
      </c>
    </row>
    <row r="4098" spans="9:13" x14ac:dyDescent="0.35">
      <c r="I4098">
        <v>4094</v>
      </c>
      <c r="L4098"/>
      <c r="M4098" s="10">
        <v>2.3342743924018805E-2</v>
      </c>
    </row>
    <row r="4099" spans="9:13" x14ac:dyDescent="0.35">
      <c r="I4099">
        <v>4095</v>
      </c>
      <c r="L4099"/>
      <c r="M4099" s="10">
        <v>3.6717366452178712E-2</v>
      </c>
    </row>
    <row r="4100" spans="9:13" x14ac:dyDescent="0.35">
      <c r="I4100">
        <v>4096</v>
      </c>
      <c r="L4100"/>
      <c r="M4100" s="10">
        <v>2.5121127464383108E-2</v>
      </c>
    </row>
    <row r="4101" spans="9:13" x14ac:dyDescent="0.35">
      <c r="I4101">
        <v>4097</v>
      </c>
      <c r="L4101"/>
      <c r="M4101" s="10">
        <v>3.0046324409244596E-2</v>
      </c>
    </row>
    <row r="4102" spans="9:13" x14ac:dyDescent="0.35">
      <c r="I4102">
        <v>4098</v>
      </c>
      <c r="L4102"/>
      <c r="M4102" s="10">
        <v>2.2630597139164377E-2</v>
      </c>
    </row>
    <row r="4103" spans="9:13" x14ac:dyDescent="0.35">
      <c r="I4103">
        <v>4099</v>
      </c>
      <c r="L4103"/>
      <c r="M4103" s="10">
        <v>2.3983285206301774E-2</v>
      </c>
    </row>
    <row r="4104" spans="9:13" x14ac:dyDescent="0.35">
      <c r="I4104">
        <v>4100</v>
      </c>
      <c r="L4104"/>
      <c r="M4104" s="10">
        <v>2.1010654325109956E-2</v>
      </c>
    </row>
    <row r="4105" spans="9:13" x14ac:dyDescent="0.35">
      <c r="I4105">
        <v>4101</v>
      </c>
      <c r="L4105"/>
      <c r="M4105" s="10">
        <v>2.418891923165245E-2</v>
      </c>
    </row>
    <row r="4106" spans="9:13" x14ac:dyDescent="0.35">
      <c r="I4106">
        <v>4102</v>
      </c>
      <c r="L4106"/>
      <c r="M4106" s="10">
        <v>2.243785989006164E-2</v>
      </c>
    </row>
    <row r="4107" spans="9:13" x14ac:dyDescent="0.35">
      <c r="I4107">
        <v>4103</v>
      </c>
      <c r="L4107"/>
      <c r="M4107" s="10">
        <v>2.3805046540125829E-2</v>
      </c>
    </row>
    <row r="4108" spans="9:13" x14ac:dyDescent="0.35">
      <c r="I4108">
        <v>4104</v>
      </c>
      <c r="L4108"/>
      <c r="M4108" s="10">
        <v>2.7326964558475497E-2</v>
      </c>
    </row>
    <row r="4109" spans="9:13" x14ac:dyDescent="0.35">
      <c r="I4109">
        <v>4105</v>
      </c>
      <c r="L4109"/>
      <c r="M4109" s="10">
        <v>3.0005665309399854E-2</v>
      </c>
    </row>
    <row r="4110" spans="9:13" x14ac:dyDescent="0.35">
      <c r="I4110">
        <v>4106</v>
      </c>
      <c r="L4110"/>
      <c r="M4110" s="10">
        <v>2.8965785808387823E-2</v>
      </c>
    </row>
    <row r="4111" spans="9:13" x14ac:dyDescent="0.35">
      <c r="I4111">
        <v>4107</v>
      </c>
      <c r="L4111"/>
      <c r="M4111" s="10">
        <v>2.3384570891625045E-2</v>
      </c>
    </row>
    <row r="4112" spans="9:13" x14ac:dyDescent="0.35">
      <c r="I4112">
        <v>4108</v>
      </c>
      <c r="L4112"/>
      <c r="M4112" s="10">
        <v>2.7222355978051338E-2</v>
      </c>
    </row>
    <row r="4113" spans="9:13" x14ac:dyDescent="0.35">
      <c r="I4113">
        <v>4109</v>
      </c>
      <c r="L4113"/>
      <c r="M4113" s="10">
        <v>2.7204613318009274E-2</v>
      </c>
    </row>
    <row r="4114" spans="9:13" x14ac:dyDescent="0.35">
      <c r="I4114">
        <v>4110</v>
      </c>
      <c r="L4114"/>
      <c r="M4114" s="10">
        <v>2.4943017165989789E-2</v>
      </c>
    </row>
    <row r="4115" spans="9:13" x14ac:dyDescent="0.35">
      <c r="I4115">
        <v>4111</v>
      </c>
      <c r="L4115"/>
      <c r="M4115" s="10">
        <v>2.1514969483987234E-2</v>
      </c>
    </row>
    <row r="4116" spans="9:13" x14ac:dyDescent="0.35">
      <c r="I4116">
        <v>4112</v>
      </c>
      <c r="L4116"/>
      <c r="M4116" s="10">
        <v>2.5475107206181735E-2</v>
      </c>
    </row>
    <row r="4117" spans="9:13" x14ac:dyDescent="0.35">
      <c r="I4117">
        <v>4113</v>
      </c>
      <c r="L4117"/>
      <c r="M4117" s="10">
        <v>2.5334279376829305E-2</v>
      </c>
    </row>
    <row r="4118" spans="9:13" x14ac:dyDescent="0.35">
      <c r="I4118">
        <v>4114</v>
      </c>
      <c r="L4118"/>
      <c r="M4118" s="10">
        <v>2.3133032826267774E-2</v>
      </c>
    </row>
    <row r="4119" spans="9:13" x14ac:dyDescent="0.35">
      <c r="I4119">
        <v>4115</v>
      </c>
      <c r="L4119"/>
      <c r="M4119" s="10">
        <v>2.6570105321509718E-2</v>
      </c>
    </row>
    <row r="4120" spans="9:13" x14ac:dyDescent="0.35">
      <c r="I4120">
        <v>4116</v>
      </c>
      <c r="L4120"/>
      <c r="M4120" s="10">
        <v>2.3545742223919697E-2</v>
      </c>
    </row>
    <row r="4121" spans="9:13" x14ac:dyDescent="0.35">
      <c r="I4121">
        <v>4117</v>
      </c>
      <c r="L4121"/>
      <c r="M4121" s="10">
        <v>2.8197261846826915E-2</v>
      </c>
    </row>
    <row r="4122" spans="9:13" x14ac:dyDescent="0.35">
      <c r="I4122">
        <v>4118</v>
      </c>
      <c r="L4122"/>
      <c r="M4122" s="10">
        <v>2.3750366050633187E-2</v>
      </c>
    </row>
    <row r="4123" spans="9:13" x14ac:dyDescent="0.35">
      <c r="I4123">
        <v>4119</v>
      </c>
      <c r="L4123"/>
      <c r="M4123" s="10">
        <v>2.6599699676612909E-2</v>
      </c>
    </row>
    <row r="4124" spans="9:13" x14ac:dyDescent="0.35">
      <c r="I4124">
        <v>4120</v>
      </c>
      <c r="L4124"/>
      <c r="M4124" s="10">
        <v>3.2541294585379799E-2</v>
      </c>
    </row>
    <row r="4125" spans="9:13" x14ac:dyDescent="0.35">
      <c r="I4125">
        <v>4121</v>
      </c>
      <c r="L4125"/>
      <c r="M4125" s="10">
        <v>2.4324909549022666E-2</v>
      </c>
    </row>
    <row r="4126" spans="9:13" x14ac:dyDescent="0.35">
      <c r="I4126">
        <v>4122</v>
      </c>
      <c r="L4126"/>
      <c r="M4126" s="10">
        <v>2.4231337807300357E-2</v>
      </c>
    </row>
    <row r="4127" spans="9:13" x14ac:dyDescent="0.35">
      <c r="I4127">
        <v>4123</v>
      </c>
      <c r="L4127"/>
      <c r="M4127" s="10">
        <v>3.3405131625540374E-2</v>
      </c>
    </row>
    <row r="4128" spans="9:13" x14ac:dyDescent="0.35">
      <c r="I4128">
        <v>4124</v>
      </c>
      <c r="L4128"/>
      <c r="M4128" s="10">
        <v>2.6751173660111371E-2</v>
      </c>
    </row>
    <row r="4129" spans="9:13" x14ac:dyDescent="0.35">
      <c r="I4129">
        <v>4125</v>
      </c>
      <c r="L4129"/>
      <c r="M4129" s="10">
        <v>2.2372937883998634E-2</v>
      </c>
    </row>
    <row r="4130" spans="9:13" x14ac:dyDescent="0.35">
      <c r="I4130">
        <v>4126</v>
      </c>
      <c r="L4130"/>
      <c r="M4130" s="10">
        <v>3.1213946597593134E-2</v>
      </c>
    </row>
    <row r="4131" spans="9:13" x14ac:dyDescent="0.35">
      <c r="I4131">
        <v>4127</v>
      </c>
      <c r="L4131"/>
      <c r="M4131" s="10">
        <v>2.0102393660348938E-2</v>
      </c>
    </row>
    <row r="4132" spans="9:13" x14ac:dyDescent="0.35">
      <c r="I4132">
        <v>4128</v>
      </c>
      <c r="L4132"/>
      <c r="M4132" s="10">
        <v>2.9006366771321401E-2</v>
      </c>
    </row>
    <row r="4133" spans="9:13" x14ac:dyDescent="0.35">
      <c r="I4133">
        <v>4129</v>
      </c>
      <c r="L4133"/>
      <c r="M4133" s="10">
        <v>2.4504734673555628E-2</v>
      </c>
    </row>
    <row r="4134" spans="9:13" x14ac:dyDescent="0.35">
      <c r="I4134">
        <v>4130</v>
      </c>
      <c r="L4134"/>
      <c r="M4134" s="10">
        <v>2.8493350509265269E-2</v>
      </c>
    </row>
    <row r="4135" spans="9:13" x14ac:dyDescent="0.35">
      <c r="I4135">
        <v>4131</v>
      </c>
      <c r="L4135"/>
      <c r="M4135" s="10">
        <v>2.2702028228987703E-2</v>
      </c>
    </row>
    <row r="4136" spans="9:13" x14ac:dyDescent="0.35">
      <c r="I4136">
        <v>4132</v>
      </c>
      <c r="L4136"/>
      <c r="M4136" s="10">
        <v>2.5128486287052332E-2</v>
      </c>
    </row>
    <row r="4137" spans="9:13" x14ac:dyDescent="0.35">
      <c r="I4137">
        <v>4133</v>
      </c>
      <c r="L4137"/>
      <c r="M4137" s="10">
        <v>2.5974365790665144E-2</v>
      </c>
    </row>
    <row r="4138" spans="9:13" x14ac:dyDescent="0.35">
      <c r="I4138">
        <v>4134</v>
      </c>
      <c r="L4138"/>
      <c r="M4138" s="10">
        <v>2.3744331369547789E-2</v>
      </c>
    </row>
    <row r="4139" spans="9:13" x14ac:dyDescent="0.35">
      <c r="I4139">
        <v>4135</v>
      </c>
      <c r="L4139"/>
      <c r="M4139" s="10">
        <v>2.1690190111969487E-2</v>
      </c>
    </row>
    <row r="4140" spans="9:13" x14ac:dyDescent="0.35">
      <c r="I4140">
        <v>4136</v>
      </c>
      <c r="L4140"/>
      <c r="M4140" s="10">
        <v>2.3762265185961806E-2</v>
      </c>
    </row>
    <row r="4141" spans="9:13" x14ac:dyDescent="0.35">
      <c r="I4141">
        <v>4137</v>
      </c>
      <c r="L4141"/>
      <c r="M4141" s="10">
        <v>2.0423311721611492E-2</v>
      </c>
    </row>
    <row r="4142" spans="9:13" x14ac:dyDescent="0.35">
      <c r="I4142">
        <v>4138</v>
      </c>
      <c r="L4142"/>
      <c r="M4142" s="10">
        <v>2.4374537650027395E-2</v>
      </c>
    </row>
    <row r="4143" spans="9:13" x14ac:dyDescent="0.35">
      <c r="I4143">
        <v>4139</v>
      </c>
      <c r="L4143"/>
      <c r="M4143" s="10">
        <v>2.6828194329686861E-2</v>
      </c>
    </row>
    <row r="4144" spans="9:13" x14ac:dyDescent="0.35">
      <c r="I4144">
        <v>4140</v>
      </c>
      <c r="L4144"/>
      <c r="M4144" s="10">
        <v>2.7515341488874911E-2</v>
      </c>
    </row>
    <row r="4145" spans="9:13" x14ac:dyDescent="0.35">
      <c r="I4145">
        <v>4141</v>
      </c>
      <c r="L4145"/>
      <c r="M4145" s="10">
        <v>1.9928905997432134E-2</v>
      </c>
    </row>
    <row r="4146" spans="9:13" x14ac:dyDescent="0.35">
      <c r="I4146">
        <v>4142</v>
      </c>
      <c r="L4146"/>
      <c r="M4146" s="10">
        <v>2.1031564320658114E-2</v>
      </c>
    </row>
    <row r="4147" spans="9:13" x14ac:dyDescent="0.35">
      <c r="I4147">
        <v>4143</v>
      </c>
      <c r="L4147"/>
      <c r="M4147" s="10">
        <v>2.1728689284341351E-2</v>
      </c>
    </row>
    <row r="4148" spans="9:13" x14ac:dyDescent="0.35">
      <c r="I4148">
        <v>4144</v>
      </c>
      <c r="L4148"/>
      <c r="M4148" s="10">
        <v>2.4748195335721368E-2</v>
      </c>
    </row>
    <row r="4149" spans="9:13" x14ac:dyDescent="0.35">
      <c r="I4149">
        <v>4145</v>
      </c>
      <c r="L4149"/>
      <c r="M4149" s="10">
        <v>1.9941589292476358E-2</v>
      </c>
    </row>
    <row r="4150" spans="9:13" x14ac:dyDescent="0.35">
      <c r="I4150">
        <v>4146</v>
      </c>
      <c r="L4150"/>
      <c r="M4150" s="10">
        <v>2.372935140743615E-2</v>
      </c>
    </row>
    <row r="4151" spans="9:13" x14ac:dyDescent="0.35">
      <c r="I4151">
        <v>4147</v>
      </c>
      <c r="L4151"/>
      <c r="M4151" s="10">
        <v>2.4516751014250993E-2</v>
      </c>
    </row>
    <row r="4152" spans="9:13" x14ac:dyDescent="0.35">
      <c r="I4152">
        <v>4148</v>
      </c>
      <c r="L4152"/>
      <c r="M4152" s="10">
        <v>2.2828709091513577E-2</v>
      </c>
    </row>
    <row r="4153" spans="9:13" x14ac:dyDescent="0.35">
      <c r="I4153">
        <v>4149</v>
      </c>
      <c r="L4153"/>
      <c r="M4153" s="10">
        <v>2.101260077137912E-2</v>
      </c>
    </row>
    <row r="4154" spans="9:13" x14ac:dyDescent="0.35">
      <c r="I4154">
        <v>4150</v>
      </c>
      <c r="L4154"/>
      <c r="M4154" s="10">
        <v>2.8310725013648286E-2</v>
      </c>
    </row>
    <row r="4155" spans="9:13" x14ac:dyDescent="0.35">
      <c r="I4155">
        <v>4151</v>
      </c>
      <c r="L4155"/>
      <c r="M4155" s="10">
        <v>2.2853417099065076E-2</v>
      </c>
    </row>
    <row r="4156" spans="9:13" x14ac:dyDescent="0.35">
      <c r="I4156">
        <v>4152</v>
      </c>
      <c r="L4156"/>
      <c r="M4156" s="10">
        <v>2.1238666203697076E-2</v>
      </c>
    </row>
    <row r="4157" spans="9:13" x14ac:dyDescent="0.35">
      <c r="I4157">
        <v>4153</v>
      </c>
      <c r="L4157"/>
      <c r="M4157" s="10">
        <v>2.4273531739328669E-2</v>
      </c>
    </row>
    <row r="4158" spans="9:13" x14ac:dyDescent="0.35">
      <c r="I4158">
        <v>4154</v>
      </c>
      <c r="L4158"/>
      <c r="M4158" s="10">
        <v>2.5935009902874451E-2</v>
      </c>
    </row>
    <row r="4159" spans="9:13" x14ac:dyDescent="0.35">
      <c r="I4159">
        <v>4155</v>
      </c>
      <c r="L4159"/>
      <c r="M4159" s="10">
        <v>2.0854334457817369E-2</v>
      </c>
    </row>
    <row r="4160" spans="9:13" x14ac:dyDescent="0.35">
      <c r="I4160">
        <v>4156</v>
      </c>
      <c r="L4160"/>
      <c r="M4160" s="10">
        <v>2.7454244005552964E-2</v>
      </c>
    </row>
    <row r="4161" spans="9:13" x14ac:dyDescent="0.35">
      <c r="I4161">
        <v>4157</v>
      </c>
      <c r="L4161"/>
      <c r="M4161" s="10">
        <v>2.8757718376375196E-2</v>
      </c>
    </row>
    <row r="4162" spans="9:13" x14ac:dyDescent="0.35">
      <c r="I4162">
        <v>4158</v>
      </c>
      <c r="L4162"/>
      <c r="M4162" s="10">
        <v>2.430855242385177E-2</v>
      </c>
    </row>
    <row r="4163" spans="9:13" x14ac:dyDescent="0.35">
      <c r="I4163">
        <v>4159</v>
      </c>
      <c r="L4163"/>
      <c r="M4163" s="10">
        <v>2.8229697036771695E-2</v>
      </c>
    </row>
    <row r="4164" spans="9:13" x14ac:dyDescent="0.35">
      <c r="I4164">
        <v>4160</v>
      </c>
      <c r="L4164"/>
      <c r="M4164" s="10">
        <v>2.7814469119036733E-2</v>
      </c>
    </row>
    <row r="4165" spans="9:13" x14ac:dyDescent="0.35">
      <c r="I4165">
        <v>4161</v>
      </c>
      <c r="L4165"/>
      <c r="M4165" s="10">
        <v>2.8293548846212158E-2</v>
      </c>
    </row>
    <row r="4166" spans="9:13" x14ac:dyDescent="0.35">
      <c r="I4166">
        <v>4162</v>
      </c>
      <c r="L4166"/>
      <c r="M4166" s="10">
        <v>2.9929839018323579E-2</v>
      </c>
    </row>
    <row r="4167" spans="9:13" x14ac:dyDescent="0.35">
      <c r="I4167">
        <v>4163</v>
      </c>
      <c r="L4167"/>
      <c r="M4167" s="10">
        <v>2.3955407072640211E-2</v>
      </c>
    </row>
    <row r="4168" spans="9:13" x14ac:dyDescent="0.35">
      <c r="I4168">
        <v>4164</v>
      </c>
      <c r="L4168"/>
      <c r="M4168" s="10">
        <v>2.358873566398545E-2</v>
      </c>
    </row>
    <row r="4169" spans="9:13" x14ac:dyDescent="0.35">
      <c r="I4169">
        <v>4165</v>
      </c>
      <c r="L4169"/>
      <c r="M4169" s="10">
        <v>2.3306789782467696E-2</v>
      </c>
    </row>
    <row r="4170" spans="9:13" x14ac:dyDescent="0.35">
      <c r="I4170">
        <v>4166</v>
      </c>
      <c r="L4170"/>
      <c r="M4170" s="10">
        <v>3.0289815768054007E-2</v>
      </c>
    </row>
    <row r="4171" spans="9:13" x14ac:dyDescent="0.35">
      <c r="I4171">
        <v>4167</v>
      </c>
      <c r="L4171"/>
      <c r="M4171" s="10">
        <v>2.1634915223831208E-2</v>
      </c>
    </row>
    <row r="4172" spans="9:13" x14ac:dyDescent="0.35">
      <c r="I4172">
        <v>4168</v>
      </c>
      <c r="L4172"/>
      <c r="M4172" s="10">
        <v>2.8034304527991383E-2</v>
      </c>
    </row>
    <row r="4173" spans="9:13" x14ac:dyDescent="0.35">
      <c r="I4173">
        <v>4169</v>
      </c>
      <c r="L4173"/>
      <c r="M4173" s="10">
        <v>2.7806719611811692E-2</v>
      </c>
    </row>
    <row r="4174" spans="9:13" x14ac:dyDescent="0.35">
      <c r="I4174">
        <v>4170</v>
      </c>
      <c r="L4174"/>
      <c r="M4174" s="10">
        <v>3.3283614775661219E-2</v>
      </c>
    </row>
    <row r="4175" spans="9:13" x14ac:dyDescent="0.35">
      <c r="I4175">
        <v>4171</v>
      </c>
      <c r="L4175"/>
      <c r="M4175" s="10">
        <v>2.8665022884299507E-2</v>
      </c>
    </row>
    <row r="4176" spans="9:13" x14ac:dyDescent="0.35">
      <c r="I4176">
        <v>4172</v>
      </c>
      <c r="L4176"/>
      <c r="M4176" s="10">
        <v>2.3640388348170505E-2</v>
      </c>
    </row>
    <row r="4177" spans="9:13" x14ac:dyDescent="0.35">
      <c r="I4177">
        <v>4173</v>
      </c>
      <c r="L4177"/>
      <c r="M4177" s="10">
        <v>2.3736732554937134E-2</v>
      </c>
    </row>
    <row r="4178" spans="9:13" x14ac:dyDescent="0.35">
      <c r="I4178">
        <v>4174</v>
      </c>
      <c r="L4178"/>
      <c r="M4178" s="10">
        <v>2.9332501866706107E-2</v>
      </c>
    </row>
    <row r="4179" spans="9:13" x14ac:dyDescent="0.35">
      <c r="I4179">
        <v>4175</v>
      </c>
      <c r="L4179"/>
      <c r="M4179" s="10">
        <v>2.1603799989564298E-2</v>
      </c>
    </row>
    <row r="4180" spans="9:13" x14ac:dyDescent="0.35">
      <c r="I4180">
        <v>4176</v>
      </c>
      <c r="L4180"/>
      <c r="M4180" s="10">
        <v>2.2764558687448311E-2</v>
      </c>
    </row>
    <row r="4181" spans="9:13" x14ac:dyDescent="0.35">
      <c r="I4181">
        <v>4177</v>
      </c>
      <c r="L4181"/>
      <c r="M4181" s="10">
        <v>2.4655661698675946E-2</v>
      </c>
    </row>
    <row r="4182" spans="9:13" x14ac:dyDescent="0.35">
      <c r="I4182">
        <v>4178</v>
      </c>
      <c r="L4182"/>
      <c r="M4182" s="10">
        <v>2.9459334817148353E-2</v>
      </c>
    </row>
    <row r="4183" spans="9:13" x14ac:dyDescent="0.35">
      <c r="I4183">
        <v>4179</v>
      </c>
      <c r="L4183"/>
      <c r="M4183" s="10">
        <v>2.4956776238864498E-2</v>
      </c>
    </row>
    <row r="4184" spans="9:13" x14ac:dyDescent="0.35">
      <c r="I4184">
        <v>4180</v>
      </c>
      <c r="L4184"/>
      <c r="M4184" s="10">
        <v>2.4796411391117212E-2</v>
      </c>
    </row>
    <row r="4185" spans="9:13" x14ac:dyDescent="0.35">
      <c r="I4185">
        <v>4181</v>
      </c>
      <c r="L4185"/>
      <c r="M4185" s="10">
        <v>2.1679866272582005E-2</v>
      </c>
    </row>
    <row r="4186" spans="9:13" x14ac:dyDescent="0.35">
      <c r="I4186">
        <v>4182</v>
      </c>
      <c r="L4186"/>
      <c r="M4186" s="10">
        <v>2.7056479687463053E-2</v>
      </c>
    </row>
    <row r="4187" spans="9:13" x14ac:dyDescent="0.35">
      <c r="I4187">
        <v>4183</v>
      </c>
      <c r="L4187"/>
      <c r="M4187" s="10">
        <v>2.3721980027049061E-2</v>
      </c>
    </row>
    <row r="4188" spans="9:13" x14ac:dyDescent="0.35">
      <c r="I4188">
        <v>4184</v>
      </c>
      <c r="L4188"/>
      <c r="M4188" s="10">
        <v>2.5638601716281517E-2</v>
      </c>
    </row>
    <row r="4189" spans="9:13" x14ac:dyDescent="0.35">
      <c r="I4189">
        <v>4185</v>
      </c>
      <c r="L4189"/>
      <c r="M4189" s="10">
        <v>2.5544716031612569E-2</v>
      </c>
    </row>
    <row r="4190" spans="9:13" x14ac:dyDescent="0.35">
      <c r="I4190">
        <v>4186</v>
      </c>
      <c r="L4190"/>
      <c r="M4190" s="10">
        <v>2.7371594687769729E-2</v>
      </c>
    </row>
    <row r="4191" spans="9:13" x14ac:dyDescent="0.35">
      <c r="I4191">
        <v>4187</v>
      </c>
      <c r="L4191"/>
      <c r="M4191" s="10">
        <v>3.0416849641982102E-2</v>
      </c>
    </row>
    <row r="4192" spans="9:13" x14ac:dyDescent="0.35">
      <c r="I4192">
        <v>4188</v>
      </c>
      <c r="L4192"/>
      <c r="M4192" s="10">
        <v>2.4721334377206916E-2</v>
      </c>
    </row>
    <row r="4193" spans="9:13" x14ac:dyDescent="0.35">
      <c r="I4193">
        <v>4189</v>
      </c>
      <c r="L4193"/>
      <c r="M4193" s="10">
        <v>2.4130764440217001E-2</v>
      </c>
    </row>
    <row r="4194" spans="9:13" x14ac:dyDescent="0.35">
      <c r="I4194">
        <v>4190</v>
      </c>
      <c r="L4194"/>
      <c r="M4194" s="10">
        <v>2.8268162721895917E-2</v>
      </c>
    </row>
    <row r="4195" spans="9:13" x14ac:dyDescent="0.35">
      <c r="I4195">
        <v>4191</v>
      </c>
      <c r="L4195"/>
      <c r="M4195" s="10">
        <v>2.409785763820127E-2</v>
      </c>
    </row>
    <row r="4196" spans="9:13" x14ac:dyDescent="0.35">
      <c r="I4196">
        <v>4192</v>
      </c>
      <c r="L4196"/>
      <c r="M4196" s="10">
        <v>2.8534369597022158E-2</v>
      </c>
    </row>
    <row r="4197" spans="9:13" x14ac:dyDescent="0.35">
      <c r="I4197">
        <v>4193</v>
      </c>
      <c r="L4197"/>
      <c r="M4197" s="10">
        <v>2.4122864240377573E-2</v>
      </c>
    </row>
    <row r="4198" spans="9:13" x14ac:dyDescent="0.35">
      <c r="I4198">
        <v>4194</v>
      </c>
      <c r="L4198"/>
      <c r="M4198" s="10">
        <v>2.7203106391865406E-2</v>
      </c>
    </row>
    <row r="4199" spans="9:13" x14ac:dyDescent="0.35">
      <c r="I4199">
        <v>4195</v>
      </c>
      <c r="L4199"/>
      <c r="M4199" s="10">
        <v>2.8348604671938782E-2</v>
      </c>
    </row>
    <row r="4200" spans="9:13" x14ac:dyDescent="0.35">
      <c r="I4200">
        <v>4196</v>
      </c>
      <c r="L4200"/>
      <c r="M4200" s="10">
        <v>2.2262100675513152E-2</v>
      </c>
    </row>
    <row r="4201" spans="9:13" x14ac:dyDescent="0.35">
      <c r="I4201">
        <v>4197</v>
      </c>
      <c r="L4201"/>
      <c r="M4201" s="10">
        <v>2.7395817130230427E-2</v>
      </c>
    </row>
    <row r="4202" spans="9:13" x14ac:dyDescent="0.35">
      <c r="I4202">
        <v>4198</v>
      </c>
      <c r="L4202"/>
      <c r="M4202" s="10">
        <v>2.2346005765082944E-2</v>
      </c>
    </row>
    <row r="4203" spans="9:13" x14ac:dyDescent="0.35">
      <c r="I4203">
        <v>4199</v>
      </c>
      <c r="L4203"/>
      <c r="M4203" s="10">
        <v>2.0301179543556924E-2</v>
      </c>
    </row>
    <row r="4204" spans="9:13" x14ac:dyDescent="0.35">
      <c r="I4204">
        <v>4200</v>
      </c>
      <c r="L4204"/>
      <c r="M4204" s="10">
        <v>2.9064126692295078E-2</v>
      </c>
    </row>
    <row r="4205" spans="9:13" x14ac:dyDescent="0.35">
      <c r="I4205">
        <v>4201</v>
      </c>
      <c r="L4205"/>
      <c r="M4205" s="10">
        <v>2.3952645770011771E-2</v>
      </c>
    </row>
    <row r="4206" spans="9:13" x14ac:dyDescent="0.35">
      <c r="I4206">
        <v>4202</v>
      </c>
      <c r="L4206"/>
      <c r="M4206" s="10">
        <v>2.6107446903396503E-2</v>
      </c>
    </row>
    <row r="4207" spans="9:13" x14ac:dyDescent="0.35">
      <c r="I4207">
        <v>4203</v>
      </c>
      <c r="L4207"/>
      <c r="M4207" s="10">
        <v>2.2847252654895067E-2</v>
      </c>
    </row>
    <row r="4208" spans="9:13" x14ac:dyDescent="0.35">
      <c r="I4208">
        <v>4204</v>
      </c>
      <c r="L4208"/>
      <c r="M4208" s="10">
        <v>1.9945769617223608E-2</v>
      </c>
    </row>
    <row r="4209" spans="9:13" x14ac:dyDescent="0.35">
      <c r="I4209">
        <v>4205</v>
      </c>
      <c r="L4209"/>
      <c r="M4209" s="10">
        <v>2.2455344419236467E-2</v>
      </c>
    </row>
    <row r="4210" spans="9:13" x14ac:dyDescent="0.35">
      <c r="I4210">
        <v>4206</v>
      </c>
      <c r="L4210"/>
      <c r="M4210" s="10">
        <v>2.110806872849913E-2</v>
      </c>
    </row>
    <row r="4211" spans="9:13" x14ac:dyDescent="0.35">
      <c r="I4211">
        <v>4207</v>
      </c>
      <c r="L4211"/>
      <c r="M4211" s="10">
        <v>2.935199981664538E-2</v>
      </c>
    </row>
    <row r="4212" spans="9:13" x14ac:dyDescent="0.35">
      <c r="I4212">
        <v>4208</v>
      </c>
      <c r="L4212"/>
      <c r="M4212" s="10">
        <v>2.2999474520257523E-2</v>
      </c>
    </row>
    <row r="4213" spans="9:13" x14ac:dyDescent="0.35">
      <c r="I4213">
        <v>4209</v>
      </c>
      <c r="L4213"/>
      <c r="M4213" s="10">
        <v>2.23376493014944E-2</v>
      </c>
    </row>
    <row r="4214" spans="9:13" x14ac:dyDescent="0.35">
      <c r="I4214">
        <v>4210</v>
      </c>
      <c r="L4214"/>
      <c r="M4214" s="10">
        <v>2.1107235733214047E-2</v>
      </c>
    </row>
    <row r="4215" spans="9:13" x14ac:dyDescent="0.35">
      <c r="I4215">
        <v>4211</v>
      </c>
      <c r="L4215"/>
      <c r="M4215" s="10">
        <v>2.6366315885383296E-2</v>
      </c>
    </row>
    <row r="4216" spans="9:13" x14ac:dyDescent="0.35">
      <c r="I4216">
        <v>4212</v>
      </c>
      <c r="L4216"/>
      <c r="M4216" s="10">
        <v>2.2208939669882244E-2</v>
      </c>
    </row>
    <row r="4217" spans="9:13" x14ac:dyDescent="0.35">
      <c r="I4217">
        <v>4213</v>
      </c>
      <c r="L4217"/>
      <c r="M4217" s="10">
        <v>2.3661571822907734E-2</v>
      </c>
    </row>
    <row r="4218" spans="9:13" x14ac:dyDescent="0.35">
      <c r="I4218">
        <v>4214</v>
      </c>
      <c r="L4218"/>
      <c r="M4218" s="10">
        <v>3.17780476559264E-2</v>
      </c>
    </row>
    <row r="4219" spans="9:13" x14ac:dyDescent="0.35">
      <c r="I4219">
        <v>4215</v>
      </c>
      <c r="L4219"/>
      <c r="M4219" s="10">
        <v>2.2502110755869831E-2</v>
      </c>
    </row>
    <row r="4220" spans="9:13" x14ac:dyDescent="0.35">
      <c r="I4220">
        <v>4216</v>
      </c>
      <c r="L4220"/>
      <c r="M4220" s="10">
        <v>2.3991612368548632E-2</v>
      </c>
    </row>
    <row r="4221" spans="9:13" x14ac:dyDescent="0.35">
      <c r="I4221">
        <v>4217</v>
      </c>
      <c r="L4221"/>
      <c r="M4221" s="10">
        <v>2.3812925810435481E-2</v>
      </c>
    </row>
    <row r="4222" spans="9:13" x14ac:dyDescent="0.35">
      <c r="I4222">
        <v>4218</v>
      </c>
      <c r="L4222"/>
      <c r="M4222" s="10">
        <v>1.9696691469266003E-2</v>
      </c>
    </row>
    <row r="4223" spans="9:13" x14ac:dyDescent="0.35">
      <c r="I4223">
        <v>4219</v>
      </c>
      <c r="L4223"/>
      <c r="M4223" s="10">
        <v>2.1697348011152862E-2</v>
      </c>
    </row>
    <row r="4224" spans="9:13" x14ac:dyDescent="0.35">
      <c r="I4224">
        <v>4220</v>
      </c>
      <c r="L4224"/>
      <c r="M4224" s="10">
        <v>2.1535629720480065E-2</v>
      </c>
    </row>
    <row r="4225" spans="9:13" x14ac:dyDescent="0.35">
      <c r="I4225">
        <v>4221</v>
      </c>
      <c r="L4225"/>
      <c r="M4225" s="10">
        <v>2.3816828470087703E-2</v>
      </c>
    </row>
    <row r="4226" spans="9:13" x14ac:dyDescent="0.35">
      <c r="I4226">
        <v>4222</v>
      </c>
      <c r="L4226"/>
      <c r="M4226" s="10">
        <v>2.3543776243422743E-2</v>
      </c>
    </row>
    <row r="4227" spans="9:13" x14ac:dyDescent="0.35">
      <c r="I4227">
        <v>4223</v>
      </c>
      <c r="L4227"/>
      <c r="M4227" s="10">
        <v>1.8933168270019562E-2</v>
      </c>
    </row>
    <row r="4228" spans="9:13" x14ac:dyDescent="0.35">
      <c r="I4228">
        <v>4224</v>
      </c>
      <c r="L4228"/>
      <c r="M4228" s="10">
        <v>3.2053005865102957E-2</v>
      </c>
    </row>
    <row r="4229" spans="9:13" x14ac:dyDescent="0.35">
      <c r="I4229">
        <v>4225</v>
      </c>
      <c r="L4229"/>
      <c r="M4229" s="10">
        <v>2.2935592014173389E-2</v>
      </c>
    </row>
    <row r="4230" spans="9:13" x14ac:dyDescent="0.35">
      <c r="I4230">
        <v>4226</v>
      </c>
      <c r="L4230"/>
      <c r="M4230" s="10">
        <v>2.8014457752555844E-2</v>
      </c>
    </row>
    <row r="4231" spans="9:13" x14ac:dyDescent="0.35">
      <c r="I4231">
        <v>4227</v>
      </c>
      <c r="L4231"/>
      <c r="M4231" s="10">
        <v>2.2239926536366528E-2</v>
      </c>
    </row>
    <row r="4232" spans="9:13" x14ac:dyDescent="0.35">
      <c r="I4232">
        <v>4228</v>
      </c>
      <c r="L4232"/>
      <c r="M4232" s="10">
        <v>2.2013321122180352E-2</v>
      </c>
    </row>
    <row r="4233" spans="9:13" x14ac:dyDescent="0.35">
      <c r="I4233">
        <v>4229</v>
      </c>
      <c r="L4233"/>
      <c r="M4233" s="10">
        <v>2.7578565412422096E-2</v>
      </c>
    </row>
    <row r="4234" spans="9:13" x14ac:dyDescent="0.35">
      <c r="I4234">
        <v>4230</v>
      </c>
      <c r="L4234"/>
      <c r="M4234" s="10">
        <v>2.6197812241157137E-2</v>
      </c>
    </row>
    <row r="4235" spans="9:13" x14ac:dyDescent="0.35">
      <c r="I4235">
        <v>4231</v>
      </c>
      <c r="L4235"/>
      <c r="M4235" s="10">
        <v>2.8463918009192346E-2</v>
      </c>
    </row>
    <row r="4236" spans="9:13" x14ac:dyDescent="0.35">
      <c r="I4236">
        <v>4232</v>
      </c>
      <c r="L4236"/>
      <c r="M4236" s="10">
        <v>2.1114301542466407E-2</v>
      </c>
    </row>
    <row r="4237" spans="9:13" x14ac:dyDescent="0.35">
      <c r="I4237">
        <v>4233</v>
      </c>
      <c r="L4237"/>
      <c r="M4237" s="10">
        <v>3.0559778796124037E-2</v>
      </c>
    </row>
    <row r="4238" spans="9:13" x14ac:dyDescent="0.35">
      <c r="I4238">
        <v>4234</v>
      </c>
      <c r="L4238"/>
      <c r="M4238" s="10">
        <v>2.1419461063109657E-2</v>
      </c>
    </row>
    <row r="4239" spans="9:13" x14ac:dyDescent="0.35">
      <c r="I4239">
        <v>4235</v>
      </c>
      <c r="L4239"/>
      <c r="M4239" s="10">
        <v>2.7176771462199323E-2</v>
      </c>
    </row>
    <row r="4240" spans="9:13" x14ac:dyDescent="0.35">
      <c r="I4240">
        <v>4236</v>
      </c>
      <c r="L4240"/>
      <c r="M4240" s="10">
        <v>1.9309004022112219E-2</v>
      </c>
    </row>
    <row r="4241" spans="9:13" x14ac:dyDescent="0.35">
      <c r="I4241">
        <v>4237</v>
      </c>
      <c r="L4241"/>
      <c r="M4241" s="10">
        <v>2.732393396256394E-2</v>
      </c>
    </row>
    <row r="4242" spans="9:13" x14ac:dyDescent="0.35">
      <c r="I4242">
        <v>4238</v>
      </c>
      <c r="L4242"/>
      <c r="M4242" s="10">
        <v>2.7147855223860873E-2</v>
      </c>
    </row>
    <row r="4243" spans="9:13" x14ac:dyDescent="0.35">
      <c r="I4243">
        <v>4239</v>
      </c>
      <c r="L4243"/>
      <c r="M4243" s="10">
        <v>2.7877573046613202E-2</v>
      </c>
    </row>
    <row r="4244" spans="9:13" x14ac:dyDescent="0.35">
      <c r="I4244">
        <v>4240</v>
      </c>
      <c r="L4244"/>
      <c r="M4244" s="10">
        <v>2.7320677327730802E-2</v>
      </c>
    </row>
    <row r="4245" spans="9:13" x14ac:dyDescent="0.35">
      <c r="I4245">
        <v>4241</v>
      </c>
      <c r="L4245"/>
      <c r="M4245" s="10">
        <v>2.7461912585262871E-2</v>
      </c>
    </row>
    <row r="4246" spans="9:13" x14ac:dyDescent="0.35">
      <c r="I4246">
        <v>4242</v>
      </c>
      <c r="L4246"/>
      <c r="M4246" s="10">
        <v>3.5580761826958129E-2</v>
      </c>
    </row>
    <row r="4247" spans="9:13" x14ac:dyDescent="0.35">
      <c r="I4247">
        <v>4243</v>
      </c>
      <c r="L4247"/>
      <c r="M4247" s="10">
        <v>2.7613766090901271E-2</v>
      </c>
    </row>
    <row r="4248" spans="9:13" x14ac:dyDescent="0.35">
      <c r="I4248">
        <v>4244</v>
      </c>
      <c r="L4248"/>
      <c r="M4248" s="10">
        <v>2.446074498787254E-2</v>
      </c>
    </row>
    <row r="4249" spans="9:13" x14ac:dyDescent="0.35">
      <c r="I4249">
        <v>4245</v>
      </c>
      <c r="L4249"/>
      <c r="M4249" s="10">
        <v>2.8652334008047342E-2</v>
      </c>
    </row>
    <row r="4250" spans="9:13" x14ac:dyDescent="0.35">
      <c r="I4250">
        <v>4246</v>
      </c>
      <c r="L4250"/>
      <c r="M4250" s="10">
        <v>2.5339850817655662E-2</v>
      </c>
    </row>
    <row r="4251" spans="9:13" x14ac:dyDescent="0.35">
      <c r="I4251">
        <v>4247</v>
      </c>
      <c r="L4251"/>
      <c r="M4251" s="10">
        <v>2.5991953572186866E-2</v>
      </c>
    </row>
    <row r="4252" spans="9:13" x14ac:dyDescent="0.35">
      <c r="I4252">
        <v>4248</v>
      </c>
      <c r="L4252"/>
      <c r="M4252" s="10">
        <v>3.1816544037694294E-2</v>
      </c>
    </row>
    <row r="4253" spans="9:13" x14ac:dyDescent="0.35">
      <c r="I4253">
        <v>4249</v>
      </c>
      <c r="L4253"/>
      <c r="M4253" s="10">
        <v>2.5407836906877868E-2</v>
      </c>
    </row>
    <row r="4254" spans="9:13" x14ac:dyDescent="0.35">
      <c r="I4254">
        <v>4250</v>
      </c>
      <c r="L4254"/>
      <c r="M4254" s="10">
        <v>2.9989521665432672E-2</v>
      </c>
    </row>
    <row r="4255" spans="9:13" x14ac:dyDescent="0.35">
      <c r="I4255">
        <v>4251</v>
      </c>
      <c r="L4255"/>
      <c r="M4255" s="10">
        <v>2.0751908129697849E-2</v>
      </c>
    </row>
    <row r="4256" spans="9:13" x14ac:dyDescent="0.35">
      <c r="I4256">
        <v>4252</v>
      </c>
      <c r="L4256"/>
      <c r="M4256" s="10">
        <v>2.5755008970291371E-2</v>
      </c>
    </row>
    <row r="4257" spans="9:13" x14ac:dyDescent="0.35">
      <c r="I4257">
        <v>4253</v>
      </c>
      <c r="L4257"/>
      <c r="M4257" s="10">
        <v>1.9696635657186601E-2</v>
      </c>
    </row>
    <row r="4258" spans="9:13" x14ac:dyDescent="0.35">
      <c r="I4258">
        <v>4254</v>
      </c>
      <c r="L4258"/>
      <c r="M4258" s="10">
        <v>1.9764180830981526E-2</v>
      </c>
    </row>
    <row r="4259" spans="9:13" x14ac:dyDescent="0.35">
      <c r="I4259">
        <v>4255</v>
      </c>
      <c r="L4259"/>
      <c r="M4259" s="10">
        <v>2.6862889908847443E-2</v>
      </c>
    </row>
    <row r="4260" spans="9:13" x14ac:dyDescent="0.35">
      <c r="I4260">
        <v>4256</v>
      </c>
      <c r="L4260"/>
      <c r="M4260" s="10">
        <v>2.395515870888687E-2</v>
      </c>
    </row>
    <row r="4261" spans="9:13" x14ac:dyDescent="0.35">
      <c r="I4261">
        <v>4257</v>
      </c>
      <c r="L4261"/>
      <c r="M4261" s="10">
        <v>2.2787080256789216E-2</v>
      </c>
    </row>
    <row r="4262" spans="9:13" x14ac:dyDescent="0.35">
      <c r="I4262">
        <v>4258</v>
      </c>
      <c r="L4262"/>
      <c r="M4262" s="10">
        <v>2.0342287930640857E-2</v>
      </c>
    </row>
    <row r="4263" spans="9:13" x14ac:dyDescent="0.35">
      <c r="I4263">
        <v>4259</v>
      </c>
      <c r="L4263"/>
      <c r="M4263" s="10">
        <v>2.9292492977586404E-2</v>
      </c>
    </row>
    <row r="4264" spans="9:13" x14ac:dyDescent="0.35">
      <c r="I4264">
        <v>4260</v>
      </c>
      <c r="L4264"/>
      <c r="M4264" s="10">
        <v>2.4382994575358863E-2</v>
      </c>
    </row>
    <row r="4265" spans="9:13" x14ac:dyDescent="0.35">
      <c r="I4265">
        <v>4261</v>
      </c>
      <c r="L4265"/>
      <c r="M4265" s="10">
        <v>2.4673486681535128E-2</v>
      </c>
    </row>
    <row r="4266" spans="9:13" x14ac:dyDescent="0.35">
      <c r="I4266">
        <v>4262</v>
      </c>
      <c r="L4266"/>
      <c r="M4266" s="10">
        <v>2.325931463242592E-2</v>
      </c>
    </row>
    <row r="4267" spans="9:13" x14ac:dyDescent="0.35">
      <c r="I4267">
        <v>4263</v>
      </c>
      <c r="L4267"/>
      <c r="M4267" s="10">
        <v>2.0843035302342328E-2</v>
      </c>
    </row>
    <row r="4268" spans="9:13" x14ac:dyDescent="0.35">
      <c r="I4268">
        <v>4264</v>
      </c>
      <c r="L4268"/>
      <c r="M4268" s="10">
        <v>2.8513049382690392E-2</v>
      </c>
    </row>
    <row r="4269" spans="9:13" x14ac:dyDescent="0.35">
      <c r="I4269">
        <v>4265</v>
      </c>
      <c r="L4269"/>
      <c r="M4269" s="10">
        <v>2.5502155135162186E-2</v>
      </c>
    </row>
    <row r="4270" spans="9:13" x14ac:dyDescent="0.35">
      <c r="I4270">
        <v>4266</v>
      </c>
      <c r="L4270"/>
      <c r="M4270" s="10">
        <v>3.0349757941332323E-2</v>
      </c>
    </row>
    <row r="4271" spans="9:13" x14ac:dyDescent="0.35">
      <c r="I4271">
        <v>4267</v>
      </c>
      <c r="L4271"/>
      <c r="M4271" s="10">
        <v>2.7144752072246092E-2</v>
      </c>
    </row>
    <row r="4272" spans="9:13" x14ac:dyDescent="0.35">
      <c r="I4272">
        <v>4268</v>
      </c>
      <c r="L4272"/>
      <c r="M4272" s="10">
        <v>2.4083202781452151E-2</v>
      </c>
    </row>
    <row r="4273" spans="9:13" x14ac:dyDescent="0.35">
      <c r="I4273">
        <v>4269</v>
      </c>
      <c r="L4273"/>
      <c r="M4273" s="10">
        <v>2.8659288193140897E-2</v>
      </c>
    </row>
    <row r="4274" spans="9:13" x14ac:dyDescent="0.35">
      <c r="I4274">
        <v>4270</v>
      </c>
      <c r="L4274"/>
      <c r="M4274" s="10">
        <v>2.2117872495223123E-2</v>
      </c>
    </row>
    <row r="4275" spans="9:13" x14ac:dyDescent="0.35">
      <c r="I4275">
        <v>4271</v>
      </c>
      <c r="L4275"/>
      <c r="M4275" s="10">
        <v>1.8578269024212779E-2</v>
      </c>
    </row>
    <row r="4276" spans="9:13" x14ac:dyDescent="0.35">
      <c r="I4276">
        <v>4272</v>
      </c>
      <c r="L4276"/>
      <c r="M4276" s="10">
        <v>2.267106647793915E-2</v>
      </c>
    </row>
    <row r="4277" spans="9:13" x14ac:dyDescent="0.35">
      <c r="I4277">
        <v>4273</v>
      </c>
      <c r="L4277"/>
      <c r="M4277" s="10">
        <v>2.1723928513968316E-2</v>
      </c>
    </row>
    <row r="4278" spans="9:13" x14ac:dyDescent="0.35">
      <c r="I4278">
        <v>4274</v>
      </c>
      <c r="L4278"/>
      <c r="M4278" s="10">
        <v>2.3994795052376561E-2</v>
      </c>
    </row>
    <row r="4279" spans="9:13" x14ac:dyDescent="0.35">
      <c r="I4279">
        <v>4275</v>
      </c>
      <c r="L4279"/>
      <c r="M4279" s="10">
        <v>2.1180043986096631E-2</v>
      </c>
    </row>
    <row r="4280" spans="9:13" x14ac:dyDescent="0.35">
      <c r="I4280">
        <v>4276</v>
      </c>
      <c r="L4280"/>
      <c r="M4280" s="10">
        <v>2.4917686853752952E-2</v>
      </c>
    </row>
    <row r="4281" spans="9:13" x14ac:dyDescent="0.35">
      <c r="I4281">
        <v>4277</v>
      </c>
      <c r="L4281"/>
      <c r="M4281" s="10">
        <v>3.001971879099341E-2</v>
      </c>
    </row>
    <row r="4282" spans="9:13" x14ac:dyDescent="0.35">
      <c r="I4282">
        <v>4278</v>
      </c>
      <c r="L4282"/>
      <c r="M4282" s="10">
        <v>2.5778104008748137E-2</v>
      </c>
    </row>
    <row r="4283" spans="9:13" x14ac:dyDescent="0.35">
      <c r="I4283">
        <v>4279</v>
      </c>
      <c r="L4283"/>
      <c r="M4283" s="10">
        <v>2.5812314022817917E-2</v>
      </c>
    </row>
    <row r="4284" spans="9:13" x14ac:dyDescent="0.35">
      <c r="I4284">
        <v>4280</v>
      </c>
      <c r="L4284"/>
      <c r="M4284" s="10">
        <v>2.4468050789066331E-2</v>
      </c>
    </row>
    <row r="4285" spans="9:13" x14ac:dyDescent="0.35">
      <c r="I4285">
        <v>4281</v>
      </c>
      <c r="L4285"/>
      <c r="M4285" s="10">
        <v>2.3819013512996312E-2</v>
      </c>
    </row>
    <row r="4286" spans="9:13" x14ac:dyDescent="0.35">
      <c r="I4286">
        <v>4282</v>
      </c>
      <c r="L4286"/>
      <c r="M4286" s="10">
        <v>2.76497369760762E-2</v>
      </c>
    </row>
    <row r="4287" spans="9:13" x14ac:dyDescent="0.35">
      <c r="I4287">
        <v>4283</v>
      </c>
      <c r="L4287"/>
      <c r="M4287" s="10">
        <v>2.4287867071923208E-2</v>
      </c>
    </row>
    <row r="4288" spans="9:13" x14ac:dyDescent="0.35">
      <c r="I4288">
        <v>4284</v>
      </c>
      <c r="L4288"/>
      <c r="M4288" s="10">
        <v>2.2620730958827995E-2</v>
      </c>
    </row>
    <row r="4289" spans="9:13" x14ac:dyDescent="0.35">
      <c r="I4289">
        <v>4285</v>
      </c>
      <c r="L4289"/>
      <c r="M4289" s="10">
        <v>2.2808200942937118E-2</v>
      </c>
    </row>
    <row r="4290" spans="9:13" x14ac:dyDescent="0.35">
      <c r="I4290">
        <v>4286</v>
      </c>
      <c r="L4290"/>
      <c r="M4290" s="10">
        <v>2.8633427666149736E-2</v>
      </c>
    </row>
    <row r="4291" spans="9:13" x14ac:dyDescent="0.35">
      <c r="I4291">
        <v>4287</v>
      </c>
      <c r="L4291"/>
      <c r="M4291" s="10">
        <v>2.5628780185608657E-2</v>
      </c>
    </row>
    <row r="4292" spans="9:13" x14ac:dyDescent="0.35">
      <c r="I4292">
        <v>4288</v>
      </c>
      <c r="L4292"/>
      <c r="M4292" s="10">
        <v>2.3073827372437572E-2</v>
      </c>
    </row>
    <row r="4293" spans="9:13" x14ac:dyDescent="0.35">
      <c r="I4293">
        <v>4289</v>
      </c>
      <c r="L4293"/>
      <c r="M4293" s="10">
        <v>2.2403913588067037E-2</v>
      </c>
    </row>
    <row r="4294" spans="9:13" x14ac:dyDescent="0.35">
      <c r="I4294">
        <v>4290</v>
      </c>
      <c r="L4294"/>
      <c r="M4294" s="10">
        <v>3.010313552486843E-2</v>
      </c>
    </row>
    <row r="4295" spans="9:13" x14ac:dyDescent="0.35">
      <c r="I4295">
        <v>4291</v>
      </c>
      <c r="L4295"/>
      <c r="M4295" s="10">
        <v>2.5141288182765287E-2</v>
      </c>
    </row>
    <row r="4296" spans="9:13" x14ac:dyDescent="0.35">
      <c r="I4296">
        <v>4292</v>
      </c>
      <c r="L4296"/>
      <c r="M4296" s="10">
        <v>1.8840045815536444E-2</v>
      </c>
    </row>
    <row r="4297" spans="9:13" x14ac:dyDescent="0.35">
      <c r="I4297">
        <v>4293</v>
      </c>
      <c r="L4297"/>
      <c r="M4297" s="10">
        <v>2.691029389848798E-2</v>
      </c>
    </row>
    <row r="4298" spans="9:13" x14ac:dyDescent="0.35">
      <c r="I4298">
        <v>4294</v>
      </c>
      <c r="L4298"/>
      <c r="M4298" s="10">
        <v>2.8006032919170032E-2</v>
      </c>
    </row>
    <row r="4299" spans="9:13" x14ac:dyDescent="0.35">
      <c r="I4299">
        <v>4295</v>
      </c>
      <c r="L4299"/>
      <c r="M4299" s="10">
        <v>2.5101544401022746E-2</v>
      </c>
    </row>
    <row r="4300" spans="9:13" x14ac:dyDescent="0.35">
      <c r="I4300">
        <v>4296</v>
      </c>
      <c r="L4300"/>
      <c r="M4300" s="10">
        <v>2.1761704919911917E-2</v>
      </c>
    </row>
    <row r="4301" spans="9:13" x14ac:dyDescent="0.35">
      <c r="I4301">
        <v>4297</v>
      </c>
      <c r="L4301"/>
      <c r="M4301" s="10">
        <v>2.3673657928702352E-2</v>
      </c>
    </row>
    <row r="4302" spans="9:13" x14ac:dyDescent="0.35">
      <c r="I4302">
        <v>4298</v>
      </c>
      <c r="L4302"/>
      <c r="M4302" s="10">
        <v>2.2566755096837809E-2</v>
      </c>
    </row>
    <row r="4303" spans="9:13" x14ac:dyDescent="0.35">
      <c r="I4303">
        <v>4299</v>
      </c>
      <c r="L4303"/>
      <c r="M4303" s="10">
        <v>2.6703348289271345E-2</v>
      </c>
    </row>
    <row r="4304" spans="9:13" x14ac:dyDescent="0.35">
      <c r="I4304">
        <v>4300</v>
      </c>
      <c r="L4304"/>
      <c r="M4304" s="10">
        <v>2.4079513603003644E-2</v>
      </c>
    </row>
    <row r="4305" spans="9:13" x14ac:dyDescent="0.35">
      <c r="I4305">
        <v>4301</v>
      </c>
      <c r="L4305"/>
      <c r="M4305" s="10">
        <v>2.8812026320237827E-2</v>
      </c>
    </row>
    <row r="4306" spans="9:13" x14ac:dyDescent="0.35">
      <c r="I4306">
        <v>4302</v>
      </c>
      <c r="L4306"/>
      <c r="M4306" s="10">
        <v>2.3728267257793756E-2</v>
      </c>
    </row>
    <row r="4307" spans="9:13" x14ac:dyDescent="0.35">
      <c r="I4307">
        <v>4303</v>
      </c>
      <c r="L4307"/>
      <c r="M4307" s="10">
        <v>2.311936584332408E-2</v>
      </c>
    </row>
    <row r="4308" spans="9:13" x14ac:dyDescent="0.35">
      <c r="I4308">
        <v>4304</v>
      </c>
      <c r="L4308"/>
      <c r="M4308" s="10">
        <v>3.0357722325063063E-2</v>
      </c>
    </row>
    <row r="4309" spans="9:13" x14ac:dyDescent="0.35">
      <c r="I4309">
        <v>4305</v>
      </c>
      <c r="L4309"/>
      <c r="M4309" s="10">
        <v>2.6812472066919169E-2</v>
      </c>
    </row>
    <row r="4310" spans="9:13" x14ac:dyDescent="0.35">
      <c r="I4310">
        <v>4306</v>
      </c>
      <c r="L4310"/>
      <c r="M4310" s="10">
        <v>2.1018502898775937E-2</v>
      </c>
    </row>
    <row r="4311" spans="9:13" x14ac:dyDescent="0.35">
      <c r="I4311">
        <v>4307</v>
      </c>
      <c r="L4311"/>
      <c r="M4311" s="10">
        <v>2.6768408430230872E-2</v>
      </c>
    </row>
    <row r="4312" spans="9:13" x14ac:dyDescent="0.35">
      <c r="I4312">
        <v>4308</v>
      </c>
      <c r="L4312"/>
      <c r="M4312" s="10">
        <v>2.5766969498907333E-2</v>
      </c>
    </row>
    <row r="4313" spans="9:13" x14ac:dyDescent="0.35">
      <c r="I4313">
        <v>4309</v>
      </c>
      <c r="L4313"/>
      <c r="M4313" s="10">
        <v>2.7858259276535957E-2</v>
      </c>
    </row>
    <row r="4314" spans="9:13" x14ac:dyDescent="0.35">
      <c r="I4314">
        <v>4310</v>
      </c>
      <c r="L4314"/>
      <c r="M4314" s="10">
        <v>2.2119083617346158E-2</v>
      </c>
    </row>
    <row r="4315" spans="9:13" x14ac:dyDescent="0.35">
      <c r="I4315">
        <v>4311</v>
      </c>
      <c r="L4315"/>
      <c r="M4315" s="10">
        <v>2.823576380980275E-2</v>
      </c>
    </row>
    <row r="4316" spans="9:13" x14ac:dyDescent="0.35">
      <c r="I4316">
        <v>4312</v>
      </c>
      <c r="L4316"/>
      <c r="M4316" s="10">
        <v>2.6247904977722891E-2</v>
      </c>
    </row>
    <row r="4317" spans="9:13" x14ac:dyDescent="0.35">
      <c r="I4317">
        <v>4313</v>
      </c>
      <c r="L4317"/>
      <c r="M4317" s="10">
        <v>2.2766020963928657E-2</v>
      </c>
    </row>
    <row r="4318" spans="9:13" x14ac:dyDescent="0.35">
      <c r="I4318">
        <v>4314</v>
      </c>
      <c r="L4318"/>
      <c r="M4318" s="10">
        <v>2.6799981323548883E-2</v>
      </c>
    </row>
    <row r="4319" spans="9:13" x14ac:dyDescent="0.35">
      <c r="I4319">
        <v>4315</v>
      </c>
      <c r="L4319"/>
      <c r="M4319" s="10">
        <v>2.6060185234558442E-2</v>
      </c>
    </row>
    <row r="4320" spans="9:13" x14ac:dyDescent="0.35">
      <c r="I4320">
        <v>4316</v>
      </c>
      <c r="L4320"/>
      <c r="M4320" s="10">
        <v>2.4597626903211212E-2</v>
      </c>
    </row>
    <row r="4321" spans="9:13" x14ac:dyDescent="0.35">
      <c r="I4321">
        <v>4317</v>
      </c>
      <c r="L4321"/>
      <c r="M4321" s="10">
        <v>3.2825489693697474E-2</v>
      </c>
    </row>
    <row r="4322" spans="9:13" x14ac:dyDescent="0.35">
      <c r="I4322">
        <v>4318</v>
      </c>
      <c r="L4322"/>
      <c r="M4322" s="10">
        <v>2.0551736711618696E-2</v>
      </c>
    </row>
    <row r="4323" spans="9:13" x14ac:dyDescent="0.35">
      <c r="I4323">
        <v>4319</v>
      </c>
      <c r="L4323"/>
      <c r="M4323" s="10">
        <v>2.6546884705874296E-2</v>
      </c>
    </row>
    <row r="4324" spans="9:13" x14ac:dyDescent="0.35">
      <c r="I4324">
        <v>4320</v>
      </c>
      <c r="L4324"/>
      <c r="M4324" s="10">
        <v>2.3565316915468149E-2</v>
      </c>
    </row>
    <row r="4325" spans="9:13" x14ac:dyDescent="0.35">
      <c r="I4325">
        <v>4321</v>
      </c>
      <c r="L4325"/>
      <c r="M4325" s="10">
        <v>2.3843082472238653E-2</v>
      </c>
    </row>
    <row r="4326" spans="9:13" x14ac:dyDescent="0.35">
      <c r="I4326">
        <v>4322</v>
      </c>
      <c r="L4326"/>
      <c r="M4326" s="10">
        <v>3.0092305190860369E-2</v>
      </c>
    </row>
    <row r="4327" spans="9:13" x14ac:dyDescent="0.35">
      <c r="I4327">
        <v>4323</v>
      </c>
      <c r="L4327"/>
      <c r="M4327" s="10">
        <v>2.4410535045940041E-2</v>
      </c>
    </row>
    <row r="4328" spans="9:13" x14ac:dyDescent="0.35">
      <c r="I4328">
        <v>4324</v>
      </c>
      <c r="L4328"/>
      <c r="M4328" s="10">
        <v>1.9673276906654658E-2</v>
      </c>
    </row>
    <row r="4329" spans="9:13" x14ac:dyDescent="0.35">
      <c r="I4329">
        <v>4325</v>
      </c>
      <c r="L4329"/>
      <c r="M4329" s="10">
        <v>2.0972135618510301E-2</v>
      </c>
    </row>
    <row r="4330" spans="9:13" x14ac:dyDescent="0.35">
      <c r="I4330">
        <v>4326</v>
      </c>
      <c r="L4330"/>
      <c r="M4330" s="10">
        <v>2.1432468068214416E-2</v>
      </c>
    </row>
    <row r="4331" spans="9:13" x14ac:dyDescent="0.35">
      <c r="I4331">
        <v>4327</v>
      </c>
      <c r="L4331"/>
      <c r="M4331" s="10">
        <v>2.9877417522744754E-2</v>
      </c>
    </row>
    <row r="4332" spans="9:13" x14ac:dyDescent="0.35">
      <c r="I4332">
        <v>4328</v>
      </c>
      <c r="L4332"/>
      <c r="M4332" s="10">
        <v>2.2983540171588102E-2</v>
      </c>
    </row>
    <row r="4333" spans="9:13" x14ac:dyDescent="0.35">
      <c r="I4333">
        <v>4329</v>
      </c>
      <c r="L4333"/>
      <c r="M4333" s="10">
        <v>2.2336594453193692E-2</v>
      </c>
    </row>
    <row r="4334" spans="9:13" x14ac:dyDescent="0.35">
      <c r="I4334">
        <v>4330</v>
      </c>
      <c r="L4334"/>
      <c r="M4334" s="10">
        <v>2.1906436804218554E-2</v>
      </c>
    </row>
    <row r="4335" spans="9:13" x14ac:dyDescent="0.35">
      <c r="I4335">
        <v>4331</v>
      </c>
      <c r="L4335"/>
      <c r="M4335" s="10">
        <v>2.398330613583155E-2</v>
      </c>
    </row>
    <row r="4336" spans="9:13" x14ac:dyDescent="0.35">
      <c r="I4336">
        <v>4332</v>
      </c>
      <c r="L4336"/>
      <c r="M4336" s="10">
        <v>2.5898485082811451E-2</v>
      </c>
    </row>
    <row r="4337" spans="9:13" x14ac:dyDescent="0.35">
      <c r="I4337">
        <v>4333</v>
      </c>
      <c r="L4337"/>
      <c r="M4337" s="10">
        <v>2.3123264317070347E-2</v>
      </c>
    </row>
    <row r="4338" spans="9:13" x14ac:dyDescent="0.35">
      <c r="I4338">
        <v>4334</v>
      </c>
      <c r="L4338"/>
      <c r="M4338" s="10">
        <v>2.7140661046825887E-2</v>
      </c>
    </row>
    <row r="4339" spans="9:13" x14ac:dyDescent="0.35">
      <c r="I4339">
        <v>4335</v>
      </c>
      <c r="L4339"/>
      <c r="M4339" s="10">
        <v>3.6976758672409904E-2</v>
      </c>
    </row>
    <row r="4340" spans="9:13" x14ac:dyDescent="0.35">
      <c r="I4340">
        <v>4336</v>
      </c>
      <c r="L4340"/>
      <c r="M4340" s="10">
        <v>3.8641571607699987E-2</v>
      </c>
    </row>
    <row r="4341" spans="9:13" x14ac:dyDescent="0.35">
      <c r="I4341">
        <v>4337</v>
      </c>
      <c r="L4341"/>
      <c r="M4341" s="10">
        <v>3.1375957901682794E-2</v>
      </c>
    </row>
    <row r="4342" spans="9:13" x14ac:dyDescent="0.35">
      <c r="I4342">
        <v>4338</v>
      </c>
      <c r="L4342"/>
      <c r="M4342" s="10">
        <v>2.7597351758348987E-2</v>
      </c>
    </row>
    <row r="4343" spans="9:13" x14ac:dyDescent="0.35">
      <c r="I4343">
        <v>4339</v>
      </c>
      <c r="L4343"/>
      <c r="M4343" s="10">
        <v>2.2522310542707591E-2</v>
      </c>
    </row>
    <row r="4344" spans="9:13" x14ac:dyDescent="0.35">
      <c r="I4344">
        <v>4340</v>
      </c>
      <c r="L4344"/>
      <c r="M4344" s="10">
        <v>2.6188452555441333E-2</v>
      </c>
    </row>
    <row r="4345" spans="9:13" x14ac:dyDescent="0.35">
      <c r="I4345">
        <v>4341</v>
      </c>
      <c r="L4345"/>
      <c r="M4345" s="10">
        <v>2.6050193477043404E-2</v>
      </c>
    </row>
    <row r="4346" spans="9:13" x14ac:dyDescent="0.35">
      <c r="I4346">
        <v>4342</v>
      </c>
      <c r="L4346"/>
      <c r="M4346" s="10">
        <v>2.3208998647542556E-2</v>
      </c>
    </row>
    <row r="4347" spans="9:13" x14ac:dyDescent="0.35">
      <c r="I4347">
        <v>4343</v>
      </c>
      <c r="L4347"/>
      <c r="M4347" s="10">
        <v>3.3690942493556753E-2</v>
      </c>
    </row>
    <row r="4348" spans="9:13" x14ac:dyDescent="0.35">
      <c r="I4348">
        <v>4344</v>
      </c>
      <c r="L4348"/>
      <c r="M4348" s="10">
        <v>2.5004822067418164E-2</v>
      </c>
    </row>
    <row r="4349" spans="9:13" x14ac:dyDescent="0.35">
      <c r="I4349">
        <v>4345</v>
      </c>
      <c r="L4349"/>
      <c r="M4349" s="10">
        <v>3.3517565059496768E-2</v>
      </c>
    </row>
    <row r="4350" spans="9:13" x14ac:dyDescent="0.35">
      <c r="I4350">
        <v>4346</v>
      </c>
      <c r="L4350"/>
      <c r="M4350" s="10">
        <v>2.3359421968646266E-2</v>
      </c>
    </row>
    <row r="4351" spans="9:13" x14ac:dyDescent="0.35">
      <c r="I4351">
        <v>4347</v>
      </c>
      <c r="L4351"/>
      <c r="M4351" s="10">
        <v>2.2711060018737017E-2</v>
      </c>
    </row>
    <row r="4352" spans="9:13" x14ac:dyDescent="0.35">
      <c r="I4352">
        <v>4348</v>
      </c>
      <c r="L4352"/>
      <c r="M4352" s="10">
        <v>2.877634007666785E-2</v>
      </c>
    </row>
    <row r="4353" spans="9:13" x14ac:dyDescent="0.35">
      <c r="I4353">
        <v>4349</v>
      </c>
      <c r="L4353"/>
      <c r="M4353" s="10">
        <v>2.72206313847978E-2</v>
      </c>
    </row>
    <row r="4354" spans="9:13" x14ac:dyDescent="0.35">
      <c r="I4354">
        <v>4350</v>
      </c>
      <c r="L4354"/>
      <c r="M4354" s="10">
        <v>2.5455363683093091E-2</v>
      </c>
    </row>
    <row r="4355" spans="9:13" x14ac:dyDescent="0.35">
      <c r="I4355">
        <v>4351</v>
      </c>
      <c r="L4355"/>
      <c r="M4355" s="10">
        <v>2.8796103133984285E-2</v>
      </c>
    </row>
    <row r="4356" spans="9:13" x14ac:dyDescent="0.35">
      <c r="I4356">
        <v>4352</v>
      </c>
      <c r="L4356"/>
      <c r="M4356" s="10">
        <v>2.1576534393474178E-2</v>
      </c>
    </row>
    <row r="4357" spans="9:13" x14ac:dyDescent="0.35">
      <c r="I4357">
        <v>4353</v>
      </c>
      <c r="L4357"/>
      <c r="M4357" s="10">
        <v>2.499809671185016E-2</v>
      </c>
    </row>
    <row r="4358" spans="9:13" x14ac:dyDescent="0.35">
      <c r="I4358">
        <v>4354</v>
      </c>
      <c r="L4358"/>
      <c r="M4358" s="10">
        <v>2.4296032379139798E-2</v>
      </c>
    </row>
    <row r="4359" spans="9:13" x14ac:dyDescent="0.35">
      <c r="I4359">
        <v>4355</v>
      </c>
      <c r="L4359"/>
      <c r="M4359" s="10">
        <v>2.2055196925356069E-2</v>
      </c>
    </row>
    <row r="4360" spans="9:13" x14ac:dyDescent="0.35">
      <c r="I4360">
        <v>4356</v>
      </c>
      <c r="L4360"/>
      <c r="M4360" s="10">
        <v>2.6775546795186456E-2</v>
      </c>
    </row>
    <row r="4361" spans="9:13" x14ac:dyDescent="0.35">
      <c r="I4361">
        <v>4357</v>
      </c>
      <c r="L4361"/>
      <c r="M4361" s="10">
        <v>2.2762118304276435E-2</v>
      </c>
    </row>
    <row r="4362" spans="9:13" x14ac:dyDescent="0.35">
      <c r="I4362">
        <v>4358</v>
      </c>
      <c r="L4362"/>
      <c r="M4362" s="10">
        <v>2.3420238996269216E-2</v>
      </c>
    </row>
    <row r="4363" spans="9:13" x14ac:dyDescent="0.35">
      <c r="I4363">
        <v>4359</v>
      </c>
      <c r="L4363"/>
      <c r="M4363" s="10">
        <v>2.33713197086729E-2</v>
      </c>
    </row>
    <row r="4364" spans="9:13" x14ac:dyDescent="0.35">
      <c r="I4364">
        <v>4360</v>
      </c>
      <c r="L4364"/>
      <c r="M4364" s="10">
        <v>2.5197366764846962E-2</v>
      </c>
    </row>
    <row r="4365" spans="9:13" x14ac:dyDescent="0.35">
      <c r="I4365">
        <v>4361</v>
      </c>
      <c r="L4365"/>
      <c r="M4365" s="10">
        <v>2.2053835110618647E-2</v>
      </c>
    </row>
    <row r="4366" spans="9:13" x14ac:dyDescent="0.35">
      <c r="I4366">
        <v>4362</v>
      </c>
      <c r="L4366"/>
      <c r="M4366" s="10">
        <v>2.9502363139763732E-2</v>
      </c>
    </row>
    <row r="4367" spans="9:13" x14ac:dyDescent="0.35">
      <c r="I4367">
        <v>4363</v>
      </c>
      <c r="L4367"/>
      <c r="M4367" s="10">
        <v>2.3024135087541531E-2</v>
      </c>
    </row>
    <row r="4368" spans="9:13" x14ac:dyDescent="0.35">
      <c r="I4368">
        <v>4364</v>
      </c>
      <c r="L4368"/>
      <c r="M4368" s="10">
        <v>2.7155186140490395E-2</v>
      </c>
    </row>
    <row r="4369" spans="9:13" x14ac:dyDescent="0.35">
      <c r="I4369">
        <v>4365</v>
      </c>
      <c r="L4369"/>
      <c r="M4369" s="10">
        <v>2.6376879716712209E-2</v>
      </c>
    </row>
    <row r="4370" spans="9:13" x14ac:dyDescent="0.35">
      <c r="I4370">
        <v>4366</v>
      </c>
      <c r="L4370"/>
      <c r="M4370" s="10">
        <v>2.6054230085686192E-2</v>
      </c>
    </row>
    <row r="4371" spans="9:13" x14ac:dyDescent="0.35">
      <c r="I4371">
        <v>4367</v>
      </c>
      <c r="L4371"/>
      <c r="M4371" s="10">
        <v>2.4029039948995967E-2</v>
      </c>
    </row>
    <row r="4372" spans="9:13" x14ac:dyDescent="0.35">
      <c r="I4372">
        <v>4368</v>
      </c>
      <c r="L4372"/>
      <c r="M4372" s="10">
        <v>2.275647849365281E-2</v>
      </c>
    </row>
    <row r="4373" spans="9:13" x14ac:dyDescent="0.35">
      <c r="I4373">
        <v>4369</v>
      </c>
      <c r="L4373"/>
      <c r="M4373" s="10">
        <v>2.2194008543340082E-2</v>
      </c>
    </row>
    <row r="4374" spans="9:13" x14ac:dyDescent="0.35">
      <c r="I4374">
        <v>4370</v>
      </c>
      <c r="L4374"/>
      <c r="M4374" s="10">
        <v>1.9725595149886588E-2</v>
      </c>
    </row>
    <row r="4375" spans="9:13" x14ac:dyDescent="0.35">
      <c r="I4375">
        <v>4371</v>
      </c>
      <c r="L4375"/>
      <c r="M4375" s="10">
        <v>2.3354401672104008E-2</v>
      </c>
    </row>
    <row r="4376" spans="9:13" x14ac:dyDescent="0.35">
      <c r="I4376">
        <v>4372</v>
      </c>
      <c r="L4376"/>
      <c r="M4376" s="10">
        <v>2.4350791005543604E-2</v>
      </c>
    </row>
    <row r="4377" spans="9:13" x14ac:dyDescent="0.35">
      <c r="I4377">
        <v>4373</v>
      </c>
      <c r="L4377"/>
      <c r="M4377" s="10">
        <v>2.907256268809677E-2</v>
      </c>
    </row>
    <row r="4378" spans="9:13" x14ac:dyDescent="0.35">
      <c r="I4378">
        <v>4374</v>
      </c>
      <c r="L4378"/>
      <c r="M4378" s="10">
        <v>2.41922121443372E-2</v>
      </c>
    </row>
    <row r="4379" spans="9:13" x14ac:dyDescent="0.35">
      <c r="I4379">
        <v>4375</v>
      </c>
      <c r="L4379"/>
      <c r="M4379" s="10">
        <v>2.5419777901266039E-2</v>
      </c>
    </row>
    <row r="4380" spans="9:13" x14ac:dyDescent="0.35">
      <c r="I4380">
        <v>4376</v>
      </c>
      <c r="L4380"/>
      <c r="M4380" s="10">
        <v>2.2989288815766562E-2</v>
      </c>
    </row>
    <row r="4381" spans="9:13" x14ac:dyDescent="0.35">
      <c r="I4381">
        <v>4377</v>
      </c>
      <c r="L4381"/>
      <c r="M4381" s="10">
        <v>2.4315484284113564E-2</v>
      </c>
    </row>
    <row r="4382" spans="9:13" x14ac:dyDescent="0.35">
      <c r="I4382">
        <v>4378</v>
      </c>
      <c r="L4382"/>
      <c r="M4382" s="10">
        <v>1.9230423404917429E-2</v>
      </c>
    </row>
    <row r="4383" spans="9:13" x14ac:dyDescent="0.35">
      <c r="I4383">
        <v>4379</v>
      </c>
      <c r="L4383"/>
      <c r="M4383" s="10">
        <v>2.1612028085370216E-2</v>
      </c>
    </row>
    <row r="4384" spans="9:13" x14ac:dyDescent="0.35">
      <c r="I4384">
        <v>4380</v>
      </c>
      <c r="L4384"/>
      <c r="M4384" s="10">
        <v>2.7297933905374272E-2</v>
      </c>
    </row>
    <row r="4385" spans="9:13" x14ac:dyDescent="0.35">
      <c r="I4385">
        <v>4381</v>
      </c>
      <c r="L4385"/>
      <c r="M4385" s="10">
        <v>2.112595929055161E-2</v>
      </c>
    </row>
    <row r="4386" spans="9:13" x14ac:dyDescent="0.35">
      <c r="I4386">
        <v>4382</v>
      </c>
      <c r="L4386"/>
      <c r="M4386" s="10">
        <v>2.7030111270549328E-2</v>
      </c>
    </row>
    <row r="4387" spans="9:13" x14ac:dyDescent="0.35">
      <c r="I4387">
        <v>4383</v>
      </c>
      <c r="L4387"/>
      <c r="M4387" s="10">
        <v>2.4259135013446786E-2</v>
      </c>
    </row>
    <row r="4388" spans="9:13" x14ac:dyDescent="0.35">
      <c r="I4388">
        <v>4384</v>
      </c>
      <c r="L4388"/>
      <c r="M4388" s="10">
        <v>2.589017885009437E-2</v>
      </c>
    </row>
    <row r="4389" spans="9:13" x14ac:dyDescent="0.35">
      <c r="I4389">
        <v>4385</v>
      </c>
      <c r="L4389"/>
      <c r="M4389" s="10">
        <v>2.8581511269889504E-2</v>
      </c>
    </row>
    <row r="4390" spans="9:13" x14ac:dyDescent="0.35">
      <c r="I4390">
        <v>4386</v>
      </c>
      <c r="L4390"/>
      <c r="M4390" s="10">
        <v>3.0084220811158913E-2</v>
      </c>
    </row>
    <row r="4391" spans="9:13" x14ac:dyDescent="0.35">
      <c r="I4391">
        <v>4387</v>
      </c>
      <c r="L4391"/>
      <c r="M4391" s="10">
        <v>2.5607247885375162E-2</v>
      </c>
    </row>
    <row r="4392" spans="9:13" x14ac:dyDescent="0.35">
      <c r="I4392">
        <v>4388</v>
      </c>
      <c r="L4392"/>
      <c r="M4392" s="10">
        <v>2.6256308881578927E-2</v>
      </c>
    </row>
    <row r="4393" spans="9:13" x14ac:dyDescent="0.35">
      <c r="I4393">
        <v>4389</v>
      </c>
      <c r="L4393"/>
      <c r="M4393" s="10">
        <v>2.5752815555570852E-2</v>
      </c>
    </row>
    <row r="4394" spans="9:13" x14ac:dyDescent="0.35">
      <c r="I4394">
        <v>4390</v>
      </c>
      <c r="L4394"/>
      <c r="M4394" s="10">
        <v>2.5796396417772316E-2</v>
      </c>
    </row>
    <row r="4395" spans="9:13" x14ac:dyDescent="0.35">
      <c r="I4395">
        <v>4391</v>
      </c>
      <c r="L4395"/>
      <c r="M4395" s="10">
        <v>2.1715597165815503E-2</v>
      </c>
    </row>
    <row r="4396" spans="9:13" x14ac:dyDescent="0.35">
      <c r="I4396">
        <v>4392</v>
      </c>
      <c r="L4396"/>
      <c r="M4396" s="10">
        <v>2.2756562211771914E-2</v>
      </c>
    </row>
    <row r="4397" spans="9:13" x14ac:dyDescent="0.35">
      <c r="I4397">
        <v>4393</v>
      </c>
      <c r="L4397"/>
      <c r="M4397" s="10">
        <v>2.5596114770836342E-2</v>
      </c>
    </row>
    <row r="4398" spans="9:13" x14ac:dyDescent="0.35">
      <c r="I4398">
        <v>4394</v>
      </c>
      <c r="L4398"/>
      <c r="M4398" s="10">
        <v>2.4671065832591044E-2</v>
      </c>
    </row>
    <row r="4399" spans="9:13" x14ac:dyDescent="0.35">
      <c r="I4399">
        <v>4395</v>
      </c>
      <c r="L4399"/>
      <c r="M4399" s="10">
        <v>2.1558642436119713E-2</v>
      </c>
    </row>
    <row r="4400" spans="9:13" x14ac:dyDescent="0.35">
      <c r="I4400">
        <v>4396</v>
      </c>
      <c r="L4400"/>
      <c r="M4400" s="10">
        <v>2.7155654961957376E-2</v>
      </c>
    </row>
    <row r="4401" spans="9:13" x14ac:dyDescent="0.35">
      <c r="I4401">
        <v>4397</v>
      </c>
      <c r="L4401"/>
      <c r="M4401" s="10">
        <v>2.3074439910009015E-2</v>
      </c>
    </row>
    <row r="4402" spans="9:13" x14ac:dyDescent="0.35">
      <c r="I4402">
        <v>4398</v>
      </c>
      <c r="L4402"/>
      <c r="M4402" s="10">
        <v>2.7976832039226629E-2</v>
      </c>
    </row>
    <row r="4403" spans="9:13" x14ac:dyDescent="0.35">
      <c r="I4403">
        <v>4399</v>
      </c>
      <c r="L4403"/>
      <c r="M4403" s="10">
        <v>2.736740878181454E-2</v>
      </c>
    </row>
    <row r="4404" spans="9:13" x14ac:dyDescent="0.35">
      <c r="I4404">
        <v>4400</v>
      </c>
      <c r="L4404"/>
      <c r="M4404" s="10">
        <v>2.4108618207110077E-2</v>
      </c>
    </row>
    <row r="4405" spans="9:13" x14ac:dyDescent="0.35">
      <c r="I4405">
        <v>4401</v>
      </c>
      <c r="L4405"/>
      <c r="M4405" s="10">
        <v>2.6344472432807131E-2</v>
      </c>
    </row>
    <row r="4406" spans="9:13" x14ac:dyDescent="0.35">
      <c r="I4406">
        <v>4402</v>
      </c>
      <c r="L4406"/>
      <c r="M4406" s="10">
        <v>3.1317115226368708E-2</v>
      </c>
    </row>
    <row r="4407" spans="9:13" x14ac:dyDescent="0.35">
      <c r="I4407">
        <v>4403</v>
      </c>
      <c r="L4407"/>
      <c r="M4407" s="10">
        <v>3.0827727008127637E-2</v>
      </c>
    </row>
    <row r="4408" spans="9:13" x14ac:dyDescent="0.35">
      <c r="I4408">
        <v>4404</v>
      </c>
      <c r="L4408"/>
      <c r="M4408" s="10">
        <v>2.3146701204513453E-2</v>
      </c>
    </row>
    <row r="4409" spans="9:13" x14ac:dyDescent="0.35">
      <c r="I4409">
        <v>4405</v>
      </c>
      <c r="L4409"/>
      <c r="M4409" s="10">
        <v>2.5252881644926672E-2</v>
      </c>
    </row>
    <row r="4410" spans="9:13" x14ac:dyDescent="0.35">
      <c r="I4410">
        <v>4406</v>
      </c>
      <c r="L4410"/>
      <c r="M4410" s="10">
        <v>2.0662174863736449E-2</v>
      </c>
    </row>
    <row r="4411" spans="9:13" x14ac:dyDescent="0.35">
      <c r="I4411">
        <v>4407</v>
      </c>
      <c r="L4411"/>
      <c r="M4411" s="10">
        <v>2.6297639121678484E-2</v>
      </c>
    </row>
    <row r="4412" spans="9:13" x14ac:dyDescent="0.35">
      <c r="I4412">
        <v>4408</v>
      </c>
      <c r="L4412"/>
      <c r="M4412" s="10">
        <v>2.4730297797158962E-2</v>
      </c>
    </row>
    <row r="4413" spans="9:13" x14ac:dyDescent="0.35">
      <c r="I4413">
        <v>4409</v>
      </c>
      <c r="L4413"/>
      <c r="M4413" s="10">
        <v>1.8014255869904572E-2</v>
      </c>
    </row>
    <row r="4414" spans="9:13" x14ac:dyDescent="0.35">
      <c r="I4414">
        <v>4410</v>
      </c>
      <c r="L4414"/>
      <c r="M4414" s="10">
        <v>2.5852999633400375E-2</v>
      </c>
    </row>
    <row r="4415" spans="9:13" x14ac:dyDescent="0.35">
      <c r="I4415">
        <v>4411</v>
      </c>
      <c r="L4415"/>
      <c r="M4415" s="10">
        <v>2.0745318118422396E-2</v>
      </c>
    </row>
    <row r="4416" spans="9:13" x14ac:dyDescent="0.35">
      <c r="I4416">
        <v>4412</v>
      </c>
      <c r="L4416"/>
      <c r="M4416" s="10">
        <v>2.7876163791608288E-2</v>
      </c>
    </row>
    <row r="4417" spans="9:13" x14ac:dyDescent="0.35">
      <c r="I4417">
        <v>4413</v>
      </c>
      <c r="L4417"/>
      <c r="M4417" s="10">
        <v>1.9464022072652742E-2</v>
      </c>
    </row>
    <row r="4418" spans="9:13" x14ac:dyDescent="0.35">
      <c r="I4418">
        <v>4414</v>
      </c>
      <c r="L4418"/>
      <c r="M4418" s="10">
        <v>2.3823570569279529E-2</v>
      </c>
    </row>
    <row r="4419" spans="9:13" x14ac:dyDescent="0.35">
      <c r="I4419">
        <v>4415</v>
      </c>
      <c r="L4419"/>
      <c r="M4419" s="10">
        <v>2.4561739736155386E-2</v>
      </c>
    </row>
    <row r="4420" spans="9:13" x14ac:dyDescent="0.35">
      <c r="I4420">
        <v>4416</v>
      </c>
      <c r="L4420"/>
      <c r="M4420" s="10">
        <v>2.4185895612250818E-2</v>
      </c>
    </row>
    <row r="4421" spans="9:13" x14ac:dyDescent="0.35">
      <c r="I4421">
        <v>4417</v>
      </c>
      <c r="L4421"/>
      <c r="M4421" s="10">
        <v>2.1765692692985228E-2</v>
      </c>
    </row>
    <row r="4422" spans="9:13" x14ac:dyDescent="0.35">
      <c r="I4422">
        <v>4418</v>
      </c>
      <c r="L4422"/>
      <c r="M4422" s="10">
        <v>2.5115317426917305E-2</v>
      </c>
    </row>
    <row r="4423" spans="9:13" x14ac:dyDescent="0.35">
      <c r="I4423">
        <v>4419</v>
      </c>
      <c r="L4423"/>
      <c r="M4423" s="10">
        <v>2.3980883891585481E-2</v>
      </c>
    </row>
    <row r="4424" spans="9:13" x14ac:dyDescent="0.35">
      <c r="I4424">
        <v>4420</v>
      </c>
      <c r="L4424"/>
      <c r="M4424" s="10">
        <v>3.2348313158429676E-2</v>
      </c>
    </row>
    <row r="4425" spans="9:13" x14ac:dyDescent="0.35">
      <c r="I4425">
        <v>4421</v>
      </c>
      <c r="L4425"/>
      <c r="M4425" s="10">
        <v>3.349333145462019E-2</v>
      </c>
    </row>
    <row r="4426" spans="9:13" x14ac:dyDescent="0.35">
      <c r="I4426">
        <v>4422</v>
      </c>
      <c r="L4426"/>
      <c r="M4426" s="10">
        <v>2.3189804873436026E-2</v>
      </c>
    </row>
    <row r="4427" spans="9:13" x14ac:dyDescent="0.35">
      <c r="I4427">
        <v>4423</v>
      </c>
      <c r="L4427"/>
      <c r="M4427" s="10">
        <v>2.244105931751339E-2</v>
      </c>
    </row>
    <row r="4428" spans="9:13" x14ac:dyDescent="0.35">
      <c r="I4428">
        <v>4424</v>
      </c>
      <c r="L4428"/>
      <c r="M4428" s="10">
        <v>2.8738566461328219E-2</v>
      </c>
    </row>
    <row r="4429" spans="9:13" x14ac:dyDescent="0.35">
      <c r="I4429">
        <v>4425</v>
      </c>
      <c r="L4429"/>
      <c r="M4429" s="10">
        <v>2.5644595933609349E-2</v>
      </c>
    </row>
    <row r="4430" spans="9:13" x14ac:dyDescent="0.35">
      <c r="I4430">
        <v>4426</v>
      </c>
      <c r="L4430"/>
      <c r="M4430" s="10">
        <v>2.5504788070008E-2</v>
      </c>
    </row>
    <row r="4431" spans="9:13" x14ac:dyDescent="0.35">
      <c r="I4431">
        <v>4427</v>
      </c>
      <c r="L4431"/>
      <c r="M4431" s="10">
        <v>2.318239302929137E-2</v>
      </c>
    </row>
    <row r="4432" spans="9:13" x14ac:dyDescent="0.35">
      <c r="I4432">
        <v>4428</v>
      </c>
      <c r="L4432"/>
      <c r="M4432" s="10">
        <v>2.1479041853173841E-2</v>
      </c>
    </row>
    <row r="4433" spans="9:13" x14ac:dyDescent="0.35">
      <c r="I4433">
        <v>4429</v>
      </c>
      <c r="L4433"/>
      <c r="M4433" s="10">
        <v>2.7171025608624833E-2</v>
      </c>
    </row>
    <row r="4434" spans="9:13" x14ac:dyDescent="0.35">
      <c r="I4434">
        <v>4430</v>
      </c>
      <c r="L4434"/>
      <c r="M4434" s="10">
        <v>2.4393996531511086E-2</v>
      </c>
    </row>
    <row r="4435" spans="9:13" x14ac:dyDescent="0.35">
      <c r="I4435">
        <v>4431</v>
      </c>
      <c r="L4435"/>
      <c r="M4435" s="10">
        <v>2.6317594730668858E-2</v>
      </c>
    </row>
    <row r="4436" spans="9:13" x14ac:dyDescent="0.35">
      <c r="I4436">
        <v>4432</v>
      </c>
      <c r="L4436"/>
      <c r="M4436" s="10">
        <v>2.7051886353328225E-2</v>
      </c>
    </row>
    <row r="4437" spans="9:13" x14ac:dyDescent="0.35">
      <c r="I4437">
        <v>4433</v>
      </c>
      <c r="L4437"/>
      <c r="M4437" s="10">
        <v>2.4549438753855068E-2</v>
      </c>
    </row>
    <row r="4438" spans="9:13" x14ac:dyDescent="0.35">
      <c r="I4438">
        <v>4434</v>
      </c>
      <c r="L4438"/>
      <c r="M4438" s="10">
        <v>2.335554023852382E-2</v>
      </c>
    </row>
    <row r="4439" spans="9:13" x14ac:dyDescent="0.35">
      <c r="I4439">
        <v>4435</v>
      </c>
      <c r="L4439"/>
      <c r="M4439" s="10">
        <v>2.48828949987554E-2</v>
      </c>
    </row>
    <row r="4440" spans="9:13" x14ac:dyDescent="0.35">
      <c r="I4440">
        <v>4436</v>
      </c>
      <c r="L4440"/>
      <c r="M4440" s="10">
        <v>2.0941881285568176E-2</v>
      </c>
    </row>
    <row r="4441" spans="9:13" x14ac:dyDescent="0.35">
      <c r="I4441">
        <v>4437</v>
      </c>
      <c r="L4441"/>
      <c r="M4441" s="10">
        <v>3.0887365005573209E-2</v>
      </c>
    </row>
    <row r="4442" spans="9:13" x14ac:dyDescent="0.35">
      <c r="I4442">
        <v>4438</v>
      </c>
      <c r="L4442"/>
      <c r="M4442" s="10">
        <v>2.7715899405603928E-2</v>
      </c>
    </row>
    <row r="4443" spans="9:13" x14ac:dyDescent="0.35">
      <c r="I4443">
        <v>4439</v>
      </c>
      <c r="L4443"/>
      <c r="M4443" s="10">
        <v>2.3116731513176281E-2</v>
      </c>
    </row>
    <row r="4444" spans="9:13" x14ac:dyDescent="0.35">
      <c r="I4444">
        <v>4440</v>
      </c>
      <c r="L4444"/>
      <c r="M4444" s="10">
        <v>2.3658207749821747E-2</v>
      </c>
    </row>
    <row r="4445" spans="9:13" x14ac:dyDescent="0.35">
      <c r="I4445">
        <v>4441</v>
      </c>
      <c r="L4445"/>
      <c r="M4445" s="10">
        <v>2.1150964497425928E-2</v>
      </c>
    </row>
    <row r="4446" spans="9:13" x14ac:dyDescent="0.35">
      <c r="I4446">
        <v>4442</v>
      </c>
      <c r="L4446"/>
      <c r="M4446" s="10">
        <v>2.6632344161855448E-2</v>
      </c>
    </row>
    <row r="4447" spans="9:13" x14ac:dyDescent="0.35">
      <c r="I4447">
        <v>4443</v>
      </c>
      <c r="L4447"/>
      <c r="M4447" s="10">
        <v>2.9079795933587338E-2</v>
      </c>
    </row>
    <row r="4448" spans="9:13" x14ac:dyDescent="0.35">
      <c r="I4448">
        <v>4444</v>
      </c>
      <c r="L4448"/>
      <c r="M4448" s="10">
        <v>2.5857467390356548E-2</v>
      </c>
    </row>
    <row r="4449" spans="9:13" x14ac:dyDescent="0.35">
      <c r="I4449">
        <v>4445</v>
      </c>
      <c r="L4449"/>
      <c r="M4449" s="10">
        <v>2.055228646060081E-2</v>
      </c>
    </row>
    <row r="4450" spans="9:13" x14ac:dyDescent="0.35">
      <c r="I4450">
        <v>4446</v>
      </c>
      <c r="L4450"/>
      <c r="M4450" s="10">
        <v>2.8476165970017231E-2</v>
      </c>
    </row>
    <row r="4451" spans="9:13" x14ac:dyDescent="0.35">
      <c r="I4451">
        <v>4447</v>
      </c>
      <c r="L4451"/>
      <c r="M4451" s="10">
        <v>2.5999615175386848E-2</v>
      </c>
    </row>
    <row r="4452" spans="9:13" x14ac:dyDescent="0.35">
      <c r="I4452">
        <v>4448</v>
      </c>
      <c r="L4452"/>
      <c r="M4452" s="10">
        <v>2.4399030781073194E-2</v>
      </c>
    </row>
    <row r="4453" spans="9:13" x14ac:dyDescent="0.35">
      <c r="I4453">
        <v>4449</v>
      </c>
      <c r="L4453"/>
      <c r="M4453" s="10">
        <v>1.9759798187446442E-2</v>
      </c>
    </row>
    <row r="4454" spans="9:13" x14ac:dyDescent="0.35">
      <c r="I4454">
        <v>4450</v>
      </c>
      <c r="L4454"/>
      <c r="M4454" s="10">
        <v>2.3473662318673316E-2</v>
      </c>
    </row>
    <row r="4455" spans="9:13" x14ac:dyDescent="0.35">
      <c r="I4455">
        <v>4451</v>
      </c>
      <c r="L4455"/>
      <c r="M4455" s="10">
        <v>2.3197379967912934E-2</v>
      </c>
    </row>
    <row r="4456" spans="9:13" x14ac:dyDescent="0.35">
      <c r="I4456">
        <v>4452</v>
      </c>
      <c r="L4456"/>
      <c r="M4456" s="10">
        <v>2.9077543916183446E-2</v>
      </c>
    </row>
    <row r="4457" spans="9:13" x14ac:dyDescent="0.35">
      <c r="I4457">
        <v>4453</v>
      </c>
      <c r="L4457"/>
      <c r="M4457" s="10">
        <v>2.7227390227613446E-2</v>
      </c>
    </row>
    <row r="4458" spans="9:13" x14ac:dyDescent="0.35">
      <c r="I4458">
        <v>4454</v>
      </c>
      <c r="L4458"/>
      <c r="M4458" s="10">
        <v>2.4580957230395661E-2</v>
      </c>
    </row>
    <row r="4459" spans="9:13" x14ac:dyDescent="0.35">
      <c r="I4459">
        <v>4455</v>
      </c>
      <c r="L4459"/>
      <c r="M4459" s="10">
        <v>2.4410565742583712E-2</v>
      </c>
    </row>
    <row r="4460" spans="9:13" x14ac:dyDescent="0.35">
      <c r="I4460">
        <v>4456</v>
      </c>
      <c r="L4460"/>
      <c r="M4460" s="10">
        <v>2.1763463000413097E-2</v>
      </c>
    </row>
    <row r="4461" spans="9:13" x14ac:dyDescent="0.35">
      <c r="I4461">
        <v>4457</v>
      </c>
      <c r="L4461"/>
      <c r="M4461" s="10">
        <v>2.2862471213646152E-2</v>
      </c>
    </row>
    <row r="4462" spans="9:13" x14ac:dyDescent="0.35">
      <c r="I4462">
        <v>4458</v>
      </c>
      <c r="L4462"/>
      <c r="M4462" s="10">
        <v>2.6527623957272484E-2</v>
      </c>
    </row>
    <row r="4463" spans="9:13" x14ac:dyDescent="0.35">
      <c r="I4463">
        <v>4459</v>
      </c>
      <c r="L4463"/>
      <c r="M4463" s="10">
        <v>2.510085930774808E-2</v>
      </c>
    </row>
    <row r="4464" spans="9:13" x14ac:dyDescent="0.35">
      <c r="I4464">
        <v>4460</v>
      </c>
      <c r="L4464"/>
      <c r="M4464" s="10">
        <v>2.604690475026461E-2</v>
      </c>
    </row>
    <row r="4465" spans="9:13" x14ac:dyDescent="0.35">
      <c r="I4465">
        <v>4461</v>
      </c>
      <c r="L4465"/>
      <c r="M4465" s="10">
        <v>2.681140884680655E-2</v>
      </c>
    </row>
    <row r="4466" spans="9:13" x14ac:dyDescent="0.35">
      <c r="I4466">
        <v>4462</v>
      </c>
      <c r="L4466"/>
      <c r="M4466" s="10">
        <v>2.483178927294849E-2</v>
      </c>
    </row>
    <row r="4467" spans="9:13" x14ac:dyDescent="0.35">
      <c r="I4467">
        <v>4463</v>
      </c>
      <c r="L4467"/>
      <c r="M4467" s="10">
        <v>2.4101585885105359E-2</v>
      </c>
    </row>
    <row r="4468" spans="9:13" x14ac:dyDescent="0.35">
      <c r="I4468">
        <v>4464</v>
      </c>
      <c r="L4468"/>
      <c r="M4468" s="10">
        <v>3.1779632718981432E-2</v>
      </c>
    </row>
    <row r="4469" spans="9:13" x14ac:dyDescent="0.35">
      <c r="I4469">
        <v>4465</v>
      </c>
      <c r="L4469"/>
      <c r="M4469" s="10">
        <v>3.3251818634025598E-2</v>
      </c>
    </row>
    <row r="4470" spans="9:13" x14ac:dyDescent="0.35">
      <c r="I4470">
        <v>4466</v>
      </c>
      <c r="L4470"/>
      <c r="M4470" s="10">
        <v>2.7090965971325875E-2</v>
      </c>
    </row>
    <row r="4471" spans="9:13" x14ac:dyDescent="0.35">
      <c r="I4471">
        <v>4467</v>
      </c>
      <c r="L4471"/>
      <c r="M4471" s="10">
        <v>2.4141146882287856E-2</v>
      </c>
    </row>
    <row r="4472" spans="9:13" x14ac:dyDescent="0.35">
      <c r="I4472">
        <v>4468</v>
      </c>
      <c r="L4472"/>
      <c r="M4472" s="10">
        <v>2.560069973315926E-2</v>
      </c>
    </row>
    <row r="4473" spans="9:13" x14ac:dyDescent="0.35">
      <c r="I4473">
        <v>4469</v>
      </c>
      <c r="L4473"/>
      <c r="M4473" s="10">
        <v>2.2912501161622578E-2</v>
      </c>
    </row>
    <row r="4474" spans="9:13" x14ac:dyDescent="0.35">
      <c r="I4474">
        <v>4470</v>
      </c>
      <c r="L4474"/>
      <c r="M4474" s="10">
        <v>2.2257602221913309E-2</v>
      </c>
    </row>
    <row r="4475" spans="9:13" x14ac:dyDescent="0.35">
      <c r="I4475">
        <v>4471</v>
      </c>
      <c r="L4475"/>
      <c r="M4475" s="10">
        <v>1.9470787891978314E-2</v>
      </c>
    </row>
    <row r="4476" spans="9:13" x14ac:dyDescent="0.35">
      <c r="I4476">
        <v>4472</v>
      </c>
      <c r="L4476"/>
      <c r="M4476" s="10">
        <v>2.4088009596790694E-2</v>
      </c>
    </row>
    <row r="4477" spans="9:13" x14ac:dyDescent="0.35">
      <c r="I4477">
        <v>4473</v>
      </c>
      <c r="L4477"/>
      <c r="M4477" s="10">
        <v>2.3139765158345704E-2</v>
      </c>
    </row>
    <row r="4478" spans="9:13" x14ac:dyDescent="0.35">
      <c r="I4478">
        <v>4474</v>
      </c>
      <c r="L4478"/>
      <c r="M4478" s="10">
        <v>2.8164274117296051E-2</v>
      </c>
    </row>
    <row r="4479" spans="9:13" x14ac:dyDescent="0.35">
      <c r="I4479">
        <v>4475</v>
      </c>
      <c r="L4479"/>
      <c r="M4479" s="10">
        <v>2.860263335133939E-2</v>
      </c>
    </row>
    <row r="4480" spans="9:13" x14ac:dyDescent="0.35">
      <c r="I4480">
        <v>4476</v>
      </c>
      <c r="L4480"/>
      <c r="M4480" s="10">
        <v>2.5279883528941616E-2</v>
      </c>
    </row>
    <row r="4481" spans="9:13" x14ac:dyDescent="0.35">
      <c r="I4481">
        <v>4477</v>
      </c>
      <c r="L4481"/>
      <c r="M4481" s="10">
        <v>2.2622773680934127E-2</v>
      </c>
    </row>
    <row r="4482" spans="9:13" x14ac:dyDescent="0.35">
      <c r="I4482">
        <v>4478</v>
      </c>
      <c r="L4482"/>
      <c r="M4482" s="10">
        <v>3.1619094853787999E-2</v>
      </c>
    </row>
    <row r="4483" spans="9:13" x14ac:dyDescent="0.35">
      <c r="I4483">
        <v>4479</v>
      </c>
      <c r="L4483"/>
      <c r="M4483" s="10">
        <v>2.9668041297470138E-2</v>
      </c>
    </row>
    <row r="4484" spans="9:13" x14ac:dyDescent="0.35">
      <c r="I4484">
        <v>4480</v>
      </c>
      <c r="L4484"/>
      <c r="M4484" s="10">
        <v>2.6369912973900789E-2</v>
      </c>
    </row>
    <row r="4485" spans="9:13" x14ac:dyDescent="0.35">
      <c r="I4485">
        <v>4481</v>
      </c>
      <c r="L4485"/>
      <c r="M4485" s="10">
        <v>2.1597187653457084E-2</v>
      </c>
    </row>
    <row r="4486" spans="9:13" x14ac:dyDescent="0.35">
      <c r="I4486">
        <v>4482</v>
      </c>
      <c r="L4486"/>
      <c r="M4486" s="10">
        <v>2.3890563203488369E-2</v>
      </c>
    </row>
    <row r="4487" spans="9:13" x14ac:dyDescent="0.35">
      <c r="I4487">
        <v>4483</v>
      </c>
      <c r="L4487"/>
      <c r="M4487" s="10">
        <v>2.3647242071521135E-2</v>
      </c>
    </row>
    <row r="4488" spans="9:13" x14ac:dyDescent="0.35">
      <c r="I4488">
        <v>4484</v>
      </c>
      <c r="L4488"/>
      <c r="M4488" s="10">
        <v>2.5198176039998299E-2</v>
      </c>
    </row>
    <row r="4489" spans="9:13" x14ac:dyDescent="0.35">
      <c r="I4489">
        <v>4485</v>
      </c>
      <c r="L4489"/>
      <c r="M4489" s="10">
        <v>2.1354776258384112E-2</v>
      </c>
    </row>
    <row r="4490" spans="9:13" x14ac:dyDescent="0.35">
      <c r="I4490">
        <v>4486</v>
      </c>
      <c r="L4490"/>
      <c r="M4490" s="10">
        <v>3.645752215410436E-2</v>
      </c>
    </row>
    <row r="4491" spans="9:13" x14ac:dyDescent="0.35">
      <c r="I4491">
        <v>4487</v>
      </c>
      <c r="L4491"/>
      <c r="M4491" s="10">
        <v>2.128212567462584E-2</v>
      </c>
    </row>
    <row r="4492" spans="9:13" x14ac:dyDescent="0.35">
      <c r="I4492">
        <v>4488</v>
      </c>
      <c r="L4492"/>
      <c r="M4492" s="10">
        <v>2.5550466071093014E-2</v>
      </c>
    </row>
    <row r="4493" spans="9:13" x14ac:dyDescent="0.35">
      <c r="I4493">
        <v>4489</v>
      </c>
      <c r="L4493"/>
      <c r="M4493" s="10">
        <v>1.8949850500552978E-2</v>
      </c>
    </row>
    <row r="4494" spans="9:13" x14ac:dyDescent="0.35">
      <c r="I4494">
        <v>4490</v>
      </c>
      <c r="L4494"/>
      <c r="M4494" s="10">
        <v>2.7368229219381757E-2</v>
      </c>
    </row>
    <row r="4495" spans="9:13" x14ac:dyDescent="0.35">
      <c r="I4495">
        <v>4491</v>
      </c>
      <c r="L4495"/>
      <c r="M4495" s="10">
        <v>2.2978610569674873E-2</v>
      </c>
    </row>
    <row r="4496" spans="9:13" x14ac:dyDescent="0.35">
      <c r="I4496">
        <v>4492</v>
      </c>
      <c r="L4496"/>
      <c r="M4496" s="10">
        <v>1.9147548048212615E-2</v>
      </c>
    </row>
    <row r="4497" spans="9:13" x14ac:dyDescent="0.35">
      <c r="I4497">
        <v>4493</v>
      </c>
      <c r="L4497"/>
      <c r="M4497" s="10">
        <v>2.7500219205960796E-2</v>
      </c>
    </row>
    <row r="4498" spans="9:13" x14ac:dyDescent="0.35">
      <c r="I4498">
        <v>4494</v>
      </c>
      <c r="L4498"/>
      <c r="M4498" s="10">
        <v>1.980873979987452E-2</v>
      </c>
    </row>
    <row r="4499" spans="9:13" x14ac:dyDescent="0.35">
      <c r="I4499">
        <v>4495</v>
      </c>
      <c r="L4499"/>
      <c r="M4499" s="10">
        <v>2.567983428524212E-2</v>
      </c>
    </row>
    <row r="4500" spans="9:13" x14ac:dyDescent="0.35">
      <c r="I4500">
        <v>4496</v>
      </c>
      <c r="L4500"/>
      <c r="M4500" s="10">
        <v>2.1667840164772745E-2</v>
      </c>
    </row>
    <row r="4501" spans="9:13" x14ac:dyDescent="0.35">
      <c r="I4501">
        <v>4497</v>
      </c>
      <c r="L4501"/>
      <c r="M4501" s="10">
        <v>2.6565905462534678E-2</v>
      </c>
    </row>
    <row r="4502" spans="9:13" x14ac:dyDescent="0.35">
      <c r="I4502">
        <v>4498</v>
      </c>
      <c r="L4502"/>
      <c r="M4502" s="10">
        <v>2.6108231063112108E-2</v>
      </c>
    </row>
    <row r="4503" spans="9:13" x14ac:dyDescent="0.35">
      <c r="I4503">
        <v>4499</v>
      </c>
      <c r="L4503"/>
      <c r="M4503" s="10">
        <v>2.6779755025973406E-2</v>
      </c>
    </row>
    <row r="4504" spans="9:13" x14ac:dyDescent="0.35">
      <c r="I4504">
        <v>4500</v>
      </c>
      <c r="L4504"/>
      <c r="M4504" s="10">
        <v>2.7454894216278003E-2</v>
      </c>
    </row>
    <row r="4505" spans="9:13" x14ac:dyDescent="0.35">
      <c r="I4505">
        <v>4501</v>
      </c>
      <c r="L4505"/>
      <c r="M4505" s="10">
        <v>2.4761520469678722E-2</v>
      </c>
    </row>
    <row r="4506" spans="9:13" x14ac:dyDescent="0.35">
      <c r="I4506">
        <v>4502</v>
      </c>
      <c r="L4506"/>
      <c r="M4506" s="10">
        <v>1.8917259036785872E-2</v>
      </c>
    </row>
    <row r="4507" spans="9:13" x14ac:dyDescent="0.35">
      <c r="I4507">
        <v>4503</v>
      </c>
      <c r="L4507"/>
      <c r="M4507" s="10">
        <v>2.499258805961313E-2</v>
      </c>
    </row>
    <row r="4508" spans="9:13" x14ac:dyDescent="0.35">
      <c r="I4508">
        <v>4504</v>
      </c>
      <c r="L4508"/>
      <c r="M4508" s="10">
        <v>2.0539280850798036E-2</v>
      </c>
    </row>
    <row r="4509" spans="9:13" x14ac:dyDescent="0.35">
      <c r="I4509">
        <v>4505</v>
      </c>
      <c r="L4509"/>
      <c r="M4509" s="10">
        <v>3.1036466975697063E-2</v>
      </c>
    </row>
    <row r="4510" spans="9:13" x14ac:dyDescent="0.35">
      <c r="I4510">
        <v>4506</v>
      </c>
      <c r="L4510"/>
      <c r="M4510" s="10">
        <v>2.2735954996754515E-2</v>
      </c>
    </row>
    <row r="4511" spans="9:13" x14ac:dyDescent="0.35">
      <c r="I4511">
        <v>4507</v>
      </c>
      <c r="L4511"/>
      <c r="M4511" s="10">
        <v>2.2613829795209872E-2</v>
      </c>
    </row>
    <row r="4512" spans="9:13" x14ac:dyDescent="0.35">
      <c r="I4512">
        <v>4508</v>
      </c>
      <c r="L4512"/>
      <c r="M4512" s="10">
        <v>2.0807943457417988E-2</v>
      </c>
    </row>
    <row r="4513" spans="9:13" x14ac:dyDescent="0.35">
      <c r="I4513">
        <v>4509</v>
      </c>
      <c r="L4513"/>
      <c r="M4513" s="10">
        <v>2.0315251164076287E-2</v>
      </c>
    </row>
    <row r="4514" spans="9:13" x14ac:dyDescent="0.35">
      <c r="I4514">
        <v>4510</v>
      </c>
      <c r="L4514"/>
      <c r="M4514" s="10">
        <v>4.0160988494938543E-2</v>
      </c>
    </row>
    <row r="4515" spans="9:13" x14ac:dyDescent="0.35">
      <c r="I4515">
        <v>4511</v>
      </c>
      <c r="L4515"/>
      <c r="M4515" s="10">
        <v>3.1456720771182223E-2</v>
      </c>
    </row>
    <row r="4516" spans="9:13" x14ac:dyDescent="0.35">
      <c r="I4516">
        <v>4512</v>
      </c>
      <c r="L4516"/>
      <c r="M4516" s="10">
        <v>2.3228034752524773E-2</v>
      </c>
    </row>
    <row r="4517" spans="9:13" x14ac:dyDescent="0.35">
      <c r="I4517">
        <v>4513</v>
      </c>
      <c r="L4517"/>
      <c r="M4517" s="10">
        <v>2.5380941065813789E-2</v>
      </c>
    </row>
    <row r="4518" spans="9:13" x14ac:dyDescent="0.35">
      <c r="I4518">
        <v>4514</v>
      </c>
      <c r="L4518"/>
      <c r="M4518" s="10">
        <v>2.0599814632118019E-2</v>
      </c>
    </row>
    <row r="4519" spans="9:13" x14ac:dyDescent="0.35">
      <c r="I4519">
        <v>4515</v>
      </c>
      <c r="L4519"/>
      <c r="M4519" s="10">
        <v>2.4534083455509448E-2</v>
      </c>
    </row>
    <row r="4520" spans="9:13" x14ac:dyDescent="0.35">
      <c r="I4520">
        <v>4516</v>
      </c>
      <c r="L4520"/>
      <c r="M4520" s="10">
        <v>2.7539005810541584E-2</v>
      </c>
    </row>
    <row r="4521" spans="9:13" x14ac:dyDescent="0.35">
      <c r="I4521">
        <v>4517</v>
      </c>
      <c r="L4521"/>
      <c r="M4521" s="10">
        <v>2.7197207055072559E-2</v>
      </c>
    </row>
    <row r="4522" spans="9:13" x14ac:dyDescent="0.35">
      <c r="I4522">
        <v>4518</v>
      </c>
      <c r="L4522"/>
      <c r="M4522" s="10">
        <v>2.1821003858975119E-2</v>
      </c>
    </row>
    <row r="4523" spans="9:13" x14ac:dyDescent="0.35">
      <c r="I4523">
        <v>4519</v>
      </c>
      <c r="L4523"/>
      <c r="M4523" s="10">
        <v>3.5248894831018784E-2</v>
      </c>
    </row>
    <row r="4524" spans="9:13" x14ac:dyDescent="0.35">
      <c r="I4524">
        <v>4520</v>
      </c>
      <c r="L4524"/>
      <c r="M4524" s="10">
        <v>2.5806077022944685E-2</v>
      </c>
    </row>
    <row r="4525" spans="9:13" x14ac:dyDescent="0.35">
      <c r="I4525">
        <v>4521</v>
      </c>
      <c r="L4525"/>
      <c r="M4525" s="10">
        <v>2.4324495144333103E-2</v>
      </c>
    </row>
    <row r="4526" spans="9:13" x14ac:dyDescent="0.35">
      <c r="I4526">
        <v>4522</v>
      </c>
      <c r="L4526"/>
      <c r="M4526" s="10">
        <v>2.5828549756716113E-2</v>
      </c>
    </row>
    <row r="4527" spans="9:13" x14ac:dyDescent="0.35">
      <c r="I4527">
        <v>4523</v>
      </c>
      <c r="L4527"/>
      <c r="M4527" s="10">
        <v>2.3647843446676697E-2</v>
      </c>
    </row>
    <row r="4528" spans="9:13" x14ac:dyDescent="0.35">
      <c r="I4528">
        <v>4524</v>
      </c>
      <c r="L4528"/>
      <c r="M4528" s="10">
        <v>2.4529665929424738E-2</v>
      </c>
    </row>
    <row r="4529" spans="9:13" x14ac:dyDescent="0.35">
      <c r="I4529">
        <v>4525</v>
      </c>
      <c r="L4529"/>
      <c r="M4529" s="10">
        <v>2.5051775374517526E-2</v>
      </c>
    </row>
    <row r="4530" spans="9:13" x14ac:dyDescent="0.35">
      <c r="I4530">
        <v>4526</v>
      </c>
      <c r="L4530"/>
      <c r="M4530" s="10">
        <v>2.58216569649099E-2</v>
      </c>
    </row>
    <row r="4531" spans="9:13" x14ac:dyDescent="0.35">
      <c r="I4531">
        <v>4527</v>
      </c>
      <c r="L4531"/>
      <c r="M4531" s="10">
        <v>2.5318573857685434E-2</v>
      </c>
    </row>
    <row r="4532" spans="9:13" x14ac:dyDescent="0.35">
      <c r="I4532">
        <v>4528</v>
      </c>
      <c r="L4532"/>
      <c r="M4532" s="10">
        <v>2.5358757159553269E-2</v>
      </c>
    </row>
    <row r="4533" spans="9:13" x14ac:dyDescent="0.35">
      <c r="I4533">
        <v>4529</v>
      </c>
      <c r="L4533"/>
      <c r="M4533" s="10">
        <v>2.3076904013314636E-2</v>
      </c>
    </row>
    <row r="4534" spans="9:13" x14ac:dyDescent="0.35">
      <c r="I4534">
        <v>4530</v>
      </c>
      <c r="L4534"/>
      <c r="M4534" s="10">
        <v>2.5281722536957929E-2</v>
      </c>
    </row>
    <row r="4535" spans="9:13" x14ac:dyDescent="0.35">
      <c r="I4535">
        <v>4531</v>
      </c>
      <c r="L4535"/>
      <c r="M4535" s="10">
        <v>3.2599230314403593E-2</v>
      </c>
    </row>
    <row r="4536" spans="9:13" x14ac:dyDescent="0.35">
      <c r="I4536">
        <v>4532</v>
      </c>
      <c r="L4536"/>
      <c r="M4536" s="10">
        <v>2.2976405992538473E-2</v>
      </c>
    </row>
    <row r="4537" spans="9:13" x14ac:dyDescent="0.35">
      <c r="I4537">
        <v>4533</v>
      </c>
      <c r="L4537"/>
      <c r="M4537" s="10">
        <v>2.2498785751239425E-2</v>
      </c>
    </row>
    <row r="4538" spans="9:13" x14ac:dyDescent="0.35">
      <c r="I4538">
        <v>4534</v>
      </c>
      <c r="L4538"/>
      <c r="M4538" s="10">
        <v>3.171955659671255E-2</v>
      </c>
    </row>
    <row r="4539" spans="9:13" x14ac:dyDescent="0.35">
      <c r="I4539">
        <v>4535</v>
      </c>
      <c r="L4539"/>
      <c r="M4539" s="10">
        <v>2.5763969599639447E-2</v>
      </c>
    </row>
    <row r="4540" spans="9:13" x14ac:dyDescent="0.35">
      <c r="I4540">
        <v>4536</v>
      </c>
      <c r="L4540"/>
      <c r="M4540" s="10">
        <v>2.4949508110824303E-2</v>
      </c>
    </row>
    <row r="4541" spans="9:13" x14ac:dyDescent="0.35">
      <c r="I4541">
        <v>4537</v>
      </c>
      <c r="L4541"/>
      <c r="M4541" s="10">
        <v>2.0631034514033808E-2</v>
      </c>
    </row>
    <row r="4542" spans="9:13" x14ac:dyDescent="0.35">
      <c r="I4542">
        <v>4538</v>
      </c>
      <c r="L4542"/>
      <c r="M4542" s="10">
        <v>3.060774369716257E-2</v>
      </c>
    </row>
    <row r="4543" spans="9:13" x14ac:dyDescent="0.35">
      <c r="I4543">
        <v>4539</v>
      </c>
      <c r="L4543"/>
      <c r="M4543" s="10">
        <v>2.9172008651176196E-2</v>
      </c>
    </row>
    <row r="4544" spans="9:13" x14ac:dyDescent="0.35">
      <c r="I4544">
        <v>4540</v>
      </c>
      <c r="L4544"/>
      <c r="M4544" s="10">
        <v>1.9337341210126868E-2</v>
      </c>
    </row>
    <row r="4545" spans="9:13" x14ac:dyDescent="0.35">
      <c r="I4545">
        <v>4541</v>
      </c>
      <c r="L4545"/>
      <c r="M4545" s="10">
        <v>2.4518276079320667E-2</v>
      </c>
    </row>
    <row r="4546" spans="9:13" x14ac:dyDescent="0.35">
      <c r="I4546">
        <v>4542</v>
      </c>
      <c r="L4546"/>
      <c r="M4546" s="10">
        <v>2.6360863045225669E-2</v>
      </c>
    </row>
    <row r="4547" spans="9:13" x14ac:dyDescent="0.35">
      <c r="I4547">
        <v>4543</v>
      </c>
      <c r="L4547"/>
      <c r="M4547" s="10">
        <v>2.0178981786309058E-2</v>
      </c>
    </row>
    <row r="4548" spans="9:13" x14ac:dyDescent="0.35">
      <c r="I4548">
        <v>4544</v>
      </c>
      <c r="L4548"/>
      <c r="M4548" s="10">
        <v>2.866465731517942E-2</v>
      </c>
    </row>
    <row r="4549" spans="9:13" x14ac:dyDescent="0.35">
      <c r="I4549">
        <v>4545</v>
      </c>
      <c r="L4549"/>
      <c r="M4549" s="10">
        <v>1.9235470212197403E-2</v>
      </c>
    </row>
    <row r="4550" spans="9:13" x14ac:dyDescent="0.35">
      <c r="I4550">
        <v>4546</v>
      </c>
      <c r="L4550"/>
      <c r="M4550" s="10">
        <v>2.7800287269660551E-2</v>
      </c>
    </row>
    <row r="4551" spans="9:13" x14ac:dyDescent="0.35">
      <c r="I4551">
        <v>4547</v>
      </c>
      <c r="L4551"/>
      <c r="M4551" s="10">
        <v>2.0167836114052373E-2</v>
      </c>
    </row>
    <row r="4552" spans="9:13" x14ac:dyDescent="0.35">
      <c r="I4552">
        <v>4548</v>
      </c>
      <c r="L4552"/>
      <c r="M4552" s="10">
        <v>2.2998810356512633E-2</v>
      </c>
    </row>
    <row r="4553" spans="9:13" x14ac:dyDescent="0.35">
      <c r="I4553">
        <v>4549</v>
      </c>
      <c r="L4553"/>
      <c r="M4553" s="10">
        <v>2.2828015626427001E-2</v>
      </c>
    </row>
    <row r="4554" spans="9:13" x14ac:dyDescent="0.35">
      <c r="I4554">
        <v>4550</v>
      </c>
      <c r="L4554"/>
      <c r="M4554" s="10">
        <v>2.5693777537978857E-2</v>
      </c>
    </row>
    <row r="4555" spans="9:13" x14ac:dyDescent="0.35">
      <c r="I4555">
        <v>4551</v>
      </c>
      <c r="L4555"/>
      <c r="M4555" s="10">
        <v>2.1855282242842167E-2</v>
      </c>
    </row>
    <row r="4556" spans="9:13" x14ac:dyDescent="0.35">
      <c r="I4556">
        <v>4552</v>
      </c>
      <c r="L4556"/>
      <c r="M4556" s="10">
        <v>2.9999445053150442E-2</v>
      </c>
    </row>
    <row r="4557" spans="9:13" x14ac:dyDescent="0.35">
      <c r="I4557">
        <v>4553</v>
      </c>
      <c r="L4557"/>
      <c r="M4557" s="10">
        <v>2.2820104264171692E-2</v>
      </c>
    </row>
    <row r="4558" spans="9:13" x14ac:dyDescent="0.35">
      <c r="I4558">
        <v>4554</v>
      </c>
      <c r="L4558"/>
      <c r="M4558" s="10">
        <v>2.3082920555474229E-2</v>
      </c>
    </row>
    <row r="4559" spans="9:13" x14ac:dyDescent="0.35">
      <c r="I4559">
        <v>4555</v>
      </c>
      <c r="L4559"/>
      <c r="M4559" s="10">
        <v>2.369094711559927E-2</v>
      </c>
    </row>
    <row r="4560" spans="9:13" x14ac:dyDescent="0.35">
      <c r="I4560">
        <v>4556</v>
      </c>
      <c r="L4560"/>
      <c r="M4560" s="10">
        <v>3.2073567035154849E-2</v>
      </c>
    </row>
    <row r="4561" spans="9:13" x14ac:dyDescent="0.35">
      <c r="I4561">
        <v>4557</v>
      </c>
      <c r="L4561"/>
      <c r="M4561" s="10">
        <v>3.0545320676954812E-2</v>
      </c>
    </row>
    <row r="4562" spans="9:13" x14ac:dyDescent="0.35">
      <c r="I4562">
        <v>4558</v>
      </c>
      <c r="L4562"/>
      <c r="M4562" s="10">
        <v>2.7464845510035474E-2</v>
      </c>
    </row>
    <row r="4563" spans="9:13" x14ac:dyDescent="0.35">
      <c r="I4563">
        <v>4559</v>
      </c>
      <c r="L4563"/>
      <c r="M4563" s="10">
        <v>2.3513320986994768E-2</v>
      </c>
    </row>
    <row r="4564" spans="9:13" x14ac:dyDescent="0.35">
      <c r="I4564">
        <v>4560</v>
      </c>
      <c r="L4564"/>
      <c r="M4564" s="10">
        <v>2.3665033567132676E-2</v>
      </c>
    </row>
    <row r="4565" spans="9:13" x14ac:dyDescent="0.35">
      <c r="I4565">
        <v>4561</v>
      </c>
      <c r="L4565"/>
      <c r="M4565" s="10">
        <v>2.4429124654287038E-2</v>
      </c>
    </row>
    <row r="4566" spans="9:13" x14ac:dyDescent="0.35">
      <c r="I4566">
        <v>4562</v>
      </c>
      <c r="L4566"/>
      <c r="M4566" s="10">
        <v>2.2051676578447754E-2</v>
      </c>
    </row>
    <row r="4567" spans="9:13" x14ac:dyDescent="0.35">
      <c r="I4567">
        <v>4563</v>
      </c>
      <c r="L4567"/>
      <c r="M4567" s="10">
        <v>2.7257740836392541E-2</v>
      </c>
    </row>
    <row r="4568" spans="9:13" x14ac:dyDescent="0.35">
      <c r="I4568">
        <v>4564</v>
      </c>
      <c r="L4568"/>
      <c r="M4568" s="10">
        <v>2.5513895206064507E-2</v>
      </c>
    </row>
    <row r="4569" spans="9:13" x14ac:dyDescent="0.35">
      <c r="I4569">
        <v>4565</v>
      </c>
      <c r="L4569"/>
      <c r="M4569" s="10">
        <v>2.7987631676591018E-2</v>
      </c>
    </row>
    <row r="4570" spans="9:13" x14ac:dyDescent="0.35">
      <c r="I4570">
        <v>4566</v>
      </c>
      <c r="L4570"/>
      <c r="M4570" s="10">
        <v>2.5322833714645832E-2</v>
      </c>
    </row>
    <row r="4571" spans="9:13" x14ac:dyDescent="0.35">
      <c r="I4571">
        <v>4567</v>
      </c>
      <c r="L4571"/>
      <c r="M4571" s="10">
        <v>2.367173659786892E-2</v>
      </c>
    </row>
    <row r="4572" spans="9:13" x14ac:dyDescent="0.35">
      <c r="I4572">
        <v>4568</v>
      </c>
      <c r="L4572"/>
      <c r="M4572" s="10">
        <v>2.3056141919776896E-2</v>
      </c>
    </row>
    <row r="4573" spans="9:13" x14ac:dyDescent="0.35">
      <c r="I4573">
        <v>4569</v>
      </c>
      <c r="L4573"/>
      <c r="M4573" s="10">
        <v>1.9714759234670587E-2</v>
      </c>
    </row>
    <row r="4574" spans="9:13" x14ac:dyDescent="0.35">
      <c r="I4574">
        <v>4570</v>
      </c>
      <c r="L4574"/>
      <c r="M4574" s="10">
        <v>2.2475422814801527E-2</v>
      </c>
    </row>
    <row r="4575" spans="9:13" x14ac:dyDescent="0.35">
      <c r="I4575">
        <v>4571</v>
      </c>
      <c r="L4575"/>
      <c r="M4575" s="10">
        <v>2.1618616701343685E-2</v>
      </c>
    </row>
    <row r="4576" spans="9:13" x14ac:dyDescent="0.35">
      <c r="I4576">
        <v>4572</v>
      </c>
      <c r="L4576"/>
      <c r="M4576" s="10">
        <v>2.2562087811697773E-2</v>
      </c>
    </row>
    <row r="4577" spans="9:13" x14ac:dyDescent="0.35">
      <c r="I4577">
        <v>4573</v>
      </c>
      <c r="L4577"/>
      <c r="M4577" s="10">
        <v>2.0083061751345888E-2</v>
      </c>
    </row>
    <row r="4578" spans="9:13" x14ac:dyDescent="0.35">
      <c r="I4578">
        <v>4574</v>
      </c>
      <c r="L4578"/>
      <c r="M4578" s="10">
        <v>2.9649852140792854E-2</v>
      </c>
    </row>
    <row r="4579" spans="9:13" x14ac:dyDescent="0.35">
      <c r="I4579">
        <v>4575</v>
      </c>
      <c r="L4579"/>
      <c r="M4579" s="10">
        <v>2.4476277489570264E-2</v>
      </c>
    </row>
    <row r="4580" spans="9:13" x14ac:dyDescent="0.35">
      <c r="I4580">
        <v>4576</v>
      </c>
      <c r="L4580"/>
      <c r="M4580" s="10">
        <v>2.8335427439991845E-2</v>
      </c>
    </row>
    <row r="4581" spans="9:13" x14ac:dyDescent="0.35">
      <c r="I4581">
        <v>4577</v>
      </c>
      <c r="L4581"/>
      <c r="M4581" s="10">
        <v>3.2317864878511626E-2</v>
      </c>
    </row>
    <row r="4582" spans="9:13" x14ac:dyDescent="0.35">
      <c r="I4582">
        <v>4578</v>
      </c>
      <c r="L4582"/>
      <c r="M4582" s="10">
        <v>2.77920996376122E-2</v>
      </c>
    </row>
    <row r="4583" spans="9:13" x14ac:dyDescent="0.35">
      <c r="I4583">
        <v>4579</v>
      </c>
      <c r="L4583"/>
      <c r="M4583" s="10">
        <v>3.5317303696742464E-2</v>
      </c>
    </row>
    <row r="4584" spans="9:13" x14ac:dyDescent="0.35">
      <c r="I4584">
        <v>4580</v>
      </c>
      <c r="L4584"/>
      <c r="M4584" s="10">
        <v>2.3094572722351492E-2</v>
      </c>
    </row>
    <row r="4585" spans="9:13" x14ac:dyDescent="0.35">
      <c r="I4585">
        <v>4581</v>
      </c>
      <c r="L4585"/>
      <c r="M4585" s="10">
        <v>2.4349437562618093E-2</v>
      </c>
    </row>
    <row r="4586" spans="9:13" x14ac:dyDescent="0.35">
      <c r="I4586">
        <v>4582</v>
      </c>
      <c r="L4586"/>
      <c r="M4586" s="10">
        <v>2.1551252916806818E-2</v>
      </c>
    </row>
    <row r="4587" spans="9:13" x14ac:dyDescent="0.35">
      <c r="I4587">
        <v>4583</v>
      </c>
      <c r="L4587"/>
      <c r="M4587" s="10">
        <v>2.7174321311913552E-2</v>
      </c>
    </row>
    <row r="4588" spans="9:13" x14ac:dyDescent="0.35">
      <c r="I4588">
        <v>4584</v>
      </c>
      <c r="L4588"/>
      <c r="M4588" s="10">
        <v>2.5949874054921329E-2</v>
      </c>
    </row>
    <row r="4589" spans="9:13" x14ac:dyDescent="0.35">
      <c r="I4589">
        <v>4585</v>
      </c>
      <c r="L4589"/>
      <c r="M4589" s="10">
        <v>3.10944361919685E-2</v>
      </c>
    </row>
    <row r="4590" spans="9:13" x14ac:dyDescent="0.35">
      <c r="I4590">
        <v>4586</v>
      </c>
      <c r="L4590"/>
      <c r="M4590" s="10">
        <v>2.7344615128586547E-2</v>
      </c>
    </row>
    <row r="4591" spans="9:13" x14ac:dyDescent="0.35">
      <c r="I4591">
        <v>4587</v>
      </c>
      <c r="L4591"/>
      <c r="M4591" s="10">
        <v>2.2698059990142183E-2</v>
      </c>
    </row>
    <row r="4592" spans="9:13" x14ac:dyDescent="0.35">
      <c r="I4592">
        <v>4588</v>
      </c>
      <c r="L4592"/>
      <c r="M4592" s="10">
        <v>2.9175175986682289E-2</v>
      </c>
    </row>
    <row r="4593" spans="9:13" x14ac:dyDescent="0.35">
      <c r="I4593">
        <v>4589</v>
      </c>
      <c r="L4593"/>
      <c r="M4593" s="10">
        <v>3.3798358421574859E-2</v>
      </c>
    </row>
    <row r="4594" spans="9:13" x14ac:dyDescent="0.35">
      <c r="I4594">
        <v>4590</v>
      </c>
      <c r="L4594"/>
      <c r="M4594" s="10">
        <v>2.457431001173882E-2</v>
      </c>
    </row>
    <row r="4595" spans="9:13" x14ac:dyDescent="0.35">
      <c r="I4595">
        <v>4591</v>
      </c>
      <c r="L4595"/>
      <c r="M4595" s="10">
        <v>2.5060913207217705E-2</v>
      </c>
    </row>
    <row r="4596" spans="9:13" x14ac:dyDescent="0.35">
      <c r="I4596">
        <v>4592</v>
      </c>
      <c r="L4596"/>
      <c r="M4596" s="10">
        <v>2.5430151971524984E-2</v>
      </c>
    </row>
    <row r="4597" spans="9:13" x14ac:dyDescent="0.35">
      <c r="I4597">
        <v>4593</v>
      </c>
      <c r="L4597"/>
      <c r="M4597" s="10">
        <v>2.4505267678913922E-2</v>
      </c>
    </row>
    <row r="4598" spans="9:13" x14ac:dyDescent="0.35">
      <c r="I4598">
        <v>4594</v>
      </c>
      <c r="L4598"/>
      <c r="M4598" s="10">
        <v>2.4148505704957079E-2</v>
      </c>
    </row>
    <row r="4599" spans="9:13" x14ac:dyDescent="0.35">
      <c r="I4599">
        <v>4595</v>
      </c>
      <c r="L4599"/>
      <c r="M4599" s="10">
        <v>2.3938184860238576E-2</v>
      </c>
    </row>
    <row r="4600" spans="9:13" x14ac:dyDescent="0.35">
      <c r="I4600">
        <v>4596</v>
      </c>
      <c r="L4600"/>
      <c r="M4600" s="10">
        <v>2.5366795494289218E-2</v>
      </c>
    </row>
    <row r="4601" spans="9:13" x14ac:dyDescent="0.35">
      <c r="I4601">
        <v>4597</v>
      </c>
      <c r="L4601"/>
      <c r="M4601" s="10">
        <v>2.2026289058829529E-2</v>
      </c>
    </row>
    <row r="4602" spans="9:13" x14ac:dyDescent="0.35">
      <c r="I4602">
        <v>4598</v>
      </c>
      <c r="L4602"/>
      <c r="M4602" s="10">
        <v>2.5331587839300118E-2</v>
      </c>
    </row>
    <row r="4603" spans="9:13" x14ac:dyDescent="0.35">
      <c r="I4603">
        <v>4599</v>
      </c>
      <c r="L4603"/>
      <c r="M4603" s="10">
        <v>2.7683712579412489E-2</v>
      </c>
    </row>
    <row r="4604" spans="9:13" x14ac:dyDescent="0.35">
      <c r="I4604">
        <v>4600</v>
      </c>
      <c r="L4604"/>
      <c r="M4604" s="10">
        <v>2.487361065934679E-2</v>
      </c>
    </row>
    <row r="4605" spans="9:13" x14ac:dyDescent="0.35">
      <c r="I4605">
        <v>4601</v>
      </c>
      <c r="L4605"/>
      <c r="M4605" s="10">
        <v>2.8700918423167243E-2</v>
      </c>
    </row>
    <row r="4606" spans="9:13" x14ac:dyDescent="0.35">
      <c r="I4606">
        <v>4602</v>
      </c>
      <c r="L4606"/>
      <c r="M4606" s="10">
        <v>2.4895230863605344E-2</v>
      </c>
    </row>
    <row r="4607" spans="9:13" x14ac:dyDescent="0.35">
      <c r="I4607">
        <v>4603</v>
      </c>
      <c r="L4607"/>
      <c r="M4607" s="10">
        <v>2.0607091131970123E-2</v>
      </c>
    </row>
    <row r="4608" spans="9:13" x14ac:dyDescent="0.35">
      <c r="I4608">
        <v>4604</v>
      </c>
      <c r="L4608"/>
      <c r="M4608" s="10">
        <v>2.3997401476484659E-2</v>
      </c>
    </row>
    <row r="4609" spans="9:13" x14ac:dyDescent="0.35">
      <c r="I4609">
        <v>4605</v>
      </c>
      <c r="L4609"/>
      <c r="M4609" s="10">
        <v>3.0338394601965968E-2</v>
      </c>
    </row>
    <row r="4610" spans="9:13" x14ac:dyDescent="0.35">
      <c r="I4610">
        <v>4606</v>
      </c>
      <c r="L4610"/>
      <c r="M4610" s="10">
        <v>2.8431641883673864E-2</v>
      </c>
    </row>
    <row r="4611" spans="9:13" x14ac:dyDescent="0.35">
      <c r="I4611">
        <v>4607</v>
      </c>
      <c r="L4611"/>
      <c r="M4611" s="10">
        <v>2.5256738259613387E-2</v>
      </c>
    </row>
    <row r="4612" spans="9:13" x14ac:dyDescent="0.35">
      <c r="I4612">
        <v>4608</v>
      </c>
      <c r="L4612"/>
      <c r="M4612" s="10">
        <v>3.5849999297995927E-2</v>
      </c>
    </row>
    <row r="4613" spans="9:13" x14ac:dyDescent="0.35">
      <c r="I4613">
        <v>4609</v>
      </c>
      <c r="L4613"/>
      <c r="M4613" s="10">
        <v>2.6190888752707253E-2</v>
      </c>
    </row>
    <row r="4614" spans="9:13" x14ac:dyDescent="0.35">
      <c r="I4614">
        <v>4610</v>
      </c>
      <c r="L4614"/>
      <c r="M4614" s="10">
        <v>2.6252036466900663E-2</v>
      </c>
    </row>
    <row r="4615" spans="9:13" x14ac:dyDescent="0.35">
      <c r="I4615">
        <v>4611</v>
      </c>
      <c r="L4615"/>
      <c r="M4615" s="10">
        <v>2.1977341865193512E-2</v>
      </c>
    </row>
    <row r="4616" spans="9:13" x14ac:dyDescent="0.35">
      <c r="I4616">
        <v>4612</v>
      </c>
      <c r="L4616"/>
      <c r="M4616" s="10">
        <v>2.3201427738971603E-2</v>
      </c>
    </row>
    <row r="4617" spans="9:13" x14ac:dyDescent="0.35">
      <c r="I4617">
        <v>4613</v>
      </c>
      <c r="L4617"/>
      <c r="M4617" s="10">
        <v>2.0522646060532113E-2</v>
      </c>
    </row>
    <row r="4618" spans="9:13" x14ac:dyDescent="0.35">
      <c r="I4618">
        <v>4614</v>
      </c>
      <c r="L4618"/>
      <c r="M4618" s="10">
        <v>2.5229818698415563E-2</v>
      </c>
    </row>
    <row r="4619" spans="9:13" x14ac:dyDescent="0.35">
      <c r="I4619">
        <v>4615</v>
      </c>
      <c r="L4619"/>
      <c r="M4619" s="10">
        <v>2.8592520202551652E-2</v>
      </c>
    </row>
    <row r="4620" spans="9:13" x14ac:dyDescent="0.35">
      <c r="I4620">
        <v>4616</v>
      </c>
      <c r="L4620"/>
      <c r="M4620" s="10">
        <v>2.5149650227561771E-2</v>
      </c>
    </row>
    <row r="4621" spans="9:13" x14ac:dyDescent="0.35">
      <c r="I4621">
        <v>4617</v>
      </c>
      <c r="L4621"/>
      <c r="M4621" s="10">
        <v>2.7247443507742775E-2</v>
      </c>
    </row>
    <row r="4622" spans="9:13" x14ac:dyDescent="0.35">
      <c r="I4622">
        <v>4618</v>
      </c>
      <c r="L4622"/>
      <c r="M4622" s="10">
        <v>2.1294800597858154E-2</v>
      </c>
    </row>
    <row r="4623" spans="9:13" x14ac:dyDescent="0.35">
      <c r="I4623">
        <v>4619</v>
      </c>
      <c r="L4623"/>
      <c r="M4623" s="10">
        <v>2.2825836164726332E-2</v>
      </c>
    </row>
    <row r="4624" spans="9:13" x14ac:dyDescent="0.35">
      <c r="I4624">
        <v>4620</v>
      </c>
      <c r="L4624"/>
      <c r="M4624" s="10">
        <v>2.4002271080412529E-2</v>
      </c>
    </row>
    <row r="4625" spans="9:13" x14ac:dyDescent="0.35">
      <c r="I4625">
        <v>4621</v>
      </c>
      <c r="L4625"/>
      <c r="M4625" s="10">
        <v>2.4847822688058852E-2</v>
      </c>
    </row>
    <row r="4626" spans="9:13" x14ac:dyDescent="0.35">
      <c r="I4626">
        <v>4622</v>
      </c>
      <c r="L4626"/>
      <c r="M4626" s="10">
        <v>2.3986052090138155E-2</v>
      </c>
    </row>
    <row r="4627" spans="9:13" x14ac:dyDescent="0.35">
      <c r="I4627">
        <v>4623</v>
      </c>
      <c r="L4627"/>
      <c r="M4627" s="10">
        <v>3.3705498283864932E-2</v>
      </c>
    </row>
    <row r="4628" spans="9:13" x14ac:dyDescent="0.35">
      <c r="I4628">
        <v>4624</v>
      </c>
      <c r="L4628"/>
      <c r="M4628" s="10">
        <v>2.115519505304464E-2</v>
      </c>
    </row>
    <row r="4629" spans="9:13" x14ac:dyDescent="0.35">
      <c r="I4629">
        <v>4625</v>
      </c>
      <c r="L4629"/>
      <c r="M4629" s="10">
        <v>2.1172687954031377E-2</v>
      </c>
    </row>
    <row r="4630" spans="9:13" x14ac:dyDescent="0.35">
      <c r="I4630">
        <v>4626</v>
      </c>
      <c r="L4630"/>
      <c r="M4630" s="10">
        <v>2.4436967646745078E-2</v>
      </c>
    </row>
    <row r="4631" spans="9:13" x14ac:dyDescent="0.35">
      <c r="I4631">
        <v>4627</v>
      </c>
      <c r="L4631"/>
      <c r="M4631" s="10">
        <v>2.8560121290458484E-2</v>
      </c>
    </row>
    <row r="4632" spans="9:13" x14ac:dyDescent="0.35">
      <c r="I4632">
        <v>4628</v>
      </c>
      <c r="L4632"/>
      <c r="M4632" s="10">
        <v>2.7953728628957952E-2</v>
      </c>
    </row>
    <row r="4633" spans="9:13" x14ac:dyDescent="0.35">
      <c r="I4633">
        <v>4629</v>
      </c>
      <c r="L4633"/>
      <c r="M4633" s="10">
        <v>2.672111606474914E-2</v>
      </c>
    </row>
    <row r="4634" spans="9:13" x14ac:dyDescent="0.35">
      <c r="I4634">
        <v>4630</v>
      </c>
      <c r="L4634"/>
      <c r="M4634" s="10">
        <v>2.6761370527018213E-2</v>
      </c>
    </row>
    <row r="4635" spans="9:13" x14ac:dyDescent="0.35">
      <c r="I4635">
        <v>4631</v>
      </c>
      <c r="L4635"/>
      <c r="M4635" s="10">
        <v>2.7146434806440078E-2</v>
      </c>
    </row>
    <row r="4636" spans="9:13" x14ac:dyDescent="0.35">
      <c r="I4636">
        <v>4632</v>
      </c>
      <c r="L4636"/>
      <c r="M4636" s="10">
        <v>2.1182037872633286E-2</v>
      </c>
    </row>
    <row r="4637" spans="9:13" x14ac:dyDescent="0.35">
      <c r="I4637">
        <v>4633</v>
      </c>
      <c r="L4637"/>
      <c r="M4637" s="10">
        <v>2.2804460138315163E-2</v>
      </c>
    </row>
    <row r="4638" spans="9:13" x14ac:dyDescent="0.35">
      <c r="I4638">
        <v>4634</v>
      </c>
      <c r="L4638"/>
      <c r="M4638" s="10">
        <v>2.7856071443023378E-2</v>
      </c>
    </row>
    <row r="4639" spans="9:13" x14ac:dyDescent="0.35">
      <c r="I4639">
        <v>4635</v>
      </c>
      <c r="L4639"/>
      <c r="M4639" s="10">
        <v>2.5191800905228545E-2</v>
      </c>
    </row>
    <row r="4640" spans="9:13" x14ac:dyDescent="0.35">
      <c r="I4640">
        <v>4636</v>
      </c>
      <c r="L4640"/>
      <c r="M4640" s="10">
        <v>2.6891108496193361E-2</v>
      </c>
    </row>
    <row r="4641" spans="9:13" x14ac:dyDescent="0.35">
      <c r="I4641">
        <v>4637</v>
      </c>
      <c r="L4641"/>
      <c r="M4641" s="10">
        <v>2.3467122538269325E-2</v>
      </c>
    </row>
    <row r="4642" spans="9:13" x14ac:dyDescent="0.35">
      <c r="I4642">
        <v>4638</v>
      </c>
      <c r="L4642"/>
      <c r="M4642" s="10">
        <v>2.1856059426047847E-2</v>
      </c>
    </row>
    <row r="4643" spans="9:13" x14ac:dyDescent="0.35">
      <c r="I4643">
        <v>4639</v>
      </c>
      <c r="L4643"/>
      <c r="M4643" s="10">
        <v>2.1237230437954446E-2</v>
      </c>
    </row>
    <row r="4644" spans="9:13" x14ac:dyDescent="0.35">
      <c r="I4644">
        <v>4640</v>
      </c>
      <c r="L4644"/>
      <c r="M4644" s="10">
        <v>2.8121245794680672E-2</v>
      </c>
    </row>
    <row r="4645" spans="9:13" x14ac:dyDescent="0.35">
      <c r="I4645">
        <v>4641</v>
      </c>
      <c r="L4645"/>
      <c r="M4645" s="10">
        <v>2.0210736068885127E-2</v>
      </c>
    </row>
    <row r="4646" spans="9:13" x14ac:dyDescent="0.35">
      <c r="I4646">
        <v>4642</v>
      </c>
      <c r="L4646"/>
      <c r="M4646" s="10">
        <v>2.6077613951653866E-2</v>
      </c>
    </row>
    <row r="4647" spans="9:13" x14ac:dyDescent="0.35">
      <c r="I4647">
        <v>4643</v>
      </c>
      <c r="L4647"/>
      <c r="M4647" s="10">
        <v>2.3852814703584468E-2</v>
      </c>
    </row>
    <row r="4648" spans="9:13" x14ac:dyDescent="0.35">
      <c r="I4648">
        <v>4644</v>
      </c>
      <c r="L4648"/>
      <c r="M4648" s="10">
        <v>2.2759224447959414E-2</v>
      </c>
    </row>
    <row r="4649" spans="9:13" x14ac:dyDescent="0.35">
      <c r="I4649">
        <v>4645</v>
      </c>
      <c r="L4649"/>
      <c r="M4649" s="10">
        <v>2.5397631668159115E-2</v>
      </c>
    </row>
    <row r="4650" spans="9:13" x14ac:dyDescent="0.35">
      <c r="I4650">
        <v>4646</v>
      </c>
      <c r="L4650"/>
      <c r="M4650" s="10">
        <v>2.0318232924418367E-2</v>
      </c>
    </row>
    <row r="4651" spans="9:13" x14ac:dyDescent="0.35">
      <c r="I4651">
        <v>4647</v>
      </c>
      <c r="L4651"/>
      <c r="M4651" s="10">
        <v>3.0393916458555603E-2</v>
      </c>
    </row>
    <row r="4652" spans="9:13" x14ac:dyDescent="0.35">
      <c r="I4652">
        <v>4648</v>
      </c>
      <c r="L4652"/>
      <c r="M4652" s="10">
        <v>3.8264212185839641E-2</v>
      </c>
    </row>
    <row r="4653" spans="9:13" x14ac:dyDescent="0.35">
      <c r="I4653">
        <v>4649</v>
      </c>
      <c r="L4653"/>
      <c r="M4653" s="10">
        <v>2.8814283918849659E-2</v>
      </c>
    </row>
    <row r="4654" spans="9:13" x14ac:dyDescent="0.35">
      <c r="I4654">
        <v>4650</v>
      </c>
      <c r="L4654"/>
      <c r="M4654" s="10">
        <v>2.7167590375137607E-2</v>
      </c>
    </row>
    <row r="4655" spans="9:13" x14ac:dyDescent="0.35">
      <c r="I4655">
        <v>4651</v>
      </c>
      <c r="L4655"/>
      <c r="M4655" s="10">
        <v>2.3366846370508787E-2</v>
      </c>
    </row>
    <row r="4656" spans="9:13" x14ac:dyDescent="0.35">
      <c r="I4656">
        <v>4652</v>
      </c>
      <c r="L4656"/>
      <c r="M4656" s="10">
        <v>2.400338453139661E-2</v>
      </c>
    </row>
    <row r="4657" spans="9:13" x14ac:dyDescent="0.35">
      <c r="I4657">
        <v>4653</v>
      </c>
      <c r="L4657"/>
      <c r="M4657" s="10">
        <v>1.8316894079860813E-2</v>
      </c>
    </row>
    <row r="4658" spans="9:13" x14ac:dyDescent="0.35">
      <c r="I4658">
        <v>4654</v>
      </c>
      <c r="L4658"/>
      <c r="M4658" s="10">
        <v>2.7720196935717922E-2</v>
      </c>
    </row>
    <row r="4659" spans="9:13" x14ac:dyDescent="0.35">
      <c r="I4659">
        <v>4655</v>
      </c>
      <c r="L4659"/>
      <c r="M4659" s="10">
        <v>2.245871546883238E-2</v>
      </c>
    </row>
    <row r="4660" spans="9:13" x14ac:dyDescent="0.35">
      <c r="I4660">
        <v>4656</v>
      </c>
      <c r="L4660"/>
      <c r="M4660" s="10">
        <v>2.3488458100922927E-2</v>
      </c>
    </row>
    <row r="4661" spans="9:13" x14ac:dyDescent="0.35">
      <c r="I4661">
        <v>4657</v>
      </c>
      <c r="L4661"/>
      <c r="M4661" s="10">
        <v>2.3830400572496413E-2</v>
      </c>
    </row>
    <row r="4662" spans="9:13" x14ac:dyDescent="0.35">
      <c r="I4662">
        <v>4658</v>
      </c>
      <c r="L4662"/>
      <c r="M4662" s="10">
        <v>2.497525980426063E-2</v>
      </c>
    </row>
    <row r="4663" spans="9:13" x14ac:dyDescent="0.35">
      <c r="I4663">
        <v>4659</v>
      </c>
      <c r="L4663"/>
      <c r="M4663" s="10">
        <v>3.1720996548361136E-2</v>
      </c>
    </row>
    <row r="4664" spans="9:13" x14ac:dyDescent="0.35">
      <c r="I4664">
        <v>4660</v>
      </c>
      <c r="L4664"/>
      <c r="M4664" s="10">
        <v>2.5058430964986278E-2</v>
      </c>
    </row>
    <row r="4665" spans="9:13" x14ac:dyDescent="0.35">
      <c r="I4665">
        <v>4661</v>
      </c>
      <c r="L4665"/>
      <c r="M4665" s="10">
        <v>2.6161909725779475E-2</v>
      </c>
    </row>
    <row r="4666" spans="9:13" x14ac:dyDescent="0.35">
      <c r="I4666">
        <v>4662</v>
      </c>
      <c r="L4666"/>
      <c r="M4666" s="10">
        <v>2.5327697737365762E-2</v>
      </c>
    </row>
    <row r="4667" spans="9:13" x14ac:dyDescent="0.35">
      <c r="I4667">
        <v>4663</v>
      </c>
      <c r="L4667"/>
      <c r="M4667" s="10">
        <v>2.5329768365511596E-2</v>
      </c>
    </row>
    <row r="4668" spans="9:13" x14ac:dyDescent="0.35">
      <c r="I4668">
        <v>4664</v>
      </c>
      <c r="L4668"/>
      <c r="M4668" s="10">
        <v>2.8982116422821003E-2</v>
      </c>
    </row>
    <row r="4669" spans="9:13" x14ac:dyDescent="0.35">
      <c r="I4669">
        <v>4665</v>
      </c>
      <c r="L4669"/>
      <c r="M4669" s="10">
        <v>2.4250097642489532E-2</v>
      </c>
    </row>
    <row r="4670" spans="9:13" x14ac:dyDescent="0.35">
      <c r="I4670">
        <v>4666</v>
      </c>
      <c r="L4670"/>
      <c r="M4670" s="10">
        <v>3.1266630409945151E-2</v>
      </c>
    </row>
    <row r="4671" spans="9:13" x14ac:dyDescent="0.35">
      <c r="I4671">
        <v>4667</v>
      </c>
      <c r="L4671"/>
      <c r="M4671" s="10">
        <v>2.9091683906500077E-2</v>
      </c>
    </row>
    <row r="4672" spans="9:13" x14ac:dyDescent="0.35">
      <c r="I4672">
        <v>4668</v>
      </c>
      <c r="L4672"/>
      <c r="M4672" s="10">
        <v>1.9921509501609314E-2</v>
      </c>
    </row>
    <row r="4673" spans="9:13" x14ac:dyDescent="0.35">
      <c r="I4673">
        <v>4669</v>
      </c>
      <c r="L4673"/>
      <c r="M4673" s="10">
        <v>2.4636255838667687E-2</v>
      </c>
    </row>
    <row r="4674" spans="9:13" x14ac:dyDescent="0.35">
      <c r="I4674">
        <v>4670</v>
      </c>
      <c r="L4674"/>
      <c r="M4674" s="10">
        <v>2.5862320250660598E-2</v>
      </c>
    </row>
    <row r="4675" spans="9:13" x14ac:dyDescent="0.35">
      <c r="I4675">
        <v>4671</v>
      </c>
      <c r="L4675"/>
      <c r="M4675" s="10">
        <v>2.5559875987680281E-2</v>
      </c>
    </row>
    <row r="4676" spans="9:13" x14ac:dyDescent="0.35">
      <c r="I4676">
        <v>4672</v>
      </c>
      <c r="L4676"/>
      <c r="M4676" s="10">
        <v>2.6076508872481696E-2</v>
      </c>
    </row>
    <row r="4677" spans="9:13" x14ac:dyDescent="0.35">
      <c r="I4677">
        <v>4673</v>
      </c>
      <c r="L4677"/>
      <c r="M4677" s="10">
        <v>2.6893034012932748E-2</v>
      </c>
    </row>
    <row r="4678" spans="9:13" x14ac:dyDescent="0.35">
      <c r="I4678">
        <v>4674</v>
      </c>
      <c r="L4678"/>
      <c r="M4678" s="10">
        <v>2.3297770550436248E-2</v>
      </c>
    </row>
    <row r="4679" spans="9:13" x14ac:dyDescent="0.35">
      <c r="I4679">
        <v>4675</v>
      </c>
      <c r="L4679"/>
      <c r="M4679" s="10">
        <v>2.7575805505095641E-2</v>
      </c>
    </row>
    <row r="4680" spans="9:13" x14ac:dyDescent="0.35">
      <c r="I4680">
        <v>4676</v>
      </c>
      <c r="L4680"/>
      <c r="M4680" s="10">
        <v>2.1873066761943782E-2</v>
      </c>
    </row>
    <row r="4681" spans="9:13" x14ac:dyDescent="0.35">
      <c r="I4681">
        <v>4677</v>
      </c>
      <c r="L4681"/>
      <c r="M4681" s="10">
        <v>2.2871899269159224E-2</v>
      </c>
    </row>
    <row r="4682" spans="9:13" x14ac:dyDescent="0.35">
      <c r="I4682">
        <v>4678</v>
      </c>
      <c r="L4682"/>
      <c r="M4682" s="10">
        <v>2.690255276307485E-2</v>
      </c>
    </row>
    <row r="4683" spans="9:13" x14ac:dyDescent="0.35">
      <c r="I4683">
        <v>4679</v>
      </c>
      <c r="L4683"/>
      <c r="M4683" s="10">
        <v>2.349361513705972E-2</v>
      </c>
    </row>
    <row r="4684" spans="9:13" x14ac:dyDescent="0.35">
      <c r="I4684">
        <v>4680</v>
      </c>
      <c r="L4684"/>
      <c r="M4684" s="10">
        <v>2.2488027972934588E-2</v>
      </c>
    </row>
    <row r="4685" spans="9:13" x14ac:dyDescent="0.35">
      <c r="I4685">
        <v>4681</v>
      </c>
      <c r="L4685"/>
      <c r="M4685" s="10">
        <v>2.2044372172555948E-2</v>
      </c>
    </row>
    <row r="4686" spans="9:13" x14ac:dyDescent="0.35">
      <c r="I4686">
        <v>4682</v>
      </c>
      <c r="L4686"/>
      <c r="M4686" s="10">
        <v>2.3205327608019855E-2</v>
      </c>
    </row>
    <row r="4687" spans="9:13" x14ac:dyDescent="0.35">
      <c r="I4687">
        <v>4683</v>
      </c>
      <c r="L4687"/>
      <c r="M4687" s="10">
        <v>2.9102681676746345E-2</v>
      </c>
    </row>
    <row r="4688" spans="9:13" x14ac:dyDescent="0.35">
      <c r="I4688">
        <v>4684</v>
      </c>
      <c r="L4688"/>
      <c r="M4688" s="10">
        <v>1.919434229088568E-2</v>
      </c>
    </row>
    <row r="4689" spans="9:13" x14ac:dyDescent="0.35">
      <c r="I4689">
        <v>4685</v>
      </c>
      <c r="L4689"/>
      <c r="M4689" s="10">
        <v>3.193541818561374E-2</v>
      </c>
    </row>
    <row r="4690" spans="9:13" x14ac:dyDescent="0.35">
      <c r="I4690">
        <v>4686</v>
      </c>
      <c r="L4690"/>
      <c r="M4690" s="10">
        <v>2.4762099520002523E-2</v>
      </c>
    </row>
    <row r="4691" spans="9:13" x14ac:dyDescent="0.35">
      <c r="I4691">
        <v>4687</v>
      </c>
      <c r="L4691"/>
      <c r="M4691" s="10">
        <v>3.243846641028858E-2</v>
      </c>
    </row>
    <row r="4692" spans="9:13" x14ac:dyDescent="0.35">
      <c r="I4692">
        <v>4688</v>
      </c>
      <c r="L4692"/>
      <c r="M4692" s="10">
        <v>2.4934583960792067E-2</v>
      </c>
    </row>
    <row r="4693" spans="9:13" x14ac:dyDescent="0.35">
      <c r="I4693">
        <v>4689</v>
      </c>
      <c r="L4693"/>
      <c r="M4693" s="10">
        <v>2.2469431388077665E-2</v>
      </c>
    </row>
    <row r="4694" spans="9:13" x14ac:dyDescent="0.35">
      <c r="I4694">
        <v>4690</v>
      </c>
      <c r="L4694"/>
      <c r="M4694" s="10">
        <v>2.4411313624447706E-2</v>
      </c>
    </row>
    <row r="4695" spans="9:13" x14ac:dyDescent="0.35">
      <c r="I4695">
        <v>4691</v>
      </c>
      <c r="L4695"/>
      <c r="M4695" s="10">
        <v>2.2029004316492462E-2</v>
      </c>
    </row>
    <row r="4696" spans="9:13" x14ac:dyDescent="0.35">
      <c r="I4696">
        <v>4692</v>
      </c>
      <c r="L4696"/>
      <c r="M4696" s="10">
        <v>2.2589232016515193E-2</v>
      </c>
    </row>
    <row r="4697" spans="9:13" x14ac:dyDescent="0.35">
      <c r="I4697">
        <v>4693</v>
      </c>
      <c r="L4697"/>
      <c r="M4697" s="10">
        <v>2.0004976466355795E-2</v>
      </c>
    </row>
    <row r="4698" spans="9:13" x14ac:dyDescent="0.35">
      <c r="I4698">
        <v>4694</v>
      </c>
      <c r="L4698"/>
      <c r="M4698" s="10">
        <v>2.6793437357238936E-2</v>
      </c>
    </row>
    <row r="4699" spans="9:13" x14ac:dyDescent="0.35">
      <c r="I4699">
        <v>4695</v>
      </c>
      <c r="L4699"/>
      <c r="M4699" s="10">
        <v>2.0359196200095853E-2</v>
      </c>
    </row>
    <row r="4700" spans="9:13" x14ac:dyDescent="0.35">
      <c r="I4700">
        <v>4696</v>
      </c>
      <c r="L4700"/>
      <c r="M4700" s="10">
        <v>2.4134297344843181E-2</v>
      </c>
    </row>
    <row r="4701" spans="9:13" x14ac:dyDescent="0.35">
      <c r="I4701">
        <v>4697</v>
      </c>
      <c r="L4701"/>
      <c r="M4701" s="10">
        <v>2.2103468792831316E-2</v>
      </c>
    </row>
    <row r="4702" spans="9:13" x14ac:dyDescent="0.35">
      <c r="I4702">
        <v>4698</v>
      </c>
      <c r="L4702"/>
      <c r="M4702" s="10">
        <v>2.0552537614958122E-2</v>
      </c>
    </row>
    <row r="4703" spans="9:13" x14ac:dyDescent="0.35">
      <c r="I4703">
        <v>4699</v>
      </c>
      <c r="L4703"/>
      <c r="M4703" s="10">
        <v>2.4963276950812907E-2</v>
      </c>
    </row>
    <row r="4704" spans="9:13" x14ac:dyDescent="0.35">
      <c r="I4704">
        <v>4700</v>
      </c>
      <c r="L4704"/>
      <c r="M4704" s="10">
        <v>2.5778526785249611E-2</v>
      </c>
    </row>
    <row r="4705" spans="9:13" x14ac:dyDescent="0.35">
      <c r="I4705">
        <v>4701</v>
      </c>
      <c r="L4705"/>
      <c r="M4705" s="10">
        <v>2.1293089957624467E-2</v>
      </c>
    </row>
    <row r="4706" spans="9:13" x14ac:dyDescent="0.35">
      <c r="I4706">
        <v>4702</v>
      </c>
      <c r="L4706"/>
      <c r="M4706" s="10">
        <v>2.1213574488099685E-2</v>
      </c>
    </row>
    <row r="4707" spans="9:13" x14ac:dyDescent="0.35">
      <c r="I4707">
        <v>4703</v>
      </c>
      <c r="L4707"/>
      <c r="M4707" s="10">
        <v>2.4161606195294838E-2</v>
      </c>
    </row>
    <row r="4708" spans="9:13" x14ac:dyDescent="0.35">
      <c r="I4708">
        <v>4704</v>
      </c>
      <c r="L4708"/>
      <c r="M4708" s="10">
        <v>2.3477203595111407E-2</v>
      </c>
    </row>
    <row r="4709" spans="9:13" x14ac:dyDescent="0.35">
      <c r="I4709">
        <v>4705</v>
      </c>
      <c r="L4709"/>
      <c r="M4709" s="10">
        <v>2.5216157296679809E-2</v>
      </c>
    </row>
    <row r="4710" spans="9:13" x14ac:dyDescent="0.35">
      <c r="I4710">
        <v>4706</v>
      </c>
      <c r="L4710"/>
      <c r="M4710" s="10">
        <v>2.1226141973079149E-2</v>
      </c>
    </row>
    <row r="4711" spans="9:13" x14ac:dyDescent="0.35">
      <c r="I4711">
        <v>4707</v>
      </c>
      <c r="L4711"/>
      <c r="M4711" s="10">
        <v>2.8537668090914847E-2</v>
      </c>
    </row>
    <row r="4712" spans="9:13" x14ac:dyDescent="0.35">
      <c r="I4712">
        <v>4708</v>
      </c>
      <c r="L4712"/>
      <c r="M4712" s="10">
        <v>2.9951817815192294E-2</v>
      </c>
    </row>
    <row r="4713" spans="9:13" x14ac:dyDescent="0.35">
      <c r="I4713">
        <v>4709</v>
      </c>
      <c r="L4713"/>
      <c r="M4713" s="10">
        <v>2.2861921464664037E-2</v>
      </c>
    </row>
    <row r="4714" spans="9:13" x14ac:dyDescent="0.35">
      <c r="I4714">
        <v>4710</v>
      </c>
      <c r="L4714"/>
      <c r="M4714" s="10">
        <v>2.0708875621176515E-2</v>
      </c>
    </row>
    <row r="4715" spans="9:13" x14ac:dyDescent="0.35">
      <c r="I4715">
        <v>4711</v>
      </c>
      <c r="L4715"/>
      <c r="M4715" s="10">
        <v>2.6910201808556966E-2</v>
      </c>
    </row>
    <row r="4716" spans="9:13" x14ac:dyDescent="0.35">
      <c r="I4716">
        <v>4712</v>
      </c>
      <c r="L4716"/>
      <c r="M4716" s="10">
        <v>1.9158792786910239E-2</v>
      </c>
    </row>
    <row r="4717" spans="9:13" x14ac:dyDescent="0.35">
      <c r="I4717">
        <v>4713</v>
      </c>
      <c r="L4717"/>
      <c r="M4717" s="10">
        <v>2.7699314846209466E-2</v>
      </c>
    </row>
    <row r="4718" spans="9:13" x14ac:dyDescent="0.35">
      <c r="I4718">
        <v>4714</v>
      </c>
      <c r="L4718"/>
      <c r="M4718" s="10">
        <v>2.2216057105308051E-2</v>
      </c>
    </row>
    <row r="4719" spans="9:13" x14ac:dyDescent="0.35">
      <c r="I4719">
        <v>4715</v>
      </c>
      <c r="L4719"/>
      <c r="M4719" s="10">
        <v>2.0021286151259199E-2</v>
      </c>
    </row>
    <row r="4720" spans="9:13" x14ac:dyDescent="0.35">
      <c r="I4720">
        <v>4716</v>
      </c>
      <c r="L4720"/>
      <c r="M4720" s="10">
        <v>2.5435512721751596E-2</v>
      </c>
    </row>
    <row r="4721" spans="9:13" x14ac:dyDescent="0.35">
      <c r="I4721">
        <v>4717</v>
      </c>
      <c r="L4721"/>
      <c r="M4721" s="10">
        <v>2.7905853027246463E-2</v>
      </c>
    </row>
    <row r="4722" spans="9:13" x14ac:dyDescent="0.35">
      <c r="I4722">
        <v>4718</v>
      </c>
      <c r="L4722"/>
      <c r="M4722" s="10">
        <v>2.6302011998099672E-2</v>
      </c>
    </row>
    <row r="4723" spans="9:13" x14ac:dyDescent="0.35">
      <c r="I4723">
        <v>4719</v>
      </c>
      <c r="L4723"/>
      <c r="M4723" s="10">
        <v>2.0773712513818432E-2</v>
      </c>
    </row>
    <row r="4724" spans="9:13" x14ac:dyDescent="0.35">
      <c r="I4724">
        <v>4720</v>
      </c>
      <c r="L4724"/>
      <c r="M4724" s="10">
        <v>2.3547048226577716E-2</v>
      </c>
    </row>
    <row r="4725" spans="9:13" x14ac:dyDescent="0.35">
      <c r="I4725">
        <v>4721</v>
      </c>
      <c r="L4725"/>
      <c r="M4725" s="10">
        <v>2.7732545358285732E-2</v>
      </c>
    </row>
    <row r="4726" spans="9:13" x14ac:dyDescent="0.35">
      <c r="I4726">
        <v>4722</v>
      </c>
      <c r="L4726"/>
      <c r="M4726" s="10">
        <v>2.9238475256536667E-2</v>
      </c>
    </row>
    <row r="4727" spans="9:13" x14ac:dyDescent="0.35">
      <c r="I4727">
        <v>4723</v>
      </c>
      <c r="L4727"/>
      <c r="M4727" s="10">
        <v>2.3010260204602062E-2</v>
      </c>
    </row>
    <row r="4728" spans="9:13" x14ac:dyDescent="0.35">
      <c r="I4728">
        <v>4724</v>
      </c>
      <c r="L4728"/>
      <c r="M4728" s="10">
        <v>2.189884078021187E-2</v>
      </c>
    </row>
    <row r="4729" spans="9:13" x14ac:dyDescent="0.35">
      <c r="I4729">
        <v>4725</v>
      </c>
      <c r="L4729"/>
      <c r="M4729" s="10">
        <v>2.7498422057004035E-2</v>
      </c>
    </row>
    <row r="4730" spans="9:13" x14ac:dyDescent="0.35">
      <c r="I4730">
        <v>4726</v>
      </c>
      <c r="L4730"/>
      <c r="M4730" s="10">
        <v>2.1641104783436949E-2</v>
      </c>
    </row>
    <row r="4731" spans="9:13" x14ac:dyDescent="0.35">
      <c r="I4731">
        <v>4727</v>
      </c>
      <c r="L4731"/>
      <c r="M4731" s="10">
        <v>1.8227893347441571E-2</v>
      </c>
    </row>
    <row r="4732" spans="9:13" x14ac:dyDescent="0.35">
      <c r="I4732">
        <v>4728</v>
      </c>
      <c r="L4732"/>
      <c r="M4732" s="10">
        <v>2.481214900220674E-2</v>
      </c>
    </row>
    <row r="4733" spans="9:13" x14ac:dyDescent="0.35">
      <c r="I4733">
        <v>4729</v>
      </c>
      <c r="L4733"/>
      <c r="M4733" s="10">
        <v>2.0804169165548392E-2</v>
      </c>
    </row>
    <row r="4734" spans="9:13" x14ac:dyDescent="0.35">
      <c r="I4734">
        <v>4730</v>
      </c>
      <c r="L4734"/>
      <c r="M4734" s="10">
        <v>2.5388297097879042E-2</v>
      </c>
    </row>
    <row r="4735" spans="9:13" x14ac:dyDescent="0.35">
      <c r="I4735">
        <v>4731</v>
      </c>
      <c r="L4735"/>
      <c r="M4735" s="10">
        <v>2.88260128273361E-2</v>
      </c>
    </row>
    <row r="4736" spans="9:13" x14ac:dyDescent="0.35">
      <c r="I4736">
        <v>4732</v>
      </c>
      <c r="L4736"/>
      <c r="M4736" s="10">
        <v>2.2946506066300554E-2</v>
      </c>
    </row>
    <row r="4737" spans="9:13" x14ac:dyDescent="0.35">
      <c r="I4737">
        <v>4733</v>
      </c>
      <c r="L4737"/>
      <c r="M4737" s="10">
        <v>2.9740959779209541E-2</v>
      </c>
    </row>
    <row r="4738" spans="9:13" x14ac:dyDescent="0.35">
      <c r="I4738">
        <v>4734</v>
      </c>
      <c r="L4738"/>
      <c r="M4738" s="10">
        <v>2.0071902126069352E-2</v>
      </c>
    </row>
    <row r="4739" spans="9:13" x14ac:dyDescent="0.35">
      <c r="I4739">
        <v>4735</v>
      </c>
      <c r="L4739"/>
      <c r="M4739" s="10">
        <v>2.116768161050897E-2</v>
      </c>
    </row>
    <row r="4740" spans="9:13" x14ac:dyDescent="0.35">
      <c r="I4740">
        <v>4736</v>
      </c>
      <c r="L4740"/>
      <c r="M4740" s="10">
        <v>2.476314599649132E-2</v>
      </c>
    </row>
    <row r="4741" spans="9:13" x14ac:dyDescent="0.35">
      <c r="I4741">
        <v>4737</v>
      </c>
      <c r="L4741"/>
      <c r="M4741" s="10">
        <v>3.1073263879647151E-2</v>
      </c>
    </row>
    <row r="4742" spans="9:13" x14ac:dyDescent="0.35">
      <c r="I4742">
        <v>4738</v>
      </c>
      <c r="L4742"/>
      <c r="M4742" s="10">
        <v>2.281200732675237E-2</v>
      </c>
    </row>
    <row r="4743" spans="9:13" x14ac:dyDescent="0.35">
      <c r="I4743">
        <v>4739</v>
      </c>
      <c r="L4743"/>
      <c r="M4743" s="10">
        <v>2.1191823125454534E-2</v>
      </c>
    </row>
    <row r="4744" spans="9:13" x14ac:dyDescent="0.35">
      <c r="I4744">
        <v>4740</v>
      </c>
      <c r="L4744"/>
      <c r="M4744" s="10">
        <v>2.4625260859025389E-2</v>
      </c>
    </row>
    <row r="4745" spans="9:13" x14ac:dyDescent="0.35">
      <c r="I4745">
        <v>4741</v>
      </c>
      <c r="L4745"/>
      <c r="M4745" s="10">
        <v>2.0824675918822866E-2</v>
      </c>
    </row>
    <row r="4746" spans="9:13" x14ac:dyDescent="0.35">
      <c r="I4746">
        <v>4742</v>
      </c>
      <c r="L4746"/>
      <c r="M4746" s="10">
        <v>3.5269310889664229E-2</v>
      </c>
    </row>
    <row r="4747" spans="9:13" x14ac:dyDescent="0.35">
      <c r="I4747">
        <v>4743</v>
      </c>
      <c r="L4747"/>
      <c r="M4747" s="10">
        <v>2.4980229869931425E-2</v>
      </c>
    </row>
    <row r="4748" spans="9:13" x14ac:dyDescent="0.35">
      <c r="I4748">
        <v>4744</v>
      </c>
      <c r="L4748"/>
      <c r="M4748" s="10">
        <v>2.9559179836595506E-2</v>
      </c>
    </row>
    <row r="4749" spans="9:13" x14ac:dyDescent="0.35">
      <c r="I4749">
        <v>4745</v>
      </c>
      <c r="L4749"/>
      <c r="M4749" s="10">
        <v>2.6630787004840117E-2</v>
      </c>
    </row>
    <row r="4750" spans="9:13" x14ac:dyDescent="0.35">
      <c r="I4750">
        <v>4746</v>
      </c>
      <c r="L4750"/>
      <c r="M4750" s="10">
        <v>3.1413954765340035E-2</v>
      </c>
    </row>
    <row r="4751" spans="9:13" x14ac:dyDescent="0.35">
      <c r="I4751">
        <v>4747</v>
      </c>
      <c r="L4751"/>
      <c r="M4751" s="10">
        <v>2.0727821031529703E-2</v>
      </c>
    </row>
    <row r="4752" spans="9:13" x14ac:dyDescent="0.35">
      <c r="I4752">
        <v>4748</v>
      </c>
      <c r="L4752"/>
      <c r="M4752" s="10">
        <v>2.4047505375466294E-2</v>
      </c>
    </row>
    <row r="4753" spans="9:13" x14ac:dyDescent="0.35">
      <c r="I4753">
        <v>4749</v>
      </c>
      <c r="L4753"/>
      <c r="M4753" s="10">
        <v>2.1214937698139091E-2</v>
      </c>
    </row>
    <row r="4754" spans="9:13" x14ac:dyDescent="0.35">
      <c r="I4754">
        <v>4750</v>
      </c>
      <c r="L4754"/>
      <c r="M4754" s="10">
        <v>2.3547356588316415E-2</v>
      </c>
    </row>
    <row r="4755" spans="9:13" x14ac:dyDescent="0.35">
      <c r="I4755">
        <v>4751</v>
      </c>
      <c r="L4755"/>
      <c r="M4755" s="10">
        <v>2.3375833510594579E-2</v>
      </c>
    </row>
    <row r="4756" spans="9:13" x14ac:dyDescent="0.35">
      <c r="I4756">
        <v>4752</v>
      </c>
      <c r="L4756"/>
      <c r="M4756" s="10">
        <v>2.5357854399168933E-2</v>
      </c>
    </row>
    <row r="4757" spans="9:13" x14ac:dyDescent="0.35">
      <c r="I4757">
        <v>4753</v>
      </c>
      <c r="L4757"/>
      <c r="M4757" s="10">
        <v>2.3260024841136318E-2</v>
      </c>
    </row>
    <row r="4758" spans="9:13" x14ac:dyDescent="0.35">
      <c r="I4758">
        <v>4754</v>
      </c>
      <c r="L4758"/>
      <c r="M4758" s="10">
        <v>3.169084407246392E-2</v>
      </c>
    </row>
    <row r="4759" spans="9:13" x14ac:dyDescent="0.35">
      <c r="I4759">
        <v>4755</v>
      </c>
      <c r="L4759"/>
      <c r="M4759" s="10">
        <v>1.8926127576202934E-2</v>
      </c>
    </row>
    <row r="4760" spans="9:13" x14ac:dyDescent="0.35">
      <c r="I4760">
        <v>4756</v>
      </c>
      <c r="L4760"/>
      <c r="M4760" s="10">
        <v>2.849357375758288E-2</v>
      </c>
    </row>
    <row r="4761" spans="9:13" x14ac:dyDescent="0.35">
      <c r="I4761">
        <v>4757</v>
      </c>
      <c r="L4761"/>
      <c r="M4761" s="10">
        <v>2.4441633536583129E-2</v>
      </c>
    </row>
    <row r="4762" spans="9:13" x14ac:dyDescent="0.35">
      <c r="I4762">
        <v>4758</v>
      </c>
      <c r="L4762"/>
      <c r="M4762" s="10">
        <v>2.0326389859823046E-2</v>
      </c>
    </row>
    <row r="4763" spans="9:13" x14ac:dyDescent="0.35">
      <c r="I4763">
        <v>4759</v>
      </c>
      <c r="L4763"/>
      <c r="M4763" s="10">
        <v>2.5190785125383419E-2</v>
      </c>
    </row>
    <row r="4764" spans="9:13" x14ac:dyDescent="0.35">
      <c r="I4764">
        <v>4760</v>
      </c>
      <c r="L4764"/>
      <c r="M4764" s="10">
        <v>4.1208332861570662E-2</v>
      </c>
    </row>
    <row r="4765" spans="9:13" x14ac:dyDescent="0.35">
      <c r="I4765">
        <v>4761</v>
      </c>
      <c r="L4765"/>
      <c r="M4765" s="10">
        <v>2.406187838121443E-2</v>
      </c>
    </row>
    <row r="4766" spans="9:13" x14ac:dyDescent="0.35">
      <c r="I4766">
        <v>4762</v>
      </c>
      <c r="L4766"/>
      <c r="M4766" s="10">
        <v>2.3504293383151409E-2</v>
      </c>
    </row>
    <row r="4767" spans="9:13" x14ac:dyDescent="0.35">
      <c r="I4767">
        <v>4763</v>
      </c>
      <c r="L4767"/>
      <c r="M4767" s="10">
        <v>3.1139638395076608E-2</v>
      </c>
    </row>
    <row r="4768" spans="9:13" x14ac:dyDescent="0.35">
      <c r="I4768">
        <v>4764</v>
      </c>
      <c r="L4768"/>
      <c r="M4768" s="10">
        <v>1.9323501209737026E-2</v>
      </c>
    </row>
    <row r="4769" spans="9:13" x14ac:dyDescent="0.35">
      <c r="I4769">
        <v>4765</v>
      </c>
      <c r="L4769"/>
      <c r="M4769" s="10">
        <v>2.8101580408503191E-2</v>
      </c>
    </row>
    <row r="4770" spans="9:13" x14ac:dyDescent="0.35">
      <c r="I4770">
        <v>4766</v>
      </c>
      <c r="L4770"/>
      <c r="M4770" s="10">
        <v>2.6448842416591845E-2</v>
      </c>
    </row>
    <row r="4771" spans="9:13" x14ac:dyDescent="0.35">
      <c r="I4771">
        <v>4767</v>
      </c>
      <c r="L4771"/>
      <c r="M4771" s="10">
        <v>2.4271962024595473E-2</v>
      </c>
    </row>
    <row r="4772" spans="9:13" x14ac:dyDescent="0.35">
      <c r="I4772">
        <v>4768</v>
      </c>
      <c r="L4772"/>
      <c r="M4772" s="10">
        <v>2.9921991839959583E-2</v>
      </c>
    </row>
    <row r="4773" spans="9:13" x14ac:dyDescent="0.35">
      <c r="I4773">
        <v>4769</v>
      </c>
      <c r="L4773"/>
      <c r="M4773" s="10">
        <v>2.4877379370008446E-2</v>
      </c>
    </row>
    <row r="4774" spans="9:13" x14ac:dyDescent="0.35">
      <c r="I4774">
        <v>4770</v>
      </c>
      <c r="L4774"/>
      <c r="M4774" s="10">
        <v>1.9648148913205654E-2</v>
      </c>
    </row>
    <row r="4775" spans="9:13" x14ac:dyDescent="0.35">
      <c r="I4775">
        <v>4771</v>
      </c>
      <c r="L4775"/>
      <c r="M4775" s="10">
        <v>2.606180238955913E-2</v>
      </c>
    </row>
    <row r="4776" spans="9:13" x14ac:dyDescent="0.35">
      <c r="I4776">
        <v>4772</v>
      </c>
      <c r="L4776"/>
      <c r="M4776" s="10">
        <v>2.6550261336678149E-2</v>
      </c>
    </row>
    <row r="4777" spans="9:13" x14ac:dyDescent="0.35">
      <c r="I4777">
        <v>4773</v>
      </c>
      <c r="L4777"/>
      <c r="M4777" s="10">
        <v>2.3664321963120294E-2</v>
      </c>
    </row>
    <row r="4778" spans="9:13" x14ac:dyDescent="0.35">
      <c r="I4778">
        <v>4774</v>
      </c>
      <c r="L4778"/>
      <c r="M4778" s="10">
        <v>2.1587374494596134E-2</v>
      </c>
    </row>
    <row r="4779" spans="9:13" x14ac:dyDescent="0.35">
      <c r="I4779">
        <v>4775</v>
      </c>
      <c r="L4779"/>
      <c r="M4779" s="10">
        <v>2.9127238991683457E-2</v>
      </c>
    </row>
    <row r="4780" spans="9:13" x14ac:dyDescent="0.35">
      <c r="I4780">
        <v>4776</v>
      </c>
      <c r="L4780"/>
      <c r="M4780" s="10">
        <v>2.3169758569816623E-2</v>
      </c>
    </row>
    <row r="4781" spans="9:13" x14ac:dyDescent="0.35">
      <c r="I4781">
        <v>4777</v>
      </c>
      <c r="L4781"/>
      <c r="M4781" s="10">
        <v>2.3928825174522772E-2</v>
      </c>
    </row>
    <row r="4782" spans="9:13" x14ac:dyDescent="0.35">
      <c r="I4782">
        <v>4778</v>
      </c>
      <c r="L4782"/>
      <c r="M4782" s="10">
        <v>2.3174149585163617E-2</v>
      </c>
    </row>
    <row r="4783" spans="9:13" x14ac:dyDescent="0.35">
      <c r="I4783">
        <v>4779</v>
      </c>
      <c r="L4783"/>
      <c r="M4783" s="10">
        <v>2.2058615415219474E-2</v>
      </c>
    </row>
    <row r="4784" spans="9:13" x14ac:dyDescent="0.35">
      <c r="I4784">
        <v>4780</v>
      </c>
      <c r="L4784"/>
      <c r="M4784" s="10">
        <v>3.2566223050644938E-2</v>
      </c>
    </row>
    <row r="4785" spans="9:13" x14ac:dyDescent="0.35">
      <c r="I4785">
        <v>4781</v>
      </c>
      <c r="L4785"/>
      <c r="M4785" s="10">
        <v>3.0323947645212623E-2</v>
      </c>
    </row>
    <row r="4786" spans="9:13" x14ac:dyDescent="0.35">
      <c r="I4786">
        <v>4782</v>
      </c>
      <c r="L4786"/>
      <c r="M4786" s="10">
        <v>2.152371523682961E-2</v>
      </c>
    </row>
    <row r="4787" spans="9:13" x14ac:dyDescent="0.35">
      <c r="I4787">
        <v>4783</v>
      </c>
      <c r="L4787"/>
      <c r="M4787" s="10">
        <v>2.2612514025437958E-2</v>
      </c>
    </row>
    <row r="4788" spans="9:13" x14ac:dyDescent="0.35">
      <c r="I4788">
        <v>4784</v>
      </c>
      <c r="L4788"/>
      <c r="M4788" s="10">
        <v>3.0867194520077135E-2</v>
      </c>
    </row>
    <row r="4789" spans="9:13" x14ac:dyDescent="0.35">
      <c r="I4789">
        <v>4785</v>
      </c>
      <c r="L4789"/>
      <c r="M4789" s="10">
        <v>2.3125817719703012E-2</v>
      </c>
    </row>
    <row r="4790" spans="9:13" x14ac:dyDescent="0.35">
      <c r="I4790">
        <v>4786</v>
      </c>
      <c r="L4790"/>
      <c r="M4790" s="10">
        <v>2.9268655638473584E-2</v>
      </c>
    </row>
    <row r="4791" spans="9:13" x14ac:dyDescent="0.35">
      <c r="I4791">
        <v>4787</v>
      </c>
      <c r="L4791"/>
      <c r="M4791" s="10">
        <v>2.9712936534141532E-2</v>
      </c>
    </row>
    <row r="4792" spans="9:13" x14ac:dyDescent="0.35">
      <c r="I4792">
        <v>4788</v>
      </c>
      <c r="L4792"/>
      <c r="M4792" s="10">
        <v>2.2313747778490267E-2</v>
      </c>
    </row>
    <row r="4793" spans="9:13" x14ac:dyDescent="0.35">
      <c r="I4793">
        <v>4789</v>
      </c>
      <c r="L4793"/>
      <c r="M4793" s="10">
        <v>2.658294489037627E-2</v>
      </c>
    </row>
    <row r="4794" spans="9:13" x14ac:dyDescent="0.35">
      <c r="I4794">
        <v>4790</v>
      </c>
      <c r="L4794"/>
      <c r="M4794" s="10">
        <v>2.5681081685216767E-2</v>
      </c>
    </row>
    <row r="4795" spans="9:13" x14ac:dyDescent="0.35">
      <c r="I4795">
        <v>4791</v>
      </c>
      <c r="L4795"/>
      <c r="M4795" s="10">
        <v>2.5287535365027702E-2</v>
      </c>
    </row>
    <row r="4796" spans="9:13" x14ac:dyDescent="0.35">
      <c r="I4796">
        <v>4792</v>
      </c>
      <c r="L4796"/>
      <c r="M4796" s="10">
        <v>2.7914079727750396E-2</v>
      </c>
    </row>
    <row r="4797" spans="9:13" x14ac:dyDescent="0.35">
      <c r="I4797">
        <v>4793</v>
      </c>
      <c r="L4797"/>
      <c r="M4797" s="10">
        <v>2.4367653230033093E-2</v>
      </c>
    </row>
    <row r="4798" spans="9:13" x14ac:dyDescent="0.35">
      <c r="I4798">
        <v>4794</v>
      </c>
      <c r="L4798"/>
      <c r="M4798" s="10">
        <v>2.9981844713910855E-2</v>
      </c>
    </row>
    <row r="4799" spans="9:13" x14ac:dyDescent="0.35">
      <c r="I4799">
        <v>4795</v>
      </c>
      <c r="L4799"/>
      <c r="M4799" s="10">
        <v>1.9089044431280899E-2</v>
      </c>
    </row>
    <row r="4800" spans="9:13" x14ac:dyDescent="0.35">
      <c r="I4800">
        <v>4796</v>
      </c>
      <c r="L4800"/>
      <c r="M4800" s="10">
        <v>2.2013845755726735E-2</v>
      </c>
    </row>
    <row r="4801" spans="9:13" x14ac:dyDescent="0.35">
      <c r="I4801">
        <v>4797</v>
      </c>
      <c r="L4801"/>
      <c r="M4801" s="10">
        <v>2.7088686047882282E-2</v>
      </c>
    </row>
    <row r="4802" spans="9:13" x14ac:dyDescent="0.35">
      <c r="I4802">
        <v>4798</v>
      </c>
      <c r="L4802"/>
      <c r="M4802" s="10">
        <v>2.8423253328139664E-2</v>
      </c>
    </row>
    <row r="4803" spans="9:13" x14ac:dyDescent="0.35">
      <c r="I4803">
        <v>4799</v>
      </c>
      <c r="L4803"/>
      <c r="M4803" s="10">
        <v>2.3164160618252549E-2</v>
      </c>
    </row>
    <row r="4804" spans="9:13" x14ac:dyDescent="0.35">
      <c r="I4804">
        <v>4800</v>
      </c>
      <c r="L4804"/>
      <c r="M4804" s="10">
        <v>2.1262634701196492E-2</v>
      </c>
    </row>
    <row r="4805" spans="9:13" x14ac:dyDescent="0.35">
      <c r="I4805">
        <v>4801</v>
      </c>
      <c r="L4805"/>
      <c r="M4805" s="10">
        <v>2.7351284672075149E-2</v>
      </c>
    </row>
    <row r="4806" spans="9:13" x14ac:dyDescent="0.35">
      <c r="I4806">
        <v>4802</v>
      </c>
      <c r="L4806"/>
      <c r="M4806" s="10">
        <v>2.6425856211689913E-2</v>
      </c>
    </row>
    <row r="4807" spans="9:13" x14ac:dyDescent="0.35">
      <c r="I4807">
        <v>4803</v>
      </c>
      <c r="L4807"/>
      <c r="M4807" s="10">
        <v>2.3410201193788671E-2</v>
      </c>
    </row>
    <row r="4808" spans="9:13" x14ac:dyDescent="0.35">
      <c r="I4808">
        <v>4804</v>
      </c>
      <c r="L4808"/>
      <c r="M4808" s="10">
        <v>2.4337828650102367E-2</v>
      </c>
    </row>
    <row r="4809" spans="9:13" x14ac:dyDescent="0.35">
      <c r="I4809">
        <v>4805</v>
      </c>
      <c r="L4809"/>
      <c r="M4809" s="10">
        <v>2.5001219397692731E-2</v>
      </c>
    </row>
    <row r="4810" spans="9:13" x14ac:dyDescent="0.35">
      <c r="I4810">
        <v>4806</v>
      </c>
      <c r="L4810"/>
      <c r="M4810" s="10">
        <v>2.4314619196882825E-2</v>
      </c>
    </row>
    <row r="4811" spans="9:13" x14ac:dyDescent="0.35">
      <c r="I4811">
        <v>4807</v>
      </c>
      <c r="L4811"/>
      <c r="M4811" s="10">
        <v>3.0804537089135886E-2</v>
      </c>
    </row>
    <row r="4812" spans="9:13" x14ac:dyDescent="0.35">
      <c r="I4812">
        <v>4808</v>
      </c>
      <c r="L4812"/>
      <c r="M4812" s="10">
        <v>2.4809966749902101E-2</v>
      </c>
    </row>
    <row r="4813" spans="9:13" x14ac:dyDescent="0.35">
      <c r="I4813">
        <v>4809</v>
      </c>
      <c r="L4813"/>
      <c r="M4813" s="10">
        <v>2.4076822065474457E-2</v>
      </c>
    </row>
    <row r="4814" spans="9:13" x14ac:dyDescent="0.35">
      <c r="I4814">
        <v>4810</v>
      </c>
      <c r="L4814"/>
      <c r="M4814" s="10">
        <v>2.7847454057963628E-2</v>
      </c>
    </row>
    <row r="4815" spans="9:13" x14ac:dyDescent="0.35">
      <c r="I4815">
        <v>4811</v>
      </c>
      <c r="L4815"/>
      <c r="M4815" s="10">
        <v>3.2259510558892313E-2</v>
      </c>
    </row>
    <row r="4816" spans="9:13" x14ac:dyDescent="0.35">
      <c r="I4816">
        <v>4812</v>
      </c>
      <c r="L4816"/>
      <c r="M4816" s="10">
        <v>2.7569080149527636E-2</v>
      </c>
    </row>
    <row r="4817" spans="9:13" x14ac:dyDescent="0.35">
      <c r="I4817">
        <v>4813</v>
      </c>
      <c r="L4817"/>
      <c r="M4817" s="10">
        <v>2.8112327024392147E-2</v>
      </c>
    </row>
    <row r="4818" spans="9:13" x14ac:dyDescent="0.35">
      <c r="I4818">
        <v>4814</v>
      </c>
      <c r="L4818"/>
      <c r="M4818" s="10">
        <v>2.4529279430774875E-2</v>
      </c>
    </row>
    <row r="4819" spans="9:13" x14ac:dyDescent="0.35">
      <c r="I4819">
        <v>4815</v>
      </c>
      <c r="L4819"/>
      <c r="M4819" s="10">
        <v>3.032806378606856E-2</v>
      </c>
    </row>
    <row r="4820" spans="9:13" x14ac:dyDescent="0.35">
      <c r="I4820">
        <v>4816</v>
      </c>
      <c r="L4820"/>
      <c r="M4820" s="10">
        <v>3.023183259876272E-2</v>
      </c>
    </row>
    <row r="4821" spans="9:13" x14ac:dyDescent="0.35">
      <c r="I4821">
        <v>4817</v>
      </c>
      <c r="L4821"/>
      <c r="M4821" s="10">
        <v>2.6482338036045272E-2</v>
      </c>
    </row>
    <row r="4822" spans="9:13" x14ac:dyDescent="0.35">
      <c r="I4822">
        <v>4818</v>
      </c>
      <c r="L4822"/>
      <c r="M4822" s="10">
        <v>3.4447921726493247E-2</v>
      </c>
    </row>
    <row r="4823" spans="9:13" x14ac:dyDescent="0.35">
      <c r="I4823">
        <v>4819</v>
      </c>
      <c r="L4823"/>
      <c r="M4823" s="10">
        <v>2.1152841178595838E-2</v>
      </c>
    </row>
    <row r="4824" spans="9:13" x14ac:dyDescent="0.35">
      <c r="I4824">
        <v>4820</v>
      </c>
      <c r="L4824"/>
      <c r="M4824" s="10">
        <v>2.708532337009828E-2</v>
      </c>
    </row>
    <row r="4825" spans="9:13" x14ac:dyDescent="0.35">
      <c r="I4825">
        <v>4821</v>
      </c>
      <c r="L4825"/>
      <c r="M4825" s="10">
        <v>2.7679334121783361E-2</v>
      </c>
    </row>
    <row r="4826" spans="9:13" x14ac:dyDescent="0.35">
      <c r="I4826">
        <v>4822</v>
      </c>
      <c r="L4826"/>
      <c r="M4826" s="10">
        <v>2.9826494581497887E-2</v>
      </c>
    </row>
    <row r="4827" spans="9:13" x14ac:dyDescent="0.35">
      <c r="I4827">
        <v>4823</v>
      </c>
      <c r="L4827"/>
      <c r="M4827" s="10">
        <v>2.4343965188232675E-2</v>
      </c>
    </row>
    <row r="4828" spans="9:13" x14ac:dyDescent="0.35">
      <c r="I4828">
        <v>4824</v>
      </c>
      <c r="L4828"/>
      <c r="M4828" s="10">
        <v>2.3440366227403753E-2</v>
      </c>
    </row>
    <row r="4829" spans="9:13" x14ac:dyDescent="0.35">
      <c r="I4829">
        <v>4825</v>
      </c>
      <c r="L4829"/>
      <c r="M4829" s="10">
        <v>2.0732159025401264E-2</v>
      </c>
    </row>
    <row r="4830" spans="9:13" x14ac:dyDescent="0.35">
      <c r="I4830">
        <v>4826</v>
      </c>
      <c r="L4830"/>
      <c r="M4830" s="10">
        <v>2.6578817587104453E-2</v>
      </c>
    </row>
    <row r="4831" spans="9:13" x14ac:dyDescent="0.35">
      <c r="I4831">
        <v>4827</v>
      </c>
      <c r="L4831"/>
      <c r="M4831" s="10">
        <v>2.9036851329091062E-2</v>
      </c>
    </row>
    <row r="4832" spans="9:13" x14ac:dyDescent="0.35">
      <c r="I4832">
        <v>4828</v>
      </c>
      <c r="L4832"/>
      <c r="M4832" s="10">
        <v>2.6851454013777865E-2</v>
      </c>
    </row>
    <row r="4833" spans="9:13" x14ac:dyDescent="0.35">
      <c r="I4833">
        <v>4829</v>
      </c>
      <c r="L4833"/>
      <c r="M4833" s="10">
        <v>2.4722258067121028E-2</v>
      </c>
    </row>
    <row r="4834" spans="9:13" x14ac:dyDescent="0.35">
      <c r="I4834">
        <v>4830</v>
      </c>
      <c r="L4834"/>
      <c r="M4834" s="10">
        <v>2.4372393070876353E-2</v>
      </c>
    </row>
    <row r="4835" spans="9:13" x14ac:dyDescent="0.35">
      <c r="I4835">
        <v>4831</v>
      </c>
      <c r="L4835"/>
      <c r="M4835" s="10">
        <v>2.1878282400763949E-2</v>
      </c>
    </row>
    <row r="4836" spans="9:13" x14ac:dyDescent="0.35">
      <c r="I4836">
        <v>4832</v>
      </c>
      <c r="L4836"/>
      <c r="M4836" s="10">
        <v>2.3393345945809108E-2</v>
      </c>
    </row>
    <row r="4837" spans="9:13" x14ac:dyDescent="0.35">
      <c r="I4837">
        <v>4833</v>
      </c>
      <c r="L4837"/>
      <c r="M4837" s="10">
        <v>3.0067287426268186E-2</v>
      </c>
    </row>
    <row r="4838" spans="9:13" x14ac:dyDescent="0.35">
      <c r="I4838">
        <v>4834</v>
      </c>
      <c r="L4838"/>
      <c r="M4838" s="10">
        <v>2.1807607564616527E-2</v>
      </c>
    </row>
    <row r="4839" spans="9:13" x14ac:dyDescent="0.35">
      <c r="I4839">
        <v>4835</v>
      </c>
      <c r="L4839"/>
      <c r="M4839" s="10">
        <v>2.8851633362385831E-2</v>
      </c>
    </row>
    <row r="4840" spans="9:13" x14ac:dyDescent="0.35">
      <c r="I4840">
        <v>4836</v>
      </c>
      <c r="L4840"/>
      <c r="M4840" s="10">
        <v>2.5409116398798171E-2</v>
      </c>
    </row>
    <row r="4841" spans="9:13" x14ac:dyDescent="0.35">
      <c r="I4841">
        <v>4837</v>
      </c>
      <c r="L4841"/>
      <c r="M4841" s="10">
        <v>3.1726064285170885E-2</v>
      </c>
    </row>
    <row r="4842" spans="9:13" x14ac:dyDescent="0.35">
      <c r="I4842">
        <v>4838</v>
      </c>
      <c r="L4842"/>
      <c r="M4842" s="10">
        <v>2.4209705045323937E-2</v>
      </c>
    </row>
    <row r="4843" spans="9:13" x14ac:dyDescent="0.35">
      <c r="I4843">
        <v>4839</v>
      </c>
      <c r="L4843"/>
      <c r="M4843" s="10">
        <v>1.9078585247600865E-2</v>
      </c>
    </row>
    <row r="4844" spans="9:13" x14ac:dyDescent="0.35">
      <c r="I4844">
        <v>4840</v>
      </c>
      <c r="L4844"/>
      <c r="M4844" s="10">
        <v>2.6137543567214316E-2</v>
      </c>
    </row>
    <row r="4845" spans="9:13" x14ac:dyDescent="0.35">
      <c r="I4845">
        <v>4841</v>
      </c>
      <c r="L4845"/>
      <c r="M4845" s="10">
        <v>2.4805995720452612E-2</v>
      </c>
    </row>
    <row r="4846" spans="9:13" x14ac:dyDescent="0.35">
      <c r="I4846">
        <v>4842</v>
      </c>
      <c r="L4846"/>
      <c r="M4846" s="10">
        <v>2.0803271986371996E-2</v>
      </c>
    </row>
    <row r="4847" spans="9:13" x14ac:dyDescent="0.35">
      <c r="I4847">
        <v>4843</v>
      </c>
      <c r="L4847"/>
      <c r="M4847" s="10">
        <v>2.190092675667954E-2</v>
      </c>
    </row>
    <row r="4848" spans="9:13" x14ac:dyDescent="0.35">
      <c r="I4848">
        <v>4844</v>
      </c>
      <c r="L4848"/>
      <c r="M4848" s="10">
        <v>2.4631739246142037E-2</v>
      </c>
    </row>
    <row r="4849" spans="9:13" x14ac:dyDescent="0.35">
      <c r="I4849">
        <v>4845</v>
      </c>
      <c r="L4849"/>
      <c r="M4849" s="10">
        <v>2.1432542019219625E-2</v>
      </c>
    </row>
    <row r="4850" spans="9:13" x14ac:dyDescent="0.35">
      <c r="I4850">
        <v>4846</v>
      </c>
      <c r="L4850"/>
      <c r="M4850" s="10">
        <v>2.5413365093342688E-2</v>
      </c>
    </row>
    <row r="4851" spans="9:13" x14ac:dyDescent="0.35">
      <c r="I4851">
        <v>4847</v>
      </c>
      <c r="L4851"/>
      <c r="M4851" s="10">
        <v>2.4078468521816832E-2</v>
      </c>
    </row>
    <row r="4852" spans="9:13" x14ac:dyDescent="0.35">
      <c r="I4852">
        <v>4848</v>
      </c>
      <c r="L4852"/>
      <c r="M4852" s="10">
        <v>2.4027325122856324E-2</v>
      </c>
    </row>
    <row r="4853" spans="9:13" x14ac:dyDescent="0.35">
      <c r="I4853">
        <v>4849</v>
      </c>
      <c r="L4853"/>
      <c r="M4853" s="10">
        <v>3.024971199839932E-2</v>
      </c>
    </row>
    <row r="4854" spans="9:13" x14ac:dyDescent="0.35">
      <c r="I4854">
        <v>4850</v>
      </c>
      <c r="L4854"/>
      <c r="M4854" s="10">
        <v>2.2407795318189483E-2</v>
      </c>
    </row>
    <row r="4855" spans="9:13" x14ac:dyDescent="0.35">
      <c r="I4855">
        <v>4851</v>
      </c>
      <c r="L4855"/>
      <c r="M4855" s="10">
        <v>2.848166345983838E-2</v>
      </c>
    </row>
    <row r="4856" spans="9:13" x14ac:dyDescent="0.35">
      <c r="I4856">
        <v>4852</v>
      </c>
      <c r="L4856"/>
      <c r="M4856" s="10">
        <v>2.5105914486839964E-2</v>
      </c>
    </row>
    <row r="4857" spans="9:13" x14ac:dyDescent="0.35">
      <c r="I4857">
        <v>4853</v>
      </c>
      <c r="L4857"/>
      <c r="M4857" s="10">
        <v>2.2947498126011934E-2</v>
      </c>
    </row>
    <row r="4858" spans="9:13" x14ac:dyDescent="0.35">
      <c r="I4858">
        <v>4854</v>
      </c>
      <c r="L4858"/>
      <c r="M4858" s="10">
        <v>2.2410934747655875E-2</v>
      </c>
    </row>
    <row r="4859" spans="9:13" x14ac:dyDescent="0.35">
      <c r="I4859">
        <v>4855</v>
      </c>
      <c r="L4859"/>
      <c r="M4859" s="10">
        <v>2.1815923564447504E-2</v>
      </c>
    </row>
    <row r="4860" spans="9:13" x14ac:dyDescent="0.35">
      <c r="I4860">
        <v>4856</v>
      </c>
      <c r="L4860"/>
      <c r="M4860" s="10">
        <v>2.8932192517795441E-2</v>
      </c>
    </row>
    <row r="4861" spans="9:13" x14ac:dyDescent="0.35">
      <c r="I4861">
        <v>4857</v>
      </c>
      <c r="L4861"/>
      <c r="M4861" s="10">
        <v>3.0484820382882472E-2</v>
      </c>
    </row>
    <row r="4862" spans="9:13" x14ac:dyDescent="0.35">
      <c r="I4862">
        <v>4858</v>
      </c>
      <c r="L4862"/>
      <c r="M4862" s="10">
        <v>2.2497256500263796E-2</v>
      </c>
    </row>
    <row r="4863" spans="9:13" x14ac:dyDescent="0.35">
      <c r="I4863">
        <v>4859</v>
      </c>
      <c r="L4863"/>
      <c r="M4863" s="10">
        <v>2.3648958292962763E-2</v>
      </c>
    </row>
    <row r="4864" spans="9:13" x14ac:dyDescent="0.35">
      <c r="I4864">
        <v>4860</v>
      </c>
      <c r="L4864"/>
      <c r="M4864" s="10">
        <v>2.3447896672217139E-2</v>
      </c>
    </row>
    <row r="4865" spans="9:13" x14ac:dyDescent="0.35">
      <c r="I4865">
        <v>4861</v>
      </c>
      <c r="L4865"/>
      <c r="M4865" s="10">
        <v>2.4885974430236435E-2</v>
      </c>
    </row>
    <row r="4866" spans="9:13" x14ac:dyDescent="0.35">
      <c r="I4866">
        <v>4862</v>
      </c>
      <c r="L4866"/>
      <c r="M4866" s="10">
        <v>2.4029383193284293E-2</v>
      </c>
    </row>
    <row r="4867" spans="9:13" x14ac:dyDescent="0.35">
      <c r="I4867">
        <v>4863</v>
      </c>
      <c r="L4867"/>
      <c r="M4867" s="10">
        <v>2.0316696696932812E-2</v>
      </c>
    </row>
    <row r="4868" spans="9:13" x14ac:dyDescent="0.35">
      <c r="I4868">
        <v>4864</v>
      </c>
      <c r="L4868"/>
      <c r="M4868" s="10">
        <v>2.4558008698647327E-2</v>
      </c>
    </row>
    <row r="4869" spans="9:13" x14ac:dyDescent="0.35">
      <c r="I4869">
        <v>4865</v>
      </c>
      <c r="L4869"/>
      <c r="M4869" s="10">
        <v>2.5130531799762434E-2</v>
      </c>
    </row>
    <row r="4870" spans="9:13" x14ac:dyDescent="0.35">
      <c r="I4870">
        <v>4866</v>
      </c>
      <c r="L4870"/>
      <c r="M4870" s="10">
        <v>2.1081772867288628E-2</v>
      </c>
    </row>
    <row r="4871" spans="9:13" x14ac:dyDescent="0.35">
      <c r="I4871">
        <v>4867</v>
      </c>
      <c r="L4871"/>
      <c r="M4871" s="10">
        <v>2.088061357540405E-2</v>
      </c>
    </row>
    <row r="4872" spans="9:13" x14ac:dyDescent="0.35">
      <c r="I4872">
        <v>4868</v>
      </c>
      <c r="L4872"/>
      <c r="M4872" s="10">
        <v>2.5850363907950591E-2</v>
      </c>
    </row>
    <row r="4873" spans="9:13" x14ac:dyDescent="0.35">
      <c r="I4873">
        <v>4869</v>
      </c>
      <c r="L4873"/>
      <c r="M4873" s="10">
        <v>2.4476058427158609E-2</v>
      </c>
    </row>
    <row r="4874" spans="9:13" x14ac:dyDescent="0.35">
      <c r="I4874">
        <v>4870</v>
      </c>
      <c r="L4874"/>
      <c r="M4874" s="10">
        <v>2.539707912857303E-2</v>
      </c>
    </row>
    <row r="4875" spans="9:13" x14ac:dyDescent="0.35">
      <c r="I4875">
        <v>4871</v>
      </c>
      <c r="L4875"/>
      <c r="M4875" s="10">
        <v>2.8063128676398819E-2</v>
      </c>
    </row>
    <row r="4876" spans="9:13" x14ac:dyDescent="0.35">
      <c r="I4876">
        <v>4872</v>
      </c>
      <c r="L4876"/>
      <c r="M4876" s="10">
        <v>2.5803954768625403E-2</v>
      </c>
    </row>
    <row r="4877" spans="9:13" x14ac:dyDescent="0.35">
      <c r="I4877">
        <v>4873</v>
      </c>
      <c r="L4877"/>
      <c r="M4877" s="10">
        <v>2.7536039398521339E-2</v>
      </c>
    </row>
    <row r="4878" spans="9:13" x14ac:dyDescent="0.35">
      <c r="I4878">
        <v>4874</v>
      </c>
      <c r="L4878"/>
      <c r="M4878" s="10">
        <v>2.8162069540159651E-2</v>
      </c>
    </row>
    <row r="4879" spans="9:13" x14ac:dyDescent="0.35">
      <c r="I4879">
        <v>4875</v>
      </c>
      <c r="L4879"/>
      <c r="M4879" s="10">
        <v>2.4371802858136671E-2</v>
      </c>
    </row>
    <row r="4880" spans="9:13" x14ac:dyDescent="0.35">
      <c r="I4880">
        <v>4876</v>
      </c>
      <c r="L4880"/>
      <c r="M4880" s="10">
        <v>2.7276393233328866E-2</v>
      </c>
    </row>
    <row r="4881" spans="9:13" x14ac:dyDescent="0.35">
      <c r="I4881">
        <v>4877</v>
      </c>
      <c r="L4881"/>
      <c r="M4881" s="10">
        <v>2.8422893340227517E-2</v>
      </c>
    </row>
    <row r="4882" spans="9:13" x14ac:dyDescent="0.35">
      <c r="I4882">
        <v>4878</v>
      </c>
      <c r="L4882"/>
      <c r="M4882" s="10">
        <v>2.3105735138231998E-2</v>
      </c>
    </row>
    <row r="4883" spans="9:13" x14ac:dyDescent="0.35">
      <c r="I4883">
        <v>4879</v>
      </c>
      <c r="L4883"/>
      <c r="M4883" s="10">
        <v>2.4405537074229544E-2</v>
      </c>
    </row>
    <row r="4884" spans="9:13" x14ac:dyDescent="0.35">
      <c r="I4884">
        <v>4880</v>
      </c>
      <c r="L4884"/>
      <c r="M4884" s="10">
        <v>2.960164445720892E-2</v>
      </c>
    </row>
    <row r="4885" spans="9:13" x14ac:dyDescent="0.35">
      <c r="I4885">
        <v>4881</v>
      </c>
      <c r="L4885"/>
      <c r="M4885" s="10">
        <v>2.533415659025462E-2</v>
      </c>
    </row>
    <row r="4886" spans="9:13" x14ac:dyDescent="0.35">
      <c r="I4886">
        <v>4882</v>
      </c>
      <c r="L4886"/>
      <c r="M4886" s="10">
        <v>2.3556135828406433E-2</v>
      </c>
    </row>
    <row r="4887" spans="9:13" x14ac:dyDescent="0.35">
      <c r="I4887">
        <v>4883</v>
      </c>
      <c r="L4887"/>
      <c r="M4887" s="10">
        <v>2.9782852326009079E-2</v>
      </c>
    </row>
    <row r="4888" spans="9:13" x14ac:dyDescent="0.35">
      <c r="I4888">
        <v>4884</v>
      </c>
      <c r="L4888"/>
      <c r="M4888" s="10">
        <v>1.9315181024000094E-2</v>
      </c>
    </row>
    <row r="4889" spans="9:13" x14ac:dyDescent="0.35">
      <c r="I4889">
        <v>4885</v>
      </c>
      <c r="L4889"/>
      <c r="M4889" s="10">
        <v>3.0765253757048416E-2</v>
      </c>
    </row>
    <row r="4890" spans="9:13" x14ac:dyDescent="0.35">
      <c r="I4890">
        <v>4886</v>
      </c>
      <c r="L4890"/>
      <c r="M4890" s="10">
        <v>2.5586942055586537E-2</v>
      </c>
    </row>
    <row r="4891" spans="9:13" x14ac:dyDescent="0.35">
      <c r="I4891">
        <v>4887</v>
      </c>
      <c r="L4891"/>
      <c r="M4891" s="10">
        <v>2.4849833318219328E-2</v>
      </c>
    </row>
    <row r="4892" spans="9:13" x14ac:dyDescent="0.35">
      <c r="I4892">
        <v>4888</v>
      </c>
      <c r="L4892"/>
      <c r="M4892" s="10">
        <v>2.3286416978183788E-2</v>
      </c>
    </row>
    <row r="4893" spans="9:13" x14ac:dyDescent="0.35">
      <c r="I4893">
        <v>4889</v>
      </c>
      <c r="L4893"/>
      <c r="M4893" s="10">
        <v>2.3215316574930922E-2</v>
      </c>
    </row>
    <row r="4894" spans="9:13" x14ac:dyDescent="0.35">
      <c r="I4894">
        <v>4890</v>
      </c>
      <c r="L4894"/>
      <c r="M4894" s="10">
        <v>2.5134318649349896E-2</v>
      </c>
    </row>
    <row r="4895" spans="9:13" x14ac:dyDescent="0.35">
      <c r="I4895">
        <v>4891</v>
      </c>
      <c r="L4895"/>
      <c r="M4895" s="10">
        <v>2.2500368023690487E-2</v>
      </c>
    </row>
    <row r="4896" spans="9:13" x14ac:dyDescent="0.35">
      <c r="I4896">
        <v>4892</v>
      </c>
      <c r="L4896"/>
      <c r="M4896" s="10">
        <v>2.6102014992768652E-2</v>
      </c>
    </row>
    <row r="4897" spans="9:13" x14ac:dyDescent="0.35">
      <c r="I4897">
        <v>4893</v>
      </c>
      <c r="L4897"/>
      <c r="M4897" s="10">
        <v>2.6223939270827445E-2</v>
      </c>
    </row>
    <row r="4898" spans="9:13" x14ac:dyDescent="0.35">
      <c r="I4898">
        <v>4894</v>
      </c>
      <c r="L4898"/>
      <c r="M4898" s="10">
        <v>2.8043170276804474E-2</v>
      </c>
    </row>
    <row r="4899" spans="9:13" x14ac:dyDescent="0.35">
      <c r="I4899">
        <v>4895</v>
      </c>
      <c r="L4899"/>
      <c r="M4899" s="10">
        <v>2.128035922231275E-2</v>
      </c>
    </row>
    <row r="4900" spans="9:13" x14ac:dyDescent="0.35">
      <c r="I4900">
        <v>4896</v>
      </c>
      <c r="L4900"/>
      <c r="M4900" s="10">
        <v>2.8201617979624283E-2</v>
      </c>
    </row>
    <row r="4901" spans="9:13" x14ac:dyDescent="0.35">
      <c r="I4901">
        <v>4897</v>
      </c>
      <c r="L4901"/>
      <c r="M4901" s="10">
        <v>2.2728049215707147E-2</v>
      </c>
    </row>
    <row r="4902" spans="9:13" x14ac:dyDescent="0.35">
      <c r="I4902">
        <v>4898</v>
      </c>
      <c r="L4902"/>
      <c r="M4902" s="10">
        <v>2.216802941568019E-2</v>
      </c>
    </row>
    <row r="4903" spans="9:13" x14ac:dyDescent="0.35">
      <c r="I4903">
        <v>4899</v>
      </c>
      <c r="L4903"/>
      <c r="M4903" s="10">
        <v>2.3802991260301831E-2</v>
      </c>
    </row>
    <row r="4904" spans="9:13" x14ac:dyDescent="0.35">
      <c r="I4904">
        <v>4900</v>
      </c>
      <c r="L4904"/>
      <c r="M4904" s="10">
        <v>1.9516581703128089E-2</v>
      </c>
    </row>
    <row r="4905" spans="9:13" x14ac:dyDescent="0.35">
      <c r="I4905">
        <v>4901</v>
      </c>
      <c r="L4905"/>
      <c r="M4905" s="10">
        <v>2.3510721539396595E-2</v>
      </c>
    </row>
    <row r="4906" spans="9:13" x14ac:dyDescent="0.35">
      <c r="I4906">
        <v>4902</v>
      </c>
      <c r="L4906"/>
      <c r="M4906" s="10">
        <v>3.4153172553960554E-2</v>
      </c>
    </row>
    <row r="4907" spans="9:13" x14ac:dyDescent="0.35">
      <c r="I4907">
        <v>4903</v>
      </c>
      <c r="L4907"/>
      <c r="M4907" s="10">
        <v>2.2703254699432573E-2</v>
      </c>
    </row>
    <row r="4908" spans="9:13" x14ac:dyDescent="0.35">
      <c r="I4908">
        <v>4904</v>
      </c>
      <c r="L4908"/>
      <c r="M4908" s="10">
        <v>2.6086665275630971E-2</v>
      </c>
    </row>
    <row r="4909" spans="9:13" x14ac:dyDescent="0.35">
      <c r="I4909">
        <v>4905</v>
      </c>
      <c r="L4909"/>
      <c r="M4909" s="10">
        <v>2.5232674881578987E-2</v>
      </c>
    </row>
    <row r="4910" spans="9:13" x14ac:dyDescent="0.35">
      <c r="I4910">
        <v>4906</v>
      </c>
      <c r="L4910"/>
      <c r="M4910" s="10">
        <v>3.268898450989477E-2</v>
      </c>
    </row>
    <row r="4911" spans="9:13" x14ac:dyDescent="0.35">
      <c r="I4911">
        <v>4907</v>
      </c>
      <c r="L4911"/>
      <c r="M4911" s="10">
        <v>3.503204815891614E-2</v>
      </c>
    </row>
    <row r="4912" spans="9:13" x14ac:dyDescent="0.35">
      <c r="I4912">
        <v>4908</v>
      </c>
      <c r="L4912"/>
      <c r="M4912" s="10">
        <v>2.2800381670612824E-2</v>
      </c>
    </row>
    <row r="4913" spans="9:13" x14ac:dyDescent="0.35">
      <c r="I4913">
        <v>4909</v>
      </c>
      <c r="L4913"/>
      <c r="M4913" s="10">
        <v>2.4270400681674187E-2</v>
      </c>
    </row>
    <row r="4914" spans="9:13" x14ac:dyDescent="0.35">
      <c r="I4914">
        <v>4910</v>
      </c>
      <c r="L4914"/>
      <c r="M4914" s="10">
        <v>2.7205860717983921E-2</v>
      </c>
    </row>
    <row r="4915" spans="9:13" x14ac:dyDescent="0.35">
      <c r="I4915">
        <v>4911</v>
      </c>
      <c r="L4915"/>
      <c r="M4915" s="10">
        <v>2.3189810454643967E-2</v>
      </c>
    </row>
    <row r="4916" spans="9:13" x14ac:dyDescent="0.35">
      <c r="I4916">
        <v>4912</v>
      </c>
      <c r="L4916"/>
      <c r="M4916" s="10">
        <v>2.3744733216519487E-2</v>
      </c>
    </row>
    <row r="4917" spans="9:13" x14ac:dyDescent="0.35">
      <c r="I4917">
        <v>4913</v>
      </c>
      <c r="L4917"/>
      <c r="M4917" s="10">
        <v>2.1939213843149674E-2</v>
      </c>
    </row>
    <row r="4918" spans="9:13" x14ac:dyDescent="0.35">
      <c r="I4918">
        <v>4914</v>
      </c>
      <c r="L4918"/>
      <c r="M4918" s="10">
        <v>2.4194811591935372E-2</v>
      </c>
    </row>
    <row r="4919" spans="9:13" x14ac:dyDescent="0.35">
      <c r="I4919">
        <v>4915</v>
      </c>
      <c r="L4919"/>
      <c r="M4919" s="10">
        <v>2.8484010357777256E-2</v>
      </c>
    </row>
    <row r="4920" spans="9:13" x14ac:dyDescent="0.35">
      <c r="I4920">
        <v>4916</v>
      </c>
      <c r="L4920"/>
      <c r="M4920" s="10">
        <v>2.8774222008254524E-2</v>
      </c>
    </row>
    <row r="4921" spans="9:13" x14ac:dyDescent="0.35">
      <c r="I4921">
        <v>4917</v>
      </c>
      <c r="L4921"/>
      <c r="M4921" s="10">
        <v>2.4009212707788219E-2</v>
      </c>
    </row>
    <row r="4922" spans="9:13" x14ac:dyDescent="0.35">
      <c r="I4922">
        <v>4918</v>
      </c>
      <c r="L4922"/>
      <c r="M4922" s="10">
        <v>2.394953982779302E-2</v>
      </c>
    </row>
    <row r="4923" spans="9:13" x14ac:dyDescent="0.35">
      <c r="I4923">
        <v>4919</v>
      </c>
      <c r="L4923"/>
      <c r="M4923" s="10">
        <v>2.2032570708366284E-2</v>
      </c>
    </row>
    <row r="4924" spans="9:13" x14ac:dyDescent="0.35">
      <c r="I4924">
        <v>4920</v>
      </c>
      <c r="L4924"/>
      <c r="M4924" s="10">
        <v>2.0816821763948945E-2</v>
      </c>
    </row>
    <row r="4925" spans="9:13" x14ac:dyDescent="0.35">
      <c r="I4925">
        <v>4921</v>
      </c>
      <c r="L4925"/>
      <c r="M4925" s="10">
        <v>2.455289770747604E-2</v>
      </c>
    </row>
    <row r="4926" spans="9:13" x14ac:dyDescent="0.35">
      <c r="I4926">
        <v>4922</v>
      </c>
      <c r="L4926"/>
      <c r="M4926" s="10">
        <v>2.639510096533515E-2</v>
      </c>
    </row>
    <row r="4927" spans="9:13" x14ac:dyDescent="0.35">
      <c r="I4927">
        <v>4923</v>
      </c>
      <c r="L4927"/>
      <c r="M4927" s="10">
        <v>2.3807252512564214E-2</v>
      </c>
    </row>
    <row r="4928" spans="9:13" x14ac:dyDescent="0.35">
      <c r="I4928">
        <v>4924</v>
      </c>
      <c r="L4928"/>
      <c r="M4928" s="10">
        <v>2.6887232347278855E-2</v>
      </c>
    </row>
    <row r="4929" spans="9:13" x14ac:dyDescent="0.35">
      <c r="I4929">
        <v>4925</v>
      </c>
      <c r="L4929"/>
      <c r="M4929" s="10">
        <v>2.4598204558233028E-2</v>
      </c>
    </row>
    <row r="4930" spans="9:13" x14ac:dyDescent="0.35">
      <c r="I4930">
        <v>4926</v>
      </c>
      <c r="L4930"/>
      <c r="M4930" s="10">
        <v>2.3894592835621231E-2</v>
      </c>
    </row>
    <row r="4931" spans="9:13" x14ac:dyDescent="0.35">
      <c r="I4931">
        <v>4927</v>
      </c>
      <c r="L4931"/>
      <c r="M4931" s="10">
        <v>2.3633623924146918E-2</v>
      </c>
    </row>
    <row r="4932" spans="9:13" x14ac:dyDescent="0.35">
      <c r="I4932">
        <v>4928</v>
      </c>
      <c r="L4932"/>
      <c r="M4932" s="10">
        <v>2.3361918163897544E-2</v>
      </c>
    </row>
    <row r="4933" spans="9:13" x14ac:dyDescent="0.35">
      <c r="I4933">
        <v>4929</v>
      </c>
      <c r="L4933"/>
      <c r="M4933" s="10">
        <v>2.0358799934332095E-2</v>
      </c>
    </row>
    <row r="4934" spans="9:13" x14ac:dyDescent="0.35">
      <c r="I4934">
        <v>4930</v>
      </c>
      <c r="L4934"/>
      <c r="M4934" s="10">
        <v>2.8746447126939856E-2</v>
      </c>
    </row>
    <row r="4935" spans="9:13" x14ac:dyDescent="0.35">
      <c r="I4935">
        <v>4931</v>
      </c>
      <c r="L4935"/>
      <c r="M4935" s="10">
        <v>2.0496343222811686E-2</v>
      </c>
    </row>
    <row r="4936" spans="9:13" x14ac:dyDescent="0.35">
      <c r="I4936">
        <v>4932</v>
      </c>
      <c r="L4936"/>
      <c r="M4936" s="10">
        <v>1.9871289792562918E-2</v>
      </c>
    </row>
    <row r="4937" spans="9:13" x14ac:dyDescent="0.35">
      <c r="I4937">
        <v>4933</v>
      </c>
      <c r="L4937"/>
      <c r="M4937" s="10">
        <v>2.9532370504254501E-2</v>
      </c>
    </row>
    <row r="4938" spans="9:13" x14ac:dyDescent="0.35">
      <c r="I4938">
        <v>4934</v>
      </c>
      <c r="L4938"/>
      <c r="M4938" s="10">
        <v>2.295923122040433E-2</v>
      </c>
    </row>
    <row r="4939" spans="9:13" x14ac:dyDescent="0.35">
      <c r="I4939">
        <v>4935</v>
      </c>
      <c r="L4939"/>
      <c r="M4939" s="10">
        <v>2.7373972282352277E-2</v>
      </c>
    </row>
    <row r="4940" spans="9:13" x14ac:dyDescent="0.35">
      <c r="I4940">
        <v>4936</v>
      </c>
      <c r="L4940"/>
      <c r="M4940" s="10">
        <v>2.2720446215190537E-2</v>
      </c>
    </row>
    <row r="4941" spans="9:13" x14ac:dyDescent="0.35">
      <c r="I4941">
        <v>4937</v>
      </c>
      <c r="L4941"/>
      <c r="M4941" s="10">
        <v>2.8900703342596534E-2</v>
      </c>
    </row>
    <row r="4942" spans="9:13" x14ac:dyDescent="0.35">
      <c r="I4942">
        <v>4938</v>
      </c>
      <c r="L4942"/>
      <c r="M4942" s="10">
        <v>3.363569969736413E-2</v>
      </c>
    </row>
    <row r="4943" spans="9:13" x14ac:dyDescent="0.35">
      <c r="I4943">
        <v>4939</v>
      </c>
      <c r="L4943"/>
      <c r="M4943" s="10">
        <v>2.0866664741459373E-2</v>
      </c>
    </row>
    <row r="4944" spans="9:13" x14ac:dyDescent="0.35">
      <c r="I4944">
        <v>4940</v>
      </c>
      <c r="L4944"/>
      <c r="M4944" s="10">
        <v>2.0885222257860714E-2</v>
      </c>
    </row>
    <row r="4945" spans="9:13" x14ac:dyDescent="0.35">
      <c r="I4945">
        <v>4941</v>
      </c>
      <c r="L4945"/>
      <c r="M4945" s="10">
        <v>2.9704023345060948E-2</v>
      </c>
    </row>
    <row r="4946" spans="9:13" x14ac:dyDescent="0.35">
      <c r="I4946">
        <v>4942</v>
      </c>
      <c r="L4946"/>
      <c r="M4946" s="10">
        <v>2.0194242204119695E-2</v>
      </c>
    </row>
    <row r="4947" spans="9:13" x14ac:dyDescent="0.35">
      <c r="I4947">
        <v>4943</v>
      </c>
      <c r="L4947"/>
      <c r="M4947" s="10">
        <v>2.3686250529117547E-2</v>
      </c>
    </row>
    <row r="4948" spans="9:13" x14ac:dyDescent="0.35">
      <c r="I4948">
        <v>4944</v>
      </c>
      <c r="L4948"/>
      <c r="M4948" s="10">
        <v>2.5247473454432567E-2</v>
      </c>
    </row>
    <row r="4949" spans="9:13" x14ac:dyDescent="0.35">
      <c r="I4949">
        <v>4945</v>
      </c>
      <c r="L4949"/>
      <c r="M4949" s="10">
        <v>2.5925641845346736E-2</v>
      </c>
    </row>
    <row r="4950" spans="9:13" x14ac:dyDescent="0.35">
      <c r="I4950">
        <v>4946</v>
      </c>
      <c r="L4950"/>
      <c r="M4950" s="10">
        <v>2.4088345864569094E-2</v>
      </c>
    </row>
    <row r="4951" spans="9:13" x14ac:dyDescent="0.35">
      <c r="I4951">
        <v>4947</v>
      </c>
      <c r="L4951"/>
      <c r="M4951" s="10">
        <v>2.3656271070666479E-2</v>
      </c>
    </row>
    <row r="4952" spans="9:13" x14ac:dyDescent="0.35">
      <c r="I4952">
        <v>4948</v>
      </c>
      <c r="L4952"/>
      <c r="M4952" s="10">
        <v>2.8802582916402919E-2</v>
      </c>
    </row>
    <row r="4953" spans="9:13" x14ac:dyDescent="0.35">
      <c r="I4953">
        <v>4949</v>
      </c>
      <c r="L4953"/>
      <c r="M4953" s="10">
        <v>2.708952601967729E-2</v>
      </c>
    </row>
    <row r="4954" spans="9:13" x14ac:dyDescent="0.35">
      <c r="I4954">
        <v>4950</v>
      </c>
      <c r="L4954"/>
      <c r="M4954" s="10">
        <v>2.5380950832927685E-2</v>
      </c>
    </row>
    <row r="4955" spans="9:13" x14ac:dyDescent="0.35">
      <c r="I4955">
        <v>4951</v>
      </c>
      <c r="L4955"/>
      <c r="M4955" s="10">
        <v>2.4586131010156276E-2</v>
      </c>
    </row>
    <row r="4956" spans="9:13" x14ac:dyDescent="0.35">
      <c r="I4956">
        <v>4952</v>
      </c>
      <c r="L4956"/>
      <c r="M4956" s="10">
        <v>2.0257357294112044E-2</v>
      </c>
    </row>
    <row r="4957" spans="9:13" x14ac:dyDescent="0.35">
      <c r="I4957">
        <v>4953</v>
      </c>
      <c r="L4957"/>
      <c r="M4957" s="10">
        <v>3.3353664516519332E-2</v>
      </c>
    </row>
    <row r="4958" spans="9:13" x14ac:dyDescent="0.35">
      <c r="I4958">
        <v>4954</v>
      </c>
      <c r="L4958"/>
      <c r="M4958" s="10">
        <v>2.3978239794323786E-2</v>
      </c>
    </row>
    <row r="4959" spans="9:13" x14ac:dyDescent="0.35">
      <c r="I4959">
        <v>4955</v>
      </c>
      <c r="L4959"/>
      <c r="M4959" s="10">
        <v>2.3732500604016438E-2</v>
      </c>
    </row>
    <row r="4960" spans="9:13" x14ac:dyDescent="0.35">
      <c r="I4960">
        <v>4956</v>
      </c>
      <c r="L4960"/>
      <c r="M4960" s="10">
        <v>2.8053799687326686E-2</v>
      </c>
    </row>
    <row r="4961" spans="9:13" x14ac:dyDescent="0.35">
      <c r="I4961">
        <v>4957</v>
      </c>
      <c r="L4961"/>
      <c r="M4961" s="10">
        <v>2.4365765386447302E-2</v>
      </c>
    </row>
    <row r="4962" spans="9:13" x14ac:dyDescent="0.35">
      <c r="I4962">
        <v>4958</v>
      </c>
      <c r="L4962"/>
      <c r="M4962" s="10">
        <v>2.4986450126180837E-2</v>
      </c>
    </row>
    <row r="4963" spans="9:13" x14ac:dyDescent="0.35">
      <c r="I4963">
        <v>4959</v>
      </c>
      <c r="L4963"/>
      <c r="M4963" s="10">
        <v>2.5618100544214983E-2</v>
      </c>
    </row>
    <row r="4964" spans="9:13" x14ac:dyDescent="0.35">
      <c r="I4964">
        <v>4960</v>
      </c>
      <c r="L4964"/>
      <c r="M4964" s="10">
        <v>2.8637448926470688E-2</v>
      </c>
    </row>
    <row r="4965" spans="9:13" x14ac:dyDescent="0.35">
      <c r="I4965">
        <v>4961</v>
      </c>
      <c r="L4965"/>
      <c r="M4965" s="10">
        <v>2.7266517285878589E-2</v>
      </c>
    </row>
    <row r="4966" spans="9:13" x14ac:dyDescent="0.35">
      <c r="I4966">
        <v>4962</v>
      </c>
      <c r="L4966"/>
      <c r="M4966" s="10">
        <v>2.7447429350657915E-2</v>
      </c>
    </row>
    <row r="4967" spans="9:13" x14ac:dyDescent="0.35">
      <c r="I4967">
        <v>4963</v>
      </c>
      <c r="L4967"/>
      <c r="M4967" s="10">
        <v>2.5133025204409742E-2</v>
      </c>
    </row>
    <row r="4968" spans="9:13" x14ac:dyDescent="0.35">
      <c r="I4968">
        <v>4964</v>
      </c>
      <c r="L4968"/>
      <c r="M4968" s="10">
        <v>2.7524503041708837E-2</v>
      </c>
    </row>
    <row r="4969" spans="9:13" x14ac:dyDescent="0.35">
      <c r="I4969">
        <v>4965</v>
      </c>
      <c r="L4969"/>
      <c r="M4969" s="10">
        <v>2.8831002427234687E-2</v>
      </c>
    </row>
    <row r="4970" spans="9:13" x14ac:dyDescent="0.35">
      <c r="I4970">
        <v>4966</v>
      </c>
      <c r="L4970"/>
      <c r="M4970" s="10">
        <v>1.8817561919349135E-2</v>
      </c>
    </row>
    <row r="4971" spans="9:13" x14ac:dyDescent="0.35">
      <c r="I4971">
        <v>4967</v>
      </c>
      <c r="L4971"/>
      <c r="M4971" s="10">
        <v>2.0288821353875219E-2</v>
      </c>
    </row>
    <row r="4972" spans="9:13" x14ac:dyDescent="0.35">
      <c r="I4972">
        <v>4968</v>
      </c>
      <c r="L4972"/>
      <c r="M4972" s="10">
        <v>2.2372312788709325E-2</v>
      </c>
    </row>
    <row r="4973" spans="9:13" x14ac:dyDescent="0.35">
      <c r="I4973">
        <v>4969</v>
      </c>
      <c r="L4973"/>
      <c r="M4973" s="10">
        <v>2.614579538315398E-2</v>
      </c>
    </row>
    <row r="4974" spans="9:13" x14ac:dyDescent="0.35">
      <c r="I4974">
        <v>4970</v>
      </c>
      <c r="L4974"/>
      <c r="M4974" s="10">
        <v>2.8771453729116159E-2</v>
      </c>
    </row>
    <row r="4975" spans="9:13" x14ac:dyDescent="0.35">
      <c r="I4975">
        <v>4971</v>
      </c>
      <c r="L4975"/>
      <c r="M4975" s="10">
        <v>2.6216636260237625E-2</v>
      </c>
    </row>
    <row r="4976" spans="9:13" x14ac:dyDescent="0.35">
      <c r="I4976">
        <v>4972</v>
      </c>
      <c r="L4976"/>
      <c r="M4976" s="10">
        <v>2.3054985214431278E-2</v>
      </c>
    </row>
    <row r="4977" spans="9:13" x14ac:dyDescent="0.35">
      <c r="I4977">
        <v>4973</v>
      </c>
      <c r="L4977"/>
      <c r="M4977" s="10">
        <v>2.0890150464471957E-2</v>
      </c>
    </row>
    <row r="4978" spans="9:13" x14ac:dyDescent="0.35">
      <c r="I4978">
        <v>4974</v>
      </c>
      <c r="L4978"/>
      <c r="M4978" s="10">
        <v>2.9394863493626522E-2</v>
      </c>
    </row>
    <row r="4979" spans="9:13" x14ac:dyDescent="0.35">
      <c r="I4979">
        <v>4975</v>
      </c>
      <c r="L4979"/>
      <c r="M4979" s="10">
        <v>2.4267516592471061E-2</v>
      </c>
    </row>
    <row r="4980" spans="9:13" x14ac:dyDescent="0.35">
      <c r="I4980">
        <v>4976</v>
      </c>
      <c r="L4980"/>
      <c r="M4980" s="10">
        <v>2.3959304151084493E-2</v>
      </c>
    </row>
    <row r="4981" spans="9:13" x14ac:dyDescent="0.35">
      <c r="I4981">
        <v>4977</v>
      </c>
      <c r="L4981"/>
      <c r="M4981" s="10">
        <v>2.1033421467600233E-2</v>
      </c>
    </row>
    <row r="4982" spans="9:13" x14ac:dyDescent="0.35">
      <c r="I4982">
        <v>4978</v>
      </c>
      <c r="L4982"/>
      <c r="M4982" s="10">
        <v>3.241947635027187E-2</v>
      </c>
    </row>
    <row r="4983" spans="9:13" x14ac:dyDescent="0.35">
      <c r="I4983">
        <v>4979</v>
      </c>
      <c r="L4983"/>
      <c r="M4983" s="10">
        <v>2.582772234263897E-2</v>
      </c>
    </row>
    <row r="4984" spans="9:13" x14ac:dyDescent="0.35">
      <c r="I4984">
        <v>4980</v>
      </c>
      <c r="L4984"/>
      <c r="M4984" s="10">
        <v>2.4747026072657885E-2</v>
      </c>
    </row>
    <row r="4985" spans="9:13" x14ac:dyDescent="0.35">
      <c r="I4985">
        <v>4981</v>
      </c>
      <c r="L4985"/>
      <c r="M4985" s="10">
        <v>2.1511802148481141E-2</v>
      </c>
    </row>
    <row r="4986" spans="9:13" x14ac:dyDescent="0.35">
      <c r="I4986">
        <v>4982</v>
      </c>
      <c r="L4986"/>
      <c r="M4986" s="10">
        <v>2.4337998876944544E-2</v>
      </c>
    </row>
    <row r="4987" spans="9:13" x14ac:dyDescent="0.35">
      <c r="I4987">
        <v>4983</v>
      </c>
      <c r="L4987"/>
      <c r="M4987" s="10">
        <v>2.7005389309977978E-2</v>
      </c>
    </row>
    <row r="4988" spans="9:13" x14ac:dyDescent="0.35">
      <c r="I4988">
        <v>4984</v>
      </c>
      <c r="L4988"/>
      <c r="M4988" s="10">
        <v>2.0912349719054313E-2</v>
      </c>
    </row>
    <row r="4989" spans="9:13" x14ac:dyDescent="0.35">
      <c r="I4989">
        <v>4985</v>
      </c>
      <c r="L4989"/>
      <c r="M4989" s="10">
        <v>2.2094713272875044E-2</v>
      </c>
    </row>
    <row r="4990" spans="9:13" x14ac:dyDescent="0.35">
      <c r="I4990">
        <v>4986</v>
      </c>
      <c r="L4990"/>
      <c r="M4990" s="10">
        <v>2.5837359693449802E-2</v>
      </c>
    </row>
    <row r="4991" spans="9:13" x14ac:dyDescent="0.35">
      <c r="I4991">
        <v>4987</v>
      </c>
      <c r="L4991"/>
      <c r="M4991" s="10">
        <v>2.9112859009425396E-2</v>
      </c>
    </row>
    <row r="4992" spans="9:13" x14ac:dyDescent="0.35">
      <c r="I4992">
        <v>4988</v>
      </c>
      <c r="L4992"/>
      <c r="M4992" s="10">
        <v>2.3608022923324978E-2</v>
      </c>
    </row>
    <row r="4993" spans="9:13" x14ac:dyDescent="0.35">
      <c r="I4993">
        <v>4989</v>
      </c>
      <c r="L4993"/>
      <c r="M4993" s="10">
        <v>2.7696602379150503E-2</v>
      </c>
    </row>
    <row r="4994" spans="9:13" x14ac:dyDescent="0.35">
      <c r="I4994">
        <v>4990</v>
      </c>
      <c r="L4994"/>
      <c r="M4994" s="10">
        <v>3.122313047525882E-2</v>
      </c>
    </row>
    <row r="4995" spans="9:13" x14ac:dyDescent="0.35">
      <c r="I4995">
        <v>4991</v>
      </c>
      <c r="L4995"/>
      <c r="M4995" s="10">
        <v>2.3577778357496748E-2</v>
      </c>
    </row>
    <row r="4996" spans="9:13" x14ac:dyDescent="0.35">
      <c r="I4996">
        <v>4992</v>
      </c>
      <c r="L4996"/>
      <c r="M4996" s="10">
        <v>2.3759791315542289E-2</v>
      </c>
    </row>
    <row r="4997" spans="9:13" x14ac:dyDescent="0.35">
      <c r="I4997">
        <v>4993</v>
      </c>
      <c r="L4997"/>
      <c r="M4997" s="10">
        <v>2.0734539410587782E-2</v>
      </c>
    </row>
    <row r="4998" spans="9:13" x14ac:dyDescent="0.35">
      <c r="I4998">
        <v>4994</v>
      </c>
      <c r="L4998"/>
      <c r="M4998" s="10">
        <v>3.35966368229903E-2</v>
      </c>
    </row>
    <row r="4999" spans="9:13" x14ac:dyDescent="0.35">
      <c r="I4999">
        <v>4995</v>
      </c>
      <c r="L4999"/>
      <c r="M4999" s="10">
        <v>2.1181326268620904E-2</v>
      </c>
    </row>
    <row r="5000" spans="9:13" x14ac:dyDescent="0.35">
      <c r="I5000">
        <v>4996</v>
      </c>
      <c r="L5000"/>
      <c r="M5000" s="10">
        <v>2.3918819463987884E-2</v>
      </c>
    </row>
    <row r="5001" spans="9:13" x14ac:dyDescent="0.35">
      <c r="I5001">
        <v>4997</v>
      </c>
      <c r="L5001"/>
      <c r="M5001" s="10">
        <v>2.300403436714471E-2</v>
      </c>
    </row>
    <row r="5002" spans="9:13" x14ac:dyDescent="0.35">
      <c r="I5002">
        <v>4998</v>
      </c>
      <c r="L5002"/>
      <c r="M5002" s="10">
        <v>2.6046959167042028E-2</v>
      </c>
    </row>
    <row r="5003" spans="9:13" x14ac:dyDescent="0.35">
      <c r="I5003">
        <v>4999</v>
      </c>
      <c r="L5003"/>
      <c r="M5003" s="10">
        <v>2.9183106883165388E-2</v>
      </c>
    </row>
    <row r="5004" spans="9:13" x14ac:dyDescent="0.35">
      <c r="I5004">
        <v>5000</v>
      </c>
      <c r="L5004"/>
      <c r="M5004">
        <v>2.4689772646304786E-2</v>
      </c>
    </row>
  </sheetData>
  <mergeCells count="3">
    <mergeCell ref="C2:F2"/>
    <mergeCell ref="C17:F17"/>
    <mergeCell ref="J2:M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GoToInputs">
                <anchor moveWithCells="1" sizeWithCells="1">
                  <from>
                    <xdr:col>6</xdr:col>
                    <xdr:colOff>342900</xdr:colOff>
                    <xdr:row>12</xdr:row>
                    <xdr:rowOff>175260</xdr:rowOff>
                  </from>
                  <to>
                    <xdr:col>8</xdr:col>
                    <xdr:colOff>22860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Chart1">
                <anchor moveWithCells="1" sizeWithCells="1">
                  <from>
                    <xdr:col>3</xdr:col>
                    <xdr:colOff>472440</xdr:colOff>
                    <xdr:row>18</xdr:row>
                    <xdr:rowOff>99060</xdr:rowOff>
                  </from>
                  <to>
                    <xdr:col>5</xdr:col>
                    <xdr:colOff>60960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Button 3">
              <controlPr defaultSize="0" print="0" autoFill="0" autoPict="0" macro="[0]!backtestvalues">
                <anchor moveWithCells="1" sizeWithCells="1">
                  <from>
                    <xdr:col>3</xdr:col>
                    <xdr:colOff>441960</xdr:colOff>
                    <xdr:row>23</xdr:row>
                    <xdr:rowOff>152400</xdr:rowOff>
                  </from>
                  <to>
                    <xdr:col>5</xdr:col>
                    <xdr:colOff>38100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B024A-00ED-40ED-B610-E04A9B0D87AF}">
  <sheetPr codeName="Feuil40">
    <tabColor indexed="12"/>
  </sheetPr>
  <dimension ref="A1:AB100"/>
  <sheetViews>
    <sheetView showGridLines="0" tabSelected="1" zoomScale="70" zoomScaleNormal="70" workbookViewId="0">
      <selection activeCell="P14" sqref="P14"/>
    </sheetView>
  </sheetViews>
  <sheetFormatPr baseColWidth="10" defaultRowHeight="14.4" x14ac:dyDescent="0.3"/>
  <cols>
    <col min="1" max="1" width="11.44140625" style="10"/>
    <col min="13" max="13" width="28.6640625" customWidth="1"/>
  </cols>
  <sheetData>
    <row r="1" spans="1:15" ht="15" thickBot="1" x14ac:dyDescent="0.35">
      <c r="A1" s="16346" t="s">
        <v>38</v>
      </c>
      <c r="B1" t="s">
        <v>1</v>
      </c>
      <c r="C1" s="16310" t="s">
        <v>30</v>
      </c>
    </row>
    <row r="2" spans="1:15" x14ac:dyDescent="0.3">
      <c r="A2" s="16347" t="s">
        <v>2</v>
      </c>
      <c r="C2" s="8" t="s">
        <v>43</v>
      </c>
      <c r="M2" s="16322" t="s">
        <v>21</v>
      </c>
    </row>
    <row r="3" spans="1:15" x14ac:dyDescent="0.3">
      <c r="A3" s="16347" t="s">
        <v>34</v>
      </c>
      <c r="C3" s="16311" t="s">
        <v>31</v>
      </c>
      <c r="M3" s="8" t="s">
        <v>41</v>
      </c>
    </row>
    <row r="4" spans="1:15" ht="15" thickBot="1" x14ac:dyDescent="0.35">
      <c r="A4" s="16347" t="s">
        <v>3</v>
      </c>
      <c r="C4" s="9" t="s">
        <v>33</v>
      </c>
      <c r="M4" s="16323" t="s">
        <v>20</v>
      </c>
    </row>
    <row r="5" spans="1:15" x14ac:dyDescent="0.3">
      <c r="A5" s="16347" t="s">
        <v>18</v>
      </c>
    </row>
    <row r="6" spans="1:15" x14ac:dyDescent="0.3">
      <c r="A6" s="16347"/>
    </row>
    <row r="7" spans="1:15" x14ac:dyDescent="0.3">
      <c r="A7" s="16347"/>
    </row>
    <row r="8" spans="1:15" x14ac:dyDescent="0.3">
      <c r="A8" s="16347"/>
    </row>
    <row r="9" spans="1:15" x14ac:dyDescent="0.3">
      <c r="A9" s="16347"/>
    </row>
    <row r="10" spans="1:15" x14ac:dyDescent="0.3">
      <c r="A10" s="16347"/>
    </row>
    <row r="11" spans="1:15" x14ac:dyDescent="0.3">
      <c r="A11" s="16347"/>
      <c r="O11" s="16300"/>
    </row>
    <row r="12" spans="1:15" x14ac:dyDescent="0.3">
      <c r="A12" s="16347"/>
    </row>
    <row r="13" spans="1:15" x14ac:dyDescent="0.3">
      <c r="A13" s="16347"/>
    </row>
    <row r="14" spans="1:15" x14ac:dyDescent="0.3">
      <c r="A14" s="16347"/>
      <c r="E14" s="3"/>
    </row>
    <row r="15" spans="1:15" x14ac:dyDescent="0.3">
      <c r="A15" s="16347"/>
    </row>
    <row r="16" spans="1:15" ht="15" thickBot="1" x14ac:dyDescent="0.35">
      <c r="A16" s="16347"/>
      <c r="E16" s="4"/>
    </row>
    <row r="17" spans="1:28" ht="33" thickBot="1" x14ac:dyDescent="0.65">
      <c r="A17" s="16347"/>
      <c r="C17" s="4"/>
      <c r="E17" s="16334" t="s">
        <v>42</v>
      </c>
      <c r="F17" s="16345"/>
      <c r="G17" s="16335"/>
      <c r="K17" s="16349" t="s">
        <v>46</v>
      </c>
      <c r="L17" s="16349"/>
    </row>
    <row r="18" spans="1:28" x14ac:dyDescent="0.3">
      <c r="A18" s="16347"/>
      <c r="E18" s="6"/>
    </row>
    <row r="19" spans="1:28" x14ac:dyDescent="0.3">
      <c r="A19" s="16347"/>
      <c r="E19" s="3"/>
    </row>
    <row r="20" spans="1:28" x14ac:dyDescent="0.3">
      <c r="A20" s="16347"/>
    </row>
    <row r="21" spans="1:28" ht="31.2" customHeight="1" x14ac:dyDescent="0.3">
      <c r="A21" s="16347"/>
      <c r="B21" s="16350" t="s">
        <v>47</v>
      </c>
      <c r="C21" s="16350"/>
      <c r="D21" s="16350"/>
      <c r="E21" s="16350"/>
      <c r="F21" s="16350"/>
      <c r="G21" s="16350"/>
      <c r="H21" s="16350"/>
      <c r="I21" s="16350"/>
      <c r="J21" s="16350"/>
      <c r="K21" s="16350"/>
      <c r="L21" s="16350"/>
      <c r="M21" s="16350"/>
      <c r="N21" s="16350"/>
      <c r="O21" s="16350"/>
      <c r="P21" s="16350"/>
      <c r="Q21" s="16350"/>
      <c r="R21" s="16350"/>
      <c r="S21" s="16350"/>
      <c r="T21" s="16350"/>
      <c r="U21" s="16350"/>
      <c r="V21" s="16350"/>
      <c r="W21" s="16350"/>
      <c r="X21" s="16350"/>
      <c r="Y21" s="16350"/>
      <c r="Z21" s="16350"/>
      <c r="AA21" s="16350"/>
      <c r="AB21" s="16350"/>
    </row>
    <row r="22" spans="1:28" x14ac:dyDescent="0.3">
      <c r="A22" s="16347"/>
    </row>
    <row r="23" spans="1:28" x14ac:dyDescent="0.3">
      <c r="A23" s="16347"/>
    </row>
    <row r="24" spans="1:28" x14ac:dyDescent="0.3">
      <c r="A24" s="16347"/>
    </row>
    <row r="25" spans="1:28" x14ac:dyDescent="0.3">
      <c r="A25" s="16347"/>
    </row>
    <row r="26" spans="1:28" x14ac:dyDescent="0.3">
      <c r="A26" s="16347"/>
    </row>
    <row r="27" spans="1:28" x14ac:dyDescent="0.3">
      <c r="A27" s="16347"/>
    </row>
    <row r="28" spans="1:28" x14ac:dyDescent="0.3">
      <c r="A28" s="16347"/>
    </row>
    <row r="29" spans="1:28" x14ac:dyDescent="0.3">
      <c r="A29" s="16347"/>
    </row>
    <row r="30" spans="1:28" x14ac:dyDescent="0.3">
      <c r="A30" s="16347"/>
    </row>
    <row r="31" spans="1:28" x14ac:dyDescent="0.3">
      <c r="A31" s="16347"/>
    </row>
    <row r="32" spans="1:28" x14ac:dyDescent="0.3">
      <c r="A32" s="16347"/>
    </row>
    <row r="33" spans="1:1" x14ac:dyDescent="0.3">
      <c r="A33" s="16347"/>
    </row>
    <row r="34" spans="1:1" x14ac:dyDescent="0.3">
      <c r="A34" s="16347"/>
    </row>
    <row r="35" spans="1:1" x14ac:dyDescent="0.3">
      <c r="A35" s="16347"/>
    </row>
    <row r="36" spans="1:1" x14ac:dyDescent="0.3">
      <c r="A36" s="16347"/>
    </row>
    <row r="37" spans="1:1" x14ac:dyDescent="0.3">
      <c r="A37" s="16347"/>
    </row>
    <row r="38" spans="1:1" x14ac:dyDescent="0.3">
      <c r="A38" s="16347"/>
    </row>
    <row r="39" spans="1:1" x14ac:dyDescent="0.3">
      <c r="A39" s="16347"/>
    </row>
    <row r="40" spans="1:1" x14ac:dyDescent="0.3">
      <c r="A40" s="16347"/>
    </row>
    <row r="41" spans="1:1" x14ac:dyDescent="0.3">
      <c r="A41" s="16347"/>
    </row>
    <row r="42" spans="1:1" x14ac:dyDescent="0.3">
      <c r="A42" s="16347"/>
    </row>
    <row r="43" spans="1:1" x14ac:dyDescent="0.3">
      <c r="A43" s="16347"/>
    </row>
    <row r="44" spans="1:1" x14ac:dyDescent="0.3">
      <c r="A44" s="16347"/>
    </row>
    <row r="45" spans="1:1" x14ac:dyDescent="0.3">
      <c r="A45" s="16347"/>
    </row>
    <row r="46" spans="1:1" x14ac:dyDescent="0.3">
      <c r="A46" s="16347"/>
    </row>
    <row r="47" spans="1:1" x14ac:dyDescent="0.3">
      <c r="A47" s="16347"/>
    </row>
    <row r="48" spans="1:1" x14ac:dyDescent="0.3">
      <c r="A48" s="16347"/>
    </row>
    <row r="49" spans="1:1" x14ac:dyDescent="0.3">
      <c r="A49" s="16347"/>
    </row>
    <row r="50" spans="1:1" x14ac:dyDescent="0.3">
      <c r="A50" s="16347"/>
    </row>
    <row r="51" spans="1:1" x14ac:dyDescent="0.3">
      <c r="A51" s="16347"/>
    </row>
    <row r="52" spans="1:1" x14ac:dyDescent="0.3">
      <c r="A52" s="16347"/>
    </row>
    <row r="53" spans="1:1" x14ac:dyDescent="0.3">
      <c r="A53" s="16347"/>
    </row>
    <row r="54" spans="1:1" x14ac:dyDescent="0.3">
      <c r="A54" s="16347"/>
    </row>
    <row r="55" spans="1:1" x14ac:dyDescent="0.3">
      <c r="A55" s="16347"/>
    </row>
    <row r="56" spans="1:1" x14ac:dyDescent="0.3">
      <c r="A56" s="16347"/>
    </row>
    <row r="57" spans="1:1" x14ac:dyDescent="0.3">
      <c r="A57" s="16347"/>
    </row>
    <row r="58" spans="1:1" x14ac:dyDescent="0.3">
      <c r="A58" s="16347"/>
    </row>
    <row r="59" spans="1:1" x14ac:dyDescent="0.3">
      <c r="A59" s="16347"/>
    </row>
    <row r="60" spans="1:1" x14ac:dyDescent="0.3">
      <c r="A60" s="16347"/>
    </row>
    <row r="61" spans="1:1" x14ac:dyDescent="0.3">
      <c r="A61" s="16347"/>
    </row>
    <row r="62" spans="1:1" x14ac:dyDescent="0.3">
      <c r="A62" s="16347"/>
    </row>
    <row r="63" spans="1:1" x14ac:dyDescent="0.3">
      <c r="A63" s="16347"/>
    </row>
    <row r="64" spans="1:1" x14ac:dyDescent="0.3">
      <c r="A64" s="16347"/>
    </row>
    <row r="65" spans="1:1" x14ac:dyDescent="0.3">
      <c r="A65" s="16347"/>
    </row>
    <row r="66" spans="1:1" x14ac:dyDescent="0.3">
      <c r="A66" s="16347"/>
    </row>
    <row r="67" spans="1:1" x14ac:dyDescent="0.3">
      <c r="A67" s="16347"/>
    </row>
    <row r="68" spans="1:1" x14ac:dyDescent="0.3">
      <c r="A68" s="16347"/>
    </row>
    <row r="69" spans="1:1" x14ac:dyDescent="0.3">
      <c r="A69" s="16347"/>
    </row>
    <row r="70" spans="1:1" x14ac:dyDescent="0.3">
      <c r="A70" s="16347"/>
    </row>
    <row r="71" spans="1:1" x14ac:dyDescent="0.3">
      <c r="A71" s="16347"/>
    </row>
    <row r="72" spans="1:1" x14ac:dyDescent="0.3">
      <c r="A72" s="16347"/>
    </row>
    <row r="73" spans="1:1" x14ac:dyDescent="0.3">
      <c r="A73" s="16347"/>
    </row>
    <row r="74" spans="1:1" x14ac:dyDescent="0.3">
      <c r="A74" s="16347"/>
    </row>
    <row r="75" spans="1:1" x14ac:dyDescent="0.3">
      <c r="A75" s="16347"/>
    </row>
    <row r="76" spans="1:1" x14ac:dyDescent="0.3">
      <c r="A76" s="16347"/>
    </row>
    <row r="77" spans="1:1" x14ac:dyDescent="0.3">
      <c r="A77" s="16347"/>
    </row>
    <row r="78" spans="1:1" x14ac:dyDescent="0.3">
      <c r="A78" s="16347"/>
    </row>
    <row r="79" spans="1:1" x14ac:dyDescent="0.3">
      <c r="A79" s="16347"/>
    </row>
    <row r="80" spans="1:1" x14ac:dyDescent="0.3">
      <c r="A80" s="16347"/>
    </row>
    <row r="81" spans="1:1" x14ac:dyDescent="0.3">
      <c r="A81" s="16347"/>
    </row>
    <row r="82" spans="1:1" x14ac:dyDescent="0.3">
      <c r="A82" s="16347"/>
    </row>
    <row r="83" spans="1:1" x14ac:dyDescent="0.3">
      <c r="A83" s="16347"/>
    </row>
    <row r="84" spans="1:1" x14ac:dyDescent="0.3">
      <c r="A84" s="16347"/>
    </row>
    <row r="85" spans="1:1" x14ac:dyDescent="0.3">
      <c r="A85" s="16347"/>
    </row>
    <row r="86" spans="1:1" x14ac:dyDescent="0.3">
      <c r="A86" s="16347"/>
    </row>
    <row r="87" spans="1:1" x14ac:dyDescent="0.3">
      <c r="A87" s="16347"/>
    </row>
    <row r="88" spans="1:1" x14ac:dyDescent="0.3">
      <c r="A88" s="16347"/>
    </row>
    <row r="89" spans="1:1" x14ac:dyDescent="0.3">
      <c r="A89" s="16347"/>
    </row>
    <row r="90" spans="1:1" x14ac:dyDescent="0.3">
      <c r="A90" s="16347"/>
    </row>
    <row r="91" spans="1:1" x14ac:dyDescent="0.3">
      <c r="A91" s="16347"/>
    </row>
    <row r="92" spans="1:1" x14ac:dyDescent="0.3">
      <c r="A92" s="16347"/>
    </row>
    <row r="93" spans="1:1" x14ac:dyDescent="0.3">
      <c r="A93" s="16347"/>
    </row>
    <row r="94" spans="1:1" x14ac:dyDescent="0.3">
      <c r="A94" s="16347"/>
    </row>
    <row r="95" spans="1:1" x14ac:dyDescent="0.3">
      <c r="A95" s="16347"/>
    </row>
    <row r="96" spans="1:1" x14ac:dyDescent="0.3">
      <c r="A96" s="16347"/>
    </row>
    <row r="97" spans="1:1" x14ac:dyDescent="0.3">
      <c r="A97" s="16347"/>
    </row>
    <row r="98" spans="1:1" x14ac:dyDescent="0.3">
      <c r="A98" s="16347"/>
    </row>
    <row r="99" spans="1:1" x14ac:dyDescent="0.3">
      <c r="A99" s="16347"/>
    </row>
    <row r="100" spans="1:1" x14ac:dyDescent="0.3">
      <c r="A100" s="16347"/>
    </row>
  </sheetData>
  <mergeCells count="2">
    <mergeCell ref="E17:G17"/>
    <mergeCell ref="B21:AB21"/>
  </mergeCells>
  <hyperlinks>
    <hyperlink ref="M4" r:id="rId1" xr:uid="{81778401-CDFB-4691-8CDE-591AE016DD45}"/>
    <hyperlink ref="K17" r:id="rId2" xr:uid="{F5D8A918-3FB2-4BDA-9722-3FD27FD9DDA5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showTickerFrom">
                <anchor moveWithCells="1" sizeWithCells="1">
                  <from>
                    <xdr:col>4</xdr:col>
                    <xdr:colOff>190500</xdr:colOff>
                    <xdr:row>1</xdr:row>
                    <xdr:rowOff>99060</xdr:rowOff>
                  </from>
                  <to>
                    <xdr:col>5</xdr:col>
                    <xdr:colOff>594360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6" name="Button 2">
              <controlPr defaultSize="0" print="0" autoFill="0" autoPict="0" macro="[0]!getTickerData">
                <anchor moveWithCells="1" sizeWithCells="1">
                  <from>
                    <xdr:col>4</xdr:col>
                    <xdr:colOff>167640</xdr:colOff>
                    <xdr:row>11</xdr:row>
                    <xdr:rowOff>114300</xdr:rowOff>
                  </from>
                  <to>
                    <xdr:col>5</xdr:col>
                    <xdr:colOff>594360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Button 5">
              <controlPr defaultSize="0" print="0" autoFill="0" autoPict="0" macro="[0]!Summarize">
                <anchor moveWithCells="1" sizeWithCells="1">
                  <from>
                    <xdr:col>6</xdr:col>
                    <xdr:colOff>327660</xdr:colOff>
                    <xdr:row>5</xdr:row>
                    <xdr:rowOff>53340</xdr:rowOff>
                  </from>
                  <to>
                    <xdr:col>8</xdr:col>
                    <xdr:colOff>701040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8" name="Button 7">
              <controlPr defaultSize="0" print="0" autoFill="0" autoPict="0" macro="[0]!ClearSheetsFun">
                <anchor moveWithCells="1" sizeWithCells="1">
                  <from>
                    <xdr:col>4</xdr:col>
                    <xdr:colOff>175260</xdr:colOff>
                    <xdr:row>6</xdr:row>
                    <xdr:rowOff>53340</xdr:rowOff>
                  </from>
                  <to>
                    <xdr:col>5</xdr:col>
                    <xdr:colOff>594360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9" name="Button 8">
              <controlPr defaultSize="0" print="0" autoFill="0" autoPict="0" macro="[0]!GoToInputs">
                <anchor moveWithCells="1" sizeWithCells="1">
                  <from>
                    <xdr:col>9</xdr:col>
                    <xdr:colOff>533400</xdr:colOff>
                    <xdr:row>6</xdr:row>
                    <xdr:rowOff>99060</xdr:rowOff>
                  </from>
                  <to>
                    <xdr:col>11</xdr:col>
                    <xdr:colOff>251460</xdr:colOff>
                    <xdr:row>8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998FE-7DDE-45AB-BD5C-14034A7EC050}">
  <sheetPr codeName="Feuil32"/>
  <dimension ref="A1:K128"/>
  <sheetViews>
    <sheetView workbookViewId="0"/>
  </sheetViews>
  <sheetFormatPr baseColWidth="10" defaultRowHeight="14.4" x14ac:dyDescent="0.3"/>
  <sheetData>
    <row r="1" spans="1:11" x14ac:dyDescent="0.3">
      <c r="A1" t="s">
        <v>2</v>
      </c>
      <c r="B1" t="s">
        <v>34</v>
      </c>
      <c r="C1" t="s">
        <v>3</v>
      </c>
      <c r="D1" t="s">
        <v>18</v>
      </c>
      <c r="F1" t="s">
        <v>2</v>
      </c>
      <c r="G1" t="s">
        <v>34</v>
      </c>
      <c r="H1" t="s">
        <v>3</v>
      </c>
      <c r="I1" t="s">
        <v>18</v>
      </c>
      <c r="J1" t="s">
        <v>44</v>
      </c>
    </row>
    <row r="2" spans="1:11" x14ac:dyDescent="0.3">
      <c r="A2">
        <v>-3.9401483143703692E-3</v>
      </c>
      <c r="B2">
        <v>0.25999203731517889</v>
      </c>
      <c r="C2">
        <v>0.10276798647399372</v>
      </c>
      <c r="D2">
        <v>0.2166193114327255</v>
      </c>
      <c r="F2">
        <v>-7.7480344550361513E-4</v>
      </c>
      <c r="G2">
        <v>3.6419817591230759E-2</v>
      </c>
      <c r="H2">
        <v>3.5435601853866829E-2</v>
      </c>
      <c r="I2">
        <v>6.8985570972592447E-2</v>
      </c>
      <c r="J2">
        <v>0.14006618697218642</v>
      </c>
      <c r="K2">
        <v>0.14006618697218642</v>
      </c>
    </row>
    <row r="3" spans="1:11" x14ac:dyDescent="0.3">
      <c r="A3">
        <v>8.722782255662756E-2</v>
      </c>
      <c r="B3">
        <v>0.11760692952905133</v>
      </c>
      <c r="C3">
        <v>7.3706280472317304E-3</v>
      </c>
      <c r="D3">
        <v>0.16513228186916307</v>
      </c>
      <c r="F3">
        <v>1.7152759761393119E-2</v>
      </c>
      <c r="G3">
        <v>1.6474438852603721E-2</v>
      </c>
      <c r="H3">
        <v>2.5414786243840824E-3</v>
      </c>
      <c r="I3">
        <v>5.2588777405883191E-2</v>
      </c>
      <c r="J3">
        <v>8.8757454644264114E-2</v>
      </c>
      <c r="K3">
        <v>0.22882364161645052</v>
      </c>
    </row>
    <row r="4" spans="1:11" x14ac:dyDescent="0.3">
      <c r="A4">
        <v>5.1596372385835282E-2</v>
      </c>
      <c r="B4">
        <v>7.0597664429681781E-2</v>
      </c>
      <c r="C4">
        <v>0.11055926454215574</v>
      </c>
      <c r="D4">
        <v>0.14738676799205247</v>
      </c>
      <c r="F4">
        <v>1.0146076723617203E-2</v>
      </c>
      <c r="G4">
        <v>9.889356948955378E-3</v>
      </c>
      <c r="H4">
        <v>3.8122125517790324E-2</v>
      </c>
      <c r="I4">
        <v>4.6937460360704945E-2</v>
      </c>
      <c r="J4">
        <v>0.10509501955106784</v>
      </c>
      <c r="K4">
        <v>0.33391866116751834</v>
      </c>
    </row>
    <row r="5" spans="1:11" x14ac:dyDescent="0.3">
      <c r="A5">
        <v>7.5908465593727353E-2</v>
      </c>
      <c r="B5">
        <v>0.21465680715961472</v>
      </c>
      <c r="C5">
        <v>2.5352663799043253E-2</v>
      </c>
      <c r="D5">
        <v>8.5024735245346969E-2</v>
      </c>
      <c r="F5">
        <v>1.4926884978011546E-2</v>
      </c>
      <c r="G5">
        <v>3.006923535889669E-2</v>
      </c>
      <c r="H5">
        <v>8.7418945446127196E-3</v>
      </c>
      <c r="I5">
        <v>2.7077363827349168E-2</v>
      </c>
      <c r="J5">
        <v>8.0815378708870123E-2</v>
      </c>
      <c r="K5">
        <v>0.41473403987638846</v>
      </c>
    </row>
    <row r="6" spans="1:11" x14ac:dyDescent="0.3">
      <c r="A6">
        <v>-4.7148676626437751E-3</v>
      </c>
      <c r="B6">
        <v>0.10880138168207007</v>
      </c>
      <c r="C6">
        <v>0.13632570419245107</v>
      </c>
      <c r="D6">
        <v>0.15537488852083062</v>
      </c>
      <c r="F6">
        <v>-9.2714675150337169E-4</v>
      </c>
      <c r="G6">
        <v>1.5240953205544678E-2</v>
      </c>
      <c r="H6">
        <v>4.7006694807961324E-2</v>
      </c>
      <c r="I6">
        <v>4.9481393549444627E-2</v>
      </c>
      <c r="J6">
        <v>0.11080189481144725</v>
      </c>
      <c r="K6">
        <v>0.52553593468783566</v>
      </c>
    </row>
    <row r="7" spans="1:11" x14ac:dyDescent="0.3">
      <c r="A7">
        <v>-5.0854953330684856E-2</v>
      </c>
      <c r="B7">
        <v>-2.395632541071065E-2</v>
      </c>
      <c r="C7">
        <v>-2.6541239289565453E-2</v>
      </c>
      <c r="D7">
        <v>-6.976192945289704E-2</v>
      </c>
      <c r="F7">
        <v>-1.0000281694430749E-2</v>
      </c>
      <c r="G7">
        <v>-3.3558143188691827E-3</v>
      </c>
      <c r="H7">
        <v>-9.1517292538494076E-3</v>
      </c>
      <c r="I7">
        <v>-2.2216701288668039E-2</v>
      </c>
      <c r="J7">
        <v>-4.4724526555817379E-2</v>
      </c>
      <c r="K7">
        <v>0.48081140813201828</v>
      </c>
    </row>
    <row r="8" spans="1:11" x14ac:dyDescent="0.3">
      <c r="A8">
        <v>-6.0037994994107745E-2</v>
      </c>
      <c r="B8">
        <v>0.14300519013535071</v>
      </c>
      <c r="C8">
        <v>-4.569590578859916E-2</v>
      </c>
      <c r="D8">
        <v>-0.11467247957546876</v>
      </c>
      <c r="F8">
        <v>-1.1806064561810015E-2</v>
      </c>
      <c r="G8">
        <v>2.0032240191321729E-2</v>
      </c>
      <c r="H8">
        <v>-1.5756481949623251E-2</v>
      </c>
      <c r="I8">
        <v>-3.6519119306745021E-2</v>
      </c>
      <c r="J8">
        <v>-4.4049425626856556E-2</v>
      </c>
      <c r="K8">
        <v>0.43676198250516174</v>
      </c>
    </row>
    <row r="9" spans="1:11" x14ac:dyDescent="0.3">
      <c r="A9">
        <v>3.605415521762282E-2</v>
      </c>
      <c r="B9">
        <v>4.8026286637511788E-3</v>
      </c>
      <c r="C9">
        <v>7.9454604200323145E-2</v>
      </c>
      <c r="D9">
        <v>5.4009555249581231E-2</v>
      </c>
      <c r="F9">
        <v>7.0898051186177912E-3</v>
      </c>
      <c r="G9">
        <v>6.727546800988992E-4</v>
      </c>
      <c r="H9">
        <v>2.7396875393795095E-2</v>
      </c>
      <c r="I9">
        <v>1.7200128567601274E-2</v>
      </c>
      <c r="J9">
        <v>5.2359563760113061E-2</v>
      </c>
      <c r="K9">
        <v>0.48912154626527482</v>
      </c>
    </row>
    <row r="10" spans="1:11" x14ac:dyDescent="0.3">
      <c r="A10">
        <v>2.5598678777869446E-2</v>
      </c>
      <c r="B10">
        <v>8.563329935113119E-2</v>
      </c>
      <c r="C10">
        <v>4.1749411975372241E-2</v>
      </c>
      <c r="D10">
        <v>9.878512253584025E-2</v>
      </c>
      <c r="F10">
        <v>5.0338065816192398E-3</v>
      </c>
      <c r="G10">
        <v>1.199555638053142E-2</v>
      </c>
      <c r="H10">
        <v>1.4395684795933301E-2</v>
      </c>
      <c r="I10">
        <v>3.145955933780574E-2</v>
      </c>
      <c r="J10">
        <v>6.2884607095889694E-2</v>
      </c>
      <c r="K10">
        <v>0.55200615336116454</v>
      </c>
    </row>
    <row r="11" spans="1:11" x14ac:dyDescent="0.3">
      <c r="A11">
        <v>3.316603162089958E-2</v>
      </c>
      <c r="B11">
        <v>7.8992076436732298E-2</v>
      </c>
      <c r="C11">
        <v>5.9468611747655817E-2</v>
      </c>
      <c r="D11">
        <v>7.7516829602423551E-2</v>
      </c>
      <c r="F11">
        <v>6.5218751994266539E-3</v>
      </c>
      <c r="G11">
        <v>1.1065250477232171E-2</v>
      </c>
      <c r="H11">
        <v>2.0505471801039812E-2</v>
      </c>
      <c r="I11">
        <v>2.4686362054885894E-2</v>
      </c>
      <c r="J11">
        <v>6.2778959532584527E-2</v>
      </c>
      <c r="K11">
        <v>0.61478511289374904</v>
      </c>
    </row>
    <row r="12" spans="1:11" x14ac:dyDescent="0.3">
      <c r="A12">
        <v>3.1395063778637939E-3</v>
      </c>
      <c r="B12">
        <v>0.15482206586191313</v>
      </c>
      <c r="C12">
        <v>3.1215938125616953E-2</v>
      </c>
      <c r="D12">
        <v>0.11068350509279387</v>
      </c>
      <c r="F12">
        <v>6.1736263832447963E-4</v>
      </c>
      <c r="G12">
        <v>2.1687554188257435E-2</v>
      </c>
      <c r="H12">
        <v>1.076362000333855E-2</v>
      </c>
      <c r="I12">
        <v>3.5248772353546939E-2</v>
      </c>
      <c r="J12">
        <v>6.8317309183467401E-2</v>
      </c>
      <c r="K12">
        <v>0.68310242207721639</v>
      </c>
    </row>
    <row r="13" spans="1:11" x14ac:dyDescent="0.3">
      <c r="A13">
        <v>3.1188160078865122E-2</v>
      </c>
      <c r="B13">
        <v>3.9160537600919934E-2</v>
      </c>
      <c r="C13">
        <v>8.4867706658281177E-3</v>
      </c>
      <c r="D13">
        <v>7.2963072769971299E-2</v>
      </c>
      <c r="F13">
        <v>6.1329401738229967E-3</v>
      </c>
      <c r="G13">
        <v>5.4856281404921763E-3</v>
      </c>
      <c r="H13">
        <v>2.926337633514544E-3</v>
      </c>
      <c r="I13">
        <v>2.3236151946288884E-2</v>
      </c>
      <c r="J13">
        <v>3.7781057894118605E-2</v>
      </c>
      <c r="K13">
        <v>0.72088347997133495</v>
      </c>
    </row>
    <row r="14" spans="1:11" x14ac:dyDescent="0.3">
      <c r="A14">
        <v>1.3199568888750124E-2</v>
      </c>
      <c r="B14">
        <v>-6.1855964648292053E-3</v>
      </c>
      <c r="C14">
        <v>1.5141863676543859E-2</v>
      </c>
      <c r="D14">
        <v>-1.6431686199877543E-2</v>
      </c>
      <c r="F14">
        <v>2.5956057077511797E-3</v>
      </c>
      <c r="G14">
        <v>-8.6648151715871516E-4</v>
      </c>
      <c r="H14">
        <v>5.2210914213378845E-3</v>
      </c>
      <c r="I14">
        <v>-5.2329095085922725E-3</v>
      </c>
      <c r="J14">
        <v>1.7173061033380769E-3</v>
      </c>
      <c r="K14">
        <v>0.72260078607467304</v>
      </c>
    </row>
    <row r="15" spans="1:11" x14ac:dyDescent="0.3">
      <c r="A15">
        <v>1.5847465925570237E-2</v>
      </c>
      <c r="B15">
        <v>2.7338924885833005E-2</v>
      </c>
      <c r="C15">
        <v>1.7243505441588505E-2</v>
      </c>
      <c r="D15">
        <v>7.6395858371846037E-2</v>
      </c>
      <c r="F15">
        <v>3.1162967030582637E-3</v>
      </c>
      <c r="G15">
        <v>3.829650583780657E-3</v>
      </c>
      <c r="H15">
        <v>5.9457620447564523E-3</v>
      </c>
      <c r="I15">
        <v>2.4329372459296419E-2</v>
      </c>
      <c r="J15">
        <v>3.7221081790891793E-2</v>
      </c>
      <c r="K15">
        <v>0.75982186786556483</v>
      </c>
    </row>
    <row r="16" spans="1:11" x14ac:dyDescent="0.3">
      <c r="A16">
        <v>0.10358714580357248</v>
      </c>
      <c r="B16">
        <v>0.21238927555744028</v>
      </c>
      <c r="C16">
        <v>8.3117430436128042E-2</v>
      </c>
      <c r="D16">
        <v>0.13051801460031248</v>
      </c>
      <c r="F16">
        <v>2.0369709735487129E-2</v>
      </c>
      <c r="G16">
        <v>2.9751598372063006E-2</v>
      </c>
      <c r="H16">
        <v>2.8659860654139044E-2</v>
      </c>
      <c r="I16">
        <v>4.1565360446674686E-2</v>
      </c>
      <c r="J16">
        <v>0.12034652920836386</v>
      </c>
      <c r="K16">
        <v>0.88016839707392869</v>
      </c>
    </row>
    <row r="17" spans="1:11" x14ac:dyDescent="0.3">
      <c r="A17">
        <v>-3.7879373001019928E-2</v>
      </c>
      <c r="B17">
        <v>-0.25074212327245254</v>
      </c>
      <c r="C17">
        <v>-4.9529378647345086E-2</v>
      </c>
      <c r="D17">
        <v>-0.12416551312380772</v>
      </c>
      <c r="F17">
        <v>-7.4487218178224341E-3</v>
      </c>
      <c r="G17">
        <v>-3.5124084900147338E-2</v>
      </c>
      <c r="H17">
        <v>-1.7078308158357047E-2</v>
      </c>
      <c r="I17">
        <v>-3.9542313939129041E-2</v>
      </c>
      <c r="J17">
        <v>-9.919342881545587E-2</v>
      </c>
      <c r="K17">
        <v>0.78097496825847279</v>
      </c>
    </row>
    <row r="18" spans="1:11" x14ac:dyDescent="0.3">
      <c r="A18">
        <v>4.5875436130957986E-2</v>
      </c>
      <c r="B18">
        <v>8.0205340004793121E-3</v>
      </c>
      <c r="C18">
        <v>0.10734327617986537</v>
      </c>
      <c r="D18">
        <v>5.6436387829249986E-2</v>
      </c>
      <c r="F18">
        <v>9.0210934062077922E-3</v>
      </c>
      <c r="G18">
        <v>1.1235205058515347E-3</v>
      </c>
      <c r="H18">
        <v>3.7013215174376821E-2</v>
      </c>
      <c r="I18">
        <v>1.7972988706690639E-2</v>
      </c>
      <c r="J18">
        <v>6.5130817793126794E-2</v>
      </c>
      <c r="K18">
        <v>0.84610578605159958</v>
      </c>
    </row>
    <row r="19" spans="1:11" x14ac:dyDescent="0.3">
      <c r="A19">
        <v>3.3743579202504273E-2</v>
      </c>
      <c r="B19">
        <v>0.16400917694293091</v>
      </c>
      <c r="C19">
        <v>5.2753543789853599E-2</v>
      </c>
      <c r="D19">
        <v>9.7025836431667317E-2</v>
      </c>
      <c r="F19">
        <v>6.635446014651436E-3</v>
      </c>
      <c r="G19">
        <v>2.2974489408336605E-2</v>
      </c>
      <c r="H19">
        <v>1.8190037951077657E-2</v>
      </c>
      <c r="I19">
        <v>3.0899289084900753E-2</v>
      </c>
      <c r="J19">
        <v>7.8699262458966454E-2</v>
      </c>
      <c r="K19">
        <v>0.924805048510566</v>
      </c>
    </row>
    <row r="20" spans="1:11" x14ac:dyDescent="0.3">
      <c r="A20">
        <v>3.4921971514201323E-2</v>
      </c>
      <c r="B20">
        <v>7.422416521269122E-2</v>
      </c>
      <c r="C20">
        <v>7.7381300179350729E-2</v>
      </c>
      <c r="D20">
        <v>4.4771574358098296E-2</v>
      </c>
      <c r="F20">
        <v>6.8671688713591141E-3</v>
      </c>
      <c r="G20">
        <v>1.0397359033848263E-2</v>
      </c>
      <c r="H20">
        <v>2.6681975955458903E-2</v>
      </c>
      <c r="I20">
        <v>1.4258159164144978E-2</v>
      </c>
      <c r="J20">
        <v>5.8204663024811254E-2</v>
      </c>
      <c r="K20">
        <v>0.98300971153537731</v>
      </c>
    </row>
    <row r="21" spans="1:11" x14ac:dyDescent="0.3">
      <c r="A21">
        <v>-2.3052393673445526E-2</v>
      </c>
      <c r="B21">
        <v>7.6780878512451384E-2</v>
      </c>
      <c r="C21">
        <v>2.8158057385253416E-2</v>
      </c>
      <c r="D21">
        <v>5.5153551164564635E-2</v>
      </c>
      <c r="F21">
        <v>-4.5330968837261933E-3</v>
      </c>
      <c r="G21">
        <v>1.075550474081643E-2</v>
      </c>
      <c r="H21">
        <v>9.7092270143355908E-3</v>
      </c>
      <c r="I21">
        <v>1.7564450708888998E-2</v>
      </c>
      <c r="J21">
        <v>3.3496085580314826E-2</v>
      </c>
      <c r="K21">
        <v>1.0165057971156921</v>
      </c>
    </row>
    <row r="22" spans="1:11" x14ac:dyDescent="0.3">
      <c r="A22">
        <v>1.592531092954463E-2</v>
      </c>
      <c r="B22">
        <v>-0.18313786639274196</v>
      </c>
      <c r="C22">
        <v>-8.4047430741566911E-2</v>
      </c>
      <c r="D22">
        <v>-0.11669924015699878</v>
      </c>
      <c r="F22">
        <v>3.1316043951760009E-3</v>
      </c>
      <c r="G22">
        <v>-2.5654046012129356E-2</v>
      </c>
      <c r="H22">
        <v>-2.8980535619935379E-2</v>
      </c>
      <c r="I22">
        <v>-3.716457069802144E-2</v>
      </c>
      <c r="J22">
        <v>-8.8667547934910176E-2</v>
      </c>
      <c r="K22">
        <v>0.92783824918078195</v>
      </c>
    </row>
    <row r="23" spans="1:11" x14ac:dyDescent="0.3">
      <c r="A23">
        <v>-2.3368074602304781E-3</v>
      </c>
      <c r="B23">
        <v>-0.22403599684224806</v>
      </c>
      <c r="C23">
        <v>4.2748957217977092E-2</v>
      </c>
      <c r="D23">
        <v>-0.1811867887703415</v>
      </c>
      <c r="F23">
        <v>-4.5951733975639766E-4</v>
      </c>
      <c r="G23">
        <v>-3.1383077047751819E-2</v>
      </c>
      <c r="H23">
        <v>1.4740339668205565E-2</v>
      </c>
      <c r="I23">
        <v>-5.7701568679828223E-2</v>
      </c>
      <c r="J23">
        <v>-7.4803823399130873E-2</v>
      </c>
      <c r="K23">
        <v>0.85303442578165112</v>
      </c>
    </row>
    <row r="24" spans="1:11" x14ac:dyDescent="0.3">
      <c r="A24">
        <v>-5.5603848867605235E-2</v>
      </c>
      <c r="B24">
        <v>-0.24976911869306836</v>
      </c>
      <c r="C24">
        <v>-6.6101200774904362E-2</v>
      </c>
      <c r="D24">
        <v>-3.0477272102799921E-2</v>
      </c>
      <c r="F24">
        <v>-1.0934119796647117E-2</v>
      </c>
      <c r="G24">
        <v>-3.4987785920907274E-2</v>
      </c>
      <c r="H24">
        <v>-2.2792465952563658E-2</v>
      </c>
      <c r="I24">
        <v>-9.7059306660739596E-3</v>
      </c>
      <c r="J24">
        <v>-7.8420302336192002E-2</v>
      </c>
      <c r="K24">
        <v>0.7746141234454591</v>
      </c>
    </row>
    <row r="25" spans="1:11" x14ac:dyDescent="0.3">
      <c r="A25">
        <v>4.4238854543762751E-2</v>
      </c>
      <c r="B25">
        <v>1.2103634679856555E-3</v>
      </c>
      <c r="C25">
        <v>1.8160717588311406E-2</v>
      </c>
      <c r="D25">
        <v>-8.3035717529600563E-3</v>
      </c>
      <c r="F25">
        <v>8.699270735730659E-3</v>
      </c>
      <c r="G25">
        <v>1.6954833378104187E-4</v>
      </c>
      <c r="H25">
        <v>6.2620275040882658E-3</v>
      </c>
      <c r="I25">
        <v>-2.6443932200741951E-3</v>
      </c>
      <c r="J25">
        <v>1.2486453353525771E-2</v>
      </c>
      <c r="K25">
        <v>0.78710057679898482</v>
      </c>
    </row>
    <row r="26" spans="1:11" x14ac:dyDescent="0.3">
      <c r="A26">
        <v>-9.1316858134039731E-3</v>
      </c>
      <c r="B26">
        <v>0.14690592204823857</v>
      </c>
      <c r="C26">
        <v>6.3048592153651578E-2</v>
      </c>
      <c r="D26">
        <v>0.20043526425512245</v>
      </c>
      <c r="F26">
        <v>-1.7956840877479759E-3</v>
      </c>
      <c r="G26">
        <v>2.0578656713176394E-2</v>
      </c>
      <c r="H26">
        <v>2.173989085179754E-2</v>
      </c>
      <c r="I26">
        <v>6.3831525713146334E-2</v>
      </c>
      <c r="J26">
        <v>0.10435438919037229</v>
      </c>
      <c r="K26">
        <v>0.89145496598935714</v>
      </c>
    </row>
    <row r="27" spans="1:11" x14ac:dyDescent="0.3">
      <c r="A27">
        <v>1.6712390581418508E-2</v>
      </c>
      <c r="B27">
        <v>3.3599872006971537E-2</v>
      </c>
      <c r="C27">
        <v>7.5752752929531514E-2</v>
      </c>
      <c r="D27">
        <v>2.7983205145161626E-2</v>
      </c>
      <c r="F27">
        <v>3.2863782710561319E-3</v>
      </c>
      <c r="G27">
        <v>4.7066872594223163E-3</v>
      </c>
      <c r="H27">
        <v>2.6120433845655992E-2</v>
      </c>
      <c r="I27">
        <v>8.9116587612350934E-3</v>
      </c>
      <c r="J27">
        <v>4.3025158137369533E-2</v>
      </c>
      <c r="K27">
        <v>0.93448012412672665</v>
      </c>
    </row>
    <row r="28" spans="1:11" x14ac:dyDescent="0.3">
      <c r="A28">
        <v>2.182164455878912E-2</v>
      </c>
      <c r="B28">
        <v>-6.0628153719230277E-2</v>
      </c>
      <c r="C28">
        <v>-2.3274093064721661E-3</v>
      </c>
      <c r="D28">
        <v>-9.4175382497280399E-3</v>
      </c>
      <c r="F28">
        <v>4.2910784167795521E-3</v>
      </c>
      <c r="G28">
        <v>-8.4928227885329687E-3</v>
      </c>
      <c r="H28">
        <v>-8.0251790820094055E-4</v>
      </c>
      <c r="I28">
        <v>-2.9991520562813912E-3</v>
      </c>
      <c r="J28">
        <v>-8.0034143362357479E-3</v>
      </c>
      <c r="K28">
        <v>0.9264767097904909</v>
      </c>
    </row>
    <row r="29" spans="1:11" x14ac:dyDescent="0.3">
      <c r="A29">
        <v>-7.5455067508904596E-4</v>
      </c>
      <c r="B29">
        <v>0.12202183939594541</v>
      </c>
      <c r="C29">
        <v>6.1455298009536884E-2</v>
      </c>
      <c r="D29">
        <v>0.13513881396861258</v>
      </c>
      <c r="F29">
        <v>-1.4837727319396468E-4</v>
      </c>
      <c r="G29">
        <v>1.7092881685293583E-2</v>
      </c>
      <c r="H29">
        <v>2.1190504424524945E-2</v>
      </c>
      <c r="I29">
        <v>4.3036921226106736E-2</v>
      </c>
      <c r="J29">
        <v>8.1171930062731296E-2</v>
      </c>
      <c r="K29">
        <v>1.0076486398532223</v>
      </c>
    </row>
    <row r="30" spans="1:11" x14ac:dyDescent="0.3">
      <c r="A30">
        <v>8.6147374528575613E-2</v>
      </c>
      <c r="B30">
        <v>-2.8887746835884093E-2</v>
      </c>
      <c r="C30">
        <v>2.4652485329453262E-2</v>
      </c>
      <c r="D30">
        <v>-1.5018608773807205E-2</v>
      </c>
      <c r="F30">
        <v>1.694029698384511E-2</v>
      </c>
      <c r="G30">
        <v>-4.0466103548746227E-3</v>
      </c>
      <c r="H30">
        <v>8.5004648316610171E-3</v>
      </c>
      <c r="I30">
        <v>-4.7828944456636937E-3</v>
      </c>
      <c r="J30">
        <v>1.6611257014967813E-2</v>
      </c>
      <c r="K30">
        <v>1.0242598968681902</v>
      </c>
    </row>
    <row r="31" spans="1:11" x14ac:dyDescent="0.3">
      <c r="A31">
        <v>-3.5579389134996579E-2</v>
      </c>
      <c r="B31">
        <v>-4.3016453351605539E-2</v>
      </c>
      <c r="C31">
        <v>-2.6661231145535962E-2</v>
      </c>
      <c r="D31">
        <v>-5.8051072408317313E-2</v>
      </c>
      <c r="F31">
        <v>-6.9964455881439116E-3</v>
      </c>
      <c r="G31">
        <v>-6.025766791418947E-3</v>
      </c>
      <c r="H31">
        <v>-9.1931038470448624E-3</v>
      </c>
      <c r="I31">
        <v>-1.8487208500350141E-2</v>
      </c>
      <c r="J31">
        <v>-4.0702524726957859E-2</v>
      </c>
      <c r="K31">
        <v>0.98355737214123229</v>
      </c>
    </row>
    <row r="32" spans="1:11" x14ac:dyDescent="0.3">
      <c r="A32">
        <v>-4.9747038629367045E-2</v>
      </c>
      <c r="B32">
        <v>-1.4849110958548737E-2</v>
      </c>
      <c r="C32">
        <v>-8.4860820723626045E-3</v>
      </c>
      <c r="D32">
        <v>6.8131346564580281E-2</v>
      </c>
      <c r="F32">
        <v>-9.7824177818530509E-3</v>
      </c>
      <c r="G32">
        <v>-2.0800710594328559E-3</v>
      </c>
      <c r="H32">
        <v>-2.9261001984462868E-3</v>
      </c>
      <c r="I32">
        <v>2.169741844714906E-2</v>
      </c>
      <c r="J32">
        <v>6.9088294074168676E-3</v>
      </c>
      <c r="K32">
        <v>0.99046620154864917</v>
      </c>
    </row>
    <row r="33" spans="1:11" x14ac:dyDescent="0.3">
      <c r="A33">
        <v>3.3318452380952449E-2</v>
      </c>
      <c r="B33">
        <v>0.27028549492184578</v>
      </c>
      <c r="C33">
        <v>0.11070821473993903</v>
      </c>
      <c r="D33">
        <v>-1.0634722132974695E-2</v>
      </c>
      <c r="F33">
        <v>6.5518477082341332E-3</v>
      </c>
      <c r="G33">
        <v>3.7861730398596527E-2</v>
      </c>
      <c r="H33">
        <v>3.8173485285416392E-2</v>
      </c>
      <c r="I33">
        <v>-3.3867819707568852E-3</v>
      </c>
      <c r="J33">
        <v>7.9200281421490173E-2</v>
      </c>
      <c r="K33">
        <v>1.0696664829701394</v>
      </c>
    </row>
    <row r="34" spans="1:11" x14ac:dyDescent="0.3">
      <c r="A34">
        <v>-9.5147478591823089E-4</v>
      </c>
      <c r="B34">
        <v>-3.592347053712229E-2</v>
      </c>
      <c r="C34">
        <v>1.6276636570118668E-2</v>
      </c>
      <c r="D34">
        <v>-1.5247649574209692E-2</v>
      </c>
      <c r="F34">
        <v>-1.8710106412759859E-4</v>
      </c>
      <c r="G34">
        <v>-5.0321781302090796E-3</v>
      </c>
      <c r="H34">
        <v>5.6123743668440038E-3</v>
      </c>
      <c r="I34">
        <v>-4.8558358204990213E-3</v>
      </c>
      <c r="J34">
        <v>-4.4627406479916957E-3</v>
      </c>
      <c r="K34">
        <v>1.0652037423221477</v>
      </c>
    </row>
    <row r="35" spans="1:11" x14ac:dyDescent="0.3">
      <c r="A35">
        <v>-3.7969335844672499E-2</v>
      </c>
      <c r="B35">
        <v>-2.8818899791178798E-2</v>
      </c>
      <c r="C35">
        <v>1.7024116757141428E-2</v>
      </c>
      <c r="D35">
        <v>2.0292467799488959E-2</v>
      </c>
      <c r="F35">
        <v>-7.4664124009345195E-3</v>
      </c>
      <c r="G35">
        <v>-4.0369662256322242E-3</v>
      </c>
      <c r="H35">
        <v>5.8701142643527993E-3</v>
      </c>
      <c r="I35">
        <v>6.4624315733061927E-3</v>
      </c>
      <c r="J35">
        <v>8.2916721109224743E-4</v>
      </c>
      <c r="K35">
        <v>1.0660329095332399</v>
      </c>
    </row>
    <row r="36" spans="1:11" x14ac:dyDescent="0.3">
      <c r="A36">
        <v>6.5397644025083593E-2</v>
      </c>
      <c r="B36">
        <v>0.15684962927642809</v>
      </c>
      <c r="C36">
        <v>0.11666025470853048</v>
      </c>
      <c r="D36">
        <v>9.6806085514220874E-2</v>
      </c>
      <c r="F36">
        <v>1.2860003196745332E-2</v>
      </c>
      <c r="G36">
        <v>2.1971576308603257E-2</v>
      </c>
      <c r="H36">
        <v>4.022581817410914E-2</v>
      </c>
      <c r="I36">
        <v>3.082930620843638E-2</v>
      </c>
      <c r="J36">
        <v>0.10588670388789412</v>
      </c>
      <c r="K36">
        <v>1.171919613421134</v>
      </c>
    </row>
    <row r="37" spans="1:11" x14ac:dyDescent="0.3">
      <c r="A37">
        <v>0.10043829213112132</v>
      </c>
      <c r="B37">
        <v>5.5064398762094138E-2</v>
      </c>
      <c r="C37">
        <v>-3.7450799860267803E-3</v>
      </c>
      <c r="D37">
        <v>-6.0242536549408157E-2</v>
      </c>
      <c r="F37">
        <v>1.9750509015071673E-2</v>
      </c>
      <c r="G37">
        <v>7.7134491478873446E-3</v>
      </c>
      <c r="H37">
        <v>-1.2913473139742138E-3</v>
      </c>
      <c r="I37">
        <v>-1.9185112136176557E-2</v>
      </c>
      <c r="J37">
        <v>6.9874987128082482E-3</v>
      </c>
      <c r="K37">
        <v>1.1789071121339423</v>
      </c>
    </row>
    <row r="38" spans="1:11" x14ac:dyDescent="0.3">
      <c r="A38">
        <v>-1.1089625192607923E-2</v>
      </c>
      <c r="B38">
        <v>4.3541219850815341E-2</v>
      </c>
      <c r="C38">
        <v>3.3950725604085241E-2</v>
      </c>
      <c r="D38">
        <v>0.1071395174201959</v>
      </c>
      <c r="F38">
        <v>-2.1806995887030068E-3</v>
      </c>
      <c r="G38">
        <v>6.0992763510830418E-3</v>
      </c>
      <c r="H38">
        <v>1.1706606662578644E-2</v>
      </c>
      <c r="I38">
        <v>3.4120137923417067E-2</v>
      </c>
      <c r="J38">
        <v>4.9745321348375747E-2</v>
      </c>
      <c r="K38">
        <v>1.2286524334823181</v>
      </c>
    </row>
    <row r="39" spans="1:11" x14ac:dyDescent="0.3">
      <c r="A39">
        <v>-4.158944542516102E-2</v>
      </c>
      <c r="B39">
        <v>0.12417068504492003</v>
      </c>
      <c r="C39">
        <v>5.4693066741519643E-2</v>
      </c>
      <c r="D39">
        <v>3.2705234417752478E-2</v>
      </c>
      <c r="F39">
        <v>-8.178282399795558E-3</v>
      </c>
      <c r="G39">
        <v>1.7393893083086868E-2</v>
      </c>
      <c r="H39">
        <v>1.8858808114430685E-2</v>
      </c>
      <c r="I39">
        <v>1.0415457676320015E-2</v>
      </c>
      <c r="J39">
        <v>3.8489876474042013E-2</v>
      </c>
      <c r="K39">
        <v>1.2671423099563601</v>
      </c>
    </row>
    <row r="40" spans="1:11" x14ac:dyDescent="0.3">
      <c r="A40">
        <v>-2.7649634751738127E-3</v>
      </c>
      <c r="B40">
        <v>1.4537611518046915E-3</v>
      </c>
      <c r="C40">
        <v>-1.3030069625628969E-2</v>
      </c>
      <c r="D40">
        <v>-5.7215062752271263E-2</v>
      </c>
      <c r="F40">
        <v>-5.4371131651135749E-4</v>
      </c>
      <c r="G40">
        <v>2.036436058453599E-4</v>
      </c>
      <c r="H40">
        <v>-4.4929201711935447E-3</v>
      </c>
      <c r="I40">
        <v>-1.8220969063618996E-2</v>
      </c>
      <c r="J40">
        <v>-2.3053956945478536E-2</v>
      </c>
      <c r="K40">
        <v>1.2440883530108815</v>
      </c>
    </row>
    <row r="41" spans="1:11" x14ac:dyDescent="0.3">
      <c r="A41">
        <v>3.8464315566481425E-3</v>
      </c>
      <c r="B41">
        <v>0.38541569650119523</v>
      </c>
      <c r="C41">
        <v>2.5890003013915513E-2</v>
      </c>
      <c r="D41">
        <v>6.7770995604680473E-2</v>
      </c>
      <c r="F41">
        <v>7.56374680647282E-4</v>
      </c>
      <c r="G41">
        <v>5.3989227932986349E-2</v>
      </c>
      <c r="H41">
        <v>8.9271753809118844E-3</v>
      </c>
      <c r="I41">
        <v>2.1582659441800961E-2</v>
      </c>
      <c r="J41">
        <v>8.5255437436346476E-2</v>
      </c>
      <c r="K41">
        <v>1.3293437904472281</v>
      </c>
    </row>
    <row r="42" spans="1:11" x14ac:dyDescent="0.3">
      <c r="A42">
        <v>3.2680705000366621E-2</v>
      </c>
      <c r="B42">
        <v>-4.2504096578938645E-2</v>
      </c>
      <c r="C42">
        <v>3.9477763727531923E-2</v>
      </c>
      <c r="D42">
        <v>-7.069719214322992E-5</v>
      </c>
      <c r="F42">
        <v>6.4264390107907823E-3</v>
      </c>
      <c r="G42">
        <v>-5.9539955925974261E-3</v>
      </c>
      <c r="H42">
        <v>1.3612393951922513E-2</v>
      </c>
      <c r="I42">
        <v>-2.2514549298040991E-5</v>
      </c>
      <c r="J42">
        <v>1.4062322820817829E-2</v>
      </c>
      <c r="K42">
        <v>1.3434061132680459</v>
      </c>
    </row>
    <row r="43" spans="1:11" x14ac:dyDescent="0.3">
      <c r="A43">
        <v>5.1030492372921774E-2</v>
      </c>
      <c r="B43">
        <v>7.3412278987400423E-2</v>
      </c>
      <c r="C43">
        <v>2.938384982738981E-2</v>
      </c>
      <c r="D43">
        <v>4.8691128588816052E-2</v>
      </c>
      <c r="F43">
        <v>1.0034800256650735E-2</v>
      </c>
      <c r="G43">
        <v>1.0283629596072911E-2</v>
      </c>
      <c r="H43">
        <v>1.0131894563105912E-2</v>
      </c>
      <c r="I43">
        <v>1.5506398228223434E-2</v>
      </c>
      <c r="J43">
        <v>4.5956722644052997E-2</v>
      </c>
      <c r="K43">
        <v>1.3893628359120989</v>
      </c>
    </row>
    <row r="44" spans="1:11" x14ac:dyDescent="0.3">
      <c r="A44">
        <v>1.8999549273355565E-2</v>
      </c>
      <c r="B44">
        <v>-6.9352833095154179E-2</v>
      </c>
      <c r="C44">
        <v>-4.3853374014713809E-3</v>
      </c>
      <c r="D44">
        <v>0.13374216799111815</v>
      </c>
      <c r="F44">
        <v>3.73613251722581E-3</v>
      </c>
      <c r="G44">
        <v>-9.7149803387964161E-3</v>
      </c>
      <c r="H44">
        <v>-1.5121155477025455E-3</v>
      </c>
      <c r="I44">
        <v>4.2592138997011947E-2</v>
      </c>
      <c r="J44">
        <v>3.5101175627738797E-2</v>
      </c>
      <c r="K44">
        <v>1.4244640115398377</v>
      </c>
    </row>
    <row r="45" spans="1:11" x14ac:dyDescent="0.3">
      <c r="A45">
        <v>-5.3478957145602482E-2</v>
      </c>
      <c r="B45">
        <v>2.2860158551772321E-2</v>
      </c>
      <c r="C45">
        <v>4.0392414111815184E-2</v>
      </c>
      <c r="D45">
        <v>4.7747830394657229E-2</v>
      </c>
      <c r="F45">
        <v>-1.0516274249685029E-2</v>
      </c>
      <c r="G45">
        <v>3.2022627045030466E-3</v>
      </c>
      <c r="H45">
        <v>1.392777608564905E-2</v>
      </c>
      <c r="I45">
        <v>1.5205991195761458E-2</v>
      </c>
      <c r="J45">
        <v>2.1819755736228526E-2</v>
      </c>
      <c r="K45">
        <v>1.4462837672760662</v>
      </c>
    </row>
    <row r="46" spans="1:11" x14ac:dyDescent="0.3">
      <c r="A46">
        <v>9.9604702991916649E-2</v>
      </c>
      <c r="B46">
        <v>0.15770133534939745</v>
      </c>
      <c r="C46">
        <v>3.1198853424288298E-2</v>
      </c>
      <c r="D46">
        <v>4.7953238862504563E-2</v>
      </c>
      <c r="F46">
        <v>1.958658936391677E-2</v>
      </c>
      <c r="G46">
        <v>2.2090883731012062E-2</v>
      </c>
      <c r="H46">
        <v>1.0757728998806436E-2</v>
      </c>
      <c r="I46">
        <v>1.5271406510505703E-2</v>
      </c>
      <c r="J46">
        <v>6.7706608604240978E-2</v>
      </c>
      <c r="K46">
        <v>1.5139903758803073</v>
      </c>
    </row>
    <row r="47" spans="1:11" x14ac:dyDescent="0.3">
      <c r="A47">
        <v>3.6686207329647197E-2</v>
      </c>
      <c r="B47">
        <v>0.29760220843219543</v>
      </c>
      <c r="C47">
        <v>1.2335350980215088E-2</v>
      </c>
      <c r="D47">
        <v>-2.154486381132634E-2</v>
      </c>
      <c r="F47">
        <v>7.2140938801215767E-3</v>
      </c>
      <c r="G47">
        <v>4.16882696015368E-2</v>
      </c>
      <c r="H47">
        <v>4.2533730693772248E-3</v>
      </c>
      <c r="I47">
        <v>-6.8612753023761719E-3</v>
      </c>
      <c r="J47">
        <v>4.6294461248659428E-2</v>
      </c>
      <c r="K47">
        <v>1.5602848371289666</v>
      </c>
    </row>
    <row r="48" spans="1:11" x14ac:dyDescent="0.3">
      <c r="A48">
        <v>-2.9020506501075523E-2</v>
      </c>
      <c r="B48">
        <v>3.8531479715441672E-2</v>
      </c>
      <c r="C48">
        <v>4.0278485247762723E-2</v>
      </c>
      <c r="D48">
        <v>4.3344519015660974E-3</v>
      </c>
      <c r="F48">
        <v>-5.7066857979143062E-3</v>
      </c>
      <c r="G48">
        <v>5.3975093900872533E-3</v>
      </c>
      <c r="H48">
        <v>1.3888492082870149E-2</v>
      </c>
      <c r="I48">
        <v>1.3803692630407051E-3</v>
      </c>
      <c r="J48">
        <v>1.4959684938083801E-2</v>
      </c>
      <c r="K48">
        <v>1.5752445220670503</v>
      </c>
    </row>
    <row r="49" spans="1:11" x14ac:dyDescent="0.3">
      <c r="A49">
        <v>-3.3917898899224141E-3</v>
      </c>
      <c r="B49">
        <v>0.1170492215465848</v>
      </c>
      <c r="C49">
        <v>2.436276209282356E-3</v>
      </c>
      <c r="D49">
        <v>6.550274605807789E-2</v>
      </c>
      <c r="F49">
        <v>-6.6697248008446106E-4</v>
      </c>
      <c r="G49">
        <v>1.639631483311315E-2</v>
      </c>
      <c r="H49">
        <v>8.4005648763026261E-4</v>
      </c>
      <c r="I49">
        <v>2.0860302376561651E-2</v>
      </c>
      <c r="J49">
        <v>3.7429701217220598E-2</v>
      </c>
      <c r="K49">
        <v>1.612674223284271</v>
      </c>
    </row>
    <row r="50" spans="1:11" x14ac:dyDescent="0.3">
      <c r="A50">
        <v>3.0820106783599328E-2</v>
      </c>
      <c r="B50">
        <v>7.6223572054205407E-2</v>
      </c>
      <c r="C50">
        <v>2.0114826539654018E-2</v>
      </c>
      <c r="D50">
        <v>2.3616595088737414E-2</v>
      </c>
      <c r="F50">
        <v>6.0605649892999068E-3</v>
      </c>
      <c r="G50">
        <v>1.0677436967044082E-2</v>
      </c>
      <c r="H50">
        <v>6.9358270904640975E-3</v>
      </c>
      <c r="I50">
        <v>7.5210482659624177E-3</v>
      </c>
      <c r="J50">
        <v>3.1194877312770503E-2</v>
      </c>
      <c r="K50">
        <v>1.6438691005970416</v>
      </c>
    </row>
    <row r="51" spans="1:11" x14ac:dyDescent="0.3">
      <c r="A51">
        <v>1.4140211327533993E-2</v>
      </c>
      <c r="B51">
        <v>0.21462612982744445</v>
      </c>
      <c r="C51">
        <v>0.10768022108340237</v>
      </c>
      <c r="D51">
        <v>9.0062000179710666E-2</v>
      </c>
      <c r="F51">
        <v>2.7805766642754722E-3</v>
      </c>
      <c r="G51">
        <v>3.0064938062512675E-2</v>
      </c>
      <c r="H51">
        <v>3.7129397711936296E-2</v>
      </c>
      <c r="I51">
        <v>2.8681554124783567E-2</v>
      </c>
      <c r="J51">
        <v>9.8656466563508016E-2</v>
      </c>
      <c r="K51">
        <v>1.7425255671605497</v>
      </c>
    </row>
    <row r="52" spans="1:11" x14ac:dyDescent="0.3">
      <c r="A52">
        <v>-2.5587428271992028E-2</v>
      </c>
      <c r="B52">
        <v>6.2140451345071472E-3</v>
      </c>
      <c r="C52">
        <v>-3.4527343139753905E-2</v>
      </c>
      <c r="D52">
        <v>-4.2658431470378295E-2</v>
      </c>
      <c r="F52">
        <v>-5.0315942459348978E-3</v>
      </c>
      <c r="G52">
        <v>8.7046662136068651E-4</v>
      </c>
      <c r="H52">
        <v>-1.1905431122577997E-2</v>
      </c>
      <c r="I52">
        <v>-1.3585198070824773E-2</v>
      </c>
      <c r="J52">
        <v>-2.9651756817976983E-2</v>
      </c>
      <c r="K52">
        <v>1.7128738103425727</v>
      </c>
    </row>
    <row r="53" spans="1:11" x14ac:dyDescent="0.3">
      <c r="A53">
        <v>1.8576476527008361E-3</v>
      </c>
      <c r="B53">
        <v>0.31827673244607629</v>
      </c>
      <c r="C53">
        <v>7.0336512546340588E-2</v>
      </c>
      <c r="D53">
        <v>7.1799670850947156E-2</v>
      </c>
      <c r="F53">
        <v>3.6529381307675749E-4</v>
      </c>
      <c r="G53">
        <v>4.4584367501867006E-2</v>
      </c>
      <c r="H53">
        <v>2.4252850911040864E-2</v>
      </c>
      <c r="I53">
        <v>2.2865649680707565E-2</v>
      </c>
      <c r="J53">
        <v>9.2068161906692189E-2</v>
      </c>
      <c r="K53">
        <v>1.8049419722492648</v>
      </c>
    </row>
    <row r="54" spans="1:11" x14ac:dyDescent="0.3">
      <c r="A54">
        <v>1.1117849201536022E-3</v>
      </c>
      <c r="B54">
        <v>-2.8030433041589748E-3</v>
      </c>
      <c r="C54">
        <v>-9.7048668364569601E-2</v>
      </c>
      <c r="D54">
        <v>-0.13992141562885338</v>
      </c>
      <c r="F54">
        <v>2.1862496486547248E-4</v>
      </c>
      <c r="G54">
        <v>-3.9265173999938728E-4</v>
      </c>
      <c r="H54">
        <v>-3.3463514179925193E-2</v>
      </c>
      <c r="I54">
        <v>-4.4560010299209279E-2</v>
      </c>
      <c r="J54">
        <v>-7.8197551254268388E-2</v>
      </c>
      <c r="K54">
        <v>1.7267444209949965</v>
      </c>
    </row>
    <row r="55" spans="1:11" x14ac:dyDescent="0.3">
      <c r="A55">
        <v>2.8176959619952438E-2</v>
      </c>
      <c r="B55">
        <v>0.13616274535291839</v>
      </c>
      <c r="C55">
        <v>8.5495557664107588E-2</v>
      </c>
      <c r="D55">
        <v>0.12720893854748599</v>
      </c>
      <c r="F55">
        <v>5.5408080243405881E-3</v>
      </c>
      <c r="G55">
        <v>1.9073747025809291E-2</v>
      </c>
      <c r="H55">
        <v>2.9479866693956202E-2</v>
      </c>
      <c r="I55">
        <v>4.0511537039213327E-2</v>
      </c>
      <c r="J55">
        <v>9.4605958783319413E-2</v>
      </c>
      <c r="K55">
        <v>1.8213503797783159</v>
      </c>
    </row>
    <row r="56" spans="1:11" x14ac:dyDescent="0.3">
      <c r="A56">
        <v>1.0081319343746939E-2</v>
      </c>
      <c r="B56">
        <v>7.459142338315404E-2</v>
      </c>
      <c r="C56">
        <v>-6.9912972319220529E-2</v>
      </c>
      <c r="D56">
        <v>-1.3300721274013426E-3</v>
      </c>
      <c r="F56">
        <v>1.9824230814533606E-3</v>
      </c>
      <c r="G56">
        <v>1.0448804746244949E-2</v>
      </c>
      <c r="H56">
        <v>-2.4106809294655585E-2</v>
      </c>
      <c r="I56">
        <v>-4.2358081805651262E-4</v>
      </c>
      <c r="J56">
        <v>-1.2099162285013789E-2</v>
      </c>
      <c r="K56">
        <v>1.8092512174933022</v>
      </c>
    </row>
    <row r="57" spans="1:11" x14ac:dyDescent="0.3">
      <c r="A57">
        <v>-8.1331612291763333E-2</v>
      </c>
      <c r="B57">
        <v>-0.11134558093346567</v>
      </c>
      <c r="C57">
        <v>-7.0283963943868072E-3</v>
      </c>
      <c r="D57">
        <v>-7.5240324091845168E-2</v>
      </c>
      <c r="F57">
        <v>-1.5993309998558337E-2</v>
      </c>
      <c r="G57">
        <v>-1.5597345938216127E-2</v>
      </c>
      <c r="H57">
        <v>-2.4234731539249294E-3</v>
      </c>
      <c r="I57">
        <v>-2.396137575781572E-2</v>
      </c>
      <c r="J57">
        <v>-5.7975504848515116E-2</v>
      </c>
      <c r="K57">
        <v>1.7512757126447871</v>
      </c>
    </row>
    <row r="58" spans="1:11" x14ac:dyDescent="0.3">
      <c r="A58">
        <v>-0.10259744915682727</v>
      </c>
      <c r="B58">
        <v>3.9095048304505255E-2</v>
      </c>
      <c r="C58">
        <v>2.0791698771445832E-2</v>
      </c>
      <c r="D58">
        <v>-0.11022766084813675</v>
      </c>
      <c r="F58">
        <v>-2.0175092601633346E-2</v>
      </c>
      <c r="G58">
        <v>5.4764543663480504E-3</v>
      </c>
      <c r="H58">
        <v>7.1692205404543102E-3</v>
      </c>
      <c r="I58">
        <v>-3.5103602122489273E-2</v>
      </c>
      <c r="J58">
        <v>-4.2633019817320261E-2</v>
      </c>
      <c r="K58">
        <v>1.7086426928274667</v>
      </c>
    </row>
    <row r="59" spans="1:11" x14ac:dyDescent="0.3">
      <c r="A59">
        <v>-2.0355642429549164E-2</v>
      </c>
      <c r="B59">
        <v>0.12222624303394374</v>
      </c>
      <c r="C59">
        <v>3.9500156386045204E-2</v>
      </c>
      <c r="D59">
        <v>-5.7872905986650928E-3</v>
      </c>
      <c r="F59">
        <v>-4.0027990399073487E-3</v>
      </c>
      <c r="G59">
        <v>1.7121514651471152E-2</v>
      </c>
      <c r="H59">
        <v>1.3620115202077853E-2</v>
      </c>
      <c r="I59">
        <v>-1.8430468811513041E-3</v>
      </c>
      <c r="J59">
        <v>2.489578393249035E-2</v>
      </c>
      <c r="K59">
        <v>1.7335384767599571</v>
      </c>
    </row>
    <row r="60" spans="1:11" x14ac:dyDescent="0.3">
      <c r="A60">
        <v>0.11594839469999625</v>
      </c>
      <c r="B60">
        <v>0.15137828739042025</v>
      </c>
      <c r="C60">
        <v>0.19095235818070616</v>
      </c>
      <c r="D60">
        <v>8.6861279108529005E-2</v>
      </c>
      <c r="F60">
        <v>2.2800465501899788E-2</v>
      </c>
      <c r="G60">
        <v>2.1205147938237037E-2</v>
      </c>
      <c r="H60">
        <v>6.5842603029502719E-2</v>
      </c>
      <c r="I60">
        <v>2.7662237937509798E-2</v>
      </c>
      <c r="J60">
        <v>0.13751045440714935</v>
      </c>
      <c r="K60">
        <v>1.8710489311671064</v>
      </c>
    </row>
    <row r="61" spans="1:11" x14ac:dyDescent="0.3">
      <c r="A61">
        <v>-1.1230369570562674E-2</v>
      </c>
      <c r="B61">
        <v>9.6087099484856359E-2</v>
      </c>
      <c r="C61">
        <v>1.5623442320817464E-2</v>
      </c>
      <c r="D61">
        <v>-2.4923673426743967E-2</v>
      </c>
      <c r="F61">
        <v>-2.2083760161554669E-3</v>
      </c>
      <c r="G61">
        <v>1.3459930051113934E-2</v>
      </c>
      <c r="H61">
        <v>5.3871453617264399E-3</v>
      </c>
      <c r="I61">
        <v>-7.9373063772864069E-3</v>
      </c>
      <c r="J61">
        <v>8.7013930193985001E-3</v>
      </c>
      <c r="K61">
        <v>1.8797503241865048</v>
      </c>
    </row>
    <row r="62" spans="1:11" x14ac:dyDescent="0.3">
      <c r="A62">
        <v>-9.8693196189191409E-2</v>
      </c>
      <c r="B62">
        <v>0.13157078777104819</v>
      </c>
      <c r="C62">
        <v>-6.1981935322989443E-2</v>
      </c>
      <c r="D62">
        <v>-6.6203916155677861E-2</v>
      </c>
      <c r="F62">
        <v>-1.9407347732637123E-2</v>
      </c>
      <c r="G62">
        <v>1.8430503258633279E-2</v>
      </c>
      <c r="H62">
        <v>-2.1372095120238511E-2</v>
      </c>
      <c r="I62">
        <v>-2.1083600194341232E-2</v>
      </c>
      <c r="J62">
        <v>-4.3432539788583586E-2</v>
      </c>
      <c r="K62">
        <v>1.8363177843979213</v>
      </c>
    </row>
    <row r="63" spans="1:11" x14ac:dyDescent="0.3">
      <c r="A63">
        <v>4.4954949399094578E-2</v>
      </c>
      <c r="B63">
        <v>-7.9565261970676038E-3</v>
      </c>
      <c r="C63">
        <v>5.7757859816781727E-2</v>
      </c>
      <c r="D63">
        <v>-3.2886966124083518E-2</v>
      </c>
      <c r="F63">
        <v>8.8400859327614281E-3</v>
      </c>
      <c r="G63">
        <v>-1.114554260005152E-3</v>
      </c>
      <c r="H63">
        <v>1.9915584557228444E-2</v>
      </c>
      <c r="I63">
        <v>-1.0473332781924178E-2</v>
      </c>
      <c r="J63">
        <v>1.7167783448060539E-2</v>
      </c>
      <c r="K63">
        <v>1.8534855678459818</v>
      </c>
    </row>
    <row r="64" spans="1:11" x14ac:dyDescent="0.3">
      <c r="A64">
        <v>-3.2822285655161466E-2</v>
      </c>
      <c r="B64">
        <v>-9.1273316810465271E-2</v>
      </c>
      <c r="C64">
        <v>-5.7832281127683946E-2</v>
      </c>
      <c r="D64">
        <v>-3.7266307584132678E-2</v>
      </c>
      <c r="F64">
        <v>-6.4542798864125495E-3</v>
      </c>
      <c r="G64">
        <v>-1.278561291149854E-2</v>
      </c>
      <c r="H64">
        <v>-1.9941245894314591E-2</v>
      </c>
      <c r="I64">
        <v>-1.1867997777889987E-2</v>
      </c>
      <c r="J64">
        <v>-5.1049136470115671E-2</v>
      </c>
      <c r="K64">
        <v>1.8024364313758661</v>
      </c>
    </row>
    <row r="65" spans="1:11" x14ac:dyDescent="0.3">
      <c r="A65">
        <v>2.6598602901665803E-2</v>
      </c>
      <c r="B65">
        <v>1.679950721445402E-3</v>
      </c>
      <c r="C65">
        <v>-3.0319460760801865E-2</v>
      </c>
      <c r="D65">
        <v>4.5313236318110489E-2</v>
      </c>
      <c r="F65">
        <v>5.23043487947645E-3</v>
      </c>
      <c r="G65">
        <v>2.3532835647242353E-4</v>
      </c>
      <c r="H65">
        <v>-1.0454504138947938E-2</v>
      </c>
      <c r="I65">
        <v>1.4430659295081732E-2</v>
      </c>
      <c r="J65">
        <v>9.4419183920826672E-3</v>
      </c>
      <c r="K65">
        <v>1.8118783497679487</v>
      </c>
    </row>
    <row r="66" spans="1:11" x14ac:dyDescent="0.3">
      <c r="A66">
        <v>-2.5041911148365535E-2</v>
      </c>
      <c r="B66">
        <v>6.0704456807967294E-2</v>
      </c>
      <c r="C66">
        <v>0.19640886887963577</v>
      </c>
      <c r="D66">
        <v>5.7831274162685438E-3</v>
      </c>
      <c r="F66">
        <v>-4.9243220030537136E-3</v>
      </c>
      <c r="G66">
        <v>8.5035113642376193E-3</v>
      </c>
      <c r="H66">
        <v>6.7724071639258587E-2</v>
      </c>
      <c r="I66">
        <v>1.8417210551536615E-3</v>
      </c>
      <c r="J66">
        <v>7.314498205559615E-2</v>
      </c>
      <c r="K66">
        <v>1.8850233318235448</v>
      </c>
    </row>
    <row r="67" spans="1:11" x14ac:dyDescent="0.3">
      <c r="A67">
        <v>1.4394348546661396E-2</v>
      </c>
      <c r="B67">
        <v>-5.1458298120081888E-2</v>
      </c>
      <c r="C67">
        <v>-7.2860924769321572E-2</v>
      </c>
      <c r="D67">
        <v>-3.1369593147751652E-2</v>
      </c>
      <c r="F67">
        <v>2.8305510249594266E-3</v>
      </c>
      <c r="G67">
        <v>-7.2083047251814466E-3</v>
      </c>
      <c r="H67">
        <v>-2.5123297725440856E-2</v>
      </c>
      <c r="I67">
        <v>-9.9901032837861753E-3</v>
      </c>
      <c r="J67">
        <v>-3.9491154709449056E-2</v>
      </c>
      <c r="K67">
        <v>1.8455321771140958</v>
      </c>
    </row>
    <row r="68" spans="1:11" x14ac:dyDescent="0.3">
      <c r="A68">
        <v>5.4464490502304209E-2</v>
      </c>
      <c r="B68">
        <v>0.15303161541792976</v>
      </c>
      <c r="C68">
        <v>9.3117408906882471E-2</v>
      </c>
      <c r="D68">
        <v>0.10074633901667282</v>
      </c>
      <c r="F68">
        <v>1.0710072700785533E-2</v>
      </c>
      <c r="G68">
        <v>2.1436746974123549E-2</v>
      </c>
      <c r="H68">
        <v>3.2107970009931146E-2</v>
      </c>
      <c r="I68">
        <v>3.2084137256719082E-2</v>
      </c>
      <c r="J68">
        <v>9.6338926941559294E-2</v>
      </c>
      <c r="K68">
        <v>1.9418711040556551</v>
      </c>
    </row>
    <row r="69" spans="1:11" x14ac:dyDescent="0.3">
      <c r="A69">
        <v>8.8964103000759062E-2</v>
      </c>
      <c r="B69">
        <v>-4.2127315342971532E-2</v>
      </c>
      <c r="C69">
        <v>-0.13024768588659627</v>
      </c>
      <c r="D69">
        <v>6.1425208953790042E-2</v>
      </c>
      <c r="F69">
        <v>1.7494187535968809E-2</v>
      </c>
      <c r="G69">
        <v>-5.9012158843131848E-3</v>
      </c>
      <c r="H69">
        <v>-4.4910923117413619E-2</v>
      </c>
      <c r="I69">
        <v>1.9561751368155425E-2</v>
      </c>
      <c r="J69">
        <v>-1.3756200097602568E-2</v>
      </c>
      <c r="K69">
        <v>1.9281149039580525</v>
      </c>
    </row>
    <row r="70" spans="1:11" x14ac:dyDescent="0.3">
      <c r="A70">
        <v>1.6304896516910826E-2</v>
      </c>
      <c r="B70">
        <v>-4.3887831191495995E-2</v>
      </c>
      <c r="C70">
        <v>-2.8446618076493908E-2</v>
      </c>
      <c r="D70">
        <v>-7.1892171031367094E-2</v>
      </c>
      <c r="F70">
        <v>3.2062473267332205E-3</v>
      </c>
      <c r="G70">
        <v>-6.1478298450015441E-3</v>
      </c>
      <c r="H70">
        <v>-9.8087261104676561E-3</v>
      </c>
      <c r="I70">
        <v>-2.2895107708799021E-2</v>
      </c>
      <c r="J70">
        <v>-3.5645416337534999E-2</v>
      </c>
      <c r="K70">
        <v>1.8924694876205175</v>
      </c>
    </row>
    <row r="71" spans="1:11" x14ac:dyDescent="0.3">
      <c r="A71">
        <v>5.1427202295291082E-2</v>
      </c>
      <c r="B71">
        <v>7.7758303766083753E-2</v>
      </c>
      <c r="C71">
        <v>2.4794474221386399E-2</v>
      </c>
      <c r="D71">
        <v>0.10596274108588274</v>
      </c>
      <c r="F71">
        <v>1.0112810572555895E-2</v>
      </c>
      <c r="G71">
        <v>1.0892422970366666E-2</v>
      </c>
      <c r="H71">
        <v>8.5494242597362931E-3</v>
      </c>
      <c r="I71">
        <v>3.374537638072405E-2</v>
      </c>
      <c r="J71">
        <v>6.3300034183382897E-2</v>
      </c>
      <c r="K71">
        <v>1.9557695218039004</v>
      </c>
    </row>
    <row r="72" spans="1:11" x14ac:dyDescent="0.3">
      <c r="A72">
        <v>-3.3130349485888094E-3</v>
      </c>
      <c r="B72">
        <v>5.9057880797700239E-2</v>
      </c>
      <c r="C72">
        <v>1.272625131204819E-2</v>
      </c>
      <c r="D72">
        <v>7.1960887949260074E-2</v>
      </c>
      <c r="F72">
        <v>-6.5148585495586797E-4</v>
      </c>
      <c r="G72">
        <v>8.2728581543805597E-3</v>
      </c>
      <c r="H72">
        <v>4.3881600687010608E-3</v>
      </c>
      <c r="I72">
        <v>2.2916991610954236E-2</v>
      </c>
      <c r="J72">
        <v>3.4926523979079985E-2</v>
      </c>
      <c r="K72">
        <v>1.9906960457829803</v>
      </c>
    </row>
    <row r="73" spans="1:11" x14ac:dyDescent="0.3">
      <c r="A73">
        <v>-6.8896263841169824E-3</v>
      </c>
      <c r="B73">
        <v>-5.140538103111375E-2</v>
      </c>
      <c r="C73">
        <v>2.0472100414370187E-2</v>
      </c>
      <c r="D73">
        <v>-1.7070520341323722E-2</v>
      </c>
      <c r="F73">
        <v>-1.3547983057331876E-3</v>
      </c>
      <c r="G73">
        <v>-7.2008920722879963E-3</v>
      </c>
      <c r="H73">
        <v>7.059019294686511E-3</v>
      </c>
      <c r="I73">
        <v>-5.4363555343088545E-3</v>
      </c>
      <c r="J73">
        <v>-6.9330266176435267E-3</v>
      </c>
      <c r="K73">
        <v>1.9837630191653368</v>
      </c>
    </row>
    <row r="74" spans="1:11" x14ac:dyDescent="0.3">
      <c r="A74">
        <v>2.3363732298631829E-2</v>
      </c>
      <c r="B74">
        <v>0.11630192478247318</v>
      </c>
      <c r="C74">
        <v>5.9096719216020471E-2</v>
      </c>
      <c r="D74">
        <v>7.7506904015524541E-2</v>
      </c>
      <c r="F74">
        <v>4.5943195129944658E-3</v>
      </c>
      <c r="G74">
        <v>1.6291633120101807E-2</v>
      </c>
      <c r="H74">
        <v>2.0377238913195973E-2</v>
      </c>
      <c r="I74">
        <v>2.4683201107346463E-2</v>
      </c>
      <c r="J74">
        <v>6.5946392653638705E-2</v>
      </c>
      <c r="K74">
        <v>2.0497094118189754</v>
      </c>
    </row>
    <row r="75" spans="1:11" x14ac:dyDescent="0.3">
      <c r="A75">
        <v>-3.6308892037001828E-2</v>
      </c>
      <c r="B75">
        <v>-5.6088510792343643E-2</v>
      </c>
      <c r="C75">
        <v>3.5012141106949203E-2</v>
      </c>
      <c r="D75">
        <v>2.8731026341173183E-2</v>
      </c>
      <c r="F75">
        <v>-7.1398973866249726E-3</v>
      </c>
      <c r="G75">
        <v>-7.8569072849896619E-3</v>
      </c>
      <c r="H75">
        <v>1.207259512310499E-2</v>
      </c>
      <c r="I75">
        <v>9.1498132999558307E-3</v>
      </c>
      <c r="J75">
        <v>6.2256037514461862E-3</v>
      </c>
      <c r="K75">
        <v>2.0559350155704217</v>
      </c>
    </row>
    <row r="76" spans="1:11" x14ac:dyDescent="0.3">
      <c r="A76">
        <v>1.5068165870033429E-2</v>
      </c>
      <c r="B76">
        <v>-2.4219008720609173E-2</v>
      </c>
      <c r="C76">
        <v>1.8562344717227463E-2</v>
      </c>
      <c r="D76">
        <v>2.7661610084232544E-2</v>
      </c>
      <c r="F76">
        <v>2.9630526320396922E-3</v>
      </c>
      <c r="G76">
        <v>-3.3926111313006624E-3</v>
      </c>
      <c r="H76">
        <v>6.4005132283131202E-3</v>
      </c>
      <c r="I76">
        <v>8.8092421357116191E-3</v>
      </c>
      <c r="J76">
        <v>1.478019686476377E-2</v>
      </c>
      <c r="K76">
        <v>2.0707152124351853</v>
      </c>
    </row>
    <row r="77" spans="1:11" x14ac:dyDescent="0.3">
      <c r="A77">
        <v>6.1832773571810343E-2</v>
      </c>
      <c r="B77">
        <v>3.3495333926574902E-2</v>
      </c>
      <c r="C77">
        <v>2.0387409478412333E-2</v>
      </c>
      <c r="D77">
        <v>7.8723653271197125E-2</v>
      </c>
      <c r="F77">
        <v>1.2158995597641407E-2</v>
      </c>
      <c r="G77">
        <v>4.6920435116418122E-3</v>
      </c>
      <c r="H77">
        <v>7.0298168709531893E-3</v>
      </c>
      <c r="I77">
        <v>2.5070692608348297E-2</v>
      </c>
      <c r="J77">
        <v>4.8951548588584706E-2</v>
      </c>
      <c r="K77">
        <v>2.1196667610237698</v>
      </c>
    </row>
    <row r="78" spans="1:11" x14ac:dyDescent="0.3">
      <c r="A78">
        <v>4.861660674221218E-2</v>
      </c>
      <c r="B78">
        <v>3.1272059861640604E-2</v>
      </c>
      <c r="C78">
        <v>-1.4393567221742206E-2</v>
      </c>
      <c r="D78">
        <v>9.9398171705297175E-2</v>
      </c>
      <c r="F78">
        <v>9.5601260173830884E-3</v>
      </c>
      <c r="G78">
        <v>4.3806061432655535E-3</v>
      </c>
      <c r="H78">
        <v>-4.9630700651666056E-3</v>
      </c>
      <c r="I78">
        <v>3.1654793764088154E-2</v>
      </c>
      <c r="J78">
        <v>4.0632455859570191E-2</v>
      </c>
      <c r="K78">
        <v>2.1602992168833399</v>
      </c>
    </row>
    <row r="79" spans="1:11" x14ac:dyDescent="0.3">
      <c r="A79">
        <v>-1.4434801822406081E-2</v>
      </c>
      <c r="B79">
        <v>-2.5565771673583652E-2</v>
      </c>
      <c r="C79">
        <v>6.9954596122998286E-2</v>
      </c>
      <c r="D79">
        <v>1.9948101530109983E-2</v>
      </c>
      <c r="F79">
        <v>-2.8385058872966067E-3</v>
      </c>
      <c r="G79">
        <v>-3.5812663747168201E-3</v>
      </c>
      <c r="H79">
        <v>2.4121161668278136E-2</v>
      </c>
      <c r="I79">
        <v>6.3527631251900692E-3</v>
      </c>
      <c r="J79">
        <v>2.4054152531454778E-2</v>
      </c>
      <c r="K79">
        <v>2.1843533694147945</v>
      </c>
    </row>
    <row r="80" spans="1:11" x14ac:dyDescent="0.3">
      <c r="A80">
        <v>7.0386464562315051E-2</v>
      </c>
      <c r="B80">
        <v>0.17599633284797492</v>
      </c>
      <c r="C80">
        <v>1.9997596590856599E-2</v>
      </c>
      <c r="D80">
        <v>5.7473947162574826E-2</v>
      </c>
      <c r="F80">
        <v>1.3841020923197035E-2</v>
      </c>
      <c r="G80">
        <v>2.4653656339784238E-2</v>
      </c>
      <c r="H80">
        <v>6.8954048351152902E-3</v>
      </c>
      <c r="I80">
        <v>1.8303414570174124E-2</v>
      </c>
      <c r="J80">
        <v>6.3693496668270691E-2</v>
      </c>
      <c r="K80">
        <v>2.2480468660830653</v>
      </c>
    </row>
    <row r="81" spans="1:11" x14ac:dyDescent="0.3">
      <c r="A81">
        <v>-9.3386160414253044E-2</v>
      </c>
      <c r="B81">
        <v>-1.9977802441731324E-2</v>
      </c>
      <c r="C81">
        <v>1.1491279468415248E-2</v>
      </c>
      <c r="D81">
        <v>-0.10769629116781211</v>
      </c>
      <c r="F81">
        <v>-1.8363755137699417E-2</v>
      </c>
      <c r="G81">
        <v>-2.7985007860816557E-3</v>
      </c>
      <c r="H81">
        <v>3.9623273550982979E-3</v>
      </c>
      <c r="I81">
        <v>-3.4297450622953474E-2</v>
      </c>
      <c r="J81">
        <v>-5.1497379191636251E-2</v>
      </c>
      <c r="K81">
        <v>2.196549486891429</v>
      </c>
    </row>
    <row r="82" spans="1:11" x14ac:dyDescent="0.3">
      <c r="A82">
        <v>1.9496052690647797E-3</v>
      </c>
      <c r="B82">
        <v>2.6919945725915804E-2</v>
      </c>
      <c r="C82">
        <v>-1.888223296547379E-2</v>
      </c>
      <c r="D82">
        <v>8.9045880208304048E-3</v>
      </c>
      <c r="F82">
        <v>3.8337665471478065E-4</v>
      </c>
      <c r="G82">
        <v>3.7709597687222963E-3</v>
      </c>
      <c r="H82">
        <v>-6.5108144319419008E-3</v>
      </c>
      <c r="I82">
        <v>2.8357955937989821E-3</v>
      </c>
      <c r="J82">
        <v>4.7931758529415813E-4</v>
      </c>
      <c r="K82">
        <v>2.197028804476723</v>
      </c>
    </row>
    <row r="83" spans="1:11" x14ac:dyDescent="0.3">
      <c r="A83">
        <v>2.2931311030711801E-2</v>
      </c>
      <c r="B83">
        <v>3.2733591166414444E-2</v>
      </c>
      <c r="C83">
        <v>8.5174161050441524E-2</v>
      </c>
      <c r="D83">
        <v>7.0066055335776145E-2</v>
      </c>
      <c r="F83">
        <v>4.5092868031668867E-3</v>
      </c>
      <c r="G83">
        <v>4.5853381961138088E-3</v>
      </c>
      <c r="H83">
        <v>2.9369045388316108E-2</v>
      </c>
      <c r="I83">
        <v>2.2313554600310453E-2</v>
      </c>
      <c r="J83">
        <v>6.0777224987907261E-2</v>
      </c>
      <c r="K83">
        <v>2.2578060294646303</v>
      </c>
    </row>
    <row r="84" spans="1:11" x14ac:dyDescent="0.3">
      <c r="A84">
        <v>-2.5741239030812858E-2</v>
      </c>
      <c r="B84">
        <v>-2.3855118454888701E-2</v>
      </c>
      <c r="C84">
        <v>6.3854047890535837E-2</v>
      </c>
      <c r="D84">
        <v>9.6387548969965084E-2</v>
      </c>
      <c r="F84">
        <v>-5.0618400885736794E-3</v>
      </c>
      <c r="G84">
        <v>-3.3416371967232039E-3</v>
      </c>
      <c r="H84">
        <v>2.2017621395933152E-2</v>
      </c>
      <c r="I84">
        <v>3.0696017157301397E-2</v>
      </c>
      <c r="J84">
        <v>4.4310161267937666E-2</v>
      </c>
      <c r="K84">
        <v>2.3021161907325678</v>
      </c>
    </row>
    <row r="85" spans="1:11" x14ac:dyDescent="0.3">
      <c r="A85">
        <v>3.4570884943902758E-2</v>
      </c>
      <c r="B85">
        <v>5.4919049955268286E-2</v>
      </c>
      <c r="C85">
        <v>-3.5948827442110723E-3</v>
      </c>
      <c r="D85">
        <v>-2.1481611870627856E-2</v>
      </c>
      <c r="F85">
        <v>6.7981300782392557E-3</v>
      </c>
      <c r="G85">
        <v>7.6930886126710934E-3</v>
      </c>
      <c r="H85">
        <v>-1.2395575510028701E-3</v>
      </c>
      <c r="I85">
        <v>-6.8411318017097293E-3</v>
      </c>
      <c r="J85">
        <v>6.4105293381977501E-3</v>
      </c>
      <c r="K85">
        <v>2.3085267200707658</v>
      </c>
    </row>
    <row r="86" spans="1:11" x14ac:dyDescent="0.3">
      <c r="A86">
        <v>-2.7070113572480316E-3</v>
      </c>
      <c r="B86">
        <v>2.6939719044514247E-2</v>
      </c>
      <c r="C86">
        <v>5.6482121489145047E-2</v>
      </c>
      <c r="D86">
        <v>8.3769633507853339E-2</v>
      </c>
      <c r="F86">
        <v>-5.3231542552944599E-4</v>
      </c>
      <c r="G86">
        <v>3.7737296253070023E-3</v>
      </c>
      <c r="H86">
        <v>1.9475695083872934E-2</v>
      </c>
      <c r="I86">
        <v>2.6677658420582697E-2</v>
      </c>
      <c r="J86">
        <v>4.9394767704233192E-2</v>
      </c>
      <c r="K86">
        <v>2.3579214877749988</v>
      </c>
    </row>
    <row r="87" spans="1:11" x14ac:dyDescent="0.3">
      <c r="A87">
        <v>5.1756125980538283E-2</v>
      </c>
      <c r="B87">
        <v>2.815528063867391E-2</v>
      </c>
      <c r="C87">
        <v>-7.8303163158705891E-2</v>
      </c>
      <c r="D87">
        <v>0.14122257432448779</v>
      </c>
      <c r="F87">
        <v>1.0177491184630266E-2</v>
      </c>
      <c r="G87">
        <v>3.9440061152617046E-3</v>
      </c>
      <c r="H87">
        <v>-2.6999845076194431E-2</v>
      </c>
      <c r="I87">
        <v>4.4974383214304477E-2</v>
      </c>
      <c r="J87">
        <v>3.2096035438002019E-2</v>
      </c>
      <c r="K87">
        <v>2.3900175232130008</v>
      </c>
    </row>
    <row r="88" spans="1:11" x14ac:dyDescent="0.3">
      <c r="A88">
        <v>-4.5094120627393486E-2</v>
      </c>
      <c r="B88">
        <v>-2.9742194891201518E-2</v>
      </c>
      <c r="C88">
        <v>-1.0171043040463824E-2</v>
      </c>
      <c r="D88">
        <v>-0.11830196861869653</v>
      </c>
      <c r="F88">
        <v>-8.86745301100254E-3</v>
      </c>
      <c r="G88">
        <v>-4.1663018755734591E-3</v>
      </c>
      <c r="H88">
        <v>-3.5070944171084412E-3</v>
      </c>
      <c r="I88">
        <v>-3.7674982892174226E-2</v>
      </c>
      <c r="J88">
        <v>-5.4215832195858668E-2</v>
      </c>
      <c r="K88">
        <v>2.3358016910171422</v>
      </c>
    </row>
    <row r="89" spans="1:11" x14ac:dyDescent="0.3">
      <c r="A89">
        <v>6.0695575510318706E-2</v>
      </c>
      <c r="B89">
        <v>5.6141884718666143E-2</v>
      </c>
      <c r="C89">
        <v>6.161166439315139E-2</v>
      </c>
      <c r="D89">
        <v>2.2491512979507581E-2</v>
      </c>
      <c r="F89">
        <v>1.1935373310873618E-2</v>
      </c>
      <c r="G89">
        <v>7.8643839318934174E-3</v>
      </c>
      <c r="H89">
        <v>2.1244421379631336E-2</v>
      </c>
      <c r="I89">
        <v>7.1627495012635328E-3</v>
      </c>
      <c r="J89">
        <v>4.8206928123661903E-2</v>
      </c>
      <c r="K89">
        <v>2.3840086191408041</v>
      </c>
    </row>
    <row r="90" spans="1:11" x14ac:dyDescent="0.3">
      <c r="A90">
        <v>1.4138114668694791E-2</v>
      </c>
      <c r="B90">
        <v>7.3257372654155467E-2</v>
      </c>
      <c r="C90">
        <v>0.15713827585201595</v>
      </c>
      <c r="D90">
        <v>2.6904003606592635E-4</v>
      </c>
      <c r="F90">
        <v>2.7801643705334484E-3</v>
      </c>
      <c r="G90">
        <v>1.0261930237666528E-2</v>
      </c>
      <c r="H90">
        <v>5.4183112563991262E-2</v>
      </c>
      <c r="I90">
        <v>8.5679713317059707E-5</v>
      </c>
      <c r="J90">
        <v>6.7310886885508306E-2</v>
      </c>
      <c r="K90">
        <v>2.4513195060263122</v>
      </c>
    </row>
    <row r="91" spans="1:11" x14ac:dyDescent="0.3">
      <c r="A91">
        <v>1.6953419754718792E-2</v>
      </c>
      <c r="B91">
        <v>1.341484122941072E-2</v>
      </c>
      <c r="C91">
        <v>2.8960912624438024E-2</v>
      </c>
      <c r="D91">
        <v>2.85851794595062E-3</v>
      </c>
      <c r="F91">
        <v>3.3337750234217318E-3</v>
      </c>
      <c r="G91">
        <v>1.8791578220458702E-3</v>
      </c>
      <c r="H91">
        <v>9.9860608764959259E-3</v>
      </c>
      <c r="I91">
        <v>9.1033662387966785E-4</v>
      </c>
      <c r="J91">
        <v>1.6109330345843196E-2</v>
      </c>
      <c r="K91">
        <v>2.4674288363721555</v>
      </c>
    </row>
    <row r="92" spans="1:11" x14ac:dyDescent="0.3">
      <c r="A92">
        <v>-9.9861925511504288E-3</v>
      </c>
      <c r="B92">
        <v>3.8880852415058502E-2</v>
      </c>
      <c r="C92">
        <v>2.1055671510521325E-2</v>
      </c>
      <c r="D92">
        <v>-2.5448601783747311E-2</v>
      </c>
      <c r="F92">
        <v>-1.9637170428012949E-3</v>
      </c>
      <c r="G92">
        <v>5.4464496965781631E-3</v>
      </c>
      <c r="H92">
        <v>7.2602414235434327E-3</v>
      </c>
      <c r="I92">
        <v>-8.1044774489146491E-3</v>
      </c>
      <c r="J92">
        <v>2.6384966284056528E-3</v>
      </c>
      <c r="K92">
        <v>2.4700673330005611</v>
      </c>
    </row>
    <row r="93" spans="1:11" x14ac:dyDescent="0.3">
      <c r="A93">
        <v>-9.5726920754447917E-3</v>
      </c>
      <c r="B93">
        <v>0</v>
      </c>
      <c r="C93">
        <v>2.7714570948042441E-2</v>
      </c>
      <c r="D93">
        <v>-0.1440953742282777</v>
      </c>
      <c r="F93">
        <v>-1.8824049784493956E-3</v>
      </c>
      <c r="G93">
        <v>0</v>
      </c>
      <c r="H93">
        <v>9.5563077117804627E-3</v>
      </c>
      <c r="I93">
        <v>-4.5889268135423364E-2</v>
      </c>
      <c r="J93">
        <v>-3.8215365402092298E-2</v>
      </c>
      <c r="K93">
        <v>2.4318519675984689</v>
      </c>
    </row>
    <row r="94" spans="1:11" x14ac:dyDescent="0.3">
      <c r="A94">
        <v>1.213898081455024E-2</v>
      </c>
      <c r="B94">
        <v>2.4248337669846756E-2</v>
      </c>
      <c r="C94">
        <v>3.5561813471970743E-3</v>
      </c>
      <c r="D94">
        <v>-9.0740658805831417E-2</v>
      </c>
      <c r="F94">
        <v>2.3870482554458781E-3</v>
      </c>
      <c r="G94">
        <v>3.3967195455136732E-3</v>
      </c>
      <c r="H94">
        <v>1.2262128573601323E-3</v>
      </c>
      <c r="I94">
        <v>-2.8897682836987303E-2</v>
      </c>
      <c r="J94">
        <v>-2.1887702178667621E-2</v>
      </c>
      <c r="K94">
        <v>2.4099642654198012</v>
      </c>
    </row>
    <row r="95" spans="1:11" x14ac:dyDescent="0.3">
      <c r="A95">
        <v>3.1977353548432522E-2</v>
      </c>
      <c r="B95">
        <v>6.1082024432809502E-3</v>
      </c>
      <c r="C95">
        <v>-5.9530074868852166E-2</v>
      </c>
      <c r="D95">
        <v>-1.2193789471384041E-2</v>
      </c>
      <c r="F95">
        <v>6.2881297176174879E-3</v>
      </c>
      <c r="G95">
        <v>8.556401230277777E-4</v>
      </c>
      <c r="H95">
        <v>-2.0526665002990507E-2</v>
      </c>
      <c r="I95">
        <v>-3.8832896450428458E-3</v>
      </c>
      <c r="J95">
        <v>-1.7266184807388087E-2</v>
      </c>
      <c r="K95">
        <v>2.392698080612413</v>
      </c>
    </row>
    <row r="96" spans="1:11" x14ac:dyDescent="0.3">
      <c r="A96">
        <v>-5.6506124049188367E-2</v>
      </c>
      <c r="B96">
        <v>-0.10232057182022909</v>
      </c>
      <c r="C96">
        <v>-4.099575063903229E-2</v>
      </c>
      <c r="D96">
        <v>-0.10760740264045711</v>
      </c>
      <c r="F96">
        <v>-1.111154609223435E-2</v>
      </c>
      <c r="G96">
        <v>-1.4333118044710245E-2</v>
      </c>
      <c r="H96">
        <v>-1.4135813565956891E-2</v>
      </c>
      <c r="I96">
        <v>-3.4269142778320688E-2</v>
      </c>
      <c r="J96">
        <v>-7.3849620481222178E-2</v>
      </c>
      <c r="K96">
        <v>2.3188484601311909</v>
      </c>
    </row>
    <row r="97" spans="1:11" x14ac:dyDescent="0.3">
      <c r="A97">
        <v>3.099923309423919E-2</v>
      </c>
      <c r="B97">
        <v>-4.9186941410129123E-2</v>
      </c>
      <c r="C97">
        <v>-3.4390057932509016E-2</v>
      </c>
      <c r="D97">
        <v>2.8062696169980361E-3</v>
      </c>
      <c r="F97">
        <v>6.095788963523906E-3</v>
      </c>
      <c r="G97">
        <v>-6.8901319152933635E-3</v>
      </c>
      <c r="H97">
        <v>-1.1858093579912543E-2</v>
      </c>
      <c r="I97">
        <v>8.936973834476013E-4</v>
      </c>
      <c r="J97">
        <v>-1.1758739148234399E-2</v>
      </c>
      <c r="K97">
        <v>2.3070897209829564</v>
      </c>
    </row>
    <row r="98" spans="1:11" x14ac:dyDescent="0.3">
      <c r="A98">
        <v>2.824937378235446E-2</v>
      </c>
      <c r="B98">
        <v>3.6174796617254514E-2</v>
      </c>
      <c r="C98">
        <v>5.2750480997993204E-2</v>
      </c>
      <c r="D98">
        <v>9.3848432829036335E-2</v>
      </c>
      <c r="F98">
        <v>5.5550477782929236E-3</v>
      </c>
      <c r="G98">
        <v>5.0673840160848785E-3</v>
      </c>
      <c r="H98">
        <v>1.8188981864677115E-2</v>
      </c>
      <c r="I98">
        <v>2.988739868469539E-2</v>
      </c>
      <c r="J98">
        <v>5.8698812343750309E-2</v>
      </c>
      <c r="K98">
        <v>2.3657885333267066</v>
      </c>
    </row>
    <row r="99" spans="1:11" x14ac:dyDescent="0.3">
      <c r="A99">
        <v>1.0327290178295364E-2</v>
      </c>
      <c r="B99">
        <v>-2.0257072648226262E-2</v>
      </c>
      <c r="C99">
        <v>-3.6612588193087978E-2</v>
      </c>
      <c r="D99">
        <v>4.5822147651006818E-2</v>
      </c>
      <c r="F99">
        <v>2.0307915779910284E-3</v>
      </c>
      <c r="G99">
        <v>-2.8376210994737194E-3</v>
      </c>
      <c r="H99">
        <v>-1.2624447968319064E-2</v>
      </c>
      <c r="I99">
        <v>1.4592729512377108E-2</v>
      </c>
      <c r="J99">
        <v>1.1614520225753534E-3</v>
      </c>
      <c r="K99">
        <v>2.3669499853492821</v>
      </c>
    </row>
    <row r="100" spans="1:11" x14ac:dyDescent="0.3">
      <c r="A100">
        <v>2.9494864500789225E-2</v>
      </c>
      <c r="B100">
        <v>0.11184279659532721</v>
      </c>
      <c r="C100">
        <v>4.795959714105491E-2</v>
      </c>
      <c r="D100">
        <v>1.0854816824966088E-2</v>
      </c>
      <c r="F100">
        <v>5.7999650816508907E-3</v>
      </c>
      <c r="G100">
        <v>1.5666996162490295E-2</v>
      </c>
      <c r="H100">
        <v>1.6537029163185349E-2</v>
      </c>
      <c r="I100">
        <v>3.4568743272261216E-3</v>
      </c>
      <c r="J100">
        <v>4.1460864734552655E-2</v>
      </c>
      <c r="K100">
        <v>2.4084108500838348</v>
      </c>
    </row>
    <row r="101" spans="1:11" x14ac:dyDescent="0.3">
      <c r="A101">
        <v>1.6440522032182783E-2</v>
      </c>
      <c r="B101">
        <v>-4.3840846674258013E-2</v>
      </c>
      <c r="C101">
        <v>-8.2202967450063197E-2</v>
      </c>
      <c r="D101">
        <v>-1.0705057216685212E-2</v>
      </c>
      <c r="F101">
        <v>3.232917164553198E-3</v>
      </c>
      <c r="G101">
        <v>-6.141248229790979E-3</v>
      </c>
      <c r="H101">
        <v>-2.8344543137506638E-2</v>
      </c>
      <c r="I101">
        <v>-3.4091812013567939E-3</v>
      </c>
      <c r="J101">
        <v>-3.4662055404101215E-2</v>
      </c>
      <c r="K101">
        <v>2.3737487946797335</v>
      </c>
    </row>
    <row r="102" spans="1:11" x14ac:dyDescent="0.3">
      <c r="A102">
        <v>-2.7911154164457906E-2</v>
      </c>
      <c r="B102">
        <v>-0.15557566673265649</v>
      </c>
      <c r="C102">
        <v>-7.4395418307743088E-3</v>
      </c>
      <c r="D102">
        <v>-2.5969568699233551E-2</v>
      </c>
      <c r="F102">
        <v>-5.4885391841043721E-3</v>
      </c>
      <c r="G102">
        <v>-2.1793118983750744E-2</v>
      </c>
      <c r="H102">
        <v>-2.5652409017200921E-3</v>
      </c>
      <c r="I102">
        <v>-8.2703869418631112E-3</v>
      </c>
      <c r="J102">
        <v>-3.8117286011438316E-2</v>
      </c>
      <c r="K102">
        <v>2.3356315086682953</v>
      </c>
    </row>
    <row r="103" spans="1:11" x14ac:dyDescent="0.3">
      <c r="A103">
        <v>2.4916693539718416E-2</v>
      </c>
      <c r="B103">
        <v>1.6180020692033507E-2</v>
      </c>
      <c r="C103">
        <v>1.6222591747554017E-2</v>
      </c>
      <c r="D103">
        <v>0.10528312338929163</v>
      </c>
      <c r="F103">
        <v>4.8996988094892309E-3</v>
      </c>
      <c r="G103">
        <v>2.2665055757528636E-3</v>
      </c>
      <c r="H103">
        <v>5.593739080891909E-3</v>
      </c>
      <c r="I103">
        <v>3.3528942238577046E-2</v>
      </c>
      <c r="J103">
        <v>4.6288885704711048E-2</v>
      </c>
      <c r="K103">
        <v>2.3819203943730063</v>
      </c>
    </row>
    <row r="104" spans="1:11" x14ac:dyDescent="0.3">
      <c r="A104">
        <v>1.3613500979609406E-2</v>
      </c>
      <c r="B104">
        <v>2.5704515976889566E-2</v>
      </c>
      <c r="C104">
        <v>8.1948419273317627E-2</v>
      </c>
      <c r="D104">
        <v>0.18831122368665851</v>
      </c>
      <c r="F104">
        <v>2.6770026462960015E-3</v>
      </c>
      <c r="G104">
        <v>3.6007017477013327E-3</v>
      </c>
      <c r="H104">
        <v>2.825677195356828E-2</v>
      </c>
      <c r="I104">
        <v>5.9970448620903283E-2</v>
      </c>
      <c r="J104">
        <v>9.4504924968468906E-2</v>
      </c>
      <c r="K104">
        <v>2.4764253193414754</v>
      </c>
    </row>
    <row r="105" spans="1:11" x14ac:dyDescent="0.3">
      <c r="A105">
        <v>6.5903870082634217E-3</v>
      </c>
      <c r="B105">
        <v>6.5653075328265406E-2</v>
      </c>
      <c r="C105">
        <v>0.13751844272047986</v>
      </c>
      <c r="D105">
        <v>0.12710791390114279</v>
      </c>
      <c r="F105">
        <v>1.2959549117939064E-3</v>
      </c>
      <c r="G105">
        <v>9.1967163781256408E-3</v>
      </c>
      <c r="H105">
        <v>4.7417964981145956E-2</v>
      </c>
      <c r="I105">
        <v>4.047936427093983E-2</v>
      </c>
      <c r="J105">
        <v>9.8390000542005335E-2</v>
      </c>
      <c r="K105">
        <v>2.5748153198834807</v>
      </c>
    </row>
    <row r="106" spans="1:11" x14ac:dyDescent="0.3">
      <c r="A106">
        <v>1.7349108200658981E-2</v>
      </c>
      <c r="B106">
        <v>-0.11323435193180877</v>
      </c>
      <c r="C106">
        <v>1.4852561161156375E-2</v>
      </c>
      <c r="D106">
        <v>5.9658508238189668E-2</v>
      </c>
      <c r="F106">
        <v>3.4115844729143505E-3</v>
      </c>
      <c r="G106">
        <v>-1.5861925945902564E-2</v>
      </c>
      <c r="H106">
        <v>5.1213365355769636E-3</v>
      </c>
      <c r="I106">
        <v>1.8999119824378082E-2</v>
      </c>
      <c r="J106">
        <v>1.1670114886966832E-2</v>
      </c>
      <c r="K106">
        <v>2.5864854347704473</v>
      </c>
    </row>
    <row r="107" spans="1:11" x14ac:dyDescent="0.3">
      <c r="A107">
        <v>2.2405933709340746E-3</v>
      </c>
      <c r="B107">
        <v>5.6070367428588203E-2</v>
      </c>
      <c r="C107">
        <v>-3.2243739862480393E-2</v>
      </c>
      <c r="D107">
        <v>-5.5781939658998303E-2</v>
      </c>
      <c r="F107">
        <v>4.4059749158191128E-4</v>
      </c>
      <c r="G107">
        <v>7.8543657533132003E-3</v>
      </c>
      <c r="H107">
        <v>-1.1118018044808615E-2</v>
      </c>
      <c r="I107">
        <v>-1.7764570166357487E-2</v>
      </c>
      <c r="J107">
        <v>-2.0587624966270993E-2</v>
      </c>
      <c r="K107">
        <v>2.5658978098041763</v>
      </c>
    </row>
    <row r="108" spans="1:11" x14ac:dyDescent="0.3">
      <c r="A108">
        <v>6.5581371164128946E-2</v>
      </c>
      <c r="B108">
        <v>0.18306476873281602</v>
      </c>
      <c r="C108">
        <v>6.9911079548296104E-2</v>
      </c>
      <c r="D108">
        <v>6.1517640710253757E-2</v>
      </c>
      <c r="F108">
        <v>1.2896131892674283E-2</v>
      </c>
      <c r="G108">
        <v>2.5643806454532361E-2</v>
      </c>
      <c r="H108">
        <v>2.410615664513719E-2</v>
      </c>
      <c r="I108">
        <v>1.9591187605642633E-2</v>
      </c>
      <c r="J108">
        <v>8.2237282597986461E-2</v>
      </c>
      <c r="K108">
        <v>2.6481350924021627</v>
      </c>
    </row>
    <row r="109" spans="1:11" x14ac:dyDescent="0.3">
      <c r="A109">
        <v>-2.8059188568276019E-2</v>
      </c>
      <c r="B109">
        <v>-6.0091593065096489E-2</v>
      </c>
      <c r="C109">
        <v>-6.428878947269899E-2</v>
      </c>
      <c r="D109">
        <v>-9.115522699688525E-3</v>
      </c>
      <c r="F109">
        <v>-5.5176491457048088E-3</v>
      </c>
      <c r="G109">
        <v>-8.4176610976135872E-3</v>
      </c>
      <c r="H109">
        <v>-2.2167525370345963E-2</v>
      </c>
      <c r="I109">
        <v>-2.9029708108315919E-3</v>
      </c>
      <c r="J109">
        <v>-3.9005806424495949E-2</v>
      </c>
      <c r="K109">
        <v>2.6091292859776667</v>
      </c>
    </row>
    <row r="110" spans="1:11" x14ac:dyDescent="0.3">
      <c r="A110">
        <v>-5.6591891548266125E-2</v>
      </c>
      <c r="B110">
        <v>-3.7620022036832977E-2</v>
      </c>
      <c r="C110">
        <v>-2.3068694054073823E-2</v>
      </c>
      <c r="D110">
        <v>-1.4470811620145381E-2</v>
      </c>
      <c r="F110">
        <v>-1.1128411689286955E-2</v>
      </c>
      <c r="G110">
        <v>-5.2698319321933642E-3</v>
      </c>
      <c r="H110">
        <v>-7.9543551045022001E-3</v>
      </c>
      <c r="I110">
        <v>-4.6084404730581249E-3</v>
      </c>
      <c r="J110">
        <v>-2.8961039199040646E-2</v>
      </c>
      <c r="K110">
        <v>2.580168246778626</v>
      </c>
    </row>
    <row r="111" spans="1:11" x14ac:dyDescent="0.3">
      <c r="A111">
        <v>-2.9239901415132503E-2</v>
      </c>
      <c r="B111">
        <v>-0.13208011147845572</v>
      </c>
      <c r="C111">
        <v>5.3844152590551232E-2</v>
      </c>
      <c r="D111">
        <v>0.16328695144497429</v>
      </c>
      <c r="F111">
        <v>-5.7498283199146436E-3</v>
      </c>
      <c r="G111">
        <v>-1.8501849584121644E-2</v>
      </c>
      <c r="H111">
        <v>1.8566092601614421E-2</v>
      </c>
      <c r="I111">
        <v>5.2001105087548391E-2</v>
      </c>
      <c r="J111">
        <v>4.6315519785126519E-2</v>
      </c>
      <c r="K111">
        <v>2.6264837665637524</v>
      </c>
    </row>
    <row r="112" spans="1:11" x14ac:dyDescent="0.3">
      <c r="A112">
        <v>2.3930776688868307E-2</v>
      </c>
      <c r="B112">
        <v>-0.20485356739376037</v>
      </c>
      <c r="C112">
        <v>3.9587694958378737E-2</v>
      </c>
      <c r="D112">
        <v>-3.4960044322162112E-2</v>
      </c>
      <c r="F112">
        <v>4.7058249468651513E-3</v>
      </c>
      <c r="G112">
        <v>-2.8695992517452674E-2</v>
      </c>
      <c r="H112">
        <v>1.3650299524088015E-2</v>
      </c>
      <c r="I112">
        <v>-1.1133534691991185E-2</v>
      </c>
      <c r="J112">
        <v>-2.1473402738490691E-2</v>
      </c>
      <c r="K112">
        <v>2.6050103638252615</v>
      </c>
    </row>
    <row r="113" spans="1:11" x14ac:dyDescent="0.3">
      <c r="A113">
        <v>-1.0103833553562626E-2</v>
      </c>
      <c r="B113">
        <v>2.0027864855450789E-3</v>
      </c>
      <c r="C113">
        <v>-2.8811028256502207E-2</v>
      </c>
      <c r="D113">
        <v>-6.5673479668273693E-3</v>
      </c>
      <c r="F113">
        <v>-1.9868503481312075E-3</v>
      </c>
      <c r="G113">
        <v>2.8055135546059063E-4</v>
      </c>
      <c r="H113">
        <v>-9.9343789960920897E-3</v>
      </c>
      <c r="I113">
        <v>-2.0914674978457894E-3</v>
      </c>
      <c r="J113">
        <v>-1.3732145486608494E-2</v>
      </c>
      <c r="K113">
        <v>2.5912782183386529</v>
      </c>
    </row>
    <row r="114" spans="1:11" x14ac:dyDescent="0.3">
      <c r="A114">
        <v>6.5273477274951586E-2</v>
      </c>
      <c r="B114">
        <v>8.3421778815538292E-2</v>
      </c>
      <c r="C114">
        <v>2.0871197449572498E-2</v>
      </c>
      <c r="D114">
        <v>4.6485037628513194E-3</v>
      </c>
      <c r="F114">
        <v>1.2835586647381343E-2</v>
      </c>
      <c r="G114">
        <v>1.1685765452558058E-2</v>
      </c>
      <c r="H114">
        <v>7.1966326130526014E-3</v>
      </c>
      <c r="I114">
        <v>1.4803836469036826E-3</v>
      </c>
      <c r="J114">
        <v>3.3198368359895689E-2</v>
      </c>
      <c r="K114">
        <v>2.6244765866985484</v>
      </c>
    </row>
    <row r="115" spans="1:11" x14ac:dyDescent="0.3">
      <c r="A115">
        <v>-5.348617476035384E-4</v>
      </c>
      <c r="B115">
        <v>-0.1853396099529255</v>
      </c>
      <c r="C115">
        <v>-4.4768897996357158E-2</v>
      </c>
      <c r="D115">
        <v>-1.3306824486776433E-2</v>
      </c>
      <c r="F115">
        <v>-1.0517693544678893E-4</v>
      </c>
      <c r="G115">
        <v>-2.5962467376385769E-2</v>
      </c>
      <c r="H115">
        <v>-1.5436838837323561E-2</v>
      </c>
      <c r="I115">
        <v>-4.2377518374553573E-3</v>
      </c>
      <c r="J115">
        <v>-4.574223498661148E-2</v>
      </c>
      <c r="K115">
        <v>2.5787343517119368</v>
      </c>
    </row>
    <row r="116" spans="1:11" x14ac:dyDescent="0.3">
      <c r="A116">
        <v>2.8280506673685975E-2</v>
      </c>
      <c r="B116">
        <v>-5.2676604961866734E-2</v>
      </c>
      <c r="C116">
        <v>-3.5608417200365866E-2</v>
      </c>
      <c r="D116">
        <v>4.0928692438010186E-2</v>
      </c>
      <c r="F116">
        <v>5.5611698502423916E-3</v>
      </c>
      <c r="G116">
        <v>-7.3789657708278706E-3</v>
      </c>
      <c r="H116">
        <v>-1.2278198083387168E-2</v>
      </c>
      <c r="I116">
        <v>1.3034337512768977E-2</v>
      </c>
      <c r="J116">
        <v>-1.0616564912036691E-3</v>
      </c>
      <c r="K116">
        <v>2.5776726952207332</v>
      </c>
    </row>
    <row r="117" spans="1:11" x14ac:dyDescent="0.3">
      <c r="A117">
        <v>-3.6031018114529391E-2</v>
      </c>
      <c r="B117">
        <v>0.5532215656894065</v>
      </c>
      <c r="C117">
        <v>-6.6300401256027255E-3</v>
      </c>
      <c r="D117">
        <v>5.196646279719707E-2</v>
      </c>
      <c r="F117">
        <v>-7.0852553642010907E-3</v>
      </c>
      <c r="G117">
        <v>7.7495559933315597E-2</v>
      </c>
      <c r="H117">
        <v>-2.2861152604704651E-3</v>
      </c>
      <c r="I117">
        <v>1.6549476054465169E-2</v>
      </c>
      <c r="J117">
        <v>8.4673665363109218E-2</v>
      </c>
      <c r="K117">
        <v>2.6623463605838422</v>
      </c>
    </row>
    <row r="118" spans="1:11" x14ac:dyDescent="0.3">
      <c r="A118">
        <v>4.922436240143549E-2</v>
      </c>
      <c r="B118">
        <v>0.13161851745209072</v>
      </c>
      <c r="C118">
        <v>0.10501895603705844</v>
      </c>
      <c r="D118">
        <v>3.6666911602615863E-2</v>
      </c>
      <c r="F118">
        <v>9.6796370462124137E-3</v>
      </c>
      <c r="G118">
        <v>1.8437189256770788E-2</v>
      </c>
      <c r="H118">
        <v>3.6211762445882693E-2</v>
      </c>
      <c r="I118">
        <v>1.1677111407925428E-2</v>
      </c>
      <c r="J118">
        <v>7.6005700156791325E-2</v>
      </c>
      <c r="K118">
        <v>2.7383520607406338</v>
      </c>
    </row>
    <row r="119" spans="1:11" x14ac:dyDescent="0.3">
      <c r="A119">
        <v>-2.9480653977283569E-2</v>
      </c>
      <c r="B119">
        <v>0.13213082690427044</v>
      </c>
      <c r="C119">
        <v>-4.6911417727940573E-2</v>
      </c>
      <c r="D119">
        <v>3.3793095964145113E-2</v>
      </c>
      <c r="F119">
        <v>-5.7971706785736165E-3</v>
      </c>
      <c r="G119">
        <v>1.8508953826914257E-2</v>
      </c>
      <c r="H119">
        <v>-1.6175604660974841E-2</v>
      </c>
      <c r="I119">
        <v>1.0761903011321138E-2</v>
      </c>
      <c r="J119">
        <v>7.2980814986869386E-3</v>
      </c>
      <c r="K119">
        <v>2.7456501422393207</v>
      </c>
    </row>
    <row r="120" spans="1:11" x14ac:dyDescent="0.3">
      <c r="A120">
        <v>3.8551824944913479E-2</v>
      </c>
      <c r="B120">
        <v>2.8996310238157307E-2</v>
      </c>
      <c r="C120">
        <v>8.8810030015007493E-2</v>
      </c>
      <c r="D120">
        <v>6.0720123397103837E-2</v>
      </c>
      <c r="F120">
        <v>7.5809549322877166E-3</v>
      </c>
      <c r="G120">
        <v>4.0618179718028315E-3</v>
      </c>
      <c r="H120">
        <v>3.0622735466731669E-2</v>
      </c>
      <c r="I120">
        <v>1.9337206615470101E-2</v>
      </c>
      <c r="J120">
        <v>6.1602714986292315E-2</v>
      </c>
      <c r="K120">
        <v>2.8072528572256128</v>
      </c>
    </row>
    <row r="121" spans="1:11" x14ac:dyDescent="0.3">
      <c r="A121">
        <v>9.0541833010558903E-2</v>
      </c>
      <c r="B121">
        <v>0.25273134746474935</v>
      </c>
      <c r="C121">
        <v>4.368256178210931E-2</v>
      </c>
      <c r="D121">
        <v>0.16720633086565725</v>
      </c>
      <c r="F121">
        <v>1.7804437442859106E-2</v>
      </c>
      <c r="G121">
        <v>3.5402736442631651E-2</v>
      </c>
      <c r="H121">
        <v>1.5062257424489659E-2</v>
      </c>
      <c r="I121">
        <v>5.324928848082823E-2</v>
      </c>
      <c r="J121">
        <v>0.12151871979080865</v>
      </c>
      <c r="K121">
        <v>2.9287715770164215</v>
      </c>
    </row>
    <row r="122" spans="1:11" x14ac:dyDescent="0.3">
      <c r="A122">
        <v>-4.9901670471755678E-2</v>
      </c>
      <c r="B122">
        <v>1.4686374834186158E-2</v>
      </c>
      <c r="C122">
        <v>-8.6073294265591058E-2</v>
      </c>
      <c r="D122">
        <v>-5.5001841012683975E-2</v>
      </c>
      <c r="F122">
        <v>-9.8128250850071791E-3</v>
      </c>
      <c r="G122">
        <v>2.0572748998812303E-3</v>
      </c>
      <c r="H122">
        <v>-2.9679077020916877E-2</v>
      </c>
      <c r="I122">
        <v>-1.7516136404034991E-2</v>
      </c>
      <c r="J122">
        <v>-5.4950763610077821E-2</v>
      </c>
      <c r="K122">
        <v>2.8738208134063439</v>
      </c>
    </row>
    <row r="123" spans="1:11" x14ac:dyDescent="0.3">
      <c r="A123">
        <v>3.486672046972402E-2</v>
      </c>
      <c r="B123">
        <v>-9.9872068230277347E-2</v>
      </c>
      <c r="C123">
        <v>0.12168618945936457</v>
      </c>
      <c r="D123">
        <v>2.273730684326717E-2</v>
      </c>
      <c r="F123">
        <v>6.8563041281532412E-3</v>
      </c>
      <c r="G123">
        <v>-1.399013040924888E-2</v>
      </c>
      <c r="H123">
        <v>4.1958819168724709E-2</v>
      </c>
      <c r="I123">
        <v>7.2410261328383725E-3</v>
      </c>
      <c r="J123">
        <v>4.2066019020467443E-2</v>
      </c>
      <c r="K123">
        <v>2.9158868324268115</v>
      </c>
    </row>
    <row r="124" spans="1:11" x14ac:dyDescent="0.3">
      <c r="A124">
        <v>4.5735085826673377E-2</v>
      </c>
      <c r="B124">
        <v>-0.2229953611663352</v>
      </c>
      <c r="C124">
        <v>-0.1081392862647991</v>
      </c>
      <c r="D124">
        <v>-2.0826975892584702E-2</v>
      </c>
      <c r="F124">
        <v>8.9934944706701152E-3</v>
      </c>
      <c r="G124">
        <v>-3.1237304269911975E-2</v>
      </c>
      <c r="H124">
        <v>-3.7287688747414199E-2</v>
      </c>
      <c r="I124">
        <v>-6.6326534512532705E-3</v>
      </c>
      <c r="J124">
        <v>-6.6164151997909329E-2</v>
      </c>
      <c r="K124">
        <v>2.849722680428902</v>
      </c>
    </row>
    <row r="125" spans="1:11" x14ac:dyDescent="0.3">
      <c r="A125">
        <v>-4.871102022931402E-3</v>
      </c>
      <c r="B125">
        <v>-0.16359504475791925</v>
      </c>
      <c r="C125">
        <v>-0.1512262442866005</v>
      </c>
      <c r="D125">
        <v>-1.6125198593892665E-2</v>
      </c>
      <c r="F125">
        <v>-9.5786917893469809E-4</v>
      </c>
      <c r="G125">
        <v>-2.291647756000258E-2</v>
      </c>
      <c r="H125">
        <v>-5.2144575039929045E-2</v>
      </c>
      <c r="I125">
        <v>-5.1353040718699052E-3</v>
      </c>
      <c r="J125">
        <v>-8.1154225850736228E-2</v>
      </c>
      <c r="K125">
        <v>2.7685684545781659</v>
      </c>
    </row>
    <row r="126" spans="1:11" x14ac:dyDescent="0.3">
      <c r="A126">
        <v>-1.1813779615637102E-2</v>
      </c>
      <c r="B126">
        <v>-9.711240116104497E-2</v>
      </c>
      <c r="C126">
        <v>4.2593823015625074E-2</v>
      </c>
      <c r="D126">
        <v>0.1110230857968839</v>
      </c>
      <c r="F126">
        <v>-2.3230996450646795E-3</v>
      </c>
      <c r="G126">
        <v>-1.3603554834427989E-2</v>
      </c>
      <c r="H126">
        <v>1.4686847583587809E-2</v>
      </c>
      <c r="I126">
        <v>3.5356916768779285E-2</v>
      </c>
      <c r="J126">
        <v>3.4117109872874425E-2</v>
      </c>
      <c r="K126">
        <v>2.8026855644510404</v>
      </c>
    </row>
    <row r="127" spans="1:11" x14ac:dyDescent="0.3">
      <c r="A127">
        <v>1.3341361389276206E-2</v>
      </c>
      <c r="B127">
        <v>7.4070092453235814E-2</v>
      </c>
      <c r="C127">
        <v>2.1539886097513776E-2</v>
      </c>
      <c r="D127">
        <v>0.14848276852842102</v>
      </c>
      <c r="F127">
        <v>2.6234882413993421E-3</v>
      </c>
      <c r="G127">
        <v>1.0375776442884751E-2</v>
      </c>
      <c r="H127">
        <v>7.4272042677638083E-3</v>
      </c>
      <c r="I127">
        <v>4.7286497675465007E-2</v>
      </c>
      <c r="J127">
        <v>6.7712966627512916E-2</v>
      </c>
      <c r="K127">
        <v>2.8703985310785534</v>
      </c>
    </row>
    <row r="128" spans="1:11" x14ac:dyDescent="0.3">
      <c r="A128">
        <v>0.13923741286900487</v>
      </c>
      <c r="B128">
        <v>5.2619667307909908E-2</v>
      </c>
      <c r="C128">
        <v>2.2051628374932832E-2</v>
      </c>
      <c r="D128">
        <v>6.5370814414230621E-2</v>
      </c>
      <c r="F128">
        <v>2.7380092987985334E-2</v>
      </c>
      <c r="G128">
        <v>7.3709899151340038E-3</v>
      </c>
      <c r="H128">
        <v>7.6036589811097942E-3</v>
      </c>
      <c r="I128">
        <v>2.0818286825316661E-2</v>
      </c>
      <c r="J128">
        <v>6.3173028709545803E-2</v>
      </c>
      <c r="K128">
        <v>2.9335715597880991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FBA9A-FBE1-452B-B4D2-1FD2FBD3EDB4}">
  <sheetPr codeName="Feuil31"/>
  <dimension ref="A1:E11"/>
  <sheetViews>
    <sheetView workbookViewId="0"/>
  </sheetViews>
  <sheetFormatPr baseColWidth="10" defaultRowHeight="14.4" x14ac:dyDescent="0.3"/>
  <cols>
    <col min="1" max="1" width="12.77734375" customWidth="1"/>
  </cols>
  <sheetData>
    <row r="1" spans="1:5" x14ac:dyDescent="0.3">
      <c r="A1" s="1" t="s">
        <v>4</v>
      </c>
    </row>
    <row r="3" spans="1:5" x14ac:dyDescent="0.3">
      <c r="A3" s="1" t="s">
        <v>5</v>
      </c>
      <c r="B3" t="s">
        <v>2</v>
      </c>
      <c r="C3" t="s">
        <v>34</v>
      </c>
      <c r="D3" t="s">
        <v>3</v>
      </c>
      <c r="E3" t="s">
        <v>18</v>
      </c>
    </row>
    <row r="4" spans="1:5" x14ac:dyDescent="0.3">
      <c r="A4" s="1" t="s">
        <v>6</v>
      </c>
      <c r="B4">
        <f>AVERAGE(AI.PA)</f>
        <v>1.1482557863999938E-2</v>
      </c>
      <c r="C4">
        <f>AVERAGE(NVDA)</f>
        <v>3.6078759612660494E-2</v>
      </c>
      <c r="D4">
        <f>AVERAGE(MSFT)</f>
        <v>2.0331052980086518E-2</v>
      </c>
      <c r="E4">
        <f>AVERAGE(AAPL)</f>
        <v>2.755944422117839E-2</v>
      </c>
    </row>
    <row r="5" spans="1:5" x14ac:dyDescent="0.3">
      <c r="A5" s="1" t="s">
        <v>7</v>
      </c>
      <c r="B5">
        <f>STDEV(AI.PA)</f>
        <v>4.3818876681203149E-2</v>
      </c>
      <c r="C5">
        <f>STDEV(NVDA)</f>
        <v>0.12255443931812841</v>
      </c>
      <c r="D5">
        <f>STDEV(MSFT)</f>
        <v>6.1394009704739863E-2</v>
      </c>
      <c r="E5">
        <f>STDEV(AAPL)</f>
        <v>7.840460498035369E-2</v>
      </c>
    </row>
    <row r="7" spans="1:5" x14ac:dyDescent="0.3">
      <c r="A7" s="1" t="s">
        <v>8</v>
      </c>
      <c r="B7" t="s">
        <v>2</v>
      </c>
      <c r="C7" t="s">
        <v>34</v>
      </c>
      <c r="D7" t="s">
        <v>3</v>
      </c>
      <c r="E7" t="s">
        <v>18</v>
      </c>
    </row>
    <row r="8" spans="1:5" x14ac:dyDescent="0.3">
      <c r="A8" t="s">
        <v>2</v>
      </c>
      <c r="B8">
        <f>CORREL(AI.PA,AI.PA)</f>
        <v>1.0000000000000002</v>
      </c>
      <c r="C8">
        <f>CORREL(NVDA,AI.PA)</f>
        <v>0.23752652086466627</v>
      </c>
      <c r="D8">
        <f>CORREL(MSFT,AI.PA)</f>
        <v>0.24458786659319134</v>
      </c>
      <c r="E8">
        <f>CORREL(AAPL,AI.PA)</f>
        <v>0.39618982103059347</v>
      </c>
    </row>
    <row r="9" spans="1:5" x14ac:dyDescent="0.3">
      <c r="A9" t="s">
        <v>34</v>
      </c>
      <c r="B9">
        <f>CORREL(AI.PA,NVDA)</f>
        <v>0.23752652086466627</v>
      </c>
      <c r="C9">
        <f>CORREL(NVDA,NVDA)</f>
        <v>1.0000000000000002</v>
      </c>
      <c r="D9">
        <f>CORREL(MSFT,NVDA)</f>
        <v>0.39854288880432359</v>
      </c>
      <c r="E9">
        <f>CORREL(AAPL,NVDA)</f>
        <v>0.42341837676714467</v>
      </c>
    </row>
    <row r="10" spans="1:5" x14ac:dyDescent="0.3">
      <c r="A10" t="s">
        <v>3</v>
      </c>
      <c r="B10">
        <f>CORREL(AI.PA,MSFT)</f>
        <v>0.24458786659319134</v>
      </c>
      <c r="C10">
        <f>CORREL(NVDA,MSFT)</f>
        <v>0.39854288880432359</v>
      </c>
      <c r="D10">
        <f>CORREL(MSFT,MSFT)</f>
        <v>1</v>
      </c>
      <c r="E10">
        <f>CORREL(AAPL,MSFT)</f>
        <v>0.45469854750713062</v>
      </c>
    </row>
    <row r="11" spans="1:5" x14ac:dyDescent="0.3">
      <c r="A11" t="s">
        <v>18</v>
      </c>
      <c r="B11">
        <f>CORREL(AI.PA,AAPL)</f>
        <v>0.39618982103059347</v>
      </c>
      <c r="C11">
        <f>CORREL(NVDA,AAPL)</f>
        <v>0.42341837676714467</v>
      </c>
      <c r="D11">
        <f>CORREL(MSFT,AAPL)</f>
        <v>0.45469854750713062</v>
      </c>
      <c r="E11">
        <f>CORREL(AAPL,AAPL)</f>
        <v>1.0000000000000002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F41C2-6AF2-4100-962B-33E553BB9AB8}">
  <sheetPr codeName="Feuil30"/>
  <dimension ref="A1:G20"/>
  <sheetViews>
    <sheetView workbookViewId="0"/>
  </sheetViews>
  <sheetFormatPr baseColWidth="10" defaultRowHeight="14.4" x14ac:dyDescent="0.3"/>
  <cols>
    <col min="1" max="1" width="12.77734375" customWidth="1"/>
  </cols>
  <sheetData>
    <row r="1" spans="1:7" x14ac:dyDescent="0.3">
      <c r="A1" s="1" t="s">
        <v>37</v>
      </c>
    </row>
    <row r="3" spans="1:7" x14ac:dyDescent="0.3">
      <c r="A3" s="1" t="s">
        <v>5</v>
      </c>
      <c r="B3" t="s">
        <v>2</v>
      </c>
      <c r="C3" t="s">
        <v>34</v>
      </c>
      <c r="D3" t="s">
        <v>3</v>
      </c>
      <c r="E3" t="s">
        <v>18</v>
      </c>
    </row>
    <row r="4" spans="1:7" x14ac:dyDescent="0.3">
      <c r="A4" s="1" t="s">
        <v>9</v>
      </c>
      <c r="B4">
        <v>0.25</v>
      </c>
      <c r="C4">
        <v>0.25</v>
      </c>
      <c r="D4">
        <v>0.25</v>
      </c>
      <c r="E4">
        <v>0.25</v>
      </c>
    </row>
    <row r="5" spans="1:7" x14ac:dyDescent="0.3">
      <c r="A5" s="1" t="s">
        <v>6</v>
      </c>
      <c r="B5">
        <f>AVERAGE(AI.PA)</f>
        <v>1.1482557863999938E-2</v>
      </c>
      <c r="C5">
        <f>AVERAGE(NVDA)</f>
        <v>3.6078759612660494E-2</v>
      </c>
      <c r="D5">
        <f>AVERAGE(MSFT)</f>
        <v>2.0331052980086518E-2</v>
      </c>
      <c r="E5">
        <f>AVERAGE(AAPL)</f>
        <v>2.755944422117839E-2</v>
      </c>
    </row>
    <row r="7" spans="1:7" x14ac:dyDescent="0.3">
      <c r="A7" s="1" t="s">
        <v>10</v>
      </c>
      <c r="C7">
        <f>MIN(means)</f>
        <v>1.1482557863999938E-2</v>
      </c>
      <c r="E7" s="1" t="s">
        <v>11</v>
      </c>
      <c r="G7">
        <f>SUM(weights)</f>
        <v>1</v>
      </c>
    </row>
    <row r="8" spans="1:7" x14ac:dyDescent="0.3">
      <c r="A8" s="1" t="s">
        <v>12</v>
      </c>
      <c r="C8">
        <f>MAX(means)</f>
        <v>3.6078759612660494E-2</v>
      </c>
    </row>
    <row r="10" spans="1:7" x14ac:dyDescent="0.3">
      <c r="A10" s="1" t="s">
        <v>13</v>
      </c>
      <c r="D10">
        <f>SUMPRODUCT(weights, means)</f>
        <v>2.3862953669481338E-2</v>
      </c>
      <c r="E10" s="2" t="s">
        <v>14</v>
      </c>
      <c r="F10">
        <v>2.3780658738330216E-2</v>
      </c>
    </row>
    <row r="12" spans="1:7" x14ac:dyDescent="0.3">
      <c r="A12" s="1" t="s">
        <v>15</v>
      </c>
      <c r="D12">
        <f t="array" ref="D12">MMULT(weights,MMULT(covariances,TRANSPOSE(weights)))</f>
        <v>3.2217760384847518E-3</v>
      </c>
    </row>
    <row r="14" spans="1:7" x14ac:dyDescent="0.3">
      <c r="A14" s="1" t="s">
        <v>16</v>
      </c>
      <c r="D14">
        <f>SQRT(portfolioVariance)</f>
        <v>5.6760690962009544E-2</v>
      </c>
    </row>
    <row r="16" spans="1:7" x14ac:dyDescent="0.3">
      <c r="A16" s="1" t="s">
        <v>17</v>
      </c>
      <c r="B16" t="s">
        <v>2</v>
      </c>
      <c r="C16" t="s">
        <v>34</v>
      </c>
      <c r="D16" t="s">
        <v>3</v>
      </c>
      <c r="E16" t="s">
        <v>18</v>
      </c>
    </row>
    <row r="17" spans="1:5" x14ac:dyDescent="0.3">
      <c r="A17" t="s">
        <v>2</v>
      </c>
      <c r="B17">
        <f>COVAR(AI.PA,AI.PA)</f>
        <v>1.9049751035741225E-3</v>
      </c>
      <c r="C17">
        <f>COVAR(NVDA,AI.PA)</f>
        <v>1.2655206005145409E-3</v>
      </c>
      <c r="D17">
        <f>COVAR(MSFT,AI.PA)</f>
        <v>6.5281326657406797E-4</v>
      </c>
      <c r="E17">
        <f>COVAR(AAPL,AI.PA)</f>
        <v>1.3504327094240765E-3</v>
      </c>
    </row>
    <row r="18" spans="1:5" x14ac:dyDescent="0.3">
      <c r="A18" t="s">
        <v>34</v>
      </c>
      <c r="B18">
        <f>COVAR(AI.PA,NVDA)</f>
        <v>1.2655206005145409E-3</v>
      </c>
      <c r="C18">
        <f>COVAR(NVDA,NVDA)</f>
        <v>1.490132610369436E-2</v>
      </c>
      <c r="D18">
        <f>COVAR(MSFT,NVDA)</f>
        <v>2.975068259250431E-3</v>
      </c>
      <c r="E18">
        <f>COVAR(AAPL,NVDA)</f>
        <v>4.0365203431051546E-3</v>
      </c>
    </row>
    <row r="19" spans="1:5" x14ac:dyDescent="0.3">
      <c r="A19" t="s">
        <v>3</v>
      </c>
      <c r="B19">
        <f>COVAR(AI.PA,MSFT)</f>
        <v>6.5281326657406797E-4</v>
      </c>
      <c r="C19">
        <f>COVAR(NVDA,MSFT)</f>
        <v>2.975068259250431E-3</v>
      </c>
      <c r="D19">
        <f>COVAR(MSFT,MSFT)</f>
        <v>3.7395454951247012E-3</v>
      </c>
      <c r="E19">
        <f>COVAR(AAPL,MSFT)</f>
        <v>2.1714906347116256E-3</v>
      </c>
    </row>
    <row r="20" spans="1:5" x14ac:dyDescent="0.3">
      <c r="A20" t="s">
        <v>18</v>
      </c>
      <c r="B20">
        <f>COVAR(AI.PA,AAPL)</f>
        <v>1.3504327094240765E-3</v>
      </c>
      <c r="C20">
        <f>COVAR(NVDA,AAPL)</f>
        <v>4.0365203431051546E-3</v>
      </c>
      <c r="D20">
        <f>COVAR(MSFT,AAPL)</f>
        <v>2.1714906347116256E-3</v>
      </c>
      <c r="E20">
        <f>COVAR(AAPL,AAPL)</f>
        <v>6.0988782862030563E-3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F181E-9153-4509-8E23-B2F1FD6CC8A5}">
  <sheetPr codeName="Feuil29"/>
  <dimension ref="A1:I129"/>
  <sheetViews>
    <sheetView workbookViewId="0"/>
  </sheetViews>
  <sheetFormatPr baseColWidth="10" defaultRowHeight="14.4" x14ac:dyDescent="0.3"/>
  <sheetData>
    <row r="1" spans="1:9" x14ac:dyDescent="0.3">
      <c r="A1" s="5">
        <v>44104</v>
      </c>
      <c r="B1">
        <v>132.76</v>
      </c>
      <c r="C1">
        <v>137.97999999999999</v>
      </c>
      <c r="D1">
        <v>103.1</v>
      </c>
      <c r="E1">
        <v>115.81</v>
      </c>
      <c r="F1">
        <v>114.90219999999999</v>
      </c>
      <c r="G1">
        <v>3886793083</v>
      </c>
      <c r="H1">
        <v>0</v>
      </c>
      <c r="I1" t="s">
        <v>19</v>
      </c>
    </row>
    <row r="2" spans="1:9" x14ac:dyDescent="0.3">
      <c r="A2" s="5">
        <v>44074</v>
      </c>
      <c r="B2">
        <v>432.8</v>
      </c>
      <c r="C2">
        <v>515.14</v>
      </c>
      <c r="D2">
        <v>126</v>
      </c>
      <c r="E2">
        <v>129.04</v>
      </c>
      <c r="F2">
        <v>128.02850000000001</v>
      </c>
      <c r="G2">
        <v>1184207050</v>
      </c>
      <c r="H2">
        <v>0.82</v>
      </c>
      <c r="I2">
        <f t="shared" ref="I2:I33" si="0">(F2-F3)/F3</f>
        <v>0.2166193114327255</v>
      </c>
    </row>
    <row r="3" spans="1:9" x14ac:dyDescent="0.3">
      <c r="A3" s="5">
        <v>44043</v>
      </c>
      <c r="B3">
        <v>365.12</v>
      </c>
      <c r="C3">
        <v>425.66</v>
      </c>
      <c r="D3">
        <v>356.58</v>
      </c>
      <c r="E3">
        <v>425.04</v>
      </c>
      <c r="F3">
        <v>105.233</v>
      </c>
      <c r="G3">
        <v>755162226</v>
      </c>
      <c r="H3">
        <v>0</v>
      </c>
      <c r="I3">
        <f t="shared" si="0"/>
        <v>0.16513228186916307</v>
      </c>
    </row>
    <row r="4" spans="1:9" x14ac:dyDescent="0.3">
      <c r="A4" s="5">
        <v>44012</v>
      </c>
      <c r="B4">
        <v>317.75</v>
      </c>
      <c r="C4">
        <v>372.38</v>
      </c>
      <c r="D4">
        <v>317.20999999999998</v>
      </c>
      <c r="E4">
        <v>364.8</v>
      </c>
      <c r="F4">
        <v>90.3185</v>
      </c>
      <c r="G4">
        <v>810900890</v>
      </c>
      <c r="H4">
        <v>0</v>
      </c>
      <c r="I4">
        <f t="shared" si="0"/>
        <v>0.14738676799205247</v>
      </c>
    </row>
    <row r="5" spans="1:9" x14ac:dyDescent="0.3">
      <c r="A5" s="5">
        <v>43980</v>
      </c>
      <c r="B5">
        <v>286.25</v>
      </c>
      <c r="C5">
        <v>324.24</v>
      </c>
      <c r="D5">
        <v>285.85000000000002</v>
      </c>
      <c r="E5">
        <v>317.94</v>
      </c>
      <c r="F5">
        <v>78.716700000000003</v>
      </c>
      <c r="G5">
        <v>701660022</v>
      </c>
      <c r="H5">
        <v>0.82</v>
      </c>
      <c r="I5">
        <f t="shared" si="0"/>
        <v>8.5024735245346969E-2</v>
      </c>
    </row>
    <row r="6" spans="1:9" x14ac:dyDescent="0.3">
      <c r="A6" s="5">
        <v>43951</v>
      </c>
      <c r="B6">
        <v>246.5</v>
      </c>
      <c r="C6">
        <v>294.52999999999997</v>
      </c>
      <c r="D6">
        <v>236.9</v>
      </c>
      <c r="E6">
        <v>293.8</v>
      </c>
      <c r="F6">
        <v>72.548299999999998</v>
      </c>
      <c r="G6">
        <v>816530808</v>
      </c>
      <c r="H6">
        <v>0</v>
      </c>
      <c r="I6">
        <f t="shared" si="0"/>
        <v>0.15537488852083062</v>
      </c>
    </row>
    <row r="7" spans="1:9" x14ac:dyDescent="0.3">
      <c r="A7" s="5">
        <v>43921</v>
      </c>
      <c r="B7">
        <v>282.27999999999997</v>
      </c>
      <c r="C7">
        <v>304</v>
      </c>
      <c r="D7">
        <v>212.61</v>
      </c>
      <c r="E7">
        <v>254.29</v>
      </c>
      <c r="F7">
        <v>62.792000000000002</v>
      </c>
      <c r="G7">
        <v>1570331732</v>
      </c>
      <c r="H7">
        <v>0</v>
      </c>
      <c r="I7">
        <f t="shared" si="0"/>
        <v>-6.976192945289704E-2</v>
      </c>
    </row>
    <row r="8" spans="1:9" x14ac:dyDescent="0.3">
      <c r="A8" s="5">
        <v>43889</v>
      </c>
      <c r="B8">
        <v>304.3</v>
      </c>
      <c r="C8">
        <v>327.22000000000003</v>
      </c>
      <c r="D8">
        <v>256.37</v>
      </c>
      <c r="E8">
        <v>273.36</v>
      </c>
      <c r="F8">
        <v>67.501000000000005</v>
      </c>
      <c r="G8">
        <v>755223231</v>
      </c>
      <c r="H8">
        <v>0.77</v>
      </c>
      <c r="I8">
        <f t="shared" si="0"/>
        <v>-0.11467247957546876</v>
      </c>
    </row>
    <row r="9" spans="1:9" x14ac:dyDescent="0.3">
      <c r="A9" s="5">
        <v>43861</v>
      </c>
      <c r="B9">
        <v>296.24</v>
      </c>
      <c r="C9">
        <v>327.85</v>
      </c>
      <c r="D9">
        <v>292.75</v>
      </c>
      <c r="E9">
        <v>309.51</v>
      </c>
      <c r="F9">
        <v>76.244100000000003</v>
      </c>
      <c r="G9">
        <v>734044103</v>
      </c>
      <c r="H9">
        <v>0</v>
      </c>
      <c r="I9">
        <f t="shared" si="0"/>
        <v>5.4009555249581231E-2</v>
      </c>
    </row>
    <row r="10" spans="1:9" x14ac:dyDescent="0.3">
      <c r="A10" s="5">
        <v>43830</v>
      </c>
      <c r="B10">
        <v>267.27</v>
      </c>
      <c r="C10">
        <v>293.97000000000003</v>
      </c>
      <c r="D10">
        <v>256.29000000000002</v>
      </c>
      <c r="E10">
        <v>293.64999999999998</v>
      </c>
      <c r="F10">
        <v>72.337199999999996</v>
      </c>
      <c r="G10">
        <v>598871365</v>
      </c>
      <c r="H10">
        <v>0</v>
      </c>
      <c r="I10">
        <f t="shared" si="0"/>
        <v>9.878512253584025E-2</v>
      </c>
    </row>
    <row r="11" spans="1:9" x14ac:dyDescent="0.3">
      <c r="A11" s="5">
        <v>43798</v>
      </c>
      <c r="B11">
        <v>249.54</v>
      </c>
      <c r="C11">
        <v>268</v>
      </c>
      <c r="D11">
        <v>249.16</v>
      </c>
      <c r="E11">
        <v>267.25</v>
      </c>
      <c r="F11">
        <v>65.833799999999997</v>
      </c>
      <c r="G11">
        <v>448922253</v>
      </c>
      <c r="H11">
        <v>0.77</v>
      </c>
      <c r="I11">
        <f t="shared" si="0"/>
        <v>7.7516829602423551E-2</v>
      </c>
    </row>
    <row r="12" spans="1:9" x14ac:dyDescent="0.3">
      <c r="A12" s="5">
        <v>43769</v>
      </c>
      <c r="B12">
        <v>225.07</v>
      </c>
      <c r="C12">
        <v>249.75</v>
      </c>
      <c r="D12">
        <v>215.13</v>
      </c>
      <c r="E12">
        <v>248.76</v>
      </c>
      <c r="F12">
        <v>61.097700000000003</v>
      </c>
      <c r="G12">
        <v>621478768</v>
      </c>
      <c r="H12">
        <v>0</v>
      </c>
      <c r="I12">
        <f t="shared" si="0"/>
        <v>0.11068350509279387</v>
      </c>
    </row>
    <row r="13" spans="1:9" x14ac:dyDescent="0.3">
      <c r="A13" s="5">
        <v>43738</v>
      </c>
      <c r="B13">
        <v>206.43</v>
      </c>
      <c r="C13">
        <v>226.42</v>
      </c>
      <c r="D13">
        <v>204.22</v>
      </c>
      <c r="E13">
        <v>223.97</v>
      </c>
      <c r="F13">
        <v>55.009099999999997</v>
      </c>
      <c r="G13">
        <v>547408488</v>
      </c>
      <c r="H13">
        <v>0</v>
      </c>
      <c r="I13">
        <f t="shared" si="0"/>
        <v>7.2963072769971299E-2</v>
      </c>
    </row>
    <row r="14" spans="1:9" x14ac:dyDescent="0.3">
      <c r="A14" s="5">
        <v>43707</v>
      </c>
      <c r="B14">
        <v>213.9</v>
      </c>
      <c r="C14">
        <v>218.03</v>
      </c>
      <c r="D14">
        <v>192.58</v>
      </c>
      <c r="E14">
        <v>208.74</v>
      </c>
      <c r="F14">
        <v>51.2684</v>
      </c>
      <c r="G14">
        <v>683515746</v>
      </c>
      <c r="H14">
        <v>0.77</v>
      </c>
      <c r="I14">
        <f t="shared" si="0"/>
        <v>-1.6431686199877543E-2</v>
      </c>
    </row>
    <row r="15" spans="1:9" x14ac:dyDescent="0.3">
      <c r="A15" s="5">
        <v>43677</v>
      </c>
      <c r="B15">
        <v>203.17</v>
      </c>
      <c r="C15">
        <v>221.37</v>
      </c>
      <c r="D15">
        <v>198.41</v>
      </c>
      <c r="E15">
        <v>213.04</v>
      </c>
      <c r="F15">
        <v>52.124899999999997</v>
      </c>
      <c r="G15">
        <v>473957094</v>
      </c>
      <c r="H15">
        <v>0</v>
      </c>
      <c r="I15">
        <f t="shared" si="0"/>
        <v>7.6395858371846037E-2</v>
      </c>
    </row>
    <row r="16" spans="1:9" x14ac:dyDescent="0.3">
      <c r="A16" s="5">
        <v>43644</v>
      </c>
      <c r="B16">
        <v>175.6</v>
      </c>
      <c r="C16">
        <v>201.57</v>
      </c>
      <c r="D16">
        <v>170.27</v>
      </c>
      <c r="E16">
        <v>197.92</v>
      </c>
      <c r="F16">
        <v>48.425400000000003</v>
      </c>
      <c r="G16">
        <v>515218768</v>
      </c>
      <c r="H16">
        <v>0</v>
      </c>
      <c r="I16">
        <f t="shared" si="0"/>
        <v>0.13051801460031248</v>
      </c>
    </row>
    <row r="17" spans="1:9" x14ac:dyDescent="0.3">
      <c r="A17" s="5">
        <v>43616</v>
      </c>
      <c r="B17">
        <v>209.88</v>
      </c>
      <c r="C17">
        <v>215.31</v>
      </c>
      <c r="D17">
        <v>174.99</v>
      </c>
      <c r="E17">
        <v>175.07</v>
      </c>
      <c r="F17">
        <v>42.834699999999998</v>
      </c>
      <c r="G17">
        <v>739456573</v>
      </c>
      <c r="H17">
        <v>0.77</v>
      </c>
      <c r="I17">
        <f t="shared" si="0"/>
        <v>-0.12416551312380772</v>
      </c>
    </row>
    <row r="18" spans="1:9" x14ac:dyDescent="0.3">
      <c r="A18" s="5">
        <v>43585</v>
      </c>
      <c r="B18">
        <v>191.64</v>
      </c>
      <c r="C18">
        <v>208.48</v>
      </c>
      <c r="D18">
        <v>188.38</v>
      </c>
      <c r="E18">
        <v>200.67</v>
      </c>
      <c r="F18">
        <v>48.907299999999999</v>
      </c>
      <c r="G18">
        <v>506117812</v>
      </c>
      <c r="H18">
        <v>0</v>
      </c>
      <c r="I18">
        <f t="shared" si="0"/>
        <v>5.6436387829249986E-2</v>
      </c>
    </row>
    <row r="19" spans="1:9" x14ac:dyDescent="0.3">
      <c r="A19" s="5">
        <v>43553</v>
      </c>
      <c r="B19">
        <v>174.28</v>
      </c>
      <c r="C19">
        <v>197.69</v>
      </c>
      <c r="D19">
        <v>169.5</v>
      </c>
      <c r="E19">
        <v>189.95</v>
      </c>
      <c r="F19">
        <v>46.294600000000003</v>
      </c>
      <c r="G19">
        <v>650981384</v>
      </c>
      <c r="H19">
        <v>0</v>
      </c>
      <c r="I19">
        <f t="shared" si="0"/>
        <v>9.7025836431667317E-2</v>
      </c>
    </row>
    <row r="20" spans="1:9" x14ac:dyDescent="0.3">
      <c r="A20" s="5">
        <v>43524</v>
      </c>
      <c r="B20">
        <v>166.96</v>
      </c>
      <c r="C20">
        <v>175.87</v>
      </c>
      <c r="D20">
        <v>165.93</v>
      </c>
      <c r="E20">
        <v>173.15</v>
      </c>
      <c r="F20">
        <v>42.200099999999999</v>
      </c>
      <c r="G20">
        <v>472540723</v>
      </c>
      <c r="H20">
        <v>0.73</v>
      </c>
      <c r="I20">
        <f t="shared" si="0"/>
        <v>4.4771574358098296E-2</v>
      </c>
    </row>
    <row r="21" spans="1:9" x14ac:dyDescent="0.3">
      <c r="A21" s="5">
        <v>43496</v>
      </c>
      <c r="B21">
        <v>154.88999999999999</v>
      </c>
      <c r="C21">
        <v>169</v>
      </c>
      <c r="D21">
        <v>142</v>
      </c>
      <c r="E21">
        <v>166.44</v>
      </c>
      <c r="F21">
        <v>40.3917</v>
      </c>
      <c r="G21">
        <v>828099179</v>
      </c>
      <c r="H21">
        <v>0</v>
      </c>
      <c r="I21">
        <f t="shared" si="0"/>
        <v>5.5153551164564635E-2</v>
      </c>
    </row>
    <row r="22" spans="1:9" x14ac:dyDescent="0.3">
      <c r="A22" s="5">
        <v>43465</v>
      </c>
      <c r="B22">
        <v>184.46</v>
      </c>
      <c r="C22">
        <v>184.94</v>
      </c>
      <c r="D22">
        <v>146.59</v>
      </c>
      <c r="E22">
        <v>157.74</v>
      </c>
      <c r="F22">
        <v>38.2804</v>
      </c>
      <c r="G22">
        <v>898917007</v>
      </c>
      <c r="H22">
        <v>0</v>
      </c>
      <c r="I22">
        <f t="shared" si="0"/>
        <v>-0.11669924015699878</v>
      </c>
    </row>
    <row r="23" spans="1:9" x14ac:dyDescent="0.3">
      <c r="A23" s="5">
        <v>43434</v>
      </c>
      <c r="B23">
        <v>219.05</v>
      </c>
      <c r="C23">
        <v>222.36</v>
      </c>
      <c r="D23">
        <v>170.26</v>
      </c>
      <c r="E23">
        <v>178.58</v>
      </c>
      <c r="F23">
        <v>43.337899999999998</v>
      </c>
      <c r="G23">
        <v>961321947</v>
      </c>
      <c r="H23">
        <v>0.73</v>
      </c>
      <c r="I23">
        <f t="shared" si="0"/>
        <v>-0.1811867887703415</v>
      </c>
    </row>
    <row r="24" spans="1:9" x14ac:dyDescent="0.3">
      <c r="A24" s="5">
        <v>43404</v>
      </c>
      <c r="B24">
        <v>227.95</v>
      </c>
      <c r="C24">
        <v>233.47</v>
      </c>
      <c r="D24">
        <v>206.09</v>
      </c>
      <c r="E24">
        <v>218.86</v>
      </c>
      <c r="F24">
        <v>52.927700000000002</v>
      </c>
      <c r="G24">
        <v>789748068</v>
      </c>
      <c r="H24">
        <v>0</v>
      </c>
      <c r="I24">
        <f t="shared" si="0"/>
        <v>-3.0477272102799921E-2</v>
      </c>
    </row>
    <row r="25" spans="1:9" x14ac:dyDescent="0.3">
      <c r="A25" s="5">
        <v>43371</v>
      </c>
      <c r="B25">
        <v>228.41</v>
      </c>
      <c r="C25">
        <v>229.67</v>
      </c>
      <c r="D25">
        <v>215.3</v>
      </c>
      <c r="E25">
        <v>225.74</v>
      </c>
      <c r="F25">
        <v>54.591500000000003</v>
      </c>
      <c r="G25">
        <v>678972040</v>
      </c>
      <c r="H25">
        <v>0</v>
      </c>
      <c r="I25">
        <f t="shared" si="0"/>
        <v>-8.3035717529600563E-3</v>
      </c>
    </row>
    <row r="26" spans="1:9" x14ac:dyDescent="0.3">
      <c r="A26" s="5">
        <v>43343</v>
      </c>
      <c r="B26">
        <v>199.13</v>
      </c>
      <c r="C26">
        <v>228.87</v>
      </c>
      <c r="D26">
        <v>197.31</v>
      </c>
      <c r="E26">
        <v>227.63</v>
      </c>
      <c r="F26">
        <v>55.0486</v>
      </c>
      <c r="G26">
        <v>700318837</v>
      </c>
      <c r="H26">
        <v>0.73</v>
      </c>
      <c r="I26">
        <f t="shared" si="0"/>
        <v>0.20043526425512245</v>
      </c>
    </row>
    <row r="27" spans="1:9" x14ac:dyDescent="0.3">
      <c r="A27" s="5">
        <v>43312</v>
      </c>
      <c r="B27">
        <v>183.82</v>
      </c>
      <c r="C27">
        <v>195.96</v>
      </c>
      <c r="D27">
        <v>183.42</v>
      </c>
      <c r="E27">
        <v>190.29</v>
      </c>
      <c r="F27">
        <v>45.857199999999999</v>
      </c>
      <c r="G27">
        <v>393843881</v>
      </c>
      <c r="H27">
        <v>0</v>
      </c>
      <c r="I27">
        <f t="shared" si="0"/>
        <v>2.7983205145161626E-2</v>
      </c>
    </row>
    <row r="28" spans="1:9" x14ac:dyDescent="0.3">
      <c r="A28" s="5">
        <v>43280</v>
      </c>
      <c r="B28">
        <v>187.99</v>
      </c>
      <c r="C28">
        <v>194.2</v>
      </c>
      <c r="D28">
        <v>180.73</v>
      </c>
      <c r="E28">
        <v>185.11</v>
      </c>
      <c r="F28">
        <v>44.608899999999998</v>
      </c>
      <c r="G28">
        <v>527624365</v>
      </c>
      <c r="H28">
        <v>0</v>
      </c>
      <c r="I28">
        <f t="shared" si="0"/>
        <v>-9.4175382497280399E-3</v>
      </c>
    </row>
    <row r="29" spans="1:9" x14ac:dyDescent="0.3">
      <c r="A29" s="5">
        <v>43251</v>
      </c>
      <c r="B29">
        <v>166.41</v>
      </c>
      <c r="C29">
        <v>190.37</v>
      </c>
      <c r="D29">
        <v>165.27</v>
      </c>
      <c r="E29">
        <v>186.87</v>
      </c>
      <c r="F29">
        <v>45.033000000000001</v>
      </c>
      <c r="G29">
        <v>620976206</v>
      </c>
      <c r="H29">
        <v>0.73</v>
      </c>
      <c r="I29">
        <f t="shared" si="0"/>
        <v>0.13513881396861258</v>
      </c>
    </row>
    <row r="30" spans="1:9" x14ac:dyDescent="0.3">
      <c r="A30" s="5">
        <v>43220</v>
      </c>
      <c r="B30">
        <v>166.64</v>
      </c>
      <c r="C30">
        <v>178.94</v>
      </c>
      <c r="D30">
        <v>160.63</v>
      </c>
      <c r="E30">
        <v>165.26</v>
      </c>
      <c r="F30">
        <v>39.671799999999998</v>
      </c>
      <c r="G30">
        <v>666360147</v>
      </c>
      <c r="H30">
        <v>0</v>
      </c>
      <c r="I30">
        <f t="shared" si="0"/>
        <v>-1.5018608773807205E-2</v>
      </c>
    </row>
    <row r="31" spans="1:9" x14ac:dyDescent="0.3">
      <c r="A31" s="5">
        <v>43188</v>
      </c>
      <c r="B31">
        <v>178.54</v>
      </c>
      <c r="C31">
        <v>183.5</v>
      </c>
      <c r="D31">
        <v>164.94</v>
      </c>
      <c r="E31">
        <v>167.78</v>
      </c>
      <c r="F31">
        <v>40.276699999999998</v>
      </c>
      <c r="G31">
        <v>701387082</v>
      </c>
      <c r="H31">
        <v>0</v>
      </c>
      <c r="I31">
        <f t="shared" si="0"/>
        <v>-5.8051072408317313E-2</v>
      </c>
    </row>
    <row r="32" spans="1:9" x14ac:dyDescent="0.3">
      <c r="A32" s="5">
        <v>43159</v>
      </c>
      <c r="B32">
        <v>167.17</v>
      </c>
      <c r="C32">
        <v>180.62</v>
      </c>
      <c r="D32">
        <v>150.24</v>
      </c>
      <c r="E32">
        <v>178.12</v>
      </c>
      <c r="F32">
        <v>42.758899999999997</v>
      </c>
      <c r="G32">
        <v>888378184</v>
      </c>
      <c r="H32">
        <v>0.63</v>
      </c>
      <c r="I32">
        <f t="shared" si="0"/>
        <v>6.8131346564580281E-2</v>
      </c>
    </row>
    <row r="33" spans="1:9" x14ac:dyDescent="0.3">
      <c r="A33" s="5">
        <v>43131</v>
      </c>
      <c r="B33">
        <v>170.16</v>
      </c>
      <c r="C33">
        <v>180.1</v>
      </c>
      <c r="D33">
        <v>164.7</v>
      </c>
      <c r="E33">
        <v>167.43</v>
      </c>
      <c r="F33">
        <v>40.031500000000001</v>
      </c>
      <c r="G33">
        <v>639245534</v>
      </c>
      <c r="H33">
        <v>0</v>
      </c>
      <c r="I33">
        <f t="shared" si="0"/>
        <v>-1.0634722132974695E-2</v>
      </c>
    </row>
    <row r="34" spans="1:9" x14ac:dyDescent="0.3">
      <c r="A34" s="5">
        <v>43098</v>
      </c>
      <c r="B34">
        <v>169.95</v>
      </c>
      <c r="C34">
        <v>177.2</v>
      </c>
      <c r="D34">
        <v>166.46</v>
      </c>
      <c r="E34">
        <v>169.23</v>
      </c>
      <c r="F34">
        <v>40.461799999999997</v>
      </c>
      <c r="G34">
        <v>518560008</v>
      </c>
      <c r="H34">
        <v>0</v>
      </c>
      <c r="I34">
        <f t="shared" ref="I34:I65" si="1">(F34-F35)/F35</f>
        <v>-1.5247649574209692E-2</v>
      </c>
    </row>
    <row r="35" spans="1:9" x14ac:dyDescent="0.3">
      <c r="A35" s="5">
        <v>43069</v>
      </c>
      <c r="B35">
        <v>169.87</v>
      </c>
      <c r="C35">
        <v>176.24</v>
      </c>
      <c r="D35">
        <v>165.28</v>
      </c>
      <c r="E35">
        <v>171.85</v>
      </c>
      <c r="F35">
        <v>41.088299999999997</v>
      </c>
      <c r="G35">
        <v>581374608</v>
      </c>
      <c r="H35">
        <v>0.63</v>
      </c>
      <c r="I35">
        <f t="shared" si="1"/>
        <v>2.0292467799488959E-2</v>
      </c>
    </row>
    <row r="36" spans="1:9" x14ac:dyDescent="0.3">
      <c r="A36" s="5">
        <v>43039</v>
      </c>
      <c r="B36">
        <v>154.26</v>
      </c>
      <c r="C36">
        <v>169.6499</v>
      </c>
      <c r="D36">
        <v>152.46</v>
      </c>
      <c r="E36">
        <v>169.04</v>
      </c>
      <c r="F36">
        <v>40.271099999999997</v>
      </c>
      <c r="G36">
        <v>496135305</v>
      </c>
      <c r="H36">
        <v>0</v>
      </c>
      <c r="I36">
        <f t="shared" si="1"/>
        <v>9.6806085514220874E-2</v>
      </c>
    </row>
    <row r="37" spans="1:9" x14ac:dyDescent="0.3">
      <c r="A37" s="5">
        <v>43007</v>
      </c>
      <c r="B37">
        <v>164.8</v>
      </c>
      <c r="C37">
        <v>164.94</v>
      </c>
      <c r="D37">
        <v>149.16</v>
      </c>
      <c r="E37">
        <v>154.12</v>
      </c>
      <c r="F37">
        <v>36.716700000000003</v>
      </c>
      <c r="G37">
        <v>669594016</v>
      </c>
      <c r="H37">
        <v>0</v>
      </c>
      <c r="I37">
        <f t="shared" si="1"/>
        <v>-6.0242536549408157E-2</v>
      </c>
    </row>
    <row r="38" spans="1:9" x14ac:dyDescent="0.3">
      <c r="A38" s="5">
        <v>42978</v>
      </c>
      <c r="B38">
        <v>149.1</v>
      </c>
      <c r="C38">
        <v>164.52</v>
      </c>
      <c r="D38">
        <v>148.41</v>
      </c>
      <c r="E38">
        <v>164</v>
      </c>
      <c r="F38">
        <v>39.070399999999999</v>
      </c>
      <c r="G38">
        <v>638221161</v>
      </c>
      <c r="H38">
        <v>0.63</v>
      </c>
      <c r="I38">
        <f t="shared" si="1"/>
        <v>0.1071395174201959</v>
      </c>
    </row>
    <row r="39" spans="1:9" x14ac:dyDescent="0.3">
      <c r="A39" s="5">
        <v>42947</v>
      </c>
      <c r="B39">
        <v>144.88</v>
      </c>
      <c r="C39">
        <v>153.99</v>
      </c>
      <c r="D39">
        <v>142.41</v>
      </c>
      <c r="E39">
        <v>148.72999999999999</v>
      </c>
      <c r="F39">
        <v>35.289499999999997</v>
      </c>
      <c r="G39">
        <v>411377229</v>
      </c>
      <c r="H39">
        <v>0</v>
      </c>
      <c r="I39">
        <f t="shared" si="1"/>
        <v>3.2705234417752478E-2</v>
      </c>
    </row>
    <row r="40" spans="1:9" x14ac:dyDescent="0.3">
      <c r="A40" s="5">
        <v>42916</v>
      </c>
      <c r="B40">
        <v>153.16999999999999</v>
      </c>
      <c r="C40">
        <v>155.97999999999999</v>
      </c>
      <c r="D40">
        <v>142.19999999999999</v>
      </c>
      <c r="E40">
        <v>144.02000000000001</v>
      </c>
      <c r="F40">
        <v>34.171900000000001</v>
      </c>
      <c r="G40">
        <v>664986406</v>
      </c>
      <c r="H40">
        <v>0</v>
      </c>
      <c r="I40">
        <f t="shared" si="1"/>
        <v>-5.7215062752271263E-2</v>
      </c>
    </row>
    <row r="41" spans="1:9" x14ac:dyDescent="0.3">
      <c r="A41" s="5">
        <v>42886</v>
      </c>
      <c r="B41">
        <v>145.1</v>
      </c>
      <c r="C41">
        <v>156.65</v>
      </c>
      <c r="D41">
        <v>144.27000000000001</v>
      </c>
      <c r="E41">
        <v>152.76</v>
      </c>
      <c r="F41">
        <v>36.245699999999999</v>
      </c>
      <c r="G41">
        <v>635292989</v>
      </c>
      <c r="H41">
        <v>0.63</v>
      </c>
      <c r="I41">
        <f t="shared" si="1"/>
        <v>6.7770995604680473E-2</v>
      </c>
    </row>
    <row r="42" spans="1:9" x14ac:dyDescent="0.3">
      <c r="A42" s="5">
        <v>42853</v>
      </c>
      <c r="B42">
        <v>143.71</v>
      </c>
      <c r="C42">
        <v>145.46</v>
      </c>
      <c r="D42">
        <v>140.06</v>
      </c>
      <c r="E42">
        <v>143.65</v>
      </c>
      <c r="F42">
        <v>33.9452</v>
      </c>
      <c r="G42">
        <v>371280180</v>
      </c>
      <c r="H42">
        <v>0</v>
      </c>
      <c r="I42">
        <f t="shared" si="1"/>
        <v>-7.069719214322992E-5</v>
      </c>
    </row>
    <row r="43" spans="1:9" x14ac:dyDescent="0.3">
      <c r="A43" s="5">
        <v>42825</v>
      </c>
      <c r="B43">
        <v>137.88999999999999</v>
      </c>
      <c r="C43">
        <v>144.5</v>
      </c>
      <c r="D43">
        <v>137.05000000000001</v>
      </c>
      <c r="E43">
        <v>143.66</v>
      </c>
      <c r="F43">
        <v>33.947600000000001</v>
      </c>
      <c r="G43">
        <v>562091214</v>
      </c>
      <c r="H43">
        <v>0</v>
      </c>
      <c r="I43">
        <f t="shared" si="1"/>
        <v>4.8691128588816052E-2</v>
      </c>
    </row>
    <row r="44" spans="1:9" x14ac:dyDescent="0.3">
      <c r="A44" s="5">
        <v>42794</v>
      </c>
      <c r="B44">
        <v>127.03</v>
      </c>
      <c r="C44">
        <v>137.47999999999999</v>
      </c>
      <c r="D44">
        <v>127.01</v>
      </c>
      <c r="E44">
        <v>136.99</v>
      </c>
      <c r="F44">
        <v>32.371400000000001</v>
      </c>
      <c r="G44">
        <v>574968547</v>
      </c>
      <c r="H44">
        <v>0.56999999999999995</v>
      </c>
      <c r="I44">
        <f t="shared" si="1"/>
        <v>0.13374216799111815</v>
      </c>
    </row>
    <row r="45" spans="1:9" x14ac:dyDescent="0.3">
      <c r="A45" s="5">
        <v>42766</v>
      </c>
      <c r="B45">
        <v>115.8</v>
      </c>
      <c r="C45">
        <v>122.44</v>
      </c>
      <c r="D45">
        <v>114.76</v>
      </c>
      <c r="E45">
        <v>121.35</v>
      </c>
      <c r="F45">
        <v>28.552700000000002</v>
      </c>
      <c r="G45">
        <v>563331160</v>
      </c>
      <c r="H45">
        <v>0</v>
      </c>
      <c r="I45">
        <f t="shared" si="1"/>
        <v>4.7747830394657229E-2</v>
      </c>
    </row>
    <row r="46" spans="1:9" x14ac:dyDescent="0.3">
      <c r="A46" s="5">
        <v>42734</v>
      </c>
      <c r="B46">
        <v>110.36499999999999</v>
      </c>
      <c r="C46">
        <v>118.0166</v>
      </c>
      <c r="D46">
        <v>108.25</v>
      </c>
      <c r="E46">
        <v>115.82</v>
      </c>
      <c r="F46">
        <v>27.2515</v>
      </c>
      <c r="G46">
        <v>608771645</v>
      </c>
      <c r="H46">
        <v>0</v>
      </c>
      <c r="I46">
        <f t="shared" si="1"/>
        <v>4.7953238862504563E-2</v>
      </c>
    </row>
    <row r="47" spans="1:9" x14ac:dyDescent="0.3">
      <c r="A47" s="5">
        <v>42704</v>
      </c>
      <c r="B47">
        <v>113.46</v>
      </c>
      <c r="C47">
        <v>113.77</v>
      </c>
      <c r="D47">
        <v>104.08</v>
      </c>
      <c r="E47">
        <v>110.52</v>
      </c>
      <c r="F47">
        <v>26.0045</v>
      </c>
      <c r="G47">
        <v>721554967</v>
      </c>
      <c r="H47">
        <v>0.56999999999999995</v>
      </c>
      <c r="I47">
        <f t="shared" si="1"/>
        <v>-2.154486381132634E-2</v>
      </c>
    </row>
    <row r="48" spans="1:9" x14ac:dyDescent="0.3">
      <c r="A48" s="5">
        <v>42674</v>
      </c>
      <c r="B48">
        <v>112.71</v>
      </c>
      <c r="C48">
        <v>118.69</v>
      </c>
      <c r="D48">
        <v>112.28</v>
      </c>
      <c r="E48">
        <v>113.54</v>
      </c>
      <c r="F48">
        <v>26.577100000000002</v>
      </c>
      <c r="G48">
        <v>686914224</v>
      </c>
      <c r="H48">
        <v>0</v>
      </c>
      <c r="I48">
        <f t="shared" si="1"/>
        <v>4.3344519015660974E-3</v>
      </c>
    </row>
    <row r="49" spans="1:9" x14ac:dyDescent="0.3">
      <c r="A49" s="5">
        <v>42643</v>
      </c>
      <c r="B49">
        <v>106.14</v>
      </c>
      <c r="C49">
        <v>116.18</v>
      </c>
      <c r="D49">
        <v>102.53</v>
      </c>
      <c r="E49">
        <v>113.05</v>
      </c>
      <c r="F49">
        <v>26.462399999999999</v>
      </c>
      <c r="G49">
        <v>970096738</v>
      </c>
      <c r="H49">
        <v>0</v>
      </c>
      <c r="I49">
        <f t="shared" si="1"/>
        <v>6.550274605807789E-2</v>
      </c>
    </row>
    <row r="50" spans="1:9" x14ac:dyDescent="0.3">
      <c r="A50" s="5">
        <v>42613</v>
      </c>
      <c r="B50">
        <v>104.41</v>
      </c>
      <c r="C50">
        <v>110.23</v>
      </c>
      <c r="D50">
        <v>104</v>
      </c>
      <c r="E50">
        <v>106.1</v>
      </c>
      <c r="F50">
        <v>24.835599999999999</v>
      </c>
      <c r="G50">
        <v>630128567</v>
      </c>
      <c r="H50">
        <v>0.56999999999999995</v>
      </c>
      <c r="I50">
        <f t="shared" si="1"/>
        <v>2.3616595088737414E-2</v>
      </c>
    </row>
    <row r="51" spans="1:9" x14ac:dyDescent="0.3">
      <c r="A51" s="5">
        <v>42580</v>
      </c>
      <c r="B51">
        <v>95.49</v>
      </c>
      <c r="C51">
        <v>104.55</v>
      </c>
      <c r="D51">
        <v>94.37</v>
      </c>
      <c r="E51">
        <v>104.21</v>
      </c>
      <c r="F51">
        <v>24.262599999999999</v>
      </c>
      <c r="G51">
        <v>685779613</v>
      </c>
      <c r="H51">
        <v>0</v>
      </c>
      <c r="I51">
        <f t="shared" si="1"/>
        <v>9.0062000179710666E-2</v>
      </c>
    </row>
    <row r="52" spans="1:9" x14ac:dyDescent="0.3">
      <c r="A52" s="5">
        <v>42551</v>
      </c>
      <c r="B52">
        <v>99.02</v>
      </c>
      <c r="C52">
        <v>101.89</v>
      </c>
      <c r="D52">
        <v>91.5</v>
      </c>
      <c r="E52">
        <v>95.6</v>
      </c>
      <c r="F52">
        <v>22.257999999999999</v>
      </c>
      <c r="G52">
        <v>780630235</v>
      </c>
      <c r="H52">
        <v>0</v>
      </c>
      <c r="I52">
        <f t="shared" si="1"/>
        <v>-4.2658431470378295E-2</v>
      </c>
    </row>
    <row r="53" spans="1:9" x14ac:dyDescent="0.3">
      <c r="A53" s="5">
        <v>42521</v>
      </c>
      <c r="B53">
        <v>93.965000000000003</v>
      </c>
      <c r="C53">
        <v>100.73</v>
      </c>
      <c r="D53">
        <v>89.47</v>
      </c>
      <c r="E53">
        <v>99.86</v>
      </c>
      <c r="F53">
        <v>23.2498</v>
      </c>
      <c r="G53">
        <v>901144768</v>
      </c>
      <c r="H53">
        <v>0.56999999999999995</v>
      </c>
      <c r="I53">
        <f t="shared" si="1"/>
        <v>7.1799670850947156E-2</v>
      </c>
    </row>
    <row r="54" spans="1:9" x14ac:dyDescent="0.3">
      <c r="A54" s="5">
        <v>42489</v>
      </c>
      <c r="B54">
        <v>108.78</v>
      </c>
      <c r="C54">
        <v>112.39</v>
      </c>
      <c r="D54">
        <v>92.51</v>
      </c>
      <c r="E54">
        <v>93.74</v>
      </c>
      <c r="F54">
        <v>21.692299999999999</v>
      </c>
      <c r="G54">
        <v>872383623</v>
      </c>
      <c r="H54">
        <v>0</v>
      </c>
      <c r="I54">
        <f t="shared" si="1"/>
        <v>-0.13992141562885338</v>
      </c>
    </row>
    <row r="55" spans="1:9" x14ac:dyDescent="0.3">
      <c r="A55" s="5">
        <v>42460</v>
      </c>
      <c r="B55">
        <v>97.65</v>
      </c>
      <c r="C55">
        <v>110.42</v>
      </c>
      <c r="D55">
        <v>97.42</v>
      </c>
      <c r="E55">
        <v>108.99</v>
      </c>
      <c r="F55">
        <v>25.221299999999999</v>
      </c>
      <c r="G55">
        <v>745756771</v>
      </c>
      <c r="H55">
        <v>0</v>
      </c>
      <c r="I55">
        <f t="shared" si="1"/>
        <v>0.12720893854748599</v>
      </c>
    </row>
    <row r="56" spans="1:9" x14ac:dyDescent="0.3">
      <c r="A56" s="5">
        <v>42429</v>
      </c>
      <c r="B56">
        <v>96.47</v>
      </c>
      <c r="C56">
        <v>98.89</v>
      </c>
      <c r="D56">
        <v>92.59</v>
      </c>
      <c r="E56">
        <v>96.69</v>
      </c>
      <c r="F56">
        <v>22.375</v>
      </c>
      <c r="G56">
        <v>810862547</v>
      </c>
      <c r="H56">
        <v>0.52</v>
      </c>
      <c r="I56">
        <f t="shared" si="1"/>
        <v>-1.3300721274013426E-3</v>
      </c>
    </row>
    <row r="57" spans="1:9" x14ac:dyDescent="0.3">
      <c r="A57" s="5">
        <v>42398</v>
      </c>
      <c r="B57">
        <v>102.61</v>
      </c>
      <c r="C57">
        <v>105.85</v>
      </c>
      <c r="D57">
        <v>92.39</v>
      </c>
      <c r="E57">
        <v>97.34</v>
      </c>
      <c r="F57">
        <v>22.404800000000002</v>
      </c>
      <c r="G57">
        <v>1271848087</v>
      </c>
      <c r="H57">
        <v>0</v>
      </c>
      <c r="I57">
        <f t="shared" si="1"/>
        <v>-7.5240324091845168E-2</v>
      </c>
    </row>
    <row r="58" spans="1:9" x14ac:dyDescent="0.3">
      <c r="A58" s="5">
        <v>42369</v>
      </c>
      <c r="B58">
        <v>118.75</v>
      </c>
      <c r="C58">
        <v>119.86</v>
      </c>
      <c r="D58">
        <v>104.82</v>
      </c>
      <c r="E58">
        <v>105.26</v>
      </c>
      <c r="F58">
        <v>24.227699999999999</v>
      </c>
      <c r="G58">
        <v>922626259</v>
      </c>
      <c r="H58">
        <v>0</v>
      </c>
      <c r="I58">
        <f t="shared" si="1"/>
        <v>-0.11022766084813675</v>
      </c>
    </row>
    <row r="59" spans="1:9" x14ac:dyDescent="0.3">
      <c r="A59" s="5">
        <v>42338</v>
      </c>
      <c r="B59">
        <v>119.87</v>
      </c>
      <c r="C59">
        <v>123.82</v>
      </c>
      <c r="D59">
        <v>111</v>
      </c>
      <c r="E59">
        <v>118.3</v>
      </c>
      <c r="F59">
        <v>27.229099999999999</v>
      </c>
      <c r="G59">
        <v>750606735</v>
      </c>
      <c r="H59">
        <v>0.52</v>
      </c>
      <c r="I59">
        <f t="shared" si="1"/>
        <v>-5.7872905986650928E-3</v>
      </c>
    </row>
    <row r="60" spans="1:9" x14ac:dyDescent="0.3">
      <c r="A60" s="5">
        <v>42307</v>
      </c>
      <c r="B60">
        <v>109.07</v>
      </c>
      <c r="C60">
        <v>121.22</v>
      </c>
      <c r="D60">
        <v>107.31</v>
      </c>
      <c r="E60">
        <v>119.5</v>
      </c>
      <c r="F60">
        <v>27.387599999999999</v>
      </c>
      <c r="G60">
        <v>1113703829</v>
      </c>
      <c r="H60">
        <v>0</v>
      </c>
      <c r="I60">
        <f t="shared" si="1"/>
        <v>8.6861279108529005E-2</v>
      </c>
    </row>
    <row r="61" spans="1:9" x14ac:dyDescent="0.3">
      <c r="A61" s="5">
        <v>42277</v>
      </c>
      <c r="B61">
        <v>110.18</v>
      </c>
      <c r="C61">
        <v>116.89</v>
      </c>
      <c r="D61">
        <v>107.36</v>
      </c>
      <c r="E61">
        <v>109.95</v>
      </c>
      <c r="F61">
        <v>25.198799999999999</v>
      </c>
      <c r="G61">
        <v>1203789074</v>
      </c>
      <c r="H61">
        <v>0</v>
      </c>
      <c r="I61">
        <f t="shared" si="1"/>
        <v>-2.4923673426743967E-2</v>
      </c>
    </row>
    <row r="62" spans="1:9" x14ac:dyDescent="0.3">
      <c r="A62" s="5">
        <v>42247</v>
      </c>
      <c r="B62">
        <v>121.5</v>
      </c>
      <c r="C62">
        <v>122.57</v>
      </c>
      <c r="D62">
        <v>92</v>
      </c>
      <c r="E62">
        <v>112.76</v>
      </c>
      <c r="F62">
        <v>25.8429</v>
      </c>
      <c r="G62">
        <v>1606359115</v>
      </c>
      <c r="H62">
        <v>0.52</v>
      </c>
      <c r="I62">
        <f t="shared" si="1"/>
        <v>-6.6203916155677861E-2</v>
      </c>
    </row>
    <row r="63" spans="1:9" x14ac:dyDescent="0.3">
      <c r="A63" s="5">
        <v>42216</v>
      </c>
      <c r="B63">
        <v>126.9</v>
      </c>
      <c r="C63">
        <v>132.97</v>
      </c>
      <c r="D63">
        <v>119.22</v>
      </c>
      <c r="E63">
        <v>121.3</v>
      </c>
      <c r="F63">
        <v>27.6751</v>
      </c>
      <c r="G63">
        <v>1058280697</v>
      </c>
      <c r="H63">
        <v>0</v>
      </c>
      <c r="I63">
        <f t="shared" si="1"/>
        <v>-3.2886966124083518E-2</v>
      </c>
    </row>
    <row r="64" spans="1:9" x14ac:dyDescent="0.3">
      <c r="A64" s="5">
        <v>42185</v>
      </c>
      <c r="B64">
        <v>131.19999999999999</v>
      </c>
      <c r="C64">
        <v>131.38999999999999</v>
      </c>
      <c r="D64">
        <v>124.48</v>
      </c>
      <c r="E64">
        <v>125.425</v>
      </c>
      <c r="F64">
        <v>28.616199999999999</v>
      </c>
      <c r="G64">
        <v>878606841</v>
      </c>
      <c r="H64">
        <v>0</v>
      </c>
      <c r="I64">
        <f t="shared" si="1"/>
        <v>-3.7266307584132678E-2</v>
      </c>
    </row>
    <row r="65" spans="1:9" x14ac:dyDescent="0.3">
      <c r="A65" s="5">
        <v>42153</v>
      </c>
      <c r="B65">
        <v>126.1</v>
      </c>
      <c r="C65">
        <v>132.97</v>
      </c>
      <c r="D65">
        <v>123.36</v>
      </c>
      <c r="E65">
        <v>130.28</v>
      </c>
      <c r="F65">
        <v>29.7239</v>
      </c>
      <c r="G65">
        <v>954152126</v>
      </c>
      <c r="H65">
        <v>0.52</v>
      </c>
      <c r="I65">
        <f t="shared" si="1"/>
        <v>4.5313236318110489E-2</v>
      </c>
    </row>
    <row r="66" spans="1:9" x14ac:dyDescent="0.3">
      <c r="A66" s="5">
        <v>42124</v>
      </c>
      <c r="B66">
        <v>124.82</v>
      </c>
      <c r="C66">
        <v>134.54</v>
      </c>
      <c r="D66">
        <v>123.1</v>
      </c>
      <c r="E66">
        <v>125.15</v>
      </c>
      <c r="F66">
        <v>28.435400000000001</v>
      </c>
      <c r="G66">
        <v>996135511</v>
      </c>
      <c r="H66">
        <v>0</v>
      </c>
      <c r="I66">
        <f t="shared" ref="I66:I97" si="2">(F66-F67)/F67</f>
        <v>5.7831274162685438E-3</v>
      </c>
    </row>
    <row r="67" spans="1:9" x14ac:dyDescent="0.3">
      <c r="A67" s="5">
        <v>42094</v>
      </c>
      <c r="B67">
        <v>129.25</v>
      </c>
      <c r="C67">
        <v>130.28</v>
      </c>
      <c r="D67">
        <v>121.63</v>
      </c>
      <c r="E67">
        <v>124.43</v>
      </c>
      <c r="F67">
        <v>28.271899999999999</v>
      </c>
      <c r="G67">
        <v>1138641910</v>
      </c>
      <c r="H67">
        <v>0</v>
      </c>
      <c r="I67">
        <f t="shared" si="2"/>
        <v>-3.1369593147751652E-2</v>
      </c>
    </row>
    <row r="68" spans="1:9" x14ac:dyDescent="0.3">
      <c r="A68" s="5">
        <v>42062</v>
      </c>
      <c r="B68">
        <v>118.05</v>
      </c>
      <c r="C68">
        <v>133.6</v>
      </c>
      <c r="D68">
        <v>116.08</v>
      </c>
      <c r="E68">
        <v>128.46</v>
      </c>
      <c r="F68">
        <v>29.1875</v>
      </c>
      <c r="G68">
        <v>1136535493</v>
      </c>
      <c r="H68">
        <v>0.47</v>
      </c>
      <c r="I68">
        <f t="shared" si="2"/>
        <v>0.10074633901667282</v>
      </c>
    </row>
    <row r="69" spans="1:9" x14ac:dyDescent="0.3">
      <c r="A69" s="5">
        <v>42034</v>
      </c>
      <c r="B69">
        <v>111.39</v>
      </c>
      <c r="C69">
        <v>120</v>
      </c>
      <c r="D69">
        <v>104.63</v>
      </c>
      <c r="E69">
        <v>117.16</v>
      </c>
      <c r="F69">
        <v>26.516100000000002</v>
      </c>
      <c r="G69">
        <v>1304879185</v>
      </c>
      <c r="H69">
        <v>0</v>
      </c>
      <c r="I69">
        <f t="shared" si="2"/>
        <v>6.1425208953790042E-2</v>
      </c>
    </row>
    <row r="70" spans="1:9" x14ac:dyDescent="0.3">
      <c r="A70" s="5">
        <v>42004</v>
      </c>
      <c r="B70">
        <v>118.81</v>
      </c>
      <c r="C70">
        <v>119.25</v>
      </c>
      <c r="D70">
        <v>106.26</v>
      </c>
      <c r="E70">
        <v>110.38</v>
      </c>
      <c r="F70">
        <v>24.9816</v>
      </c>
      <c r="G70">
        <v>1073775862</v>
      </c>
      <c r="H70">
        <v>0</v>
      </c>
      <c r="I70">
        <f t="shared" si="2"/>
        <v>-7.1892171031367094E-2</v>
      </c>
    </row>
    <row r="71" spans="1:9" x14ac:dyDescent="0.3">
      <c r="A71" s="5">
        <v>41971</v>
      </c>
      <c r="B71">
        <v>108.22</v>
      </c>
      <c r="C71">
        <v>119.75</v>
      </c>
      <c r="D71">
        <v>107.72</v>
      </c>
      <c r="E71">
        <v>118.93</v>
      </c>
      <c r="F71">
        <v>26.916699999999999</v>
      </c>
      <c r="G71">
        <v>820471729</v>
      </c>
      <c r="H71">
        <v>0.47</v>
      </c>
      <c r="I71">
        <f t="shared" si="2"/>
        <v>0.10596274108588274</v>
      </c>
    </row>
    <row r="72" spans="1:9" x14ac:dyDescent="0.3">
      <c r="A72" s="5">
        <v>41943</v>
      </c>
      <c r="B72">
        <v>100.59</v>
      </c>
      <c r="C72">
        <v>108.04</v>
      </c>
      <c r="D72">
        <v>95.18</v>
      </c>
      <c r="E72">
        <v>108</v>
      </c>
      <c r="F72">
        <v>24.337800000000001</v>
      </c>
      <c r="G72">
        <v>1360280122</v>
      </c>
      <c r="H72">
        <v>0</v>
      </c>
      <c r="I72">
        <f t="shared" si="2"/>
        <v>7.1960887949260074E-2</v>
      </c>
    </row>
    <row r="73" spans="1:9" x14ac:dyDescent="0.3">
      <c r="A73" s="5">
        <v>41912</v>
      </c>
      <c r="B73">
        <v>103.06</v>
      </c>
      <c r="C73">
        <v>103.74</v>
      </c>
      <c r="D73">
        <v>96.14</v>
      </c>
      <c r="E73">
        <v>100.75</v>
      </c>
      <c r="F73">
        <v>22.704000000000001</v>
      </c>
      <c r="G73">
        <v>1523782675</v>
      </c>
      <c r="H73">
        <v>0</v>
      </c>
      <c r="I73">
        <f t="shared" si="2"/>
        <v>-1.7070520341323722E-2</v>
      </c>
    </row>
    <row r="74" spans="1:9" x14ac:dyDescent="0.3">
      <c r="A74" s="5">
        <v>41880</v>
      </c>
      <c r="B74">
        <v>94.9</v>
      </c>
      <c r="C74">
        <v>102.9</v>
      </c>
      <c r="D74">
        <v>93.28</v>
      </c>
      <c r="E74">
        <v>102.5</v>
      </c>
      <c r="F74">
        <v>23.098299999999998</v>
      </c>
      <c r="G74">
        <v>930931500</v>
      </c>
      <c r="H74">
        <v>0.47</v>
      </c>
      <c r="I74">
        <f t="shared" si="2"/>
        <v>7.7506904015524541E-2</v>
      </c>
    </row>
    <row r="75" spans="1:9" x14ac:dyDescent="0.3">
      <c r="A75" s="5">
        <v>41851</v>
      </c>
      <c r="B75">
        <v>93.52</v>
      </c>
      <c r="C75">
        <v>99.44</v>
      </c>
      <c r="D75">
        <v>92.57</v>
      </c>
      <c r="E75">
        <v>95.6</v>
      </c>
      <c r="F75">
        <v>21.436800000000002</v>
      </c>
      <c r="G75">
        <v>1035191700</v>
      </c>
      <c r="H75">
        <v>0</v>
      </c>
      <c r="I75">
        <f t="shared" si="2"/>
        <v>2.8731026341173183E-2</v>
      </c>
    </row>
    <row r="76" spans="1:9" x14ac:dyDescent="0.3">
      <c r="A76" s="5">
        <v>41820</v>
      </c>
      <c r="B76">
        <v>633.96</v>
      </c>
      <c r="C76">
        <v>651.26</v>
      </c>
      <c r="D76">
        <v>89.65</v>
      </c>
      <c r="E76">
        <v>92.93</v>
      </c>
      <c r="F76">
        <v>20.838100000000001</v>
      </c>
      <c r="G76">
        <v>853194497</v>
      </c>
      <c r="H76">
        <v>0</v>
      </c>
      <c r="I76">
        <f t="shared" si="2"/>
        <v>2.7661610084232544E-2</v>
      </c>
    </row>
    <row r="77" spans="1:9" x14ac:dyDescent="0.3">
      <c r="A77" s="5">
        <v>41789</v>
      </c>
      <c r="B77">
        <v>592</v>
      </c>
      <c r="C77">
        <v>644.16999999999996</v>
      </c>
      <c r="D77">
        <v>580.33000000000004</v>
      </c>
      <c r="E77">
        <v>633</v>
      </c>
      <c r="F77">
        <v>20.277200000000001</v>
      </c>
      <c r="G77">
        <v>204845300</v>
      </c>
      <c r="H77">
        <v>3.29</v>
      </c>
      <c r="I77">
        <f t="shared" si="2"/>
        <v>7.8723653271197125E-2</v>
      </c>
    </row>
    <row r="78" spans="1:9" x14ac:dyDescent="0.3">
      <c r="A78" s="5">
        <v>41759</v>
      </c>
      <c r="B78">
        <v>537.76</v>
      </c>
      <c r="C78">
        <v>599.42999999999995</v>
      </c>
      <c r="D78">
        <v>511.33</v>
      </c>
      <c r="E78">
        <v>590.09</v>
      </c>
      <c r="F78">
        <v>18.7974</v>
      </c>
      <c r="G78">
        <v>229823600</v>
      </c>
      <c r="H78">
        <v>0</v>
      </c>
      <c r="I78">
        <f t="shared" si="2"/>
        <v>9.9398171705297175E-2</v>
      </c>
    </row>
    <row r="79" spans="1:9" x14ac:dyDescent="0.3">
      <c r="A79" s="5">
        <v>41729</v>
      </c>
      <c r="B79">
        <v>523.41999999999996</v>
      </c>
      <c r="C79">
        <v>549</v>
      </c>
      <c r="D79">
        <v>522.80999999999995</v>
      </c>
      <c r="E79">
        <v>536.74</v>
      </c>
      <c r="F79">
        <v>17.097899999999999</v>
      </c>
      <c r="G79">
        <v>178632100</v>
      </c>
      <c r="H79">
        <v>0</v>
      </c>
      <c r="I79">
        <f t="shared" si="2"/>
        <v>1.9948101530109983E-2</v>
      </c>
    </row>
    <row r="80" spans="1:9" x14ac:dyDescent="0.3">
      <c r="A80" s="5">
        <v>41698</v>
      </c>
      <c r="B80">
        <v>502.61</v>
      </c>
      <c r="C80">
        <v>551.19000000000005</v>
      </c>
      <c r="D80">
        <v>499.3</v>
      </c>
      <c r="E80">
        <v>526.24</v>
      </c>
      <c r="F80">
        <v>16.763500000000001</v>
      </c>
      <c r="G80">
        <v>210013100</v>
      </c>
      <c r="H80">
        <v>3.05</v>
      </c>
      <c r="I80">
        <f t="shared" si="2"/>
        <v>5.7473947162574826E-2</v>
      </c>
    </row>
    <row r="81" spans="1:9" x14ac:dyDescent="0.3">
      <c r="A81" s="5">
        <v>41670</v>
      </c>
      <c r="B81">
        <v>555.67999999999995</v>
      </c>
      <c r="C81">
        <v>560.20000000000005</v>
      </c>
      <c r="D81">
        <v>493.55</v>
      </c>
      <c r="E81">
        <v>500.6</v>
      </c>
      <c r="F81">
        <v>15.852399999999999</v>
      </c>
      <c r="G81">
        <v>313069800</v>
      </c>
      <c r="H81">
        <v>0</v>
      </c>
      <c r="I81">
        <f t="shared" si="2"/>
        <v>-0.10769629116781211</v>
      </c>
    </row>
    <row r="82" spans="1:9" x14ac:dyDescent="0.3">
      <c r="A82" s="5">
        <v>41639</v>
      </c>
      <c r="B82">
        <v>558</v>
      </c>
      <c r="C82">
        <v>575.13580000000002</v>
      </c>
      <c r="D82">
        <v>538.79999999999995</v>
      </c>
      <c r="E82">
        <v>561.02</v>
      </c>
      <c r="F82">
        <v>17.765699999999999</v>
      </c>
      <c r="G82">
        <v>252049900</v>
      </c>
      <c r="H82">
        <v>0</v>
      </c>
      <c r="I82">
        <f t="shared" si="2"/>
        <v>8.9045880208304048E-3</v>
      </c>
    </row>
    <row r="83" spans="1:9" x14ac:dyDescent="0.3">
      <c r="A83" s="5">
        <v>41607</v>
      </c>
      <c r="B83">
        <v>524.02</v>
      </c>
      <c r="C83">
        <v>558.33000000000004</v>
      </c>
      <c r="D83">
        <v>512.38</v>
      </c>
      <c r="E83">
        <v>556.07000000000005</v>
      </c>
      <c r="F83">
        <v>17.608899999999998</v>
      </c>
      <c r="G83">
        <v>186612700</v>
      </c>
      <c r="H83">
        <v>3.05</v>
      </c>
      <c r="I83">
        <f t="shared" si="2"/>
        <v>7.0066055335776145E-2</v>
      </c>
    </row>
    <row r="84" spans="1:9" x14ac:dyDescent="0.3">
      <c r="A84" s="5">
        <v>41578</v>
      </c>
      <c r="B84">
        <v>478.45</v>
      </c>
      <c r="C84">
        <v>539.25</v>
      </c>
      <c r="D84">
        <v>478.28</v>
      </c>
      <c r="E84">
        <v>522.702</v>
      </c>
      <c r="F84">
        <v>16.4559</v>
      </c>
      <c r="G84">
        <v>279919000</v>
      </c>
      <c r="H84">
        <v>0</v>
      </c>
      <c r="I84">
        <f t="shared" si="2"/>
        <v>9.6387548969965084E-2</v>
      </c>
    </row>
    <row r="85" spans="1:9" x14ac:dyDescent="0.3">
      <c r="A85" s="5">
        <v>41547</v>
      </c>
      <c r="B85">
        <v>493.1</v>
      </c>
      <c r="C85">
        <v>507.92</v>
      </c>
      <c r="D85">
        <v>447.22</v>
      </c>
      <c r="E85">
        <v>476.75</v>
      </c>
      <c r="F85">
        <v>15.0092</v>
      </c>
      <c r="G85">
        <v>308247900</v>
      </c>
      <c r="H85">
        <v>0</v>
      </c>
      <c r="I85">
        <f t="shared" si="2"/>
        <v>-2.1481611870627856E-2</v>
      </c>
    </row>
    <row r="86" spans="1:9" x14ac:dyDescent="0.3">
      <c r="A86" s="5">
        <v>41516</v>
      </c>
      <c r="B86">
        <v>455.7527</v>
      </c>
      <c r="C86">
        <v>513.74</v>
      </c>
      <c r="D86">
        <v>453.26</v>
      </c>
      <c r="E86">
        <v>487.21600000000001</v>
      </c>
      <c r="F86">
        <v>15.338699999999999</v>
      </c>
      <c r="G86">
        <v>287797800</v>
      </c>
      <c r="H86">
        <v>3.05</v>
      </c>
      <c r="I86">
        <f t="shared" si="2"/>
        <v>8.3769633507853339E-2</v>
      </c>
    </row>
    <row r="87" spans="1:9" x14ac:dyDescent="0.3">
      <c r="A87" s="5">
        <v>41486</v>
      </c>
      <c r="B87">
        <v>402.69</v>
      </c>
      <c r="C87">
        <v>457.34249999999997</v>
      </c>
      <c r="D87">
        <v>401.22</v>
      </c>
      <c r="E87">
        <v>452.53</v>
      </c>
      <c r="F87">
        <v>14.1531</v>
      </c>
      <c r="G87">
        <v>233504100</v>
      </c>
      <c r="H87">
        <v>0</v>
      </c>
      <c r="I87">
        <f t="shared" si="2"/>
        <v>0.14122257432448779</v>
      </c>
    </row>
    <row r="88" spans="1:9" x14ac:dyDescent="0.3">
      <c r="A88" s="5">
        <v>41453</v>
      </c>
      <c r="B88">
        <v>450.73</v>
      </c>
      <c r="C88">
        <v>454.43</v>
      </c>
      <c r="D88">
        <v>388.87</v>
      </c>
      <c r="E88">
        <v>396.53</v>
      </c>
      <c r="F88">
        <v>12.4017</v>
      </c>
      <c r="G88">
        <v>250662000</v>
      </c>
      <c r="H88">
        <v>0</v>
      </c>
      <c r="I88">
        <f t="shared" si="2"/>
        <v>-0.11830196861869653</v>
      </c>
    </row>
    <row r="89" spans="1:9" x14ac:dyDescent="0.3">
      <c r="A89" s="5">
        <v>41425</v>
      </c>
      <c r="B89">
        <v>444.46</v>
      </c>
      <c r="C89">
        <v>465.75</v>
      </c>
      <c r="D89">
        <v>418.9</v>
      </c>
      <c r="E89">
        <v>449.73500000000001</v>
      </c>
      <c r="F89">
        <v>14.0657</v>
      </c>
      <c r="G89">
        <v>337411800</v>
      </c>
      <c r="H89">
        <v>3.05</v>
      </c>
      <c r="I89">
        <f t="shared" si="2"/>
        <v>2.2491512979507581E-2</v>
      </c>
    </row>
    <row r="90" spans="1:9" x14ac:dyDescent="0.3">
      <c r="A90" s="5">
        <v>41394</v>
      </c>
      <c r="B90">
        <v>441.9</v>
      </c>
      <c r="C90">
        <v>445.25</v>
      </c>
      <c r="D90">
        <v>385.1</v>
      </c>
      <c r="E90">
        <v>442.78</v>
      </c>
      <c r="F90">
        <v>13.7563</v>
      </c>
      <c r="G90">
        <v>391553200</v>
      </c>
      <c r="H90">
        <v>0</v>
      </c>
      <c r="I90">
        <f t="shared" si="2"/>
        <v>2.6904003606592635E-4</v>
      </c>
    </row>
    <row r="91" spans="1:9" x14ac:dyDescent="0.3">
      <c r="A91" s="5">
        <v>41361</v>
      </c>
      <c r="B91">
        <v>438</v>
      </c>
      <c r="C91">
        <v>469.95</v>
      </c>
      <c r="D91">
        <v>419</v>
      </c>
      <c r="E91">
        <v>442.66</v>
      </c>
      <c r="F91">
        <v>13.752599999999999</v>
      </c>
      <c r="G91">
        <v>327745600</v>
      </c>
      <c r="H91">
        <v>0</v>
      </c>
      <c r="I91">
        <f t="shared" si="2"/>
        <v>2.85851794595062E-3</v>
      </c>
    </row>
    <row r="92" spans="1:9" x14ac:dyDescent="0.3">
      <c r="A92" s="5">
        <v>41333</v>
      </c>
      <c r="B92">
        <v>459.11</v>
      </c>
      <c r="C92">
        <v>484.94</v>
      </c>
      <c r="D92">
        <v>437.66</v>
      </c>
      <c r="E92">
        <v>441.4</v>
      </c>
      <c r="F92">
        <v>13.7134</v>
      </c>
      <c r="G92">
        <v>333715500</v>
      </c>
      <c r="H92">
        <v>2.65</v>
      </c>
      <c r="I92">
        <f t="shared" si="2"/>
        <v>-2.5448601783747311E-2</v>
      </c>
    </row>
    <row r="93" spans="1:9" x14ac:dyDescent="0.3">
      <c r="A93" s="5">
        <v>41305</v>
      </c>
      <c r="B93">
        <v>553.82000000000005</v>
      </c>
      <c r="C93">
        <v>555</v>
      </c>
      <c r="D93">
        <v>435</v>
      </c>
      <c r="E93">
        <v>455.49</v>
      </c>
      <c r="F93">
        <v>14.0715</v>
      </c>
      <c r="G93">
        <v>468693700</v>
      </c>
      <c r="H93">
        <v>0</v>
      </c>
      <c r="I93">
        <f t="shared" si="2"/>
        <v>-0.1440953742282777</v>
      </c>
    </row>
    <row r="94" spans="1:9" x14ac:dyDescent="0.3">
      <c r="A94" s="5">
        <v>41274</v>
      </c>
      <c r="B94">
        <v>593.65</v>
      </c>
      <c r="C94">
        <v>594.59</v>
      </c>
      <c r="D94">
        <v>501.23</v>
      </c>
      <c r="E94">
        <v>532.17290000000003</v>
      </c>
      <c r="F94">
        <v>16.4405</v>
      </c>
      <c r="G94">
        <v>433312600</v>
      </c>
      <c r="H94">
        <v>0</v>
      </c>
      <c r="I94">
        <f t="shared" si="2"/>
        <v>-9.0740658805831417E-2</v>
      </c>
    </row>
    <row r="95" spans="1:9" x14ac:dyDescent="0.3">
      <c r="A95" s="5">
        <v>41243</v>
      </c>
      <c r="B95">
        <v>598.22</v>
      </c>
      <c r="C95">
        <v>603</v>
      </c>
      <c r="D95">
        <v>505.75009999999997</v>
      </c>
      <c r="E95">
        <v>585.28</v>
      </c>
      <c r="F95">
        <v>18.081199999999999</v>
      </c>
      <c r="G95">
        <v>461780400</v>
      </c>
      <c r="H95">
        <v>2.65</v>
      </c>
      <c r="I95">
        <f t="shared" si="2"/>
        <v>-1.2193789471384041E-2</v>
      </c>
    </row>
    <row r="96" spans="1:9" x14ac:dyDescent="0.3">
      <c r="A96" s="5">
        <v>41213</v>
      </c>
      <c r="B96">
        <v>671.5</v>
      </c>
      <c r="C96">
        <v>676.75</v>
      </c>
      <c r="D96">
        <v>587.70000000000005</v>
      </c>
      <c r="E96">
        <v>595.32000000000005</v>
      </c>
      <c r="F96">
        <v>18.304400000000001</v>
      </c>
      <c r="G96">
        <v>433672500</v>
      </c>
      <c r="H96">
        <v>0</v>
      </c>
      <c r="I96">
        <f t="shared" si="2"/>
        <v>-0.10760740264045711</v>
      </c>
    </row>
    <row r="97" spans="1:9" x14ac:dyDescent="0.3">
      <c r="A97" s="5">
        <v>41180</v>
      </c>
      <c r="B97">
        <v>665.76</v>
      </c>
      <c r="C97">
        <v>705.07</v>
      </c>
      <c r="D97">
        <v>656</v>
      </c>
      <c r="E97">
        <v>667.10500000000002</v>
      </c>
      <c r="F97">
        <v>20.511600000000001</v>
      </c>
      <c r="G97">
        <v>328535900</v>
      </c>
      <c r="H97">
        <v>0</v>
      </c>
      <c r="I97">
        <f t="shared" si="2"/>
        <v>2.8062696169980361E-3</v>
      </c>
    </row>
    <row r="98" spans="1:9" x14ac:dyDescent="0.3">
      <c r="A98" s="5">
        <v>41152</v>
      </c>
      <c r="B98">
        <v>615.90499999999997</v>
      </c>
      <c r="C98">
        <v>680.87</v>
      </c>
      <c r="D98">
        <v>600.25</v>
      </c>
      <c r="E98">
        <v>665.24</v>
      </c>
      <c r="F98">
        <v>20.4542</v>
      </c>
      <c r="G98">
        <v>295578800</v>
      </c>
      <c r="H98">
        <v>2.65</v>
      </c>
      <c r="I98">
        <f t="shared" ref="I98:I128" si="3">(F98-F99)/F99</f>
        <v>9.3848432829036335E-2</v>
      </c>
    </row>
    <row r="99" spans="1:9" x14ac:dyDescent="0.3">
      <c r="A99" s="5">
        <v>41121</v>
      </c>
      <c r="B99">
        <v>584.73</v>
      </c>
      <c r="C99">
        <v>619.87</v>
      </c>
      <c r="D99">
        <v>570</v>
      </c>
      <c r="E99">
        <v>610.76</v>
      </c>
      <c r="F99">
        <v>18.699300000000001</v>
      </c>
      <c r="G99">
        <v>318201800</v>
      </c>
      <c r="H99">
        <v>0</v>
      </c>
      <c r="I99">
        <f t="shared" si="3"/>
        <v>4.5822147651006818E-2</v>
      </c>
    </row>
    <row r="100" spans="1:9" x14ac:dyDescent="0.3">
      <c r="A100" s="5">
        <v>41089</v>
      </c>
      <c r="B100">
        <v>569.16</v>
      </c>
      <c r="C100">
        <v>590</v>
      </c>
      <c r="D100">
        <v>548.5</v>
      </c>
      <c r="E100">
        <v>584</v>
      </c>
      <c r="F100">
        <v>17.88</v>
      </c>
      <c r="G100">
        <v>280565200</v>
      </c>
      <c r="H100">
        <v>0</v>
      </c>
      <c r="I100">
        <f t="shared" si="3"/>
        <v>1.0854816824966088E-2</v>
      </c>
    </row>
    <row r="101" spans="1:9" x14ac:dyDescent="0.3">
      <c r="A101" s="5">
        <v>41060</v>
      </c>
      <c r="B101">
        <v>584.9</v>
      </c>
      <c r="C101">
        <v>596.76</v>
      </c>
      <c r="D101">
        <v>522.17999999999995</v>
      </c>
      <c r="E101">
        <v>577.73</v>
      </c>
      <c r="F101">
        <v>17.687999999999999</v>
      </c>
      <c r="G101">
        <v>396655200</v>
      </c>
      <c r="H101">
        <v>0</v>
      </c>
      <c r="I101">
        <f t="shared" si="3"/>
        <v>-1.0705057216685212E-2</v>
      </c>
    </row>
    <row r="102" spans="1:9" x14ac:dyDescent="0.3">
      <c r="A102" s="5">
        <v>41029</v>
      </c>
      <c r="B102">
        <v>601.83000000000004</v>
      </c>
      <c r="C102">
        <v>644</v>
      </c>
      <c r="D102">
        <v>555</v>
      </c>
      <c r="E102">
        <v>583.98</v>
      </c>
      <c r="F102">
        <v>17.8794</v>
      </c>
      <c r="G102">
        <v>557106800</v>
      </c>
      <c r="H102">
        <v>0</v>
      </c>
      <c r="I102">
        <f t="shared" si="3"/>
        <v>-2.5969568699233551E-2</v>
      </c>
    </row>
    <row r="103" spans="1:9" x14ac:dyDescent="0.3">
      <c r="A103" s="5">
        <v>40998</v>
      </c>
      <c r="B103">
        <v>548.16999999999996</v>
      </c>
      <c r="C103">
        <v>621.45000000000005</v>
      </c>
      <c r="D103">
        <v>516.221</v>
      </c>
      <c r="E103">
        <v>599.54999999999995</v>
      </c>
      <c r="F103">
        <v>18.356100000000001</v>
      </c>
      <c r="G103">
        <v>556583500</v>
      </c>
      <c r="H103">
        <v>0</v>
      </c>
      <c r="I103">
        <f t="shared" si="3"/>
        <v>0.10528312338929163</v>
      </c>
    </row>
    <row r="104" spans="1:9" x14ac:dyDescent="0.3">
      <c r="A104" s="5">
        <v>40968</v>
      </c>
      <c r="B104">
        <v>458.41</v>
      </c>
      <c r="C104">
        <v>547.61</v>
      </c>
      <c r="D104">
        <v>453.98</v>
      </c>
      <c r="E104">
        <v>542.44000000000005</v>
      </c>
      <c r="F104">
        <v>16.607600000000001</v>
      </c>
      <c r="G104">
        <v>406019800</v>
      </c>
      <c r="H104">
        <v>0</v>
      </c>
      <c r="I104">
        <f t="shared" si="3"/>
        <v>0.18831122368665851</v>
      </c>
    </row>
    <row r="105" spans="1:9" x14ac:dyDescent="0.3">
      <c r="A105" s="5">
        <v>40939</v>
      </c>
      <c r="B105">
        <v>409.4</v>
      </c>
      <c r="C105">
        <v>458.24</v>
      </c>
      <c r="D105">
        <v>409</v>
      </c>
      <c r="E105">
        <v>456.48</v>
      </c>
      <c r="F105">
        <v>13.9758</v>
      </c>
      <c r="G105">
        <v>244994800</v>
      </c>
      <c r="H105">
        <v>0</v>
      </c>
      <c r="I105">
        <f t="shared" si="3"/>
        <v>0.12710791390114279</v>
      </c>
    </row>
    <row r="106" spans="1:9" x14ac:dyDescent="0.3">
      <c r="A106" s="5">
        <v>40907</v>
      </c>
      <c r="B106">
        <v>382.54</v>
      </c>
      <c r="C106">
        <v>409.09</v>
      </c>
      <c r="D106">
        <v>377.68</v>
      </c>
      <c r="E106">
        <v>405</v>
      </c>
      <c r="F106">
        <v>12.399699999999999</v>
      </c>
      <c r="G106">
        <v>225233300</v>
      </c>
      <c r="H106">
        <v>0</v>
      </c>
      <c r="I106">
        <f t="shared" si="3"/>
        <v>5.9658508238189668E-2</v>
      </c>
    </row>
    <row r="107" spans="1:9" x14ac:dyDescent="0.3">
      <c r="A107" s="5">
        <v>40877</v>
      </c>
      <c r="B107">
        <v>397.41</v>
      </c>
      <c r="C107">
        <v>408</v>
      </c>
      <c r="D107">
        <v>363.32</v>
      </c>
      <c r="E107">
        <v>382.2</v>
      </c>
      <c r="F107">
        <v>11.701599999999999</v>
      </c>
      <c r="G107">
        <v>320132200</v>
      </c>
      <c r="H107">
        <v>0</v>
      </c>
      <c r="I107">
        <f t="shared" si="3"/>
        <v>-5.5781939658998303E-2</v>
      </c>
    </row>
    <row r="108" spans="1:9" x14ac:dyDescent="0.3">
      <c r="A108" s="5">
        <v>40847</v>
      </c>
      <c r="B108">
        <v>380.37</v>
      </c>
      <c r="C108">
        <v>426.7</v>
      </c>
      <c r="D108">
        <v>354.24</v>
      </c>
      <c r="E108">
        <v>404.78</v>
      </c>
      <c r="F108">
        <v>12.392899999999999</v>
      </c>
      <c r="G108">
        <v>469336700</v>
      </c>
      <c r="H108">
        <v>0</v>
      </c>
      <c r="I108">
        <f t="shared" si="3"/>
        <v>6.1517640710253757E-2</v>
      </c>
    </row>
    <row r="109" spans="1:9" x14ac:dyDescent="0.3">
      <c r="A109" s="5">
        <v>40816</v>
      </c>
      <c r="B109">
        <v>385.82</v>
      </c>
      <c r="C109">
        <v>422.86</v>
      </c>
      <c r="D109">
        <v>366.48</v>
      </c>
      <c r="E109">
        <v>381.32</v>
      </c>
      <c r="F109">
        <v>11.6747</v>
      </c>
      <c r="G109">
        <v>427766000</v>
      </c>
      <c r="H109">
        <v>0</v>
      </c>
      <c r="I109">
        <f t="shared" si="3"/>
        <v>-9.115522699688525E-3</v>
      </c>
    </row>
    <row r="110" spans="1:9" x14ac:dyDescent="0.3">
      <c r="A110" s="5">
        <v>40786</v>
      </c>
      <c r="B110">
        <v>397.78</v>
      </c>
      <c r="C110">
        <v>399.5</v>
      </c>
      <c r="D110">
        <v>353.02</v>
      </c>
      <c r="E110">
        <v>384.83</v>
      </c>
      <c r="F110">
        <v>11.7821</v>
      </c>
      <c r="G110">
        <v>576521400</v>
      </c>
      <c r="H110">
        <v>0</v>
      </c>
      <c r="I110">
        <f t="shared" si="3"/>
        <v>-1.4470811620145381E-2</v>
      </c>
    </row>
    <row r="111" spans="1:9" x14ac:dyDescent="0.3">
      <c r="A111" s="5">
        <v>40753</v>
      </c>
      <c r="B111">
        <v>335.95</v>
      </c>
      <c r="C111">
        <v>404.5</v>
      </c>
      <c r="D111">
        <v>334.2</v>
      </c>
      <c r="E111">
        <v>390.48</v>
      </c>
      <c r="F111">
        <v>11.9551</v>
      </c>
      <c r="G111">
        <v>380498100</v>
      </c>
      <c r="H111">
        <v>0</v>
      </c>
      <c r="I111">
        <f t="shared" si="3"/>
        <v>0.16328695144497429</v>
      </c>
    </row>
    <row r="112" spans="1:9" x14ac:dyDescent="0.3">
      <c r="A112" s="5">
        <v>40724</v>
      </c>
      <c r="B112">
        <v>348.87</v>
      </c>
      <c r="C112">
        <v>352.13200000000001</v>
      </c>
      <c r="D112">
        <v>310.5</v>
      </c>
      <c r="E112">
        <v>335.67</v>
      </c>
      <c r="F112">
        <v>10.276999999999999</v>
      </c>
      <c r="G112">
        <v>330851800</v>
      </c>
      <c r="H112">
        <v>0</v>
      </c>
      <c r="I112">
        <f t="shared" si="3"/>
        <v>-3.4960044322162112E-2</v>
      </c>
    </row>
    <row r="113" spans="1:9" x14ac:dyDescent="0.3">
      <c r="A113" s="5">
        <v>40694</v>
      </c>
      <c r="B113">
        <v>349.74</v>
      </c>
      <c r="C113">
        <v>351.83</v>
      </c>
      <c r="D113">
        <v>329.42</v>
      </c>
      <c r="E113">
        <v>347.83</v>
      </c>
      <c r="F113">
        <v>10.6493</v>
      </c>
      <c r="G113">
        <v>246859300</v>
      </c>
      <c r="H113">
        <v>0</v>
      </c>
      <c r="I113">
        <f t="shared" si="3"/>
        <v>-6.5673479668273693E-3</v>
      </c>
    </row>
    <row r="114" spans="1:9" x14ac:dyDescent="0.3">
      <c r="A114" s="5">
        <v>40662</v>
      </c>
      <c r="B114">
        <v>351.11</v>
      </c>
      <c r="C114">
        <v>355.13</v>
      </c>
      <c r="D114">
        <v>320.16000000000003</v>
      </c>
      <c r="E114">
        <v>350.13</v>
      </c>
      <c r="F114">
        <v>10.7197</v>
      </c>
      <c r="G114">
        <v>330493900</v>
      </c>
      <c r="H114">
        <v>0</v>
      </c>
      <c r="I114">
        <f t="shared" si="3"/>
        <v>4.6485037628513194E-3</v>
      </c>
    </row>
    <row r="115" spans="1:9" x14ac:dyDescent="0.3">
      <c r="A115" s="5">
        <v>40633</v>
      </c>
      <c r="B115">
        <v>355.47</v>
      </c>
      <c r="C115">
        <v>361.67</v>
      </c>
      <c r="D115">
        <v>326.26</v>
      </c>
      <c r="E115">
        <v>348.50749999999999</v>
      </c>
      <c r="F115">
        <v>10.6701</v>
      </c>
      <c r="G115">
        <v>403802100</v>
      </c>
      <c r="H115">
        <v>0</v>
      </c>
      <c r="I115">
        <f t="shared" si="3"/>
        <v>-1.3306824486776433E-2</v>
      </c>
    </row>
    <row r="116" spans="1:9" x14ac:dyDescent="0.3">
      <c r="A116" s="5">
        <v>40602</v>
      </c>
      <c r="B116">
        <v>341.3</v>
      </c>
      <c r="C116">
        <v>364.9</v>
      </c>
      <c r="D116">
        <v>337.72</v>
      </c>
      <c r="E116">
        <v>353.21</v>
      </c>
      <c r="F116">
        <v>10.814</v>
      </c>
      <c r="G116">
        <v>331998200</v>
      </c>
      <c r="H116">
        <v>0</v>
      </c>
      <c r="I116">
        <f t="shared" si="3"/>
        <v>4.0928692438010186E-2</v>
      </c>
    </row>
    <row r="117" spans="1:9" x14ac:dyDescent="0.3">
      <c r="A117" s="5">
        <v>40574</v>
      </c>
      <c r="B117">
        <v>325.64</v>
      </c>
      <c r="C117">
        <v>348.6</v>
      </c>
      <c r="D117">
        <v>324.8365</v>
      </c>
      <c r="E117">
        <v>339.32</v>
      </c>
      <c r="F117">
        <v>10.3888</v>
      </c>
      <c r="G117">
        <v>387197700</v>
      </c>
      <c r="H117">
        <v>0</v>
      </c>
      <c r="I117">
        <f t="shared" si="3"/>
        <v>5.196646279719707E-2</v>
      </c>
    </row>
    <row r="118" spans="1:9" x14ac:dyDescent="0.3">
      <c r="A118" s="5">
        <v>40543</v>
      </c>
      <c r="B118">
        <v>315.27</v>
      </c>
      <c r="C118">
        <v>326.66000000000003</v>
      </c>
      <c r="D118">
        <v>314.89</v>
      </c>
      <c r="E118">
        <v>322.56</v>
      </c>
      <c r="F118">
        <v>9.8756000000000004</v>
      </c>
      <c r="G118">
        <v>249044100</v>
      </c>
      <c r="H118">
        <v>0</v>
      </c>
      <c r="I118">
        <f t="shared" si="3"/>
        <v>3.6666911602615863E-2</v>
      </c>
    </row>
    <row r="119" spans="1:9" x14ac:dyDescent="0.3">
      <c r="A119" s="5">
        <v>40512</v>
      </c>
      <c r="B119">
        <v>302.22000000000003</v>
      </c>
      <c r="C119">
        <v>321.3</v>
      </c>
      <c r="D119">
        <v>297.76</v>
      </c>
      <c r="E119">
        <v>311.14999999999998</v>
      </c>
      <c r="F119">
        <v>9.5263000000000009</v>
      </c>
      <c r="G119">
        <v>339574500</v>
      </c>
      <c r="H119">
        <v>0</v>
      </c>
      <c r="I119">
        <f t="shared" si="3"/>
        <v>3.3793095964145113E-2</v>
      </c>
    </row>
    <row r="120" spans="1:9" x14ac:dyDescent="0.3">
      <c r="A120" s="5">
        <v>40480</v>
      </c>
      <c r="B120">
        <v>283.75</v>
      </c>
      <c r="C120">
        <v>319</v>
      </c>
      <c r="D120">
        <v>277.77</v>
      </c>
      <c r="E120">
        <v>300.98</v>
      </c>
      <c r="F120">
        <v>9.2149000000000001</v>
      </c>
      <c r="G120">
        <v>436949200</v>
      </c>
      <c r="H120">
        <v>0</v>
      </c>
      <c r="I120">
        <f t="shared" si="3"/>
        <v>6.0720123397103837E-2</v>
      </c>
    </row>
    <row r="121" spans="1:9" x14ac:dyDescent="0.3">
      <c r="A121" s="5">
        <v>40451</v>
      </c>
      <c r="B121">
        <v>247.47</v>
      </c>
      <c r="C121">
        <v>294.73</v>
      </c>
      <c r="D121">
        <v>246.28</v>
      </c>
      <c r="E121">
        <v>283.75</v>
      </c>
      <c r="F121">
        <v>8.6874000000000002</v>
      </c>
      <c r="G121">
        <v>423211400</v>
      </c>
      <c r="H121">
        <v>0</v>
      </c>
      <c r="I121">
        <f t="shared" si="3"/>
        <v>0.16720633086565725</v>
      </c>
    </row>
    <row r="122" spans="1:9" x14ac:dyDescent="0.3">
      <c r="A122" s="5">
        <v>40421</v>
      </c>
      <c r="B122">
        <v>260.44</v>
      </c>
      <c r="C122">
        <v>264.27999999999997</v>
      </c>
      <c r="D122">
        <v>235.56</v>
      </c>
      <c r="E122">
        <v>243.1</v>
      </c>
      <c r="F122">
        <v>7.4428999999999998</v>
      </c>
      <c r="G122">
        <v>342468600</v>
      </c>
      <c r="H122">
        <v>0</v>
      </c>
      <c r="I122">
        <f t="shared" si="3"/>
        <v>-5.5001841012683975E-2</v>
      </c>
    </row>
    <row r="123" spans="1:9" x14ac:dyDescent="0.3">
      <c r="A123" s="5">
        <v>40389</v>
      </c>
      <c r="B123">
        <v>254.3</v>
      </c>
      <c r="C123">
        <v>265.99</v>
      </c>
      <c r="D123">
        <v>239.6</v>
      </c>
      <c r="E123">
        <v>257.25</v>
      </c>
      <c r="F123">
        <v>7.8761000000000001</v>
      </c>
      <c r="G123">
        <v>559632300</v>
      </c>
      <c r="H123">
        <v>0</v>
      </c>
      <c r="I123">
        <f t="shared" si="3"/>
        <v>2.273730684326717E-2</v>
      </c>
    </row>
    <row r="124" spans="1:9" x14ac:dyDescent="0.3">
      <c r="A124" s="5">
        <v>40359</v>
      </c>
      <c r="B124">
        <v>259.69</v>
      </c>
      <c r="C124">
        <v>279.01</v>
      </c>
      <c r="D124">
        <v>242.2</v>
      </c>
      <c r="E124">
        <v>251.53</v>
      </c>
      <c r="F124">
        <v>7.7009999999999996</v>
      </c>
      <c r="G124">
        <v>594687600</v>
      </c>
      <c r="H124">
        <v>0</v>
      </c>
      <c r="I124">
        <f t="shared" si="3"/>
        <v>-2.0826975892584702E-2</v>
      </c>
    </row>
    <row r="125" spans="1:9" x14ac:dyDescent="0.3">
      <c r="A125" s="5">
        <v>40326</v>
      </c>
      <c r="B125">
        <v>263.83999999999997</v>
      </c>
      <c r="C125">
        <v>267.88</v>
      </c>
      <c r="D125">
        <v>199.25</v>
      </c>
      <c r="E125">
        <v>256.88</v>
      </c>
      <c r="F125">
        <v>7.8647999999999998</v>
      </c>
      <c r="G125">
        <v>645809100</v>
      </c>
      <c r="H125">
        <v>0</v>
      </c>
      <c r="I125">
        <f t="shared" si="3"/>
        <v>-1.6125198593892665E-2</v>
      </c>
    </row>
    <row r="126" spans="1:9" x14ac:dyDescent="0.3">
      <c r="A126" s="5">
        <v>40298</v>
      </c>
      <c r="B126">
        <v>237.49</v>
      </c>
      <c r="C126">
        <v>272.45999999999998</v>
      </c>
      <c r="D126">
        <v>232.75</v>
      </c>
      <c r="E126">
        <v>261.08999999999997</v>
      </c>
      <c r="F126">
        <v>7.9936999999999996</v>
      </c>
      <c r="G126">
        <v>441683200</v>
      </c>
      <c r="H126">
        <v>0</v>
      </c>
      <c r="I126">
        <f t="shared" si="3"/>
        <v>0.1110230857968839</v>
      </c>
    </row>
    <row r="127" spans="1:9" x14ac:dyDescent="0.3">
      <c r="A127" s="5">
        <v>40268</v>
      </c>
      <c r="B127">
        <v>205.75</v>
      </c>
      <c r="C127">
        <v>237.48</v>
      </c>
      <c r="D127">
        <v>205.45</v>
      </c>
      <c r="E127">
        <v>235</v>
      </c>
      <c r="F127">
        <v>7.1948999999999996</v>
      </c>
      <c r="G127">
        <v>434077600</v>
      </c>
      <c r="H127">
        <v>0</v>
      </c>
      <c r="I127">
        <f t="shared" si="3"/>
        <v>0.14848276852842102</v>
      </c>
    </row>
    <row r="128" spans="1:9" x14ac:dyDescent="0.3">
      <c r="A128" s="5">
        <v>40235</v>
      </c>
      <c r="B128">
        <v>192.37</v>
      </c>
      <c r="C128">
        <v>205.17</v>
      </c>
      <c r="D128">
        <v>190.85</v>
      </c>
      <c r="E128">
        <v>204.62</v>
      </c>
      <c r="F128">
        <v>6.2647000000000004</v>
      </c>
      <c r="G128">
        <v>384860000</v>
      </c>
      <c r="H128">
        <v>0</v>
      </c>
      <c r="I128">
        <f t="shared" si="3"/>
        <v>6.5370814414230621E-2</v>
      </c>
    </row>
    <row r="129" spans="1:8" x14ac:dyDescent="0.3">
      <c r="A129" s="5">
        <v>40207</v>
      </c>
      <c r="B129">
        <v>213.43</v>
      </c>
      <c r="C129">
        <v>215.59</v>
      </c>
      <c r="D129">
        <v>190.25</v>
      </c>
      <c r="E129">
        <v>192.06299999999999</v>
      </c>
      <c r="F129">
        <v>5.8803000000000001</v>
      </c>
      <c r="G129">
        <v>541749800</v>
      </c>
      <c r="H129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Feuilles de calcul</vt:lpstr>
      </vt:variant>
      <vt:variant>
        <vt:i4>7</vt:i4>
      </vt:variant>
      <vt:variant>
        <vt:lpstr>Graphiques</vt:lpstr>
      </vt:variant>
      <vt:variant>
        <vt:i4>2</vt:i4>
      </vt:variant>
      <vt:variant>
        <vt:lpstr>Plages nommées</vt:lpstr>
      </vt:variant>
      <vt:variant>
        <vt:i4>16</vt:i4>
      </vt:variant>
    </vt:vector>
  </HeadingPairs>
  <TitlesOfParts>
    <vt:vector size="25" baseType="lpstr">
      <vt:lpstr>Input Sheet</vt:lpstr>
      <vt:lpstr>Output Sheet</vt:lpstr>
      <vt:lpstr>Tickers</vt:lpstr>
      <vt:lpstr>Assets Returns</vt:lpstr>
      <vt:lpstr>Stocks Key Metrics</vt:lpstr>
      <vt:lpstr>Initialisation</vt:lpstr>
      <vt:lpstr>Yahoo</vt:lpstr>
      <vt:lpstr>Simulation Chart</vt:lpstr>
      <vt:lpstr>Backtest performance</vt:lpstr>
      <vt:lpstr>AAPL</vt:lpstr>
      <vt:lpstr>AI.PA</vt:lpstr>
      <vt:lpstr>covariances</vt:lpstr>
      <vt:lpstr>EndD</vt:lpstr>
      <vt:lpstr>maxReturn</vt:lpstr>
      <vt:lpstr>meanReturn</vt:lpstr>
      <vt:lpstr>means</vt:lpstr>
      <vt:lpstr>minReturn</vt:lpstr>
      <vt:lpstr>MSFT</vt:lpstr>
      <vt:lpstr>NVDA</vt:lpstr>
      <vt:lpstr>portfolioStdev</vt:lpstr>
      <vt:lpstr>portfolioVariance</vt:lpstr>
      <vt:lpstr>RequiredReturn</vt:lpstr>
      <vt:lpstr>startD</vt:lpstr>
      <vt:lpstr>sumOfWeights</vt:lpstr>
      <vt:lpstr>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Ilyès</dc:creator>
  <cp:lastModifiedBy>Ilyès</cp:lastModifiedBy>
  <dcterms:created xsi:type="dcterms:W3CDTF">2021-12-16T15:15:51Z</dcterms:created>
  <dcterms:modified xsi:type="dcterms:W3CDTF">2021-12-20T20:47:44Z</dcterms:modified>
</cp:coreProperties>
</file>